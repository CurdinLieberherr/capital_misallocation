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egend" sheetId="1" state="visible" r:id="rId1"/>
    <sheet name="I_IT" sheetId="695" state="visible" r:id="rId2"/>
    <sheet name="I_CT" sheetId="696" state="visible" r:id="rId3"/>
    <sheet name="I_Soft_DB" sheetId="697" state="visible" r:id="rId4"/>
    <sheet name="I_TraEq" sheetId="698" state="visible" r:id="rId5"/>
    <sheet name="I_OMach" sheetId="699" state="visible" r:id="rId6"/>
    <sheet name="I_OCon" sheetId="700" state="visible" r:id="rId7"/>
    <sheet name="I_Rstruc" sheetId="701" state="visible" r:id="rId8"/>
    <sheet name="I_Cult" sheetId="702" state="visible" r:id="rId9"/>
    <sheet name="I_RD" sheetId="703" state="visible" r:id="rId10"/>
    <sheet name="I_OIPP" sheetId="704" state="visible" r:id="rId11"/>
    <sheet name="I_GFCF" sheetId="705" state="visible" r:id="rId12"/>
    <sheet name="Ipyp_IT" sheetId="706" state="visible" r:id="rId13"/>
    <sheet name="Ipyp_CT" sheetId="707" state="visible" r:id="rId14"/>
    <sheet name="Ipyp_Soft_DB" sheetId="708" state="visible" r:id="rId15"/>
    <sheet name="Ipyp_TraEq" sheetId="709" state="visible" r:id="rId16"/>
    <sheet name="Ipyp_OMach" sheetId="710" state="visible" r:id="rId17"/>
    <sheet name="Ipyp_OCon" sheetId="711" state="visible" r:id="rId18"/>
    <sheet name="Ipyp_Rstruc" sheetId="712" state="visible" r:id="rId19"/>
    <sheet name="Ipyp_Cult" sheetId="713" state="visible" r:id="rId20"/>
    <sheet name="Ipyp_RD" sheetId="714" state="visible" r:id="rId21"/>
    <sheet name="Ipyp_OIPP" sheetId="715" state="visible" r:id="rId22"/>
    <sheet name="Ipyp_GFCF" sheetId="716" state="visible" r:id="rId23"/>
    <sheet name="Ip_IT" sheetId="717" state="visible" r:id="rId24"/>
    <sheet name="Ip_CT" sheetId="718" state="visible" r:id="rId25"/>
    <sheet name="Ip_Soft_DB" sheetId="719" state="visible" r:id="rId26"/>
    <sheet name="Ip_TraEq" sheetId="720" state="visible" r:id="rId27"/>
    <sheet name="Ip_OMach" sheetId="721" state="visible" r:id="rId28"/>
    <sheet name="Ip_OCon" sheetId="722" state="visible" r:id="rId29"/>
    <sheet name="Ip_Rstruc" sheetId="723" state="visible" r:id="rId30"/>
    <sheet name="Ip_Cult" sheetId="724" state="visible" r:id="rId31"/>
    <sheet name="Ip_RD" sheetId="725" state="visible" r:id="rId32"/>
    <sheet name="Ip_OIPP" sheetId="726" state="visible" r:id="rId33"/>
    <sheet name="Ip_GFCF" sheetId="727" state="visible" r:id="rId34"/>
    <sheet name="K_IT" sheetId="728" state="visible" r:id="rId35"/>
    <sheet name="K_CT" sheetId="729" state="visible" r:id="rId36"/>
    <sheet name="K_Soft_DB" sheetId="730" state="visible" r:id="rId37"/>
    <sheet name="K_TraEq" sheetId="731" state="visible" r:id="rId38"/>
    <sheet name="K_OMach" sheetId="732" state="visible" r:id="rId39"/>
    <sheet name="K_OCon" sheetId="733" state="visible" r:id="rId40"/>
    <sheet name="K_Rstruc" sheetId="734" state="visible" r:id="rId41"/>
    <sheet name="K_Cult" sheetId="735" state="visible" r:id="rId42"/>
    <sheet name="K_RD" sheetId="736" state="visible" r:id="rId43"/>
    <sheet name="K_OIPP" sheetId="737" state="visible" r:id="rId44"/>
    <sheet name="K_GFCF" sheetId="738" state="visible" r:id="rId45"/>
    <sheet name="Kpyp_IT" sheetId="739" state="visible" r:id="rId46"/>
    <sheet name="Kpyp_CT" sheetId="740" state="visible" r:id="rId47"/>
    <sheet name="Kpyp_Soft_DB" sheetId="741" state="visible" r:id="rId48"/>
    <sheet name="Kpyp_TraEq" sheetId="742" state="visible" r:id="rId49"/>
    <sheet name="Kpyp_OMach" sheetId="743" state="visible" r:id="rId50"/>
    <sheet name="Kpyp_OCon" sheetId="744" state="visible" r:id="rId51"/>
    <sheet name="Kpyp_Rstruc" sheetId="745" state="visible" r:id="rId52"/>
    <sheet name="Kpyp_Cult" sheetId="746" state="visible" r:id="rId53"/>
    <sheet name="Kpyp_RD" sheetId="747" state="visible" r:id="rId54"/>
    <sheet name="Kpyp_OIPP" sheetId="748" state="visible" r:id="rId55"/>
    <sheet name="Kpyp_GFCF" sheetId="749" state="visible" r:id="rId56"/>
    <sheet name="Iq_IT" sheetId="750" state="visible" r:id="rId57"/>
    <sheet name="Iq_CT" sheetId="751" state="visible" r:id="rId58"/>
    <sheet name="Iq_Soft_DB" sheetId="752" state="visible" r:id="rId59"/>
    <sheet name="Iq_TraEq" sheetId="753" state="visible" r:id="rId60"/>
    <sheet name="Iq_OMach" sheetId="754" state="visible" r:id="rId61"/>
    <sheet name="Iq_OCon" sheetId="755" state="visible" r:id="rId62"/>
    <sheet name="Iq_Rstruc" sheetId="756" state="visible" r:id="rId63"/>
    <sheet name="Iq_Cult" sheetId="757" state="visible" r:id="rId64"/>
    <sheet name="Iq_RD" sheetId="758" state="visible" r:id="rId65"/>
    <sheet name="Iq_OIPP" sheetId="759" state="visible" r:id="rId66"/>
    <sheet name="Iq_GFCF" sheetId="760" state="visible" r:id="rId67"/>
    <sheet name="Kq_IT" sheetId="761" state="visible" r:id="rId68"/>
    <sheet name="Kq_CT" sheetId="762" state="visible" r:id="rId69"/>
    <sheet name="Kq_Soft_DB" sheetId="763" state="visible" r:id="rId70"/>
    <sheet name="Kq_TraEq" sheetId="764" state="visible" r:id="rId71"/>
    <sheet name="Kq_OMach" sheetId="765" state="visible" r:id="rId72"/>
    <sheet name="Kq_OCon" sheetId="766" state="visible" r:id="rId73"/>
    <sheet name="Kq_Rstruc" sheetId="767" state="visible" r:id="rId74"/>
    <sheet name="Kq_Cult" sheetId="768" state="visible" r:id="rId75"/>
    <sheet name="Kq_RD" sheetId="769" state="visible" r:id="rId76"/>
    <sheet name="Kq_OIPP" sheetId="770" state="visible" r:id="rId77"/>
    <sheet name="Kq_GFCF" sheetId="771" state="visible" r:id="rId78"/>
  </sheets>
</workbook>
</file>

<file path=xl/sharedStrings.xml><?xml version="1.0" encoding="utf-8"?>
<sst xmlns="http://schemas.openxmlformats.org/spreadsheetml/2006/main" count="390" uniqueCount="390">
  <si>
    <t xml:space="preserve">Variable</t>
  </si>
  <si>
    <t xml:space="preserve">Description</t>
  </si>
  <si>
    <t xml:space="preserve">GFCF, current prices, millions of national currency</t>
  </si>
  <si>
    <t xml:space="preserve">I_IT</t>
  </si>
  <si>
    <t xml:space="preserve">Computing equipment</t>
  </si>
  <si>
    <t xml:space="preserve">I_CT</t>
  </si>
  <si>
    <t xml:space="preserve">Communications equipment</t>
  </si>
  <si>
    <t xml:space="preserve">I_Soft_DB</t>
  </si>
  <si>
    <t xml:space="preserve">Computer software and databases</t>
  </si>
  <si>
    <t xml:space="preserve">I_TraEq</t>
  </si>
  <si>
    <t xml:space="preserve">Transport equipment</t>
  </si>
  <si>
    <t xml:space="preserve">I_OMach</t>
  </si>
  <si>
    <t xml:space="preserve">Other Machinery and Equipment</t>
  </si>
  <si>
    <t xml:space="preserve">I_OCon</t>
  </si>
  <si>
    <t xml:space="preserve">Total non-residential investment</t>
  </si>
  <si>
    <t xml:space="preserve">I_Rstruc</t>
  </si>
  <si>
    <t xml:space="preserve">Residential structures</t>
  </si>
  <si>
    <t xml:space="preserve">I_Cult</t>
  </si>
  <si>
    <t xml:space="preserve">Cultivated assets</t>
  </si>
  <si>
    <t xml:space="preserve">I_RD</t>
  </si>
  <si>
    <t xml:space="preserve">Research and development</t>
  </si>
  <si>
    <t xml:space="preserve">I_OIPP</t>
  </si>
  <si>
    <t xml:space="preserve">Other IPP assets</t>
  </si>
  <si>
    <t xml:space="preserve">I_GFCF</t>
  </si>
  <si>
    <t xml:space="preserve">All assets</t>
  </si>
  <si>
    <t xml:space="preserve">GFCF, previous year prices, millions of national currency</t>
  </si>
  <si>
    <t xml:space="preserve">Ipyp_IT</t>
  </si>
  <si>
    <t xml:space="preserve">Computing equipment previous year prices</t>
  </si>
  <si>
    <t xml:space="preserve">Ipyp_CT</t>
  </si>
  <si>
    <t xml:space="preserve">Communications equipment previous year prices</t>
  </si>
  <si>
    <t xml:space="preserve">Ipyp_Soft_DB</t>
  </si>
  <si>
    <t xml:space="preserve">Computer software and databases previous year prices</t>
  </si>
  <si>
    <t xml:space="preserve">Ipyp_TraEq</t>
  </si>
  <si>
    <t xml:space="preserve">Transport equipment previous year prices</t>
  </si>
  <si>
    <t xml:space="preserve">Ipyp_OMach</t>
  </si>
  <si>
    <t xml:space="preserve">Other machinery and equipment previous year prices</t>
  </si>
  <si>
    <t xml:space="preserve">Ipyp_OCon</t>
  </si>
  <si>
    <t xml:space="preserve">Total non-residential investment previous year prices</t>
  </si>
  <si>
    <t xml:space="preserve">Ipyp_Rstruc</t>
  </si>
  <si>
    <t xml:space="preserve">Residential structures previous year prices</t>
  </si>
  <si>
    <t xml:space="preserve">Ipyp_Cult</t>
  </si>
  <si>
    <t xml:space="preserve">Cultivated assets previous year prices</t>
  </si>
  <si>
    <t xml:space="preserve">Ipyp_RD</t>
  </si>
  <si>
    <t xml:space="preserve">Research and development previous year prices</t>
  </si>
  <si>
    <t xml:space="preserve">Ipyp_OIPP</t>
  </si>
  <si>
    <t xml:space="preserve">Other IPP assets previous year prices</t>
  </si>
  <si>
    <t xml:space="preserve">Ipyp_GFCF</t>
  </si>
  <si>
    <t xml:space="preserve">All assets previous year prices</t>
  </si>
  <si>
    <t xml:space="preserve">GFCF, chained linked volumes (2020), millions of national currency</t>
  </si>
  <si>
    <t xml:space="preserve">Iq_IT</t>
  </si>
  <si>
    <t xml:space="preserve">Computing equipment, chained linked volumes (2020)</t>
  </si>
  <si>
    <t xml:space="preserve">Iq_CT</t>
  </si>
  <si>
    <t xml:space="preserve">Communications equipment, chained linked volumes (2020)</t>
  </si>
  <si>
    <t xml:space="preserve">Iq_Soft_DB</t>
  </si>
  <si>
    <t xml:space="preserve">Computer software and databases, chained linked volumes (2020)</t>
  </si>
  <si>
    <t xml:space="preserve">Iq_TraEq</t>
  </si>
  <si>
    <t xml:space="preserve">Transport equipment, chained linked volumes (2020)</t>
  </si>
  <si>
    <t xml:space="preserve">Iq_OMach</t>
  </si>
  <si>
    <t xml:space="preserve">Other Machinery and Equipment, chained linked volumes (2020)</t>
  </si>
  <si>
    <t xml:space="preserve">Iq_OCon</t>
  </si>
  <si>
    <t xml:space="preserve">Total non-residential investment, chained linked volumes (2020)</t>
  </si>
  <si>
    <t xml:space="preserve">Iq_Rstruc</t>
  </si>
  <si>
    <t xml:space="preserve">Residential structures, chained linked volumes (2020)</t>
  </si>
  <si>
    <t xml:space="preserve">Iq_Cult</t>
  </si>
  <si>
    <t xml:space="preserve">Cultivated assets, chained linked volumes (2020)</t>
  </si>
  <si>
    <t xml:space="preserve">Iq_RD</t>
  </si>
  <si>
    <t xml:space="preserve">Research and development, chained linked volumes (2020)</t>
  </si>
  <si>
    <t xml:space="preserve">Iq_OIPP</t>
  </si>
  <si>
    <t xml:space="preserve">Other IPP assets, chained linked volumes (2020)</t>
  </si>
  <si>
    <t xml:space="preserve">Iq_GFCF</t>
  </si>
  <si>
    <t xml:space="preserve">All assets, chained linked volumes (2020)</t>
  </si>
  <si>
    <t xml:space="preserve">GFCF, price indexes (2020)</t>
  </si>
  <si>
    <t xml:space="preserve">Ip_IT</t>
  </si>
  <si>
    <t xml:space="preserve">Computing equipment price index (2020)</t>
  </si>
  <si>
    <t xml:space="preserve">Ip_CT</t>
  </si>
  <si>
    <t xml:space="preserve">Communications equipment price index (2020)</t>
  </si>
  <si>
    <t xml:space="preserve">Ip_Soft_DB</t>
  </si>
  <si>
    <t xml:space="preserve">Computer software and databases price index (2020)</t>
  </si>
  <si>
    <t xml:space="preserve">Ip_TraEq</t>
  </si>
  <si>
    <t xml:space="preserve">Transport equipment price index (2020)</t>
  </si>
  <si>
    <t xml:space="preserve">Ip_OMach</t>
  </si>
  <si>
    <t xml:space="preserve">Other machinery and equipment price index (2020)</t>
  </si>
  <si>
    <t xml:space="preserve">Ip_OCon</t>
  </si>
  <si>
    <t xml:space="preserve">Total non-residential investment price index (2020)</t>
  </si>
  <si>
    <t xml:space="preserve">Ip_Rstruc</t>
  </si>
  <si>
    <t xml:space="preserve">Residential structures price index (2020)</t>
  </si>
  <si>
    <t xml:space="preserve">Ip_Cult</t>
  </si>
  <si>
    <t xml:space="preserve">Cultivated assets price index (2020)</t>
  </si>
  <si>
    <t xml:space="preserve">Ip_RD</t>
  </si>
  <si>
    <t xml:space="preserve">Research and development price index (2020)</t>
  </si>
  <si>
    <t xml:space="preserve">Ip_OIPP</t>
  </si>
  <si>
    <t xml:space="preserve">Other IPP assets price index (2020)</t>
  </si>
  <si>
    <t xml:space="preserve">Ip_GFCF</t>
  </si>
  <si>
    <t xml:space="preserve">All assets price index (2020)</t>
  </si>
  <si>
    <t xml:space="preserve">Capital stock net, current replacement stock, millions of national currency</t>
  </si>
  <si>
    <t xml:space="preserve">K_IT</t>
  </si>
  <si>
    <t xml:space="preserve">Computing equipment capital stock</t>
  </si>
  <si>
    <t xml:space="preserve">K_CT</t>
  </si>
  <si>
    <t xml:space="preserve">Communications equipment capital stock</t>
  </si>
  <si>
    <t xml:space="preserve">K_Soft_DB</t>
  </si>
  <si>
    <t xml:space="preserve">Computer software and databases capital stock</t>
  </si>
  <si>
    <t xml:space="preserve">K_TraEq</t>
  </si>
  <si>
    <t xml:space="preserve">Transport equipment capital stock</t>
  </si>
  <si>
    <t xml:space="preserve">K_OMach</t>
  </si>
  <si>
    <t xml:space="preserve">Other machinery and equipment capital stock</t>
  </si>
  <si>
    <t xml:space="preserve">K_OCon</t>
  </si>
  <si>
    <t xml:space="preserve">Total non-residential investment capital stock</t>
  </si>
  <si>
    <t xml:space="preserve">K_Rstruc</t>
  </si>
  <si>
    <t xml:space="preserve">Residential structures capital stock</t>
  </si>
  <si>
    <t xml:space="preserve">K_Cult</t>
  </si>
  <si>
    <t xml:space="preserve">Cultivated assets capital stock</t>
  </si>
  <si>
    <t xml:space="preserve">K_RD</t>
  </si>
  <si>
    <t xml:space="preserve">Research and development capital stock</t>
  </si>
  <si>
    <t xml:space="preserve">K_OIPP</t>
  </si>
  <si>
    <t xml:space="preserve">Other IPP assets capital stock</t>
  </si>
  <si>
    <t xml:space="preserve">K_GFCF</t>
  </si>
  <si>
    <t xml:space="preserve">All assets capital stock</t>
  </si>
  <si>
    <t xml:space="preserve">Capital stock net, previous year replacement stock, millions of national currency</t>
  </si>
  <si>
    <t xml:space="preserve">Kpyp_IT</t>
  </si>
  <si>
    <t xml:space="preserve">Computing equipment capital stock prev. year replac. cost</t>
  </si>
  <si>
    <t xml:space="preserve">Kpyp_CT</t>
  </si>
  <si>
    <t xml:space="preserve">Communications equipment capital stock prev. year replac. cost</t>
  </si>
  <si>
    <t xml:space="preserve">Kpyp_Soft_DB</t>
  </si>
  <si>
    <t xml:space="preserve">Computer software and databases capital stock prev. year replac. cost</t>
  </si>
  <si>
    <t xml:space="preserve">Kpyp_TraEq</t>
  </si>
  <si>
    <t xml:space="preserve">Transport equipment capital stock prev. year replac. cost</t>
  </si>
  <si>
    <t xml:space="preserve">Kpyp_OMach</t>
  </si>
  <si>
    <t xml:space="preserve">Other machinery and equipment capital stock prev. year replac. cost</t>
  </si>
  <si>
    <t xml:space="preserve">Kpyp_OCon</t>
  </si>
  <si>
    <t xml:space="preserve">Total non-residential investment capital stock prev. year replac. cost</t>
  </si>
  <si>
    <t xml:space="preserve">Kpyp_Rstruc</t>
  </si>
  <si>
    <t xml:space="preserve">Residential structures capital stock prev. year replac. cost</t>
  </si>
  <si>
    <t xml:space="preserve">Kpyp_Cult</t>
  </si>
  <si>
    <t xml:space="preserve">Cultivated assets capital stock prev. year replac. cost</t>
  </si>
  <si>
    <t xml:space="preserve">Kpyp_RD</t>
  </si>
  <si>
    <t xml:space="preserve">Research and development capital stock prev. year replac. cost</t>
  </si>
  <si>
    <t xml:space="preserve">Kpyp_OIPP</t>
  </si>
  <si>
    <t xml:space="preserve">Other IPP assets capital stock prev. year replac. cost</t>
  </si>
  <si>
    <t xml:space="preserve">Kpyp_GFCF</t>
  </si>
  <si>
    <t xml:space="preserve">All assets capital stock prev. year replac. cost</t>
  </si>
  <si>
    <t xml:space="preserve">Capital stock net, chained linked volumes (2020), millions of national currency</t>
  </si>
  <si>
    <t xml:space="preserve">Kq_IT</t>
  </si>
  <si>
    <t xml:space="preserve">Kq_CT</t>
  </si>
  <si>
    <t xml:space="preserve">Kq_Soft_DB</t>
  </si>
  <si>
    <t xml:space="preserve">Kq_TraEq</t>
  </si>
  <si>
    <t xml:space="preserve">Kq_OMach</t>
  </si>
  <si>
    <t xml:space="preserve">Kq_OCon</t>
  </si>
  <si>
    <t xml:space="preserve">Kq_Rstruc</t>
  </si>
  <si>
    <t xml:space="preserve">Kq_Cult</t>
  </si>
  <si>
    <t xml:space="preserve">Kq_RD</t>
  </si>
  <si>
    <t xml:space="preserve">Kq_OIPP</t>
  </si>
  <si>
    <t xml:space="preserve">Kq_GFCF</t>
  </si>
  <si>
    <t xml:space="preserve">Capital Accounts</t>
  </si>
  <si>
    <t xml:space="preserve">Source: Euklems &amp; INTANProd database, 2024 release</t>
  </si>
  <si>
    <t xml:space="preserve">When using this database please quote: Bontadini F., Corrado C., Haskel J., Iommi M., Jona-Lasinio C. (2023), EUKLEMS &amp; INTANProd: industry productivity accounts with intangibles - Sources of growth and productivity trends: methods and main measurement challenges</t>
  </si>
  <si>
    <t xml:space="preserve"/>
  </si>
  <si>
    <t xml:space="preserve">Notes</t>
  </si>
  <si>
    <t xml:space="preserve">Numbers displayed are in accordance with the industry classification (NACE Rev. 2/ISIC Rev. 4) and the European System of Capital Accounts (ESA 2010).</t>
  </si>
  <si>
    <t xml:space="preserve">Extracted from Eurostat:		08/04/2024</t>
  </si>
  <si>
    <t xml:space="preserve">For more information and updates, see: https://euklems-intanprod-llee.luiss.it/</t>
  </si>
  <si>
    <t xml:space="preserve">Acknowledgements and disclaimer</t>
  </si>
  <si>
    <t xml:space="preserve">This update of the EUKLEMS &amp; INTANProd database 2024 has been funded by the WIPO:</t>
  </si>
  <si>
    <t xml:space="preserve">Procurement procedure ECFIN/2020/OP/0001 – Provision of Industry level growth and productivity data with special focus on intangible assets – 2020/S 114-275561</t>
  </si>
  <si>
    <t xml:space="preserve">Any errors or omissions are entirely the responsibility of the Luiss Lab of European Economics - LLEE</t>
  </si>
  <si>
    <t xml:space="preserve">For comments and suggestions please send an email to euklems-intanprod@luiss.it</t>
  </si>
  <si>
    <t xml:space="preserve">var</t>
  </si>
  <si>
    <t xml:space="preserve">nace_r2_code</t>
  </si>
  <si>
    <t xml:space="preserve">geo_code</t>
  </si>
  <si>
    <t xml:space="preserve">nace_r2_name</t>
  </si>
  <si>
    <t xml:space="preserve">geo_name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</si>
  <si>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</si>
  <si>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</si>
  <si>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</si>
  <si>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</si>
  <si>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</si>
  <si>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</si>
  <si>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</si>
  <si>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</si>
  <si>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</si>
  <si>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</si>
  <si>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</si>
  <si>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</si>
  <si>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</si>
  <si>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</si>
  <si>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</si>
  <si>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</si>
  <si>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</si>
  <si>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</si>
  <si>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</si>
  <si>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</si>
  <si>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</si>
  <si>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</si>
  <si>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</si>
  <si>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</si>
  <si>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</si>
  <si>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</si>
  <si>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</si>
  <si>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A</t>
  </si>
  <si>
    <t xml:space="preserve">AT</t>
  </si>
  <si>
    <t xml:space="preserve">Agriculture, forestry and fishing</t>
  </si>
  <si>
    <t xml:space="preserve">Austria</t>
  </si>
  <si>
    <t xml:space="preserve">BE</t>
  </si>
  <si>
    <t xml:space="preserve">Belgium</t>
  </si>
  <si>
    <t xml:space="preserve">BG</t>
  </si>
  <si>
    <t xml:space="preserve">Bulgaria</t>
  </si>
  <si>
    <t xml:space="preserve">CY</t>
  </si>
  <si>
    <t xml:space="preserve">Cyprus</t>
  </si>
  <si>
    <t xml:space="preserve">CZ</t>
  </si>
  <si>
    <t xml:space="preserve">Czechia</t>
  </si>
  <si>
    <t xml:space="preserve">DE</t>
  </si>
  <si>
    <t xml:space="preserve">Germany</t>
  </si>
  <si>
    <t xml:space="preserve">DK</t>
  </si>
  <si>
    <t xml:space="preserve">Denmark</t>
  </si>
  <si>
    <t xml:space="preserve">EA19</t>
  </si>
  <si>
    <t xml:space="preserve">Euro area - 19 countries  (from 2020)</t>
  </si>
  <si>
    <t xml:space="preserve">EE</t>
  </si>
  <si>
    <t xml:space="preserve">Estonia</t>
  </si>
  <si>
    <t xml:space="preserve">EL</t>
  </si>
  <si>
    <t xml:space="preserve">Greece</t>
  </si>
  <si>
    <t xml:space="preserve">ES</t>
  </si>
  <si>
    <t xml:space="preserve">Spain</t>
  </si>
  <si>
    <t xml:space="preserve">EU11</t>
  </si>
  <si>
    <t xml:space="preserve">EU12 without UK</t>
  </si>
  <si>
    <t xml:space="preserve">EU12</t>
  </si>
  <si>
    <t xml:space="preserve">AT, BE, CZ, DE, DK, ES, FI, FR, IT, NL, SE and UK</t>
  </si>
  <si>
    <t xml:space="preserve">EU15</t>
  </si>
  <si>
    <t xml:space="preserve">European Union - 15 countries (1995-2004)</t>
  </si>
  <si>
    <t xml:space="preserve">EU19</t>
  </si>
  <si>
    <t xml:space="preserve">EU20 without the UK</t>
  </si>
  <si>
    <t xml:space="preserve">EU20</t>
  </si>
  <si>
    <t xml:space="preserve">AT, BE, CZ, DE, DK, EE, ES, FI, FR, HU, IT, LT, LU, LV, NL, RO, SE, SI, SK and UK</t>
  </si>
  <si>
    <t xml:space="preserve">EU27</t>
  </si>
  <si>
    <t xml:space="preserve">European Union - 27 countries (from 2020)</t>
  </si>
  <si>
    <t xml:space="preserve">EU27_2020</t>
  </si>
  <si>
    <t xml:space="preserve">EU28</t>
  </si>
  <si>
    <t xml:space="preserve">European Union - 28 countries (2013-2020)</t>
  </si>
  <si>
    <t xml:space="preserve">FI</t>
  </si>
  <si>
    <t xml:space="preserve">Finland</t>
  </si>
  <si>
    <t xml:space="preserve">FR</t>
  </si>
  <si>
    <t xml:space="preserve">France</t>
  </si>
  <si>
    <t xml:space="preserve">HR</t>
  </si>
  <si>
    <t xml:space="preserve">Croatia</t>
  </si>
  <si>
    <t xml:space="preserve">HU</t>
  </si>
  <si>
    <t xml:space="preserve">Hungary</t>
  </si>
  <si>
    <t xml:space="preserve">IE</t>
  </si>
  <si>
    <t xml:space="preserve">Ireland</t>
  </si>
  <si>
    <t xml:space="preserve">IT</t>
  </si>
  <si>
    <t xml:space="preserve">Italy</t>
  </si>
  <si>
    <t xml:space="preserve">JP</t>
  </si>
  <si>
    <t xml:space="preserve">Japan</t>
  </si>
  <si>
    <t xml:space="preserve">LT</t>
  </si>
  <si>
    <t xml:space="preserve">Lithuania</t>
  </si>
  <si>
    <t xml:space="preserve">LU</t>
  </si>
  <si>
    <t xml:space="preserve">Luxembourg</t>
  </si>
  <si>
    <t xml:space="preserve">LV</t>
  </si>
  <si>
    <t xml:space="preserve">Latvia</t>
  </si>
  <si>
    <t xml:space="preserve">MT</t>
  </si>
  <si>
    <t xml:space="preserve">Malta</t>
  </si>
  <si>
    <t xml:space="preserve">NL</t>
  </si>
  <si>
    <t xml:space="preserve">Netherlands</t>
  </si>
  <si>
    <t xml:space="preserve">PL</t>
  </si>
  <si>
    <t xml:space="preserve">Poland</t>
  </si>
  <si>
    <t xml:space="preserve">PT</t>
  </si>
  <si>
    <t xml:space="preserve">Portugal</t>
  </si>
  <si>
    <t xml:space="preserve">RO</t>
  </si>
  <si>
    <t xml:space="preserve">Romania</t>
  </si>
  <si>
    <t xml:space="preserve">SE</t>
  </si>
  <si>
    <t xml:space="preserve">Sweden</t>
  </si>
  <si>
    <t xml:space="preserve">SI</t>
  </si>
  <si>
    <t xml:space="preserve">Slovenia</t>
  </si>
  <si>
    <t xml:space="preserve">SK</t>
  </si>
  <si>
    <t xml:space="preserve">Slovakia</t>
  </si>
  <si>
    <t xml:space="preserve">UK</t>
  </si>
  <si>
    <t xml:space="preserve">United Kingdom</t>
  </si>
  <si>
    <t xml:space="preserve">US</t>
  </si>
  <si>
    <t xml:space="preserve">United States</t>
  </si>
  <si>
    <t xml:space="preserve">B</t>
  </si>
  <si>
    <t xml:space="preserve">Mining and quarrying</t>
  </si>
  <si>
    <t xml:space="preserve">C</t>
  </si>
  <si>
    <t xml:space="preserve">Manufacturing</t>
  </si>
  <si>
    <t xml:space="preserve">C10-C12</t>
  </si>
  <si>
    <t xml:space="preserve">Manufacture of food products; beverages and tobacco products</t>
  </si>
  <si>
    <t xml:space="preserve">C13-C15</t>
  </si>
  <si>
    <t xml:space="preserve">Manufacture of textiles, wearing apparel, leather and related products</t>
  </si>
  <si>
    <t xml:space="preserve">C16-C18</t>
  </si>
  <si>
    <t xml:space="preserve">Manufacture of wood, paper, printing and reproduction</t>
  </si>
  <si>
    <t xml:space="preserve">C19</t>
  </si>
  <si>
    <t xml:space="preserve">Manufacture of coke and refined petroleum products</t>
  </si>
  <si>
    <t xml:space="preserve">C20</t>
  </si>
  <si>
    <t xml:space="preserve">Manufacture of chemicals and chemical products</t>
  </si>
  <si>
    <t xml:space="preserve">C20-C21</t>
  </si>
  <si>
    <t xml:space="preserve">Chemicals; basic pharmaceutical products</t>
  </si>
  <si>
    <t xml:space="preserve">C21</t>
  </si>
  <si>
    <t xml:space="preserve">Manufacture of basic pharmaceutical products and pharmaceutical preparations</t>
  </si>
  <si>
    <t xml:space="preserve">C22-C23</t>
  </si>
  <si>
    <t xml:space="preserve">Manufacture of rubber and plastic products and other non-metallic mineral products</t>
  </si>
  <si>
    <t xml:space="preserve">C24-C25</t>
  </si>
  <si>
    <t xml:space="preserve">Manufacture of basic metals and fabricated metal products, except machinery and equipment</t>
  </si>
  <si>
    <t xml:space="preserve">C26</t>
  </si>
  <si>
    <t xml:space="preserve">Manufacture of computer, electronic and optical products</t>
  </si>
  <si>
    <t xml:space="preserve">C26-C27</t>
  </si>
  <si>
    <t xml:space="preserve">Computer, electronic, optical products; electrical equipment</t>
  </si>
  <si>
    <t xml:space="preserve">C27</t>
  </si>
  <si>
    <t xml:space="preserve">Manufacture of electrical equipment</t>
  </si>
  <si>
    <t xml:space="preserve">C28</t>
  </si>
  <si>
    <t xml:space="preserve">Manufacture of machinery and equipment n.e.c.</t>
  </si>
  <si>
    <t xml:space="preserve">C29-C30</t>
  </si>
  <si>
    <t xml:space="preserve">Manufacture of motor vehicles, trailers, semi-trailers and of other transport equipment</t>
  </si>
  <si>
    <t xml:space="preserve">C31-C33</t>
  </si>
  <si>
    <t xml:space="preserve">Manufacture of furniture; jewellery, musical instruments, toys; repair and installation of machinery and equipment</t>
  </si>
  <si>
    <t xml:space="preserve">D</t>
  </si>
  <si>
    <t xml:space="preserve">Electricity, gas, steam and air conditioning supply</t>
  </si>
  <si>
    <t xml:space="preserve">D-E</t>
  </si>
  <si>
    <t xml:space="preserve">Electricity, gas, steam; water supply, sewerage, waste management</t>
  </si>
  <si>
    <t xml:space="preserve">E</t>
  </si>
  <si>
    <t xml:space="preserve">Water supply; sewerage, waste management and remediation activities</t>
  </si>
  <si>
    <t xml:space="preserve">F</t>
  </si>
  <si>
    <t xml:space="preserve">Construction</t>
  </si>
  <si>
    <t xml:space="preserve">G</t>
  </si>
  <si>
    <t xml:space="preserve">Wholesale and retail trade; repair of motor vehicles and motorcycles</t>
  </si>
  <si>
    <t xml:space="preserve">G45</t>
  </si>
  <si>
    <t xml:space="preserve">Wholesale and retail trade and repair of motor vehicles and motorcycles</t>
  </si>
  <si>
    <t xml:space="preserve">G46</t>
  </si>
  <si>
    <t xml:space="preserve">Wholesale trade, except of motor vehicles and motorcycles</t>
  </si>
  <si>
    <t xml:space="preserve">G47</t>
  </si>
  <si>
    <t xml:space="preserve">Retail trade, except of motor vehicles and motorcycles</t>
  </si>
  <si>
    <t xml:space="preserve">H</t>
  </si>
  <si>
    <t xml:space="preserve">Transportation and storage</t>
  </si>
  <si>
    <t xml:space="preserve">H49</t>
  </si>
  <si>
    <t xml:space="preserve">Land transport and transport via pipelines</t>
  </si>
  <si>
    <t xml:space="preserve">H50</t>
  </si>
  <si>
    <t xml:space="preserve">Water transport</t>
  </si>
  <si>
    <t xml:space="preserve">H51</t>
  </si>
  <si>
    <t xml:space="preserve">Air transport</t>
  </si>
  <si>
    <t xml:space="preserve">H52</t>
  </si>
  <si>
    <t xml:space="preserve">Warehousing and support activities for transportation</t>
  </si>
  <si>
    <t xml:space="preserve">H53</t>
  </si>
  <si>
    <t xml:space="preserve">Postal and courier activities</t>
  </si>
  <si>
    <t xml:space="preserve">I</t>
  </si>
  <si>
    <t xml:space="preserve">Accommodation and food service activities</t>
  </si>
  <si>
    <t xml:space="preserve">J</t>
  </si>
  <si>
    <t xml:space="preserve">Information and communication</t>
  </si>
  <si>
    <t xml:space="preserve">J58-J60</t>
  </si>
  <si>
    <t xml:space="preserve">Publishing, motion picture, video, television programme production; sound recording, programming and broadcasting activities</t>
  </si>
  <si>
    <t xml:space="preserve">J61</t>
  </si>
  <si>
    <t xml:space="preserve">Telecommunications</t>
  </si>
  <si>
    <t xml:space="preserve">J62-J63</t>
  </si>
  <si>
    <t xml:space="preserve">Computer programming, consultancy, and information service activities</t>
  </si>
  <si>
    <t xml:space="preserve">K</t>
  </si>
  <si>
    <t xml:space="preserve">Financial and insurance activities</t>
  </si>
  <si>
    <t xml:space="preserve">L</t>
  </si>
  <si>
    <t xml:space="preserve">Real estate activities</t>
  </si>
  <si>
    <t xml:space="preserve">L68A</t>
  </si>
  <si>
    <t xml:space="preserve">Imputed rents of owner-occupied dwellings</t>
  </si>
  <si>
    <t xml:space="preserve">M</t>
  </si>
  <si>
    <t xml:space="preserve">Professional, scientific and technical activities</t>
  </si>
  <si>
    <t xml:space="preserve">M-N</t>
  </si>
  <si>
    <t xml:space="preserve">Professional, scientific and technical activities; administrative and support service activities</t>
  </si>
  <si>
    <t xml:space="preserve">MARKT</t>
  </si>
  <si>
    <t xml:space="preserve">Market economy (all industries excluding L, O, P, Q, T and U)</t>
  </si>
  <si>
    <t xml:space="preserve">MARKTxAG</t>
  </si>
  <si>
    <t xml:space="preserve">Non-agricultural market economy (Market economy less industry A)</t>
  </si>
  <si>
    <t xml:space="preserve">N</t>
  </si>
  <si>
    <t xml:space="preserve">Administrative and support service activities</t>
  </si>
  <si>
    <t xml:space="preserve">O</t>
  </si>
  <si>
    <t xml:space="preserve">Public administration and defence; compulsory social security</t>
  </si>
  <si>
    <t xml:space="preserve">O-Q</t>
  </si>
  <si>
    <t xml:space="preserve">Public administration, defence, education, human health and social work activities</t>
  </si>
  <si>
    <t xml:space="preserve">P</t>
  </si>
  <si>
    <t xml:space="preserve">Education</t>
  </si>
  <si>
    <t xml:space="preserve">Q</t>
  </si>
  <si>
    <t xml:space="preserve">Human health and social work activities</t>
  </si>
  <si>
    <t xml:space="preserve">Q86</t>
  </si>
  <si>
    <t xml:space="preserve">Human health activities</t>
  </si>
  <si>
    <t xml:space="preserve">Q87-Q88</t>
  </si>
  <si>
    <t xml:space="preserve">Residential care activities and social work activities without accommodation</t>
  </si>
  <si>
    <t xml:space="preserve">R</t>
  </si>
  <si>
    <t xml:space="preserve">Arts, entertainment and recreation</t>
  </si>
  <si>
    <t xml:space="preserve">R-S</t>
  </si>
  <si>
    <t xml:space="preserve">Arts, entertainment, recreation; other services and service activities, etc.</t>
  </si>
  <si>
    <t xml:space="preserve">S</t>
  </si>
  <si>
    <t xml:space="preserve">Other service activities</t>
  </si>
  <si>
    <t xml:space="preserve">T</t>
  </si>
  <si>
    <t xml:space="preserve">Activities of households as employers; undifferentiated goods- and services-producing activities of households for own use</t>
  </si>
  <si>
    <t xml:space="preserve">TOT</t>
  </si>
  <si>
    <t xml:space="preserve">Total - all NACE activities</t>
  </si>
  <si>
    <t xml:space="preserve">TOT_IND</t>
  </si>
  <si>
    <t xml:space="preserve">Total industries (A-S)</t>
  </si>
  <si>
    <t xml:space="preserve">U</t>
  </si>
  <si>
    <t xml:space="preserve">Activities of extraterritorial organisations and bodies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</si>
</sst>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rgb="FF000000"/>
      <name val="Calibri"/>
      <family val="2"/>
      <scheme val="minor"/>
    </font>
    <font>
      <sz val="14"/>
      <color rgb="FFFFFFFF"/>
      <name val="Calibri"/>
      <b/>
    </font>
    <font>
      <sz val="14"/>
      <color rgb="FF000000"/>
      <name val="Calibri"/>
      <b/>
    </font>
    <font>
      <sz val="8"/>
      <color rgb="FF000000"/>
      <name val="Calibri"/>
    </font>
    <font>
      <sz val="11"/>
      <color theme="10"/>
      <name val="Calibri"/>
      <u val="single"/>
    </font>
  </fonts>
  <fills count="4">
    <fill>
      <patternFill patternType="none"/>
    </fill>
    <fill>
      <patternFill patternType="gray125"/>
    </fill>
    <fill>
      <patternFill patternType="solid">
        <fgColor rgb="FF093170"/>
      </patternFill>
    </fill>
    <fill>
      <patternFill patternType="solid">
        <fgColor rgb="FFD8DE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theme" Target="theme/theme1.xml"/><Relationship Id="rId80" Type="http://schemas.openxmlformats.org/officeDocument/2006/relationships/styles" Target="styles.xml"/><Relationship Id="rId8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236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 t="s">
        <v>152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t="s">
        <v>153</v>
      </c>
    </row>
    <row r="4">
      <c r="A4" s="2" t="s">
        <v>154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t="s">
        <v>155</v>
      </c>
    </row>
    <row r="6">
      <c r="A6" s="1" t="s">
        <v>0</v>
      </c>
      <c r="B6" s="1" t="s">
        <v>1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>
      <c r="A7" s="2" t="s">
        <v>2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>
      <c r="A8" s="4" t="str">
        <f>=HYPERLINK("#'I_IT'!A1", "I_IT")</f>
      </c>
      <c r="B8" t="s">
        <v>4</v>
      </c>
    </row>
    <row r="9">
      <c r="A9" s="4" t="str">
        <f>=HYPERLINK("#'I_CT'!A1", "I_CT")</f>
      </c>
      <c r="B9" t="s">
        <v>6</v>
      </c>
    </row>
    <row r="10">
      <c r="A10" s="4" t="str">
        <f>=HYPERLINK("#'I_Soft_DB'!A1", "I_Soft_DB")</f>
      </c>
      <c r="B10" t="s">
        <v>8</v>
      </c>
    </row>
    <row r="11">
      <c r="A11" s="4" t="str">
        <f>=HYPERLINK("#'I_TraEq'!A1", "I_TraEq")</f>
      </c>
      <c r="B11" t="s">
        <v>10</v>
      </c>
    </row>
    <row r="12">
      <c r="A12" s="4" t="str">
        <f>=HYPERLINK("#'I_OMach'!A1", "I_OMach")</f>
      </c>
      <c r="B12" t="s">
        <v>12</v>
      </c>
    </row>
    <row r="13">
      <c r="A13" s="4" t="str">
        <f>=HYPERLINK("#'I_OCon'!A1", "I_OCon")</f>
      </c>
      <c r="B13" t="s">
        <v>14</v>
      </c>
    </row>
    <row r="14">
      <c r="A14" s="4" t="str">
        <f>=HYPERLINK("#'I_Rstruc'!A1", "I_Rstruc")</f>
      </c>
      <c r="B14" t="s">
        <v>16</v>
      </c>
    </row>
    <row r="15">
      <c r="A15" s="4" t="str">
        <f>=HYPERLINK("#'I_Cult'!A1", "I_Cult")</f>
      </c>
      <c r="B15" t="s">
        <v>18</v>
      </c>
    </row>
    <row r="16">
      <c r="A16" s="4" t="str">
        <f>=HYPERLINK("#'I_RD'!A1", "I_RD")</f>
      </c>
      <c r="B16" t="s">
        <v>20</v>
      </c>
    </row>
    <row r="17">
      <c r="A17" s="4" t="str">
        <f>=HYPERLINK("#'I_OIPP'!A1", "I_OIPP")</f>
      </c>
      <c r="B17" t="s">
        <v>22</v>
      </c>
    </row>
    <row r="18">
      <c r="A18" s="4" t="str">
        <f>=HYPERLINK("#'I_GFCF'!A1", "I_GFCF")</f>
      </c>
      <c r="B18" t="s">
        <v>24</v>
      </c>
    </row>
    <row r="19">
      <c r="A19" s="2" t="s">
        <v>25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>
      <c r="A20" s="4" t="str">
        <f>=HYPERLINK("#'Ipyp_IT'!A1", "Ipyp_IT")</f>
      </c>
      <c r="B20" t="s">
        <v>27</v>
      </c>
    </row>
    <row r="21">
      <c r="A21" s="4" t="str">
        <f>=HYPERLINK("#'Ipyp_CT'!A1", "Ipyp_CT")</f>
      </c>
      <c r="B21" t="s">
        <v>29</v>
      </c>
    </row>
    <row r="22">
      <c r="A22" s="4" t="str">
        <f>=HYPERLINK("#'Ipyp_Soft_DB'!A1", "Ipyp_Soft_DB")</f>
      </c>
      <c r="B22" t="s">
        <v>31</v>
      </c>
    </row>
    <row r="23">
      <c r="A23" s="4" t="str">
        <f>=HYPERLINK("#'Ipyp_TraEq'!A1", "Ipyp_TraEq")</f>
      </c>
      <c r="B23" t="s">
        <v>33</v>
      </c>
    </row>
    <row r="24">
      <c r="A24" s="4" t="str">
        <f>=HYPERLINK("#'Ipyp_OMach'!A1", "Ipyp_OMach")</f>
      </c>
      <c r="B24" t="s">
        <v>35</v>
      </c>
    </row>
    <row r="25">
      <c r="A25" s="4" t="str">
        <f>=HYPERLINK("#'Ipyp_OCon'!A1", "Ipyp_OCon")</f>
      </c>
      <c r="B25" t="s">
        <v>37</v>
      </c>
    </row>
    <row r="26">
      <c r="A26" s="4" t="str">
        <f>=HYPERLINK("#'Ipyp_Rstruc'!A1", "Ipyp_Rstruc")</f>
      </c>
      <c r="B26" t="s">
        <v>39</v>
      </c>
    </row>
    <row r="27">
      <c r="A27" s="4" t="str">
        <f>=HYPERLINK("#'Ipyp_Cult'!A1", "Ipyp_Cult")</f>
      </c>
      <c r="B27" t="s">
        <v>41</v>
      </c>
    </row>
    <row r="28">
      <c r="A28" s="4" t="str">
        <f>=HYPERLINK("#'Ipyp_RD'!A1", "Ipyp_RD")</f>
      </c>
      <c r="B28" t="s">
        <v>43</v>
      </c>
    </row>
    <row r="29">
      <c r="A29" s="4" t="str">
        <f>=HYPERLINK("#'Ipyp_OIPP'!A1", "Ipyp_OIPP")</f>
      </c>
      <c r="B29" t="s">
        <v>45</v>
      </c>
    </row>
    <row r="30">
      <c r="A30" s="4" t="str">
        <f>=HYPERLINK("#'Ipyp_GFCF'!A1", "Ipyp_GFCF")</f>
      </c>
      <c r="B30" t="s">
        <v>47</v>
      </c>
    </row>
    <row r="31">
      <c r="A31" s="2" t="s">
        <v>48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>
      <c r="A32" s="4" t="str">
        <f>=HYPERLINK("#'Iq_IT'!A1", "Iq_IT")</f>
      </c>
      <c r="B32" t="s">
        <v>50</v>
      </c>
    </row>
    <row r="33">
      <c r="A33" s="4" t="str">
        <f>=HYPERLINK("#'Iq_CT'!A1", "Iq_CT")</f>
      </c>
      <c r="B33" t="s">
        <v>52</v>
      </c>
    </row>
    <row r="34">
      <c r="A34" s="4" t="str">
        <f>=HYPERLINK("#'Iq_Soft_DB'!A1", "Iq_Soft_DB")</f>
      </c>
      <c r="B34" t="s">
        <v>54</v>
      </c>
    </row>
    <row r="35">
      <c r="A35" s="4" t="str">
        <f>=HYPERLINK("#'Iq_TraEq'!A1", "Iq_TraEq")</f>
      </c>
      <c r="B35" t="s">
        <v>56</v>
      </c>
    </row>
    <row r="36">
      <c r="A36" s="4" t="str">
        <f>=HYPERLINK("#'Iq_OMach'!A1", "Iq_OMach")</f>
      </c>
      <c r="B36" t="s">
        <v>58</v>
      </c>
    </row>
    <row r="37">
      <c r="A37" s="4" t="str">
        <f>=HYPERLINK("#'Iq_OCon'!A1", "Iq_OCon")</f>
      </c>
      <c r="B37" t="s">
        <v>60</v>
      </c>
    </row>
    <row r="38">
      <c r="A38" s="4" t="str">
        <f>=HYPERLINK("#'Iq_Rstruc'!A1", "Iq_Rstruc")</f>
      </c>
      <c r="B38" t="s">
        <v>62</v>
      </c>
    </row>
    <row r="39">
      <c r="A39" s="4" t="str">
        <f>=HYPERLINK("#'Iq_Cult'!A1", "Iq_Cult")</f>
      </c>
      <c r="B39" t="s">
        <v>64</v>
      </c>
    </row>
    <row r="40">
      <c r="A40" s="4" t="str">
        <f>=HYPERLINK("#'Iq_RD'!A1", "Iq_RD")</f>
      </c>
      <c r="B40" t="s">
        <v>66</v>
      </c>
    </row>
    <row r="41">
      <c r="A41" s="4" t="str">
        <f>=HYPERLINK("#'Iq_OIPP'!A1", "Iq_OIPP")</f>
      </c>
      <c r="B41" t="s">
        <v>68</v>
      </c>
    </row>
    <row r="42">
      <c r="A42" s="4" t="str">
        <f>=HYPERLINK("#'Iq_GFCF'!A1", "Iq_GFCF")</f>
      </c>
      <c r="B42" t="s">
        <v>70</v>
      </c>
    </row>
    <row r="43">
      <c r="A43" s="2" t="s">
        <v>71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>
      <c r="A44" s="4" t="str">
        <f>=HYPERLINK("#'Ip_IT'!A1", "Ip_IT")</f>
      </c>
      <c r="B44" t="s">
        <v>73</v>
      </c>
    </row>
    <row r="45">
      <c r="A45" s="4" t="str">
        <f>=HYPERLINK("#'Ip_CT'!A1", "Ip_CT")</f>
      </c>
      <c r="B45" t="s">
        <v>75</v>
      </c>
    </row>
    <row r="46">
      <c r="A46" s="4" t="str">
        <f>=HYPERLINK("#'Ip_Soft_DB'!A1", "Ip_Soft_DB")</f>
      </c>
      <c r="B46" t="s">
        <v>77</v>
      </c>
    </row>
    <row r="47">
      <c r="A47" s="4" t="str">
        <f>=HYPERLINK("#'Ip_TraEq'!A1", "Ip_TraEq")</f>
      </c>
      <c r="B47" t="s">
        <v>79</v>
      </c>
    </row>
    <row r="48">
      <c r="A48" s="4" t="str">
        <f>=HYPERLINK("#'Ip_OMach'!A1", "Ip_OMach")</f>
      </c>
      <c r="B48" t="s">
        <v>81</v>
      </c>
    </row>
    <row r="49">
      <c r="A49" s="4" t="str">
        <f>=HYPERLINK("#'Ip_OCon'!A1", "Ip_OCon")</f>
      </c>
      <c r="B49" t="s">
        <v>83</v>
      </c>
    </row>
    <row r="50">
      <c r="A50" s="4" t="str">
        <f>=HYPERLINK("#'Ip_Rstruc'!A1", "Ip_Rstruc")</f>
      </c>
      <c r="B50" t="s">
        <v>85</v>
      </c>
    </row>
    <row r="51">
      <c r="A51" s="4" t="str">
        <f>=HYPERLINK("#'Ip_Cult'!A1", "Ip_Cult")</f>
      </c>
      <c r="B51" t="s">
        <v>87</v>
      </c>
    </row>
    <row r="52">
      <c r="A52" s="4" t="str">
        <f>=HYPERLINK("#'Ip_RD'!A1", "Ip_RD")</f>
      </c>
      <c r="B52" t="s">
        <v>89</v>
      </c>
    </row>
    <row r="53">
      <c r="A53" s="4" t="str">
        <f>=HYPERLINK("#'Ip_OIPP'!A1", "Ip_OIPP")</f>
      </c>
      <c r="B53" t="s">
        <v>91</v>
      </c>
    </row>
    <row r="54">
      <c r="A54" s="4" t="str">
        <f>=HYPERLINK("#'Ip_GFCF'!A1", "Ip_GFCF")</f>
      </c>
      <c r="B54" t="s">
        <v>93</v>
      </c>
    </row>
    <row r="55">
      <c r="A55" s="2" t="s">
        <v>94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>
      <c r="A56" s="4" t="str">
        <f>=HYPERLINK("#'K_IT'!A1", "K_IT")</f>
      </c>
      <c r="B56" t="s">
        <v>96</v>
      </c>
    </row>
    <row r="57">
      <c r="A57" s="4" t="str">
        <f>=HYPERLINK("#'K_CT'!A1", "K_CT")</f>
      </c>
      <c r="B57" t="s">
        <v>98</v>
      </c>
    </row>
    <row r="58">
      <c r="A58" s="4" t="str">
        <f>=HYPERLINK("#'K_Soft_DB'!A1", "K_Soft_DB")</f>
      </c>
      <c r="B58" t="s">
        <v>100</v>
      </c>
    </row>
    <row r="59">
      <c r="A59" s="4" t="str">
        <f>=HYPERLINK("#'K_TraEq'!A1", "K_TraEq")</f>
      </c>
      <c r="B59" t="s">
        <v>102</v>
      </c>
    </row>
    <row r="60">
      <c r="A60" s="4" t="str">
        <f>=HYPERLINK("#'K_OMach'!A1", "K_OMach")</f>
      </c>
      <c r="B60" t="s">
        <v>104</v>
      </c>
    </row>
    <row r="61">
      <c r="A61" s="4" t="str">
        <f>=HYPERLINK("#'K_OCon'!A1", "K_OCon")</f>
      </c>
      <c r="B61" t="s">
        <v>106</v>
      </c>
    </row>
    <row r="62">
      <c r="A62" s="4" t="str">
        <f>=HYPERLINK("#'K_Rstruc'!A1", "K_Rstruc")</f>
      </c>
      <c r="B62" t="s">
        <v>108</v>
      </c>
    </row>
    <row r="63">
      <c r="A63" s="4" t="str">
        <f>=HYPERLINK("#'K_Cult'!A1", "K_Cult")</f>
      </c>
      <c r="B63" t="s">
        <v>110</v>
      </c>
    </row>
    <row r="64">
      <c r="A64" s="4" t="str">
        <f>=HYPERLINK("#'K_RD'!A1", "K_RD")</f>
      </c>
      <c r="B64" t="s">
        <v>112</v>
      </c>
    </row>
    <row r="65">
      <c r="A65" s="4" t="str">
        <f>=HYPERLINK("#'K_OIPP'!A1", "K_OIPP")</f>
      </c>
      <c r="B65" t="s">
        <v>114</v>
      </c>
    </row>
    <row r="66">
      <c r="A66" s="4" t="str">
        <f>=HYPERLINK("#'K_GFCF'!A1", "K_GFCF")</f>
      </c>
      <c r="B66" t="s">
        <v>116</v>
      </c>
    </row>
    <row r="67">
      <c r="A67" s="2" t="s">
        <v>117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>
      <c r="A68" s="4" t="str">
        <f>=HYPERLINK("#'Kpyp_IT'!A1", "Kpyp_IT")</f>
      </c>
      <c r="B68" t="s">
        <v>119</v>
      </c>
    </row>
    <row r="69">
      <c r="A69" s="4" t="str">
        <f>=HYPERLINK("#'Kpyp_CT'!A1", "Kpyp_CT")</f>
      </c>
      <c r="B69" t="s">
        <v>121</v>
      </c>
    </row>
    <row r="70">
      <c r="A70" s="4" t="str">
        <f>=HYPERLINK("#'Kpyp_Soft_DB'!A1", "Kpyp_Soft_DB")</f>
      </c>
      <c r="B70" t="s">
        <v>123</v>
      </c>
    </row>
    <row r="71">
      <c r="A71" s="4" t="str">
        <f>=HYPERLINK("#'Kpyp_TraEq'!A1", "Kpyp_TraEq")</f>
      </c>
      <c r="B71" t="s">
        <v>125</v>
      </c>
    </row>
    <row r="72">
      <c r="A72" s="4" t="str">
        <f>=HYPERLINK("#'Kpyp_OMach'!A1", "Kpyp_OMach")</f>
      </c>
      <c r="B72" t="s">
        <v>127</v>
      </c>
    </row>
    <row r="73">
      <c r="A73" s="4" t="str">
        <f>=HYPERLINK("#'Kpyp_OCon'!A1", "Kpyp_OCon")</f>
      </c>
      <c r="B73" t="s">
        <v>129</v>
      </c>
    </row>
    <row r="74">
      <c r="A74" s="4" t="str">
        <f>=HYPERLINK("#'Kpyp_Rstruc'!A1", "Kpyp_Rstruc")</f>
      </c>
      <c r="B74" t="s">
        <v>131</v>
      </c>
    </row>
    <row r="75">
      <c r="A75" s="4" t="str">
        <f>=HYPERLINK("#'Kpyp_Cult'!A1", "Kpyp_Cult")</f>
      </c>
      <c r="B75" t="s">
        <v>133</v>
      </c>
    </row>
    <row r="76">
      <c r="A76" s="4" t="str">
        <f>=HYPERLINK("#'Kpyp_RD'!A1", "Kpyp_RD")</f>
      </c>
      <c r="B76" t="s">
        <v>135</v>
      </c>
    </row>
    <row r="77">
      <c r="A77" s="4" t="str">
        <f>=HYPERLINK("#'Kpyp_OIPP'!A1", "Kpyp_OIPP")</f>
      </c>
      <c r="B77" t="s">
        <v>137</v>
      </c>
    </row>
    <row r="78">
      <c r="A78" s="4" t="str">
        <f>=HYPERLINK("#'Kpyp_GFCF'!A1", "Kpyp_GFCF")</f>
      </c>
      <c r="B78" t="s">
        <v>139</v>
      </c>
    </row>
    <row r="79">
      <c r="A79" s="2" t="s">
        <v>140</v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>
      <c r="A80" s="4" t="str">
        <f>=HYPERLINK("#'Kq_IT'!A1", "Kq_IT")</f>
      </c>
      <c r="B80" t="s">
        <v>50</v>
      </c>
    </row>
    <row r="81">
      <c r="A81" s="4" t="str">
        <f>=HYPERLINK("#'Kq_CT'!A1", "Kq_CT")</f>
      </c>
      <c r="B81" t="s">
        <v>52</v>
      </c>
    </row>
    <row r="82">
      <c r="A82" s="4" t="str">
        <f>=HYPERLINK("#'Kq_Soft_DB'!A1", "Kq_Soft_DB")</f>
      </c>
      <c r="B82" t="s">
        <v>54</v>
      </c>
    </row>
    <row r="83">
      <c r="A83" s="4" t="str">
        <f>=HYPERLINK("#'Kq_TraEq'!A1", "Kq_TraEq")</f>
      </c>
      <c r="B83" t="s">
        <v>56</v>
      </c>
    </row>
    <row r="84">
      <c r="A84" s="4" t="str">
        <f>=HYPERLINK("#'Kq_OMach'!A1", "Kq_OMach")</f>
      </c>
      <c r="B84" t="s">
        <v>58</v>
      </c>
    </row>
    <row r="85">
      <c r="A85" s="4" t="str">
        <f>=HYPERLINK("#'Kq_OCon'!A1", "Kq_OCon")</f>
      </c>
      <c r="B85" t="s">
        <v>60</v>
      </c>
    </row>
    <row r="86">
      <c r="A86" s="4" t="str">
        <f>=HYPERLINK("#'Kq_Rstruc'!A1", "Kq_Rstruc")</f>
      </c>
      <c r="B86" t="s">
        <v>62</v>
      </c>
    </row>
    <row r="87">
      <c r="A87" s="4" t="str">
        <f>=HYPERLINK("#'Kq_Cult'!A1", "Kq_Cult")</f>
      </c>
      <c r="B87" t="s">
        <v>64</v>
      </c>
    </row>
    <row r="88">
      <c r="A88" s="4" t="str">
        <f>=HYPERLINK("#'Kq_RD'!A1", "Kq_RD")</f>
      </c>
      <c r="B88" t="s">
        <v>66</v>
      </c>
    </row>
    <row r="89">
      <c r="A89" s="4" t="str">
        <f>=HYPERLINK("#'Kq_OIPP'!A1", "Kq_OIPP")</f>
      </c>
      <c r="B89" t="s">
        <v>68</v>
      </c>
    </row>
    <row r="90">
      <c r="A90" s="4" t="str">
        <f>=HYPERLINK("#'Kq_GFCF'!A1", "Kq_GFCF")</f>
      </c>
      <c r="B90" t="s">
        <v>70</v>
      </c>
    </row>
    <row r="91">
      <c r="A91" t="s">
        <v>155</v>
      </c>
    </row>
    <row r="92">
      <c r="A92" t="s">
        <v>155</v>
      </c>
    </row>
    <row r="93">
      <c r="A93" s="1" t="s">
        <v>156</v>
      </c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>
      <c r="A94" s="3" t="s">
        <v>157</v>
      </c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>
      <c r="A95" s="3" t="s">
        <v>158</v>
      </c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>
      <c r="A96" s="3" t="s">
        <v>155</v>
      </c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>
      <c r="A97" s="1" t="s">
        <v>159</v>
      </c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>
      <c r="A98" t="s">
        <v>155</v>
      </c>
    </row>
    <row r="99">
      <c r="A99" s="1" t="s">
        <v>160</v>
      </c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>
      <c r="A100" s="3" t="s">
        <v>161</v>
      </c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>
      <c r="A101" s="3" t="s">
        <v>162</v>
      </c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>
      <c r="A102" s="3" t="s">
        <v>163</v>
      </c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>
      <c r="A103" s="3" t="s">
        <v>164</v>
      </c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3</v>
      </c>
      <c r="B2" t="s">
        <v>197</v>
      </c>
      <c r="C2" t="s">
        <v>236</v>
      </c>
      <c r="D2" t="s">
        <v>199</v>
      </c>
      <c r="E2" t="s">
        <v>237</v>
      </c>
      <c r="F2" t="n">
        <v>46</v>
      </c>
      <c r="G2" t="n">
        <v>22</v>
      </c>
      <c r="H2" t="n">
        <v>23</v>
      </c>
      <c r="I2" t="n">
        <v>29</v>
      </c>
      <c r="J2" t="n">
        <v>28</v>
      </c>
      <c r="K2" t="n">
        <v>19</v>
      </c>
      <c r="L2" t="n">
        <v>8</v>
      </c>
      <c r="M2" t="n">
        <v>10</v>
      </c>
      <c r="N2" t="n">
        <v>12</v>
      </c>
      <c r="O2" t="n">
        <v>15</v>
      </c>
      <c r="P2" t="n">
        <v>14</v>
      </c>
      <c r="Q2" t="n">
        <v>13</v>
      </c>
      <c r="R2" t="n">
        <v>13</v>
      </c>
      <c r="S2" t="n">
        <v>13</v>
      </c>
      <c r="T2" t="n">
        <v>13</v>
      </c>
      <c r="U2" t="n">
        <v>16</v>
      </c>
      <c r="V2" t="n">
        <v>14</v>
      </c>
      <c r="W2" t="n">
        <v>14</v>
      </c>
      <c r="X2" t="n">
        <v>14</v>
      </c>
      <c r="Y2" t="n">
        <v>14</v>
      </c>
      <c r="Z2" t="n">
        <v>14</v>
      </c>
      <c r="AA2" t="n">
        <v>14</v>
      </c>
      <c r="AB2" t="n">
        <v>14</v>
      </c>
      <c r="AC2" t="n">
        <v>11</v>
      </c>
      <c r="AD2" t="n">
        <v>10</v>
      </c>
      <c r="AE2" t="n">
        <v>8</v>
      </c>
      <c r="AF2" t="n">
        <v>8</v>
      </c>
    </row>
    <row r="3">
      <c r="A3" t="s">
        <v>3</v>
      </c>
      <c r="B3" t="s">
        <v>276</v>
      </c>
      <c r="C3" t="s">
        <v>236</v>
      </c>
      <c r="D3" t="s">
        <v>277</v>
      </c>
      <c r="E3" t="s">
        <v>237</v>
      </c>
      <c r="F3" t="n">
        <v>3</v>
      </c>
      <c r="G3" t="n">
        <v>2</v>
      </c>
      <c r="H3" t="n">
        <v>1</v>
      </c>
      <c r="I3" t="n">
        <v>2</v>
      </c>
      <c r="J3" t="n">
        <v>2</v>
      </c>
      <c r="K3" t="n">
        <v>1</v>
      </c>
      <c r="L3" t="n">
        <v>1</v>
      </c>
      <c r="M3" t="n">
        <v>1</v>
      </c>
      <c r="N3" t="n">
        <v>2</v>
      </c>
      <c r="O3" t="n">
        <v>1</v>
      </c>
      <c r="P3" t="n">
        <v>1</v>
      </c>
      <c r="Q3" t="n">
        <v>1</v>
      </c>
      <c r="R3" t="n">
        <v>0</v>
      </c>
      <c r="S3" t="n">
        <v>2</v>
      </c>
      <c r="T3" t="n">
        <v>1</v>
      </c>
      <c r="U3" t="n">
        <v>1</v>
      </c>
      <c r="V3" t="n">
        <v>1</v>
      </c>
      <c r="W3" t="n">
        <v>4</v>
      </c>
      <c r="X3" t="n">
        <v>6</v>
      </c>
      <c r="Y3" t="n">
        <v>4</v>
      </c>
      <c r="Z3" t="n">
        <v>3</v>
      </c>
      <c r="AA3" t="n">
        <v>2</v>
      </c>
      <c r="AB3" t="n">
        <v>3</v>
      </c>
      <c r="AC3" t="n">
        <v>3</v>
      </c>
      <c r="AD3" t="n">
        <v>2</v>
      </c>
      <c r="AE3" t="n">
        <v>6</v>
      </c>
      <c r="AF3" t="n">
        <v>9</v>
      </c>
    </row>
    <row r="4">
      <c r="A4" t="s">
        <v>3</v>
      </c>
      <c r="B4" t="s">
        <v>278</v>
      </c>
      <c r="C4" t="s">
        <v>236</v>
      </c>
      <c r="D4" t="s">
        <v>279</v>
      </c>
      <c r="E4" t="s">
        <v>237</v>
      </c>
      <c r="F4" t="n">
        <v>291</v>
      </c>
      <c r="G4" t="n">
        <v>205</v>
      </c>
      <c r="H4" t="n">
        <v>162</v>
      </c>
      <c r="I4" t="n">
        <v>210</v>
      </c>
      <c r="J4" t="n">
        <v>181</v>
      </c>
      <c r="K4" t="n">
        <v>134</v>
      </c>
      <c r="L4" t="n">
        <v>76</v>
      </c>
      <c r="M4" t="n">
        <v>68</v>
      </c>
      <c r="N4" t="n">
        <v>75</v>
      </c>
      <c r="O4" t="n">
        <v>87</v>
      </c>
      <c r="P4" t="n">
        <v>82</v>
      </c>
      <c r="Q4" t="n">
        <v>139</v>
      </c>
      <c r="R4" t="n">
        <v>176</v>
      </c>
      <c r="S4" t="n">
        <v>127</v>
      </c>
      <c r="T4" t="n">
        <v>118</v>
      </c>
      <c r="U4" t="n">
        <v>97</v>
      </c>
      <c r="V4" t="n">
        <v>95</v>
      </c>
      <c r="W4" t="n">
        <v>105</v>
      </c>
      <c r="X4" t="n">
        <v>74</v>
      </c>
      <c r="Y4" t="n">
        <v>84</v>
      </c>
      <c r="Z4" t="n">
        <v>113</v>
      </c>
      <c r="AA4" t="n">
        <v>93</v>
      </c>
      <c r="AB4" t="n">
        <v>99</v>
      </c>
      <c r="AC4" t="n">
        <v>101</v>
      </c>
      <c r="AD4" t="n">
        <v>99</v>
      </c>
      <c r="AE4" t="n">
        <v>90</v>
      </c>
      <c r="AF4" t="n">
        <v>106</v>
      </c>
    </row>
    <row r="5">
      <c r="A5" t="s">
        <v>3</v>
      </c>
      <c r="B5" t="s">
        <v>280</v>
      </c>
      <c r="C5" t="s">
        <v>236</v>
      </c>
      <c r="D5" t="s">
        <v>281</v>
      </c>
      <c r="E5" t="s">
        <v>237</v>
      </c>
      <c r="F5" t="n">
        <v>36</v>
      </c>
      <c r="G5" t="n">
        <v>21</v>
      </c>
      <c r="H5" t="n">
        <v>15</v>
      </c>
      <c r="I5" t="n">
        <v>24</v>
      </c>
      <c r="J5" t="n">
        <v>21</v>
      </c>
      <c r="K5" t="n">
        <v>14</v>
      </c>
      <c r="L5" t="n">
        <v>8</v>
      </c>
      <c r="M5" t="n">
        <v>10</v>
      </c>
      <c r="N5" t="n">
        <v>11</v>
      </c>
      <c r="O5" t="n">
        <v>11</v>
      </c>
      <c r="P5" t="n">
        <v>11</v>
      </c>
      <c r="Q5" t="n">
        <v>13</v>
      </c>
      <c r="R5" t="n">
        <v>16</v>
      </c>
      <c r="S5" t="n">
        <v>15</v>
      </c>
      <c r="T5" t="n">
        <v>16</v>
      </c>
      <c r="U5" t="n">
        <v>11</v>
      </c>
      <c r="V5" t="n">
        <v>11</v>
      </c>
      <c r="W5" t="n">
        <v>12</v>
      </c>
      <c r="X5" t="n">
        <v>10</v>
      </c>
      <c r="Y5" t="n">
        <v>13</v>
      </c>
      <c r="Z5" t="n">
        <v>13</v>
      </c>
      <c r="AA5" t="n">
        <v>12</v>
      </c>
      <c r="AB5" t="n">
        <v>25</v>
      </c>
      <c r="AC5" t="n">
        <v>13</v>
      </c>
      <c r="AD5" t="n">
        <v>10</v>
      </c>
      <c r="AE5" t="n">
        <v>11</v>
      </c>
      <c r="AF5" t="n">
        <v>11</v>
      </c>
    </row>
    <row r="6">
      <c r="A6" t="s">
        <v>3</v>
      </c>
      <c r="B6" t="s">
        <v>282</v>
      </c>
      <c r="C6" t="s">
        <v>236</v>
      </c>
      <c r="D6" t="s">
        <v>283</v>
      </c>
      <c r="E6" t="s">
        <v>237</v>
      </c>
      <c r="F6" t="n">
        <v>7</v>
      </c>
      <c r="G6" t="n">
        <v>4</v>
      </c>
      <c r="H6" t="n">
        <v>3</v>
      </c>
      <c r="I6" t="n">
        <v>4</v>
      </c>
      <c r="J6" t="n">
        <v>3</v>
      </c>
      <c r="K6" t="n">
        <v>2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2</v>
      </c>
      <c r="R6" t="n">
        <v>2</v>
      </c>
      <c r="S6" t="n">
        <v>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3</v>
      </c>
      <c r="B7" t="s">
        <v>284</v>
      </c>
      <c r="C7" t="s">
        <v>236</v>
      </c>
      <c r="D7" t="s">
        <v>285</v>
      </c>
      <c r="E7" t="s">
        <v>237</v>
      </c>
      <c r="F7" t="n">
        <v>83</v>
      </c>
      <c r="G7" t="n">
        <v>92</v>
      </c>
      <c r="H7" t="n">
        <v>50</v>
      </c>
      <c r="I7" t="n">
        <v>75</v>
      </c>
      <c r="J7" t="n">
        <v>57</v>
      </c>
      <c r="K7" t="n">
        <v>39</v>
      </c>
      <c r="L7" t="n">
        <v>28</v>
      </c>
      <c r="M7" t="n">
        <v>19</v>
      </c>
      <c r="N7" t="n">
        <v>26</v>
      </c>
      <c r="O7" t="n">
        <v>20</v>
      </c>
      <c r="P7" t="n">
        <v>21</v>
      </c>
      <c r="Q7" t="n">
        <v>30</v>
      </c>
      <c r="R7" t="n">
        <v>28</v>
      </c>
      <c r="S7" t="n">
        <v>28</v>
      </c>
      <c r="T7" t="n">
        <v>14</v>
      </c>
      <c r="U7" t="n">
        <v>14</v>
      </c>
      <c r="V7" t="n">
        <v>18</v>
      </c>
      <c r="W7" t="n">
        <v>15</v>
      </c>
      <c r="X7" t="n">
        <v>13</v>
      </c>
      <c r="Y7" t="n">
        <v>12</v>
      </c>
      <c r="Z7" t="n">
        <v>17</v>
      </c>
      <c r="AA7" t="n">
        <v>22</v>
      </c>
      <c r="AB7" t="n">
        <v>39</v>
      </c>
      <c r="AC7" t="n">
        <v>19</v>
      </c>
      <c r="AD7" t="n">
        <v>20</v>
      </c>
      <c r="AE7" t="n">
        <v>17</v>
      </c>
      <c r="AF7" t="n">
        <v>19</v>
      </c>
    </row>
    <row r="8">
      <c r="A8" t="s">
        <v>3</v>
      </c>
      <c r="B8" t="s">
        <v>286</v>
      </c>
      <c r="C8" t="s">
        <v>236</v>
      </c>
      <c r="D8" t="s">
        <v>287</v>
      </c>
      <c r="E8" t="s">
        <v>237</v>
      </c>
      <c r="F8" t="n">
        <v>4</v>
      </c>
      <c r="G8" t="n">
        <v>2</v>
      </c>
      <c r="H8" t="n">
        <v>8</v>
      </c>
      <c r="I8" t="n">
        <v>2</v>
      </c>
      <c r="J8" t="n">
        <v>4</v>
      </c>
      <c r="K8" t="n">
        <v>2</v>
      </c>
      <c r="L8" t="n">
        <v>3</v>
      </c>
      <c r="M8" t="n">
        <v>0</v>
      </c>
      <c r="N8" t="n">
        <v>2</v>
      </c>
      <c r="O8" t="n">
        <v>1</v>
      </c>
      <c r="P8" t="n">
        <v>6</v>
      </c>
      <c r="Q8" t="n">
        <v>9</v>
      </c>
      <c r="R8" t="n">
        <v>30</v>
      </c>
      <c r="S8" t="n">
        <v>8</v>
      </c>
      <c r="T8" t="n">
        <v>4</v>
      </c>
      <c r="U8" t="n">
        <v>10</v>
      </c>
      <c r="V8" t="n">
        <v>3</v>
      </c>
      <c r="W8" t="n">
        <v>7</v>
      </c>
      <c r="X8" t="n">
        <v>6</v>
      </c>
      <c r="Y8" t="n">
        <v>7</v>
      </c>
      <c r="Z8" t="n">
        <v>17</v>
      </c>
      <c r="AA8" t="n">
        <v>-5</v>
      </c>
      <c r="AB8" t="n">
        <v>-35</v>
      </c>
      <c r="AC8" t="n">
        <v>2</v>
      </c>
      <c r="AD8" t="n">
        <v>1</v>
      </c>
      <c r="AE8" t="n">
        <v>1</v>
      </c>
      <c r="AF8" t="n">
        <v>7</v>
      </c>
    </row>
    <row r="9">
      <c r="A9" t="s">
        <v>3</v>
      </c>
      <c r="B9" t="s">
        <v>288</v>
      </c>
      <c r="C9" t="s">
        <v>236</v>
      </c>
      <c r="D9" t="s">
        <v>289</v>
      </c>
      <c r="E9" t="s">
        <v>237</v>
      </c>
      <c r="F9" t="n">
        <v>26</v>
      </c>
      <c r="G9" t="n">
        <v>8</v>
      </c>
      <c r="H9" t="n">
        <v>11</v>
      </c>
      <c r="I9" t="n">
        <v>11</v>
      </c>
      <c r="J9" t="n">
        <v>12</v>
      </c>
      <c r="K9" t="n">
        <v>6</v>
      </c>
      <c r="L9" t="n">
        <v>4</v>
      </c>
      <c r="M9" t="n">
        <v>5</v>
      </c>
      <c r="N9" t="n">
        <v>4</v>
      </c>
      <c r="O9" t="n">
        <v>6</v>
      </c>
      <c r="P9" t="n">
        <v>5</v>
      </c>
      <c r="Q9" t="n">
        <v>7</v>
      </c>
      <c r="R9" t="n">
        <v>14</v>
      </c>
      <c r="S9" t="n">
        <v>7</v>
      </c>
      <c r="T9" t="n">
        <v>8</v>
      </c>
      <c r="U9" t="n">
        <v>4</v>
      </c>
      <c r="V9" t="n">
        <v>6</v>
      </c>
      <c r="W9" t="n">
        <v>7</v>
      </c>
      <c r="X9" t="n">
        <v>9</v>
      </c>
      <c r="Y9" t="n">
        <v>6</v>
      </c>
      <c r="Z9" t="n">
        <v>12</v>
      </c>
      <c r="AA9" t="n">
        <v>16</v>
      </c>
      <c r="AB9" t="n">
        <v>20</v>
      </c>
      <c r="AC9" t="n">
        <v>15</v>
      </c>
      <c r="AD9" t="n">
        <v>12</v>
      </c>
      <c r="AE9" t="n">
        <v>12</v>
      </c>
      <c r="AF9" t="n">
        <v>18</v>
      </c>
    </row>
    <row r="10">
      <c r="A10" t="s">
        <v>3</v>
      </c>
      <c r="B10" t="s">
        <v>290</v>
      </c>
      <c r="C10" t="s">
        <v>236</v>
      </c>
      <c r="D10" t="s">
        <v>291</v>
      </c>
      <c r="E10" t="s">
        <v>237</v>
      </c>
      <c r="F10" t="n">
        <v>28</v>
      </c>
      <c r="G10" t="n">
        <v>9</v>
      </c>
      <c r="H10" t="n">
        <v>12</v>
      </c>
      <c r="I10" t="n">
        <v>12</v>
      </c>
      <c r="J10" t="n">
        <v>13</v>
      </c>
      <c r="K10" t="n">
        <v>7</v>
      </c>
      <c r="L10" t="n">
        <v>4</v>
      </c>
      <c r="M10" t="n">
        <v>6</v>
      </c>
      <c r="N10" t="n">
        <v>4</v>
      </c>
      <c r="O10" t="n">
        <v>6</v>
      </c>
      <c r="P10" t="n">
        <v>5</v>
      </c>
      <c r="Q10" t="n">
        <v>8</v>
      </c>
      <c r="R10" t="n">
        <v>15</v>
      </c>
      <c r="S10" t="n">
        <v>8</v>
      </c>
      <c r="T10" t="n">
        <v>9</v>
      </c>
      <c r="U10" t="n">
        <v>5</v>
      </c>
      <c r="V10" t="n">
        <v>7</v>
      </c>
      <c r="W10" t="n">
        <v>8</v>
      </c>
      <c r="X10" t="n">
        <v>10</v>
      </c>
      <c r="Y10" t="n">
        <v>7</v>
      </c>
      <c r="Z10" t="n">
        <v>13</v>
      </c>
      <c r="AA10" t="n">
        <v>17</v>
      </c>
      <c r="AB10" t="n">
        <v>21</v>
      </c>
      <c r="AC10" t="n">
        <v>17</v>
      </c>
      <c r="AD10" t="n">
        <v>14</v>
      </c>
      <c r="AE10" t="n">
        <v>13</v>
      </c>
      <c r="AF10" t="n">
        <v>21</v>
      </c>
    </row>
    <row r="11">
      <c r="A11" t="s">
        <v>3</v>
      </c>
      <c r="B11" t="s">
        <v>292</v>
      </c>
      <c r="C11" t="s">
        <v>236</v>
      </c>
      <c r="D11" t="s">
        <v>293</v>
      </c>
      <c r="E11" t="s">
        <v>237</v>
      </c>
      <c r="F11" t="n">
        <v>2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2</v>
      </c>
      <c r="AD11" t="n">
        <v>2</v>
      </c>
      <c r="AE11" t="n">
        <v>1</v>
      </c>
      <c r="AF11" t="n">
        <v>3</v>
      </c>
    </row>
    <row r="12">
      <c r="A12" t="s">
        <v>3</v>
      </c>
      <c r="B12" t="s">
        <v>294</v>
      </c>
      <c r="C12" t="s">
        <v>236</v>
      </c>
      <c r="D12" t="s">
        <v>295</v>
      </c>
      <c r="E12" t="s">
        <v>237</v>
      </c>
      <c r="F12" t="n">
        <v>20</v>
      </c>
      <c r="G12" t="n">
        <v>10</v>
      </c>
      <c r="H12" t="n">
        <v>10</v>
      </c>
      <c r="I12" t="n">
        <v>16</v>
      </c>
      <c r="J12" t="n">
        <v>16</v>
      </c>
      <c r="K12" t="n">
        <v>13</v>
      </c>
      <c r="L12" t="n">
        <v>4</v>
      </c>
      <c r="M12" t="n">
        <v>5</v>
      </c>
      <c r="N12" t="n">
        <v>7</v>
      </c>
      <c r="O12" t="n">
        <v>7</v>
      </c>
      <c r="P12" t="n">
        <v>8</v>
      </c>
      <c r="Q12" t="n">
        <v>12</v>
      </c>
      <c r="R12" t="n">
        <v>15</v>
      </c>
      <c r="S12" t="n">
        <v>9</v>
      </c>
      <c r="T12" t="n">
        <v>13</v>
      </c>
      <c r="U12" t="n">
        <v>8</v>
      </c>
      <c r="V12" t="n">
        <v>9</v>
      </c>
      <c r="W12" t="n">
        <v>8</v>
      </c>
      <c r="X12" t="n">
        <v>6</v>
      </c>
      <c r="Y12" t="n">
        <v>6</v>
      </c>
      <c r="Z12" t="n">
        <v>7</v>
      </c>
      <c r="AA12" t="n">
        <v>6</v>
      </c>
      <c r="AB12" t="n">
        <v>4</v>
      </c>
      <c r="AC12" t="n">
        <v>4</v>
      </c>
      <c r="AD12" t="n">
        <v>5</v>
      </c>
      <c r="AE12" t="n">
        <v>4</v>
      </c>
      <c r="AF12" t="n">
        <v>6</v>
      </c>
    </row>
    <row r="13">
      <c r="A13" t="s">
        <v>3</v>
      </c>
      <c r="B13" t="s">
        <v>296</v>
      </c>
      <c r="C13" t="s">
        <v>236</v>
      </c>
      <c r="D13" t="s">
        <v>297</v>
      </c>
      <c r="E13" t="s">
        <v>237</v>
      </c>
      <c r="F13" t="n">
        <v>52</v>
      </c>
      <c r="G13" t="n">
        <v>30</v>
      </c>
      <c r="H13" t="n">
        <v>31</v>
      </c>
      <c r="I13" t="n">
        <v>35</v>
      </c>
      <c r="J13" t="n">
        <v>22</v>
      </c>
      <c r="K13" t="n">
        <v>23</v>
      </c>
      <c r="L13" t="n">
        <v>10</v>
      </c>
      <c r="M13" t="n">
        <v>16</v>
      </c>
      <c r="N13" t="n">
        <v>10</v>
      </c>
      <c r="O13" t="n">
        <v>25</v>
      </c>
      <c r="P13" t="n">
        <v>12</v>
      </c>
      <c r="Q13" t="n">
        <v>16</v>
      </c>
      <c r="R13" t="n">
        <v>23</v>
      </c>
      <c r="S13" t="n">
        <v>16</v>
      </c>
      <c r="T13" t="n">
        <v>26</v>
      </c>
      <c r="U13" t="n">
        <v>18</v>
      </c>
      <c r="V13" t="n">
        <v>12</v>
      </c>
      <c r="W13" t="n">
        <v>25</v>
      </c>
      <c r="X13" t="n">
        <v>9</v>
      </c>
      <c r="Y13" t="n">
        <v>12</v>
      </c>
      <c r="Z13" t="n">
        <v>14</v>
      </c>
      <c r="AA13" t="n">
        <v>13</v>
      </c>
      <c r="AB13" t="n">
        <v>15</v>
      </c>
      <c r="AC13" t="n">
        <v>17</v>
      </c>
      <c r="AD13" t="n">
        <v>20</v>
      </c>
      <c r="AE13" t="n">
        <v>12</v>
      </c>
      <c r="AF13" t="n">
        <v>12</v>
      </c>
    </row>
    <row r="14">
      <c r="A14" t="s">
        <v>3</v>
      </c>
      <c r="B14" t="s">
        <v>298</v>
      </c>
      <c r="C14" t="s">
        <v>236</v>
      </c>
      <c r="D14" t="s">
        <v>299</v>
      </c>
      <c r="E14" t="s">
        <v>237</v>
      </c>
      <c r="F14" t="n">
        <v>25</v>
      </c>
      <c r="G14" t="n">
        <v>10</v>
      </c>
      <c r="H14" t="n">
        <v>11</v>
      </c>
      <c r="I14" t="n">
        <v>17</v>
      </c>
      <c r="J14" t="n">
        <v>22</v>
      </c>
      <c r="K14" t="n">
        <v>17</v>
      </c>
      <c r="L14" t="n">
        <v>9</v>
      </c>
      <c r="M14" t="n">
        <v>5</v>
      </c>
      <c r="N14" t="n">
        <v>5</v>
      </c>
      <c r="O14" t="n">
        <v>7</v>
      </c>
      <c r="P14" t="n">
        <v>8</v>
      </c>
      <c r="Q14" t="n">
        <v>34</v>
      </c>
      <c r="R14" t="n">
        <v>30</v>
      </c>
      <c r="S14" t="n">
        <v>23</v>
      </c>
      <c r="T14" t="n">
        <v>17</v>
      </c>
      <c r="U14" t="n">
        <v>21</v>
      </c>
      <c r="V14" t="n">
        <v>22</v>
      </c>
      <c r="W14" t="n">
        <v>18</v>
      </c>
      <c r="X14" t="n">
        <v>10</v>
      </c>
      <c r="Y14" t="n">
        <v>17</v>
      </c>
      <c r="Z14" t="n">
        <v>22</v>
      </c>
      <c r="AA14" t="n">
        <v>18</v>
      </c>
      <c r="AB14" t="n">
        <v>22</v>
      </c>
      <c r="AC14" t="n">
        <v>18</v>
      </c>
      <c r="AD14" t="n">
        <v>18</v>
      </c>
      <c r="AE14" t="n">
        <v>24</v>
      </c>
      <c r="AF14" t="n">
        <v>22</v>
      </c>
    </row>
    <row r="15">
      <c r="A15" t="s">
        <v>3</v>
      </c>
      <c r="B15" t="s">
        <v>300</v>
      </c>
      <c r="C15" t="s">
        <v>236</v>
      </c>
      <c r="D15" t="s">
        <v>301</v>
      </c>
      <c r="E15" t="s">
        <v>237</v>
      </c>
      <c r="F15" t="n">
        <v>31</v>
      </c>
      <c r="G15" t="n">
        <v>15</v>
      </c>
      <c r="H15" t="n">
        <v>15</v>
      </c>
      <c r="I15" t="n">
        <v>22</v>
      </c>
      <c r="J15" t="n">
        <v>26</v>
      </c>
      <c r="K15" t="n">
        <v>20</v>
      </c>
      <c r="L15" t="n">
        <v>11</v>
      </c>
      <c r="M15" t="n">
        <v>5</v>
      </c>
      <c r="N15" t="n">
        <v>7</v>
      </c>
      <c r="O15" t="n">
        <v>8</v>
      </c>
      <c r="P15" t="n">
        <v>10</v>
      </c>
      <c r="Q15" t="n">
        <v>37</v>
      </c>
      <c r="R15" t="n">
        <v>34</v>
      </c>
      <c r="S15" t="n">
        <v>26</v>
      </c>
      <c r="T15" t="n">
        <v>22</v>
      </c>
      <c r="U15" t="n">
        <v>24</v>
      </c>
      <c r="V15" t="n">
        <v>26</v>
      </c>
      <c r="W15" t="n">
        <v>21</v>
      </c>
      <c r="X15" t="n">
        <v>14</v>
      </c>
      <c r="Y15" t="n">
        <v>18</v>
      </c>
      <c r="Z15" t="n">
        <v>24</v>
      </c>
      <c r="AA15" t="n">
        <v>20</v>
      </c>
      <c r="AB15" t="n">
        <v>24</v>
      </c>
      <c r="AC15" t="n">
        <v>20</v>
      </c>
      <c r="AD15" t="n">
        <v>20</v>
      </c>
      <c r="AE15" t="n">
        <v>26</v>
      </c>
      <c r="AF15" t="n">
        <v>24</v>
      </c>
    </row>
    <row r="16">
      <c r="A16" t="s">
        <v>3</v>
      </c>
      <c r="B16" t="s">
        <v>302</v>
      </c>
      <c r="C16" t="s">
        <v>236</v>
      </c>
      <c r="D16" t="s">
        <v>303</v>
      </c>
      <c r="E16" t="s">
        <v>237</v>
      </c>
      <c r="F16" t="n">
        <v>6</v>
      </c>
      <c r="G16" t="n">
        <v>5</v>
      </c>
      <c r="H16" t="n">
        <v>4</v>
      </c>
      <c r="I16" t="n">
        <v>5</v>
      </c>
      <c r="J16" t="n">
        <v>4</v>
      </c>
      <c r="K16" t="n">
        <v>3</v>
      </c>
      <c r="L16" t="n">
        <v>2</v>
      </c>
      <c r="M16" t="n">
        <v>0</v>
      </c>
      <c r="N16" t="n">
        <v>2</v>
      </c>
      <c r="O16" t="n">
        <v>1</v>
      </c>
      <c r="P16" t="n">
        <v>2</v>
      </c>
      <c r="Q16" t="n">
        <v>3</v>
      </c>
      <c r="R16" t="n">
        <v>4</v>
      </c>
      <c r="S16" t="n">
        <v>3</v>
      </c>
      <c r="T16" t="n">
        <v>5</v>
      </c>
      <c r="U16" t="n">
        <v>3</v>
      </c>
      <c r="V16" t="n">
        <v>4</v>
      </c>
      <c r="W16" t="n">
        <v>3</v>
      </c>
      <c r="X16" t="n">
        <v>4</v>
      </c>
      <c r="Y16" t="n">
        <v>1</v>
      </c>
      <c r="Z16" t="n">
        <v>2</v>
      </c>
      <c r="AA16" t="n">
        <v>2</v>
      </c>
      <c r="AB16" t="n">
        <v>2</v>
      </c>
      <c r="AC16" t="n">
        <v>2</v>
      </c>
      <c r="AD16" t="n">
        <v>2</v>
      </c>
      <c r="AE16" t="n">
        <v>2</v>
      </c>
      <c r="AF16" t="n">
        <v>2</v>
      </c>
    </row>
    <row r="17">
      <c r="A17" t="s">
        <v>3</v>
      </c>
      <c r="B17" t="s">
        <v>304</v>
      </c>
      <c r="C17" t="s">
        <v>236</v>
      </c>
      <c r="D17" t="s">
        <v>305</v>
      </c>
      <c r="E17" t="s">
        <v>237</v>
      </c>
      <c r="F17" t="n">
        <v>16</v>
      </c>
      <c r="G17" t="n">
        <v>13</v>
      </c>
      <c r="H17" t="n">
        <v>9</v>
      </c>
      <c r="I17" t="n">
        <v>10</v>
      </c>
      <c r="J17" t="n">
        <v>9</v>
      </c>
      <c r="K17" t="n">
        <v>7</v>
      </c>
      <c r="L17" t="n">
        <v>3</v>
      </c>
      <c r="M17" t="n">
        <v>3</v>
      </c>
      <c r="N17" t="n">
        <v>5</v>
      </c>
      <c r="O17" t="n">
        <v>4</v>
      </c>
      <c r="P17" t="n">
        <v>4</v>
      </c>
      <c r="Q17" t="n">
        <v>7</v>
      </c>
      <c r="R17" t="n">
        <v>7</v>
      </c>
      <c r="S17" t="n">
        <v>9</v>
      </c>
      <c r="T17" t="n">
        <v>9</v>
      </c>
      <c r="U17" t="n">
        <v>3</v>
      </c>
      <c r="V17" t="n">
        <v>5</v>
      </c>
      <c r="W17" t="n">
        <v>5</v>
      </c>
      <c r="X17" t="n">
        <v>3</v>
      </c>
      <c r="Y17" t="n">
        <v>5</v>
      </c>
      <c r="Z17" t="n">
        <v>4</v>
      </c>
      <c r="AA17" t="n">
        <v>4</v>
      </c>
      <c r="AB17" t="n">
        <v>3</v>
      </c>
      <c r="AC17" t="n">
        <v>6</v>
      </c>
      <c r="AD17" t="n">
        <v>7</v>
      </c>
      <c r="AE17" t="n">
        <v>4</v>
      </c>
      <c r="AF17" t="n">
        <v>5</v>
      </c>
    </row>
    <row r="18">
      <c r="A18" t="s">
        <v>3</v>
      </c>
      <c r="B18" t="s">
        <v>306</v>
      </c>
      <c r="C18" t="s">
        <v>236</v>
      </c>
      <c r="D18" t="s">
        <v>307</v>
      </c>
      <c r="E18" t="s">
        <v>237</v>
      </c>
      <c r="F18" t="n">
        <v>5</v>
      </c>
      <c r="G18" t="n">
        <v>3</v>
      </c>
      <c r="H18" t="n">
        <v>3</v>
      </c>
      <c r="I18" t="n">
        <v>3</v>
      </c>
      <c r="J18" t="n">
        <v>3</v>
      </c>
      <c r="K18" t="n">
        <v>2</v>
      </c>
      <c r="L18" t="n">
        <v>2</v>
      </c>
      <c r="M18" t="n">
        <v>1</v>
      </c>
      <c r="N18" t="n">
        <v>1</v>
      </c>
      <c r="O18" t="n">
        <v>2</v>
      </c>
      <c r="P18" t="n">
        <v>2</v>
      </c>
      <c r="Q18" t="n">
        <v>2</v>
      </c>
      <c r="R18" t="n">
        <v>2</v>
      </c>
      <c r="S18" t="n">
        <v>2</v>
      </c>
      <c r="T18" t="n">
        <v>3</v>
      </c>
      <c r="U18" t="n">
        <v>2</v>
      </c>
      <c r="V18" t="n">
        <v>2</v>
      </c>
      <c r="W18" t="n">
        <v>2</v>
      </c>
      <c r="X18" t="n">
        <v>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3</v>
      </c>
      <c r="B19" t="s">
        <v>308</v>
      </c>
      <c r="C19" t="s">
        <v>236</v>
      </c>
      <c r="D19" t="s">
        <v>309</v>
      </c>
      <c r="E19" t="s">
        <v>237</v>
      </c>
      <c r="F19" t="n">
        <v>9</v>
      </c>
      <c r="G19" t="n">
        <v>6</v>
      </c>
      <c r="H19" t="n">
        <v>6</v>
      </c>
      <c r="I19" t="n">
        <v>7</v>
      </c>
      <c r="J19" t="n">
        <v>7</v>
      </c>
      <c r="K19" t="n">
        <v>5</v>
      </c>
      <c r="L19" t="n">
        <v>2</v>
      </c>
      <c r="M19" t="n">
        <v>2</v>
      </c>
      <c r="N19" t="n">
        <v>1</v>
      </c>
      <c r="O19" t="n">
        <v>2</v>
      </c>
      <c r="P19" t="n">
        <v>2</v>
      </c>
      <c r="Q19" t="n">
        <v>3</v>
      </c>
      <c r="R19" t="n">
        <v>4</v>
      </c>
      <c r="S19" t="n">
        <v>4</v>
      </c>
      <c r="T19" t="n">
        <v>2</v>
      </c>
      <c r="U19" t="n">
        <v>2</v>
      </c>
      <c r="V19" t="n">
        <v>2</v>
      </c>
      <c r="W19" t="n">
        <v>2</v>
      </c>
      <c r="X19" t="n">
        <v>2</v>
      </c>
      <c r="Y19" t="n">
        <v>4</v>
      </c>
      <c r="Z19" t="n">
        <v>4</v>
      </c>
      <c r="AA19" t="n">
        <v>4</v>
      </c>
      <c r="AB19" t="n">
        <v>3</v>
      </c>
      <c r="AC19" t="n">
        <v>3</v>
      </c>
      <c r="AD19" t="n">
        <v>2</v>
      </c>
      <c r="AE19" t="n">
        <v>2</v>
      </c>
      <c r="AF19" t="n">
        <v>1</v>
      </c>
    </row>
    <row r="20">
      <c r="A20" t="s">
        <v>3</v>
      </c>
      <c r="B20" t="s">
        <v>310</v>
      </c>
      <c r="C20" t="s">
        <v>236</v>
      </c>
      <c r="D20" t="s">
        <v>311</v>
      </c>
      <c r="E20" t="s">
        <v>237</v>
      </c>
      <c r="F20" t="n">
        <v>46</v>
      </c>
      <c r="G20" t="n">
        <v>25</v>
      </c>
      <c r="H20" t="n">
        <v>29</v>
      </c>
      <c r="I20" t="n">
        <v>22</v>
      </c>
      <c r="J20" t="n">
        <v>21</v>
      </c>
      <c r="K20" t="n">
        <v>22</v>
      </c>
      <c r="L20" t="n">
        <v>9</v>
      </c>
      <c r="M20" t="n">
        <v>14</v>
      </c>
      <c r="N20" t="n">
        <v>12</v>
      </c>
      <c r="O20" t="n">
        <v>20</v>
      </c>
      <c r="P20" t="n">
        <v>19</v>
      </c>
      <c r="Q20" t="n">
        <v>14</v>
      </c>
      <c r="R20" t="n">
        <v>16</v>
      </c>
      <c r="S20" t="n">
        <v>10</v>
      </c>
      <c r="T20" t="n">
        <v>19</v>
      </c>
      <c r="U20" t="n">
        <v>11</v>
      </c>
      <c r="V20" t="n">
        <v>10</v>
      </c>
      <c r="W20" t="n">
        <v>8</v>
      </c>
      <c r="X20" t="n">
        <v>9</v>
      </c>
      <c r="Y20" t="n">
        <v>8</v>
      </c>
      <c r="Z20" t="n">
        <v>10</v>
      </c>
      <c r="AA20" t="n">
        <v>12</v>
      </c>
      <c r="AB20" t="n">
        <v>11</v>
      </c>
      <c r="AC20" t="n">
        <v>10</v>
      </c>
      <c r="AD20" t="n">
        <v>8</v>
      </c>
      <c r="AE20" t="n">
        <v>9</v>
      </c>
      <c r="AF20" t="n">
        <v>9</v>
      </c>
    </row>
    <row r="21">
      <c r="A21" t="s">
        <v>3</v>
      </c>
      <c r="B21" t="s">
        <v>312</v>
      </c>
      <c r="C21" t="s">
        <v>236</v>
      </c>
      <c r="D21" t="s">
        <v>313</v>
      </c>
      <c r="E21" t="s">
        <v>237</v>
      </c>
      <c r="F21" t="n">
        <v>49</v>
      </c>
      <c r="G21" t="n">
        <v>27</v>
      </c>
      <c r="H21" t="n">
        <v>30</v>
      </c>
      <c r="I21" t="n">
        <v>23</v>
      </c>
      <c r="J21" t="n">
        <v>22</v>
      </c>
      <c r="K21" t="n">
        <v>24</v>
      </c>
      <c r="L21" t="n">
        <v>9</v>
      </c>
      <c r="M21" t="n">
        <v>14</v>
      </c>
      <c r="N21" t="n">
        <v>13</v>
      </c>
      <c r="O21" t="n">
        <v>20</v>
      </c>
      <c r="P21" t="n">
        <v>21</v>
      </c>
      <c r="Q21" t="n">
        <v>15</v>
      </c>
      <c r="R21" t="n">
        <v>18</v>
      </c>
      <c r="S21" t="n">
        <v>11</v>
      </c>
      <c r="T21" t="n">
        <v>21</v>
      </c>
      <c r="U21" t="n">
        <v>13</v>
      </c>
      <c r="V21" t="n">
        <v>13</v>
      </c>
      <c r="W21" t="n">
        <v>12</v>
      </c>
      <c r="X21" t="n">
        <v>13</v>
      </c>
      <c r="Y21" t="n">
        <v>11</v>
      </c>
      <c r="Z21" t="n">
        <v>14</v>
      </c>
      <c r="AA21" t="n">
        <v>17</v>
      </c>
      <c r="AB21" t="n">
        <v>16</v>
      </c>
      <c r="AC21" t="n">
        <v>15</v>
      </c>
      <c r="AD21" t="n">
        <v>13</v>
      </c>
      <c r="AE21" t="n">
        <v>13</v>
      </c>
      <c r="AF21" t="n">
        <v>13</v>
      </c>
    </row>
    <row r="22">
      <c r="A22" t="s">
        <v>3</v>
      </c>
      <c r="B22" t="s">
        <v>314</v>
      </c>
      <c r="C22" t="s">
        <v>236</v>
      </c>
      <c r="D22" t="s">
        <v>315</v>
      </c>
      <c r="E22" t="s">
        <v>237</v>
      </c>
      <c r="F22" t="n">
        <v>3</v>
      </c>
      <c r="G22" t="n">
        <v>2</v>
      </c>
      <c r="H22" t="n">
        <v>1</v>
      </c>
      <c r="I22" t="n">
        <v>1</v>
      </c>
      <c r="J22" t="n">
        <v>1</v>
      </c>
      <c r="K22" t="n">
        <v>2</v>
      </c>
      <c r="L22" t="n">
        <v>0</v>
      </c>
      <c r="M22" t="n">
        <v>0</v>
      </c>
      <c r="N22" t="n">
        <v>1</v>
      </c>
      <c r="O22" t="n">
        <v>0</v>
      </c>
      <c r="P22" t="n">
        <v>2</v>
      </c>
      <c r="Q22" t="n">
        <v>1</v>
      </c>
      <c r="R22" t="n">
        <v>2</v>
      </c>
      <c r="S22" t="n">
        <v>1</v>
      </c>
      <c r="T22" t="n">
        <v>2</v>
      </c>
      <c r="U22" t="n">
        <v>2</v>
      </c>
      <c r="V22" t="n">
        <v>3</v>
      </c>
      <c r="W22" t="n">
        <v>4</v>
      </c>
      <c r="X22" t="n">
        <v>4</v>
      </c>
      <c r="Y22" t="n">
        <v>3</v>
      </c>
      <c r="Z22" t="n">
        <v>4</v>
      </c>
      <c r="AA22" t="n">
        <v>5</v>
      </c>
      <c r="AB22" t="n">
        <v>5</v>
      </c>
      <c r="AC22" t="n">
        <v>5</v>
      </c>
      <c r="AD22" t="n">
        <v>5</v>
      </c>
      <c r="AE22" t="n">
        <v>4</v>
      </c>
      <c r="AF22" t="n">
        <v>4</v>
      </c>
    </row>
    <row r="23">
      <c r="A23" t="s">
        <v>3</v>
      </c>
      <c r="B23" t="s">
        <v>316</v>
      </c>
      <c r="C23" t="s">
        <v>236</v>
      </c>
      <c r="D23" t="s">
        <v>317</v>
      </c>
      <c r="E23" t="s">
        <v>237</v>
      </c>
      <c r="F23" t="n">
        <v>20</v>
      </c>
      <c r="G23" t="n">
        <v>13</v>
      </c>
      <c r="H23" t="n">
        <v>13</v>
      </c>
      <c r="I23" t="n">
        <v>13</v>
      </c>
      <c r="J23" t="n">
        <v>20</v>
      </c>
      <c r="K23" t="n">
        <v>17</v>
      </c>
      <c r="L23" t="n">
        <v>7</v>
      </c>
      <c r="M23" t="n">
        <v>8</v>
      </c>
      <c r="N23" t="n">
        <v>11</v>
      </c>
      <c r="O23" t="n">
        <v>14</v>
      </c>
      <c r="P23" t="n">
        <v>15</v>
      </c>
      <c r="Q23" t="n">
        <v>12</v>
      </c>
      <c r="R23" t="n">
        <v>12</v>
      </c>
      <c r="S23" t="n">
        <v>13</v>
      </c>
      <c r="T23" t="n">
        <v>8</v>
      </c>
      <c r="U23" t="n">
        <v>7</v>
      </c>
      <c r="V23" t="n">
        <v>8</v>
      </c>
      <c r="W23" t="n">
        <v>7</v>
      </c>
      <c r="X23" t="n">
        <v>7</v>
      </c>
      <c r="Y23" t="n">
        <v>7</v>
      </c>
      <c r="Z23" t="n">
        <v>4</v>
      </c>
      <c r="AA23" t="n">
        <v>4</v>
      </c>
      <c r="AB23" t="n">
        <v>3</v>
      </c>
      <c r="AC23" t="n">
        <v>4</v>
      </c>
      <c r="AD23" t="n">
        <v>2</v>
      </c>
      <c r="AE23" t="n">
        <v>2</v>
      </c>
      <c r="AF23" t="n">
        <v>2</v>
      </c>
    </row>
    <row r="24">
      <c r="A24" t="s">
        <v>3</v>
      </c>
      <c r="B24" t="s">
        <v>318</v>
      </c>
      <c r="C24" t="s">
        <v>236</v>
      </c>
      <c r="D24" t="s">
        <v>319</v>
      </c>
      <c r="E24" t="s">
        <v>237</v>
      </c>
      <c r="F24" t="n">
        <v>64</v>
      </c>
      <c r="G24" t="n">
        <v>42</v>
      </c>
      <c r="H24" t="n">
        <v>51</v>
      </c>
      <c r="I24" t="n">
        <v>63</v>
      </c>
      <c r="J24" t="n">
        <v>63</v>
      </c>
      <c r="K24" t="n">
        <v>43</v>
      </c>
      <c r="L24" t="n">
        <v>19</v>
      </c>
      <c r="M24" t="n">
        <v>21</v>
      </c>
      <c r="N24" t="n">
        <v>26</v>
      </c>
      <c r="O24" t="n">
        <v>26</v>
      </c>
      <c r="P24" t="n">
        <v>26</v>
      </c>
      <c r="Q24" t="n">
        <v>23</v>
      </c>
      <c r="R24" t="n">
        <v>31</v>
      </c>
      <c r="S24" t="n">
        <v>47</v>
      </c>
      <c r="T24" t="n">
        <v>30</v>
      </c>
      <c r="U24" t="n">
        <v>32</v>
      </c>
      <c r="V24" t="n">
        <v>31</v>
      </c>
      <c r="W24" t="n">
        <v>39</v>
      </c>
      <c r="X24" t="n">
        <v>30</v>
      </c>
      <c r="Y24" t="n">
        <v>38</v>
      </c>
      <c r="Z24" t="n">
        <v>34</v>
      </c>
      <c r="AA24" t="n">
        <v>43</v>
      </c>
      <c r="AB24" t="n">
        <v>30</v>
      </c>
      <c r="AC24" t="n">
        <v>32</v>
      </c>
      <c r="AD24" t="n">
        <v>21</v>
      </c>
      <c r="AE24" t="n">
        <v>14</v>
      </c>
      <c r="AF24" t="n">
        <v>12</v>
      </c>
    </row>
    <row r="25">
      <c r="A25" t="s">
        <v>3</v>
      </c>
      <c r="B25" t="s">
        <v>320</v>
      </c>
      <c r="C25" t="s">
        <v>236</v>
      </c>
      <c r="D25" t="s">
        <v>321</v>
      </c>
      <c r="E25" t="s">
        <v>237</v>
      </c>
      <c r="F25" t="n">
        <v>7</v>
      </c>
      <c r="G25" t="n">
        <v>4</v>
      </c>
      <c r="H25" t="n">
        <v>6</v>
      </c>
      <c r="I25" t="n">
        <v>8</v>
      </c>
      <c r="J25" t="n">
        <v>7</v>
      </c>
      <c r="K25" t="n">
        <v>4</v>
      </c>
      <c r="L25" t="n">
        <v>2</v>
      </c>
      <c r="M25" t="n">
        <v>2</v>
      </c>
      <c r="N25" t="n">
        <v>2</v>
      </c>
      <c r="O25" t="n">
        <v>3</v>
      </c>
      <c r="P25" t="n">
        <v>2</v>
      </c>
      <c r="Q25" t="n">
        <v>3</v>
      </c>
      <c r="R25" t="n">
        <v>2</v>
      </c>
      <c r="S25" t="n">
        <v>8</v>
      </c>
      <c r="T25" t="n">
        <v>3</v>
      </c>
      <c r="U25" t="n">
        <v>5</v>
      </c>
      <c r="V25" t="n">
        <v>5</v>
      </c>
      <c r="W25" t="n">
        <v>3</v>
      </c>
      <c r="X25" t="n">
        <v>3</v>
      </c>
      <c r="Y25" t="n">
        <v>5</v>
      </c>
      <c r="Z25" t="n">
        <v>4</v>
      </c>
      <c r="AA25" t="n">
        <v>7</v>
      </c>
      <c r="AB25" t="n">
        <v>4</v>
      </c>
      <c r="AC25" t="n">
        <v>4</v>
      </c>
      <c r="AD25" t="n">
        <v>3</v>
      </c>
      <c r="AE25" t="n">
        <v>2</v>
      </c>
      <c r="AF25" t="n">
        <v>2</v>
      </c>
    </row>
    <row r="26">
      <c r="A26" t="s">
        <v>3</v>
      </c>
      <c r="B26" t="s">
        <v>322</v>
      </c>
      <c r="C26" t="s">
        <v>236</v>
      </c>
      <c r="D26" t="s">
        <v>323</v>
      </c>
      <c r="E26" t="s">
        <v>237</v>
      </c>
      <c r="F26" t="n">
        <v>35</v>
      </c>
      <c r="G26" t="n">
        <v>25</v>
      </c>
      <c r="H26" t="n">
        <v>32</v>
      </c>
      <c r="I26" t="n">
        <v>36</v>
      </c>
      <c r="J26" t="n">
        <v>34</v>
      </c>
      <c r="K26" t="n">
        <v>25</v>
      </c>
      <c r="L26" t="n">
        <v>11</v>
      </c>
      <c r="M26" t="n">
        <v>12</v>
      </c>
      <c r="N26" t="n">
        <v>14</v>
      </c>
      <c r="O26" t="n">
        <v>14</v>
      </c>
      <c r="P26" t="n">
        <v>15</v>
      </c>
      <c r="Q26" t="n">
        <v>11</v>
      </c>
      <c r="R26" t="n">
        <v>18</v>
      </c>
      <c r="S26" t="n">
        <v>25</v>
      </c>
      <c r="T26" t="n">
        <v>16</v>
      </c>
      <c r="U26" t="n">
        <v>16</v>
      </c>
      <c r="V26" t="n">
        <v>16</v>
      </c>
      <c r="W26" t="n">
        <v>20</v>
      </c>
      <c r="X26" t="n">
        <v>14</v>
      </c>
      <c r="Y26" t="n">
        <v>19</v>
      </c>
      <c r="Z26" t="n">
        <v>16</v>
      </c>
      <c r="AA26" t="n">
        <v>21</v>
      </c>
      <c r="AB26" t="n">
        <v>15</v>
      </c>
      <c r="AC26" t="n">
        <v>17</v>
      </c>
      <c r="AD26" t="n">
        <v>10</v>
      </c>
      <c r="AE26" t="n">
        <v>6</v>
      </c>
      <c r="AF26" t="n">
        <v>4</v>
      </c>
    </row>
    <row r="27">
      <c r="A27" t="s">
        <v>3</v>
      </c>
      <c r="B27" t="s">
        <v>324</v>
      </c>
      <c r="C27" t="s">
        <v>236</v>
      </c>
      <c r="D27" t="s">
        <v>325</v>
      </c>
      <c r="E27" t="s">
        <v>237</v>
      </c>
      <c r="F27" t="n">
        <v>22</v>
      </c>
      <c r="G27" t="n">
        <v>13</v>
      </c>
      <c r="H27" t="n">
        <v>13</v>
      </c>
      <c r="I27" t="n">
        <v>19</v>
      </c>
      <c r="J27" t="n">
        <v>22</v>
      </c>
      <c r="K27" t="n">
        <v>14</v>
      </c>
      <c r="L27" t="n">
        <v>6</v>
      </c>
      <c r="M27" t="n">
        <v>7</v>
      </c>
      <c r="N27" t="n">
        <v>10</v>
      </c>
      <c r="O27" t="n">
        <v>9</v>
      </c>
      <c r="P27" t="n">
        <v>9</v>
      </c>
      <c r="Q27" t="n">
        <v>9</v>
      </c>
      <c r="R27" t="n">
        <v>11</v>
      </c>
      <c r="S27" t="n">
        <v>14</v>
      </c>
      <c r="T27" t="n">
        <v>11</v>
      </c>
      <c r="U27" t="n">
        <v>11</v>
      </c>
      <c r="V27" t="n">
        <v>10</v>
      </c>
      <c r="W27" t="n">
        <v>16</v>
      </c>
      <c r="X27" t="n">
        <v>13</v>
      </c>
      <c r="Y27" t="n">
        <v>14</v>
      </c>
      <c r="Z27" t="n">
        <v>14</v>
      </c>
      <c r="AA27" t="n">
        <v>15</v>
      </c>
      <c r="AB27" t="n">
        <v>11</v>
      </c>
      <c r="AC27" t="n">
        <v>11</v>
      </c>
      <c r="AD27" t="n">
        <v>8</v>
      </c>
      <c r="AE27" t="n">
        <v>6</v>
      </c>
      <c r="AF27" t="n">
        <v>6</v>
      </c>
    </row>
    <row r="28">
      <c r="A28" t="s">
        <v>3</v>
      </c>
      <c r="B28" t="s">
        <v>326</v>
      </c>
      <c r="C28" t="s">
        <v>236</v>
      </c>
      <c r="D28" t="s">
        <v>327</v>
      </c>
      <c r="E28" t="s">
        <v>237</v>
      </c>
      <c r="F28" t="n">
        <v>47</v>
      </c>
      <c r="G28" t="n">
        <v>16</v>
      </c>
      <c r="H28" t="n">
        <v>10</v>
      </c>
      <c r="I28" t="n">
        <v>19</v>
      </c>
      <c r="J28" t="n">
        <v>17</v>
      </c>
      <c r="K28" t="n">
        <v>10</v>
      </c>
      <c r="L28" t="n">
        <v>2</v>
      </c>
      <c r="M28" t="n">
        <v>2</v>
      </c>
      <c r="N28" t="n">
        <v>5</v>
      </c>
      <c r="O28" t="n">
        <v>5</v>
      </c>
      <c r="P28" t="n">
        <v>6</v>
      </c>
      <c r="Q28" t="n">
        <v>9</v>
      </c>
      <c r="R28" t="n">
        <v>10</v>
      </c>
      <c r="S28" t="n">
        <v>12</v>
      </c>
      <c r="T28" t="n">
        <v>12</v>
      </c>
      <c r="U28" t="n">
        <v>10</v>
      </c>
      <c r="V28" t="n">
        <v>11</v>
      </c>
      <c r="W28" t="n">
        <v>10</v>
      </c>
      <c r="X28" t="n">
        <v>11</v>
      </c>
      <c r="Y28" t="n">
        <v>12</v>
      </c>
      <c r="Z28" t="n">
        <v>11</v>
      </c>
      <c r="AA28" t="n">
        <v>16</v>
      </c>
      <c r="AB28" t="n">
        <v>11</v>
      </c>
      <c r="AC28" t="n">
        <v>10</v>
      </c>
      <c r="AD28" t="n">
        <v>12</v>
      </c>
      <c r="AE28" t="n">
        <v>7</v>
      </c>
      <c r="AF28" t="n">
        <v>8</v>
      </c>
    </row>
    <row r="29">
      <c r="A29" t="s">
        <v>3</v>
      </c>
      <c r="B29" t="s">
        <v>328</v>
      </c>
      <c r="C29" t="s">
        <v>236</v>
      </c>
      <c r="D29" t="s">
        <v>329</v>
      </c>
      <c r="E29" t="s">
        <v>237</v>
      </c>
      <c r="F29" t="n">
        <v>6</v>
      </c>
      <c r="G29" t="n">
        <v>2</v>
      </c>
      <c r="H29" t="n">
        <v>0</v>
      </c>
      <c r="I29" t="n">
        <v>2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5</v>
      </c>
      <c r="AB29" t="n">
        <v>4</v>
      </c>
      <c r="AC29" t="n">
        <v>5</v>
      </c>
      <c r="AD29" t="n">
        <v>4</v>
      </c>
      <c r="AE29" t="n">
        <v>2</v>
      </c>
      <c r="AF29" t="n">
        <v>3</v>
      </c>
    </row>
    <row r="30">
      <c r="A30" t="s">
        <v>3</v>
      </c>
      <c r="B30" t="s">
        <v>330</v>
      </c>
      <c r="C30" t="s">
        <v>236</v>
      </c>
      <c r="D30" t="s">
        <v>331</v>
      </c>
      <c r="E30" t="s">
        <v>237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  <c r="Q30" t="n">
        <v>2</v>
      </c>
      <c r="R30" t="n">
        <v>1</v>
      </c>
      <c r="S30" t="n">
        <v>1</v>
      </c>
      <c r="T30" t="n">
        <v>1</v>
      </c>
      <c r="U30" t="n">
        <v>1</v>
      </c>
      <c r="V30" t="n">
        <v>5</v>
      </c>
      <c r="W30" t="n">
        <v>3</v>
      </c>
      <c r="X30" t="n">
        <v>3</v>
      </c>
      <c r="Y30" t="n">
        <v>2</v>
      </c>
      <c r="Z30" t="n">
        <v>2</v>
      </c>
      <c r="AA30" t="n">
        <v>2</v>
      </c>
      <c r="AB30" t="n">
        <v>1</v>
      </c>
      <c r="AC30" t="n">
        <v>1</v>
      </c>
      <c r="AD30" t="n">
        <v>1</v>
      </c>
      <c r="AE30" t="n">
        <v>2</v>
      </c>
      <c r="AF30" t="n">
        <v>0</v>
      </c>
    </row>
    <row r="31">
      <c r="A31" t="s">
        <v>3</v>
      </c>
      <c r="B31" t="s">
        <v>332</v>
      </c>
      <c r="C31" t="s">
        <v>236</v>
      </c>
      <c r="D31" t="s">
        <v>333</v>
      </c>
      <c r="E31" t="s">
        <v>237</v>
      </c>
      <c r="F31" t="n">
        <v>1</v>
      </c>
      <c r="G31" t="n">
        <v>0</v>
      </c>
      <c r="H31" t="n">
        <v>0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3</v>
      </c>
      <c r="B32" t="s">
        <v>334</v>
      </c>
      <c r="C32" t="s">
        <v>236</v>
      </c>
      <c r="D32" t="s">
        <v>335</v>
      </c>
      <c r="E32" t="s">
        <v>237</v>
      </c>
      <c r="F32" t="n">
        <v>27</v>
      </c>
      <c r="G32" t="n">
        <v>11</v>
      </c>
      <c r="H32" t="n">
        <v>7</v>
      </c>
      <c r="I32" t="n">
        <v>10</v>
      </c>
      <c r="J32" t="n">
        <v>8</v>
      </c>
      <c r="K32" t="n">
        <v>6</v>
      </c>
      <c r="L32" t="n">
        <v>1</v>
      </c>
      <c r="M32" t="n">
        <v>1</v>
      </c>
      <c r="N32" t="n">
        <v>4</v>
      </c>
      <c r="O32" t="n">
        <v>5</v>
      </c>
      <c r="P32" t="n">
        <v>4</v>
      </c>
      <c r="Q32" t="n">
        <v>6</v>
      </c>
      <c r="R32" t="n">
        <v>7</v>
      </c>
      <c r="S32" t="n">
        <v>7</v>
      </c>
      <c r="T32" t="n">
        <v>8</v>
      </c>
      <c r="U32" t="n">
        <v>5</v>
      </c>
      <c r="V32" t="n">
        <v>4</v>
      </c>
      <c r="W32" t="n">
        <v>5</v>
      </c>
      <c r="X32" t="n">
        <v>6</v>
      </c>
      <c r="Y32" t="n">
        <v>7</v>
      </c>
      <c r="Z32" t="n">
        <v>7</v>
      </c>
      <c r="AA32" t="n">
        <v>7</v>
      </c>
      <c r="AB32" t="n">
        <v>3</v>
      </c>
      <c r="AC32" t="n">
        <v>2</v>
      </c>
      <c r="AD32" t="n">
        <v>6</v>
      </c>
      <c r="AE32" t="n">
        <v>2</v>
      </c>
      <c r="AF32" t="n">
        <v>4</v>
      </c>
    </row>
    <row r="33">
      <c r="A33" t="s">
        <v>3</v>
      </c>
      <c r="B33" t="s">
        <v>336</v>
      </c>
      <c r="C33" t="s">
        <v>236</v>
      </c>
      <c r="D33" t="s">
        <v>337</v>
      </c>
      <c r="E33" t="s">
        <v>237</v>
      </c>
      <c r="F33" t="n">
        <v>13</v>
      </c>
      <c r="G33" t="n">
        <v>3</v>
      </c>
      <c r="H33" t="n">
        <v>3</v>
      </c>
      <c r="I33" t="n">
        <v>6</v>
      </c>
      <c r="J33" t="n">
        <v>7</v>
      </c>
      <c r="K33" t="n">
        <v>4</v>
      </c>
      <c r="L33" t="n">
        <v>1</v>
      </c>
      <c r="M33" t="n">
        <v>1</v>
      </c>
      <c r="N33" t="n">
        <v>1</v>
      </c>
      <c r="O33" t="n">
        <v>0</v>
      </c>
      <c r="P33" t="n">
        <v>0</v>
      </c>
      <c r="Q33" t="n">
        <v>0</v>
      </c>
      <c r="R33" t="n">
        <v>1</v>
      </c>
      <c r="S33" t="n">
        <v>1</v>
      </c>
      <c r="T33" t="n">
        <v>2</v>
      </c>
      <c r="U33" t="n">
        <v>3</v>
      </c>
      <c r="V33" t="n">
        <v>1</v>
      </c>
      <c r="W33" t="n">
        <v>1</v>
      </c>
      <c r="X33" t="n">
        <v>1</v>
      </c>
      <c r="Y33" t="n">
        <v>2</v>
      </c>
      <c r="Z33" t="n">
        <v>1</v>
      </c>
      <c r="AA33" t="n">
        <v>2</v>
      </c>
      <c r="AB33" t="n">
        <v>3</v>
      </c>
      <c r="AC33" t="n">
        <v>2</v>
      </c>
      <c r="AD33" t="n">
        <v>1</v>
      </c>
      <c r="AE33" t="n">
        <v>1</v>
      </c>
      <c r="AF33" t="n">
        <v>1</v>
      </c>
    </row>
    <row r="34">
      <c r="A34" t="s">
        <v>3</v>
      </c>
      <c r="B34" t="s">
        <v>338</v>
      </c>
      <c r="C34" t="s">
        <v>236</v>
      </c>
      <c r="D34" t="s">
        <v>339</v>
      </c>
      <c r="E34" t="s">
        <v>237</v>
      </c>
      <c r="F34" t="n">
        <v>7</v>
      </c>
      <c r="G34" t="n">
        <v>6</v>
      </c>
      <c r="H34" t="n">
        <v>6</v>
      </c>
      <c r="I34" t="n">
        <v>10</v>
      </c>
      <c r="J34" t="n">
        <v>8</v>
      </c>
      <c r="K34" t="n">
        <v>6</v>
      </c>
      <c r="L34" t="n">
        <v>2</v>
      </c>
      <c r="M34" t="n">
        <v>3</v>
      </c>
      <c r="N34" t="n">
        <v>4</v>
      </c>
      <c r="O34" t="n">
        <v>4</v>
      </c>
      <c r="P34" t="n">
        <v>4</v>
      </c>
      <c r="Q34" t="n">
        <v>3</v>
      </c>
      <c r="R34" t="n">
        <v>5</v>
      </c>
      <c r="S34" t="n">
        <v>8</v>
      </c>
      <c r="T34" t="n">
        <v>6</v>
      </c>
      <c r="U34" t="n">
        <v>4</v>
      </c>
      <c r="V34" t="n">
        <v>5</v>
      </c>
      <c r="W34" t="n">
        <v>5</v>
      </c>
      <c r="X34" t="n">
        <v>3</v>
      </c>
      <c r="Y34" t="n">
        <v>3</v>
      </c>
      <c r="Z34" t="n">
        <v>3</v>
      </c>
      <c r="AA34" t="n">
        <v>4</v>
      </c>
      <c r="AB34" t="n">
        <v>2</v>
      </c>
      <c r="AC34" t="n">
        <v>4</v>
      </c>
      <c r="AD34" t="n">
        <v>3</v>
      </c>
      <c r="AE34" t="n">
        <v>2</v>
      </c>
      <c r="AF34" t="n">
        <v>2</v>
      </c>
    </row>
    <row r="35">
      <c r="A35" t="s">
        <v>3</v>
      </c>
      <c r="B35" t="s">
        <v>340</v>
      </c>
      <c r="C35" t="s">
        <v>236</v>
      </c>
      <c r="D35" t="s">
        <v>341</v>
      </c>
      <c r="E35" t="s">
        <v>237</v>
      </c>
      <c r="F35" t="n">
        <v>125</v>
      </c>
      <c r="G35" t="n">
        <v>99</v>
      </c>
      <c r="H35" t="n">
        <v>98</v>
      </c>
      <c r="I35" t="n">
        <v>128</v>
      </c>
      <c r="J35" t="n">
        <v>131</v>
      </c>
      <c r="K35" t="n">
        <v>115</v>
      </c>
      <c r="L35" t="n">
        <v>54</v>
      </c>
      <c r="M35" t="n">
        <v>63</v>
      </c>
      <c r="N35" t="n">
        <v>55</v>
      </c>
      <c r="O35" t="n">
        <v>78</v>
      </c>
      <c r="P35" t="n">
        <v>118</v>
      </c>
      <c r="Q35" t="n">
        <v>105</v>
      </c>
      <c r="R35" t="n">
        <v>96</v>
      </c>
      <c r="S35" t="n">
        <v>117</v>
      </c>
      <c r="T35" t="n">
        <v>73</v>
      </c>
      <c r="U35" t="n">
        <v>132</v>
      </c>
      <c r="V35" t="n">
        <v>140</v>
      </c>
      <c r="W35" t="n">
        <v>150</v>
      </c>
      <c r="X35" t="n">
        <v>145</v>
      </c>
      <c r="Y35" t="n">
        <v>217</v>
      </c>
      <c r="Z35" t="n">
        <v>348</v>
      </c>
      <c r="AA35" t="n">
        <v>341</v>
      </c>
      <c r="AB35" t="n">
        <v>383</v>
      </c>
      <c r="AC35" t="n">
        <v>711</v>
      </c>
      <c r="AD35" t="n">
        <v>263</v>
      </c>
      <c r="AE35" t="n">
        <v>217</v>
      </c>
      <c r="AF35" t="n">
        <v>251</v>
      </c>
    </row>
    <row r="36">
      <c r="A36" t="s">
        <v>3</v>
      </c>
      <c r="B36" t="s">
        <v>342</v>
      </c>
      <c r="C36" t="s">
        <v>236</v>
      </c>
      <c r="D36" t="s">
        <v>343</v>
      </c>
      <c r="E36" t="s">
        <v>237</v>
      </c>
      <c r="F36" t="n">
        <v>12</v>
      </c>
      <c r="G36" t="n">
        <v>9</v>
      </c>
      <c r="H36" t="n">
        <v>12</v>
      </c>
      <c r="I36" t="n">
        <v>11</v>
      </c>
      <c r="J36" t="n">
        <v>7</v>
      </c>
      <c r="K36" t="n">
        <v>8</v>
      </c>
      <c r="L36" t="n">
        <v>3</v>
      </c>
      <c r="M36" t="n">
        <v>3</v>
      </c>
      <c r="N36" t="n">
        <v>4</v>
      </c>
      <c r="O36" t="n">
        <v>3</v>
      </c>
      <c r="P36" t="n">
        <v>5</v>
      </c>
      <c r="Q36" t="n">
        <v>4</v>
      </c>
      <c r="R36" t="n">
        <v>4</v>
      </c>
      <c r="S36" t="n">
        <v>15</v>
      </c>
      <c r="T36" t="n">
        <v>5</v>
      </c>
      <c r="U36" t="n">
        <v>7</v>
      </c>
      <c r="V36" t="n">
        <v>4</v>
      </c>
      <c r="W36" t="n">
        <v>6</v>
      </c>
      <c r="X36" t="n">
        <v>4</v>
      </c>
      <c r="Y36" t="n">
        <v>3</v>
      </c>
      <c r="Z36" t="n">
        <v>30</v>
      </c>
      <c r="AA36" t="n">
        <v>34</v>
      </c>
      <c r="AB36" t="n">
        <v>38</v>
      </c>
      <c r="AC36" t="n">
        <v>22</v>
      </c>
      <c r="AD36" t="n">
        <v>10</v>
      </c>
      <c r="AE36" t="n">
        <v>5</v>
      </c>
      <c r="AF36" t="n">
        <v>14</v>
      </c>
    </row>
    <row r="37">
      <c r="A37" t="s">
        <v>3</v>
      </c>
      <c r="B37" t="s">
        <v>344</v>
      </c>
      <c r="C37" t="s">
        <v>236</v>
      </c>
      <c r="D37" t="s">
        <v>345</v>
      </c>
      <c r="E37" t="s">
        <v>237</v>
      </c>
      <c r="F37" t="n">
        <v>89</v>
      </c>
      <c r="G37" t="n">
        <v>68</v>
      </c>
      <c r="H37" t="n">
        <v>63</v>
      </c>
      <c r="I37" t="n">
        <v>86</v>
      </c>
      <c r="J37" t="n">
        <v>84</v>
      </c>
      <c r="K37" t="n">
        <v>68</v>
      </c>
      <c r="L37" t="n">
        <v>31</v>
      </c>
      <c r="M37" t="n">
        <v>37</v>
      </c>
      <c r="N37" t="n">
        <v>26</v>
      </c>
      <c r="O37" t="n">
        <v>43</v>
      </c>
      <c r="P37" t="n">
        <v>83</v>
      </c>
      <c r="Q37" t="n">
        <v>38</v>
      </c>
      <c r="R37" t="n">
        <v>31</v>
      </c>
      <c r="S37" t="n">
        <v>40</v>
      </c>
      <c r="T37" t="n">
        <v>23</v>
      </c>
      <c r="U37" t="n">
        <v>38</v>
      </c>
      <c r="V37" t="n">
        <v>51</v>
      </c>
      <c r="W37" t="n">
        <v>52</v>
      </c>
      <c r="X37" t="n">
        <v>54</v>
      </c>
      <c r="Y37" t="n">
        <v>54</v>
      </c>
      <c r="Z37" t="n">
        <v>54</v>
      </c>
      <c r="AA37" t="n">
        <v>62</v>
      </c>
      <c r="AB37" t="n">
        <v>48</v>
      </c>
      <c r="AC37" t="n">
        <v>58</v>
      </c>
      <c r="AD37" t="n">
        <v>46</v>
      </c>
      <c r="AE37" t="n">
        <v>56</v>
      </c>
      <c r="AF37" t="n">
        <v>58</v>
      </c>
    </row>
    <row r="38">
      <c r="A38" t="s">
        <v>3</v>
      </c>
      <c r="B38" t="s">
        <v>346</v>
      </c>
      <c r="C38" t="s">
        <v>236</v>
      </c>
      <c r="D38" t="s">
        <v>347</v>
      </c>
      <c r="E38" t="s">
        <v>237</v>
      </c>
      <c r="F38" t="n">
        <v>24</v>
      </c>
      <c r="G38" t="n">
        <v>22</v>
      </c>
      <c r="H38" t="n">
        <v>23</v>
      </c>
      <c r="I38" t="n">
        <v>31</v>
      </c>
      <c r="J38" t="n">
        <v>40</v>
      </c>
      <c r="K38" t="n">
        <v>39</v>
      </c>
      <c r="L38" t="n">
        <v>20</v>
      </c>
      <c r="M38" t="n">
        <v>23</v>
      </c>
      <c r="N38" t="n">
        <v>25</v>
      </c>
      <c r="O38" t="n">
        <v>32</v>
      </c>
      <c r="P38" t="n">
        <v>30</v>
      </c>
      <c r="Q38" t="n">
        <v>63</v>
      </c>
      <c r="R38" t="n">
        <v>61</v>
      </c>
      <c r="S38" t="n">
        <v>62</v>
      </c>
      <c r="T38" t="n">
        <v>45</v>
      </c>
      <c r="U38" t="n">
        <v>87</v>
      </c>
      <c r="V38" t="n">
        <v>85</v>
      </c>
      <c r="W38" t="n">
        <v>92</v>
      </c>
      <c r="X38" t="n">
        <v>87</v>
      </c>
      <c r="Y38" t="n">
        <v>160</v>
      </c>
      <c r="Z38" t="n">
        <v>264</v>
      </c>
      <c r="AA38" t="n">
        <v>245</v>
      </c>
      <c r="AB38" t="n">
        <v>297</v>
      </c>
      <c r="AC38" t="n">
        <v>631</v>
      </c>
      <c r="AD38" t="n">
        <v>207</v>
      </c>
      <c r="AE38" t="n">
        <v>156</v>
      </c>
      <c r="AF38" t="n">
        <v>179</v>
      </c>
    </row>
    <row r="39">
      <c r="A39" t="s">
        <v>3</v>
      </c>
      <c r="B39" t="s">
        <v>348</v>
      </c>
      <c r="C39" t="s">
        <v>236</v>
      </c>
      <c r="D39" t="s">
        <v>349</v>
      </c>
      <c r="E39" t="s">
        <v>237</v>
      </c>
      <c r="F39" t="n">
        <v>10</v>
      </c>
      <c r="G39" t="n">
        <v>24</v>
      </c>
      <c r="H39" t="n">
        <v>26</v>
      </c>
      <c r="I39" t="n">
        <v>24</v>
      </c>
      <c r="J39" t="n">
        <v>21</v>
      </c>
      <c r="K39" t="n">
        <v>47</v>
      </c>
      <c r="L39" t="n">
        <v>32</v>
      </c>
      <c r="M39" t="n">
        <v>40</v>
      </c>
      <c r="N39" t="n">
        <v>47</v>
      </c>
      <c r="O39" t="n">
        <v>23</v>
      </c>
      <c r="P39" t="n">
        <v>45</v>
      </c>
      <c r="Q39" t="n">
        <v>3</v>
      </c>
      <c r="R39" t="n">
        <v>40</v>
      </c>
      <c r="S39" t="n">
        <v>48</v>
      </c>
      <c r="T39" t="n">
        <v>32</v>
      </c>
      <c r="U39" t="n">
        <v>34</v>
      </c>
      <c r="V39" t="n">
        <v>35</v>
      </c>
      <c r="W39" t="n">
        <v>33</v>
      </c>
      <c r="X39" t="n">
        <v>44</v>
      </c>
      <c r="Y39" t="n">
        <v>43</v>
      </c>
      <c r="Z39" t="n">
        <v>41</v>
      </c>
      <c r="AA39" t="n">
        <v>41</v>
      </c>
      <c r="AB39" t="n">
        <v>111</v>
      </c>
      <c r="AC39" t="n">
        <v>63</v>
      </c>
      <c r="AD39" t="n">
        <v>102</v>
      </c>
      <c r="AE39" t="n">
        <v>78</v>
      </c>
      <c r="AF39" t="n">
        <v>75</v>
      </c>
    </row>
    <row r="40">
      <c r="A40" t="s">
        <v>3</v>
      </c>
      <c r="B40" t="s">
        <v>350</v>
      </c>
      <c r="C40" t="s">
        <v>236</v>
      </c>
      <c r="D40" t="s">
        <v>351</v>
      </c>
      <c r="E40" t="s">
        <v>237</v>
      </c>
      <c r="F40" t="n">
        <v>2</v>
      </c>
      <c r="G40" t="n">
        <v>1</v>
      </c>
      <c r="H40" t="n">
        <v>2</v>
      </c>
      <c r="I40" t="n">
        <v>1</v>
      </c>
      <c r="J40" t="n">
        <v>1</v>
      </c>
      <c r="K40" t="n">
        <v>1</v>
      </c>
      <c r="L40" t="n">
        <v>0</v>
      </c>
      <c r="M40" t="n">
        <v>0</v>
      </c>
      <c r="N40" t="n">
        <v>1</v>
      </c>
      <c r="O40" t="n">
        <v>1</v>
      </c>
      <c r="P40" t="n">
        <v>2</v>
      </c>
      <c r="Q40" t="n">
        <v>2</v>
      </c>
      <c r="R40" t="n">
        <v>2</v>
      </c>
      <c r="S40" t="n">
        <v>11</v>
      </c>
      <c r="T40" t="n">
        <v>5</v>
      </c>
      <c r="U40" t="n">
        <v>3</v>
      </c>
      <c r="V40" t="n">
        <v>3</v>
      </c>
      <c r="W40" t="n">
        <v>4</v>
      </c>
      <c r="X40" t="n">
        <v>6</v>
      </c>
      <c r="Y40" t="n">
        <v>5</v>
      </c>
      <c r="Z40" t="n">
        <v>5</v>
      </c>
      <c r="AA40" t="n">
        <v>6</v>
      </c>
      <c r="AB40" t="n">
        <v>6</v>
      </c>
      <c r="AC40" t="n">
        <v>6</v>
      </c>
      <c r="AD40" t="n">
        <v>5</v>
      </c>
      <c r="AE40" t="n">
        <v>5</v>
      </c>
      <c r="AF40" t="n">
        <v>5</v>
      </c>
    </row>
    <row r="41">
      <c r="A41" t="s">
        <v>3</v>
      </c>
      <c r="B41" t="s">
        <v>352</v>
      </c>
      <c r="C41" t="s">
        <v>236</v>
      </c>
      <c r="D41" t="s">
        <v>353</v>
      </c>
      <c r="E41" t="s">
        <v>237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/>
      <c r="AD41"/>
      <c r="AE41"/>
      <c r="AF41"/>
    </row>
    <row r="42">
      <c r="A42" t="s">
        <v>3</v>
      </c>
      <c r="B42" t="s">
        <v>354</v>
      </c>
      <c r="C42" t="s">
        <v>236</v>
      </c>
      <c r="D42" t="s">
        <v>355</v>
      </c>
      <c r="E42" t="s">
        <v>237</v>
      </c>
      <c r="F42" t="n">
        <v>36</v>
      </c>
      <c r="G42" t="n">
        <v>25</v>
      </c>
      <c r="H42" t="n">
        <v>13</v>
      </c>
      <c r="I42" t="n">
        <v>20</v>
      </c>
      <c r="J42" t="n">
        <v>18</v>
      </c>
      <c r="K42" t="n">
        <v>11</v>
      </c>
      <c r="L42" t="n">
        <v>1</v>
      </c>
      <c r="M42" t="n">
        <v>4</v>
      </c>
      <c r="N42" t="n">
        <v>8</v>
      </c>
      <c r="O42" t="n">
        <v>9</v>
      </c>
      <c r="P42" t="n">
        <v>9</v>
      </c>
      <c r="Q42" t="n">
        <v>15</v>
      </c>
      <c r="R42" t="n">
        <v>19</v>
      </c>
      <c r="S42" t="n">
        <v>47</v>
      </c>
      <c r="T42" t="n">
        <v>11</v>
      </c>
      <c r="U42" t="n">
        <v>17</v>
      </c>
      <c r="V42" t="n">
        <v>93</v>
      </c>
      <c r="W42" t="n">
        <v>41</v>
      </c>
      <c r="X42" t="n">
        <v>33</v>
      </c>
      <c r="Y42" t="n">
        <v>33</v>
      </c>
      <c r="Z42" t="n">
        <v>30</v>
      </c>
      <c r="AA42" t="n">
        <v>41</v>
      </c>
      <c r="AB42" t="n">
        <v>42</v>
      </c>
      <c r="AC42" t="n">
        <v>30</v>
      </c>
      <c r="AD42" t="n">
        <v>30</v>
      </c>
      <c r="AE42" t="n">
        <v>20</v>
      </c>
      <c r="AF42" t="n">
        <v>19</v>
      </c>
    </row>
    <row r="43">
      <c r="A43" t="s">
        <v>3</v>
      </c>
      <c r="B43" t="s">
        <v>356</v>
      </c>
      <c r="C43" t="s">
        <v>236</v>
      </c>
      <c r="D43" t="s">
        <v>357</v>
      </c>
      <c r="E43" t="s">
        <v>237</v>
      </c>
      <c r="F43" t="n">
        <v>42</v>
      </c>
      <c r="G43" t="n">
        <v>27</v>
      </c>
      <c r="H43" t="n">
        <v>14</v>
      </c>
      <c r="I43" t="n">
        <v>23</v>
      </c>
      <c r="J43" t="n">
        <v>20</v>
      </c>
      <c r="K43" t="n">
        <v>13</v>
      </c>
      <c r="L43" t="n">
        <v>1</v>
      </c>
      <c r="M43" t="n">
        <v>4</v>
      </c>
      <c r="N43" t="n">
        <v>8</v>
      </c>
      <c r="O43" t="n">
        <v>9</v>
      </c>
      <c r="P43" t="n">
        <v>10</v>
      </c>
      <c r="Q43" t="n">
        <v>19</v>
      </c>
      <c r="R43" t="n">
        <v>94</v>
      </c>
      <c r="S43" t="n">
        <v>157</v>
      </c>
      <c r="T43" t="n">
        <v>67</v>
      </c>
      <c r="U43" t="n">
        <v>65</v>
      </c>
      <c r="V43" t="n">
        <v>156</v>
      </c>
      <c r="W43" t="n">
        <v>106</v>
      </c>
      <c r="X43" t="n">
        <v>88</v>
      </c>
      <c r="Y43" t="n">
        <v>80</v>
      </c>
      <c r="Z43" t="n">
        <v>55</v>
      </c>
      <c r="AA43" t="n">
        <v>74</v>
      </c>
      <c r="AB43" t="n">
        <v>67</v>
      </c>
      <c r="AC43" t="n">
        <v>58</v>
      </c>
      <c r="AD43" t="n">
        <v>56</v>
      </c>
      <c r="AE43" t="n">
        <v>40</v>
      </c>
      <c r="AF43" t="n">
        <v>40</v>
      </c>
    </row>
    <row r="44">
      <c r="A44" t="s">
        <v>3</v>
      </c>
      <c r="B44" t="s">
        <v>358</v>
      </c>
      <c r="C44" t="s">
        <v>236</v>
      </c>
      <c r="D44" t="s">
        <v>359</v>
      </c>
      <c r="E44" t="s">
        <v>237</v>
      </c>
      <c r="F44" t="n">
        <v>720</v>
      </c>
      <c r="G44" t="n">
        <v>495</v>
      </c>
      <c r="H44" t="n">
        <v>448</v>
      </c>
      <c r="I44" t="n">
        <v>561</v>
      </c>
      <c r="J44" t="n">
        <v>520</v>
      </c>
      <c r="K44" t="n">
        <v>440</v>
      </c>
      <c r="L44" t="n">
        <v>218</v>
      </c>
      <c r="M44" t="n">
        <v>240</v>
      </c>
      <c r="N44" t="n">
        <v>268</v>
      </c>
      <c r="O44" t="n">
        <v>292</v>
      </c>
      <c r="P44" t="n">
        <v>349</v>
      </c>
      <c r="Q44" t="n">
        <v>354</v>
      </c>
      <c r="R44" t="n">
        <v>506</v>
      </c>
      <c r="S44" t="n">
        <v>565</v>
      </c>
      <c r="T44" t="n">
        <v>390</v>
      </c>
      <c r="U44" t="n">
        <v>420</v>
      </c>
      <c r="V44" t="n">
        <v>518</v>
      </c>
      <c r="W44" t="n">
        <v>497</v>
      </c>
      <c r="X44" t="n">
        <v>448</v>
      </c>
      <c r="Y44" t="n">
        <v>523</v>
      </c>
      <c r="Z44" t="n">
        <v>651</v>
      </c>
      <c r="AA44" t="n">
        <v>662</v>
      </c>
      <c r="AB44" t="n">
        <v>750</v>
      </c>
      <c r="AC44" t="n">
        <v>1020</v>
      </c>
      <c r="AD44" t="n">
        <v>590</v>
      </c>
      <c r="AE44" t="n">
        <v>481</v>
      </c>
      <c r="AF44" t="n">
        <v>528</v>
      </c>
    </row>
    <row r="45">
      <c r="A45" t="s">
        <v>3</v>
      </c>
      <c r="B45" t="s">
        <v>360</v>
      </c>
      <c r="C45" t="s">
        <v>236</v>
      </c>
      <c r="D45" t="s">
        <v>361</v>
      </c>
      <c r="E45" t="s">
        <v>237</v>
      </c>
      <c r="F45" t="n">
        <v>674</v>
      </c>
      <c r="G45" t="n">
        <v>473</v>
      </c>
      <c r="H45" t="n">
        <v>425</v>
      </c>
      <c r="I45" t="n">
        <v>532</v>
      </c>
      <c r="J45" t="n">
        <v>492</v>
      </c>
      <c r="K45" t="n">
        <v>421</v>
      </c>
      <c r="L45" t="n">
        <v>210</v>
      </c>
      <c r="M45" t="n">
        <v>230</v>
      </c>
      <c r="N45" t="n">
        <v>256</v>
      </c>
      <c r="O45" t="n">
        <v>277</v>
      </c>
      <c r="P45" t="n">
        <v>335</v>
      </c>
      <c r="Q45" t="n">
        <v>341</v>
      </c>
      <c r="R45" t="n">
        <v>493</v>
      </c>
      <c r="S45" t="n">
        <v>552</v>
      </c>
      <c r="T45" t="n">
        <v>377</v>
      </c>
      <c r="U45" t="n">
        <v>404</v>
      </c>
      <c r="V45" t="n">
        <v>504</v>
      </c>
      <c r="W45" t="n">
        <v>483</v>
      </c>
      <c r="X45" t="n">
        <v>434</v>
      </c>
      <c r="Y45" t="n">
        <v>509</v>
      </c>
      <c r="Z45" t="n">
        <v>637</v>
      </c>
      <c r="AA45" t="n">
        <v>648</v>
      </c>
      <c r="AB45" t="n">
        <v>736</v>
      </c>
      <c r="AC45" t="n">
        <v>1009</v>
      </c>
      <c r="AD45" t="n">
        <v>580</v>
      </c>
      <c r="AE45" t="n">
        <v>473</v>
      </c>
      <c r="AF45" t="n">
        <v>520</v>
      </c>
    </row>
    <row r="46">
      <c r="A46" t="s">
        <v>3</v>
      </c>
      <c r="B46" t="s">
        <v>362</v>
      </c>
      <c r="C46" t="s">
        <v>236</v>
      </c>
      <c r="D46" t="s">
        <v>363</v>
      </c>
      <c r="E46" t="s">
        <v>237</v>
      </c>
      <c r="F46" t="n">
        <v>6</v>
      </c>
      <c r="G46" t="n">
        <v>2</v>
      </c>
      <c r="H46" t="n">
        <v>1</v>
      </c>
      <c r="I46" t="n">
        <v>3</v>
      </c>
      <c r="J46" t="n">
        <v>2</v>
      </c>
      <c r="K46" t="n">
        <v>2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n">
        <v>4</v>
      </c>
      <c r="R46" t="n">
        <v>75</v>
      </c>
      <c r="S46" t="n">
        <v>110</v>
      </c>
      <c r="T46" t="n">
        <v>56</v>
      </c>
      <c r="U46" t="n">
        <v>48</v>
      </c>
      <c r="V46" t="n">
        <v>63</v>
      </c>
      <c r="W46" t="n">
        <v>65</v>
      </c>
      <c r="X46" t="n">
        <v>55</v>
      </c>
      <c r="Y46" t="n">
        <v>47</v>
      </c>
      <c r="Z46" t="n">
        <v>25</v>
      </c>
      <c r="AA46" t="n">
        <v>33</v>
      </c>
      <c r="AB46" t="n">
        <v>25</v>
      </c>
      <c r="AC46" t="n">
        <v>28</v>
      </c>
      <c r="AD46" t="n">
        <v>26</v>
      </c>
      <c r="AE46" t="n">
        <v>20</v>
      </c>
      <c r="AF46" t="n">
        <v>21</v>
      </c>
    </row>
    <row r="47">
      <c r="A47" t="s">
        <v>3</v>
      </c>
      <c r="B47" t="s">
        <v>364</v>
      </c>
      <c r="C47" t="s">
        <v>236</v>
      </c>
      <c r="D47" t="s">
        <v>365</v>
      </c>
      <c r="E47" t="s">
        <v>237</v>
      </c>
      <c r="F47" t="n">
        <v>80</v>
      </c>
      <c r="G47" t="n">
        <v>60</v>
      </c>
      <c r="H47" t="n">
        <v>46</v>
      </c>
      <c r="I47" t="n">
        <v>63</v>
      </c>
      <c r="J47" t="n">
        <v>78</v>
      </c>
      <c r="K47" t="n">
        <v>57</v>
      </c>
      <c r="L47" t="n">
        <v>28</v>
      </c>
      <c r="M47" t="n">
        <v>30</v>
      </c>
      <c r="N47" t="n">
        <v>35</v>
      </c>
      <c r="O47" t="n">
        <v>43</v>
      </c>
      <c r="P47" t="n">
        <v>38</v>
      </c>
      <c r="Q47" t="n">
        <v>16</v>
      </c>
      <c r="R47" t="n">
        <v>19</v>
      </c>
      <c r="S47" t="n">
        <v>23</v>
      </c>
      <c r="T47" t="n">
        <v>27</v>
      </c>
      <c r="U47" t="n">
        <v>37</v>
      </c>
      <c r="V47" t="n">
        <v>28</v>
      </c>
      <c r="W47" t="n">
        <v>31</v>
      </c>
      <c r="X47" t="n">
        <v>24</v>
      </c>
      <c r="Y47" t="n">
        <v>27</v>
      </c>
      <c r="Z47" t="n">
        <v>32</v>
      </c>
      <c r="AA47" t="n">
        <v>36</v>
      </c>
      <c r="AB47" t="n">
        <v>36</v>
      </c>
      <c r="AC47" t="n">
        <v>43</v>
      </c>
      <c r="AD47" t="n">
        <v>55</v>
      </c>
      <c r="AE47" t="n">
        <v>86</v>
      </c>
      <c r="AF47" t="n">
        <v>58</v>
      </c>
    </row>
    <row r="48">
      <c r="A48" t="s">
        <v>3</v>
      </c>
      <c r="B48" t="s">
        <v>366</v>
      </c>
      <c r="C48" t="s">
        <v>236</v>
      </c>
      <c r="D48" t="s">
        <v>367</v>
      </c>
      <c r="E48" t="s">
        <v>237</v>
      </c>
      <c r="F48" t="n">
        <v>116</v>
      </c>
      <c r="G48" t="n">
        <v>84</v>
      </c>
      <c r="H48" t="n">
        <v>68</v>
      </c>
      <c r="I48" t="n">
        <v>90</v>
      </c>
      <c r="J48" t="n">
        <v>107</v>
      </c>
      <c r="K48" t="n">
        <v>80</v>
      </c>
      <c r="L48" t="n">
        <v>40</v>
      </c>
      <c r="M48" t="n">
        <v>45</v>
      </c>
      <c r="N48" t="n">
        <v>51</v>
      </c>
      <c r="O48" t="n">
        <v>62</v>
      </c>
      <c r="P48" t="n">
        <v>57</v>
      </c>
      <c r="Q48" t="n">
        <v>48</v>
      </c>
      <c r="R48" t="n">
        <v>61</v>
      </c>
      <c r="S48" t="n">
        <v>66</v>
      </c>
      <c r="T48" t="n">
        <v>77</v>
      </c>
      <c r="U48" t="n">
        <v>68</v>
      </c>
      <c r="V48" t="n">
        <v>62</v>
      </c>
      <c r="W48" t="n">
        <v>69</v>
      </c>
      <c r="X48" t="n">
        <v>69</v>
      </c>
      <c r="Y48" t="n">
        <v>63</v>
      </c>
      <c r="Z48" t="n">
        <v>69</v>
      </c>
      <c r="AA48" t="n">
        <v>73</v>
      </c>
      <c r="AB48" t="n">
        <v>74</v>
      </c>
      <c r="AC48" t="n">
        <v>86</v>
      </c>
      <c r="AD48" t="n">
        <v>92</v>
      </c>
      <c r="AE48" t="n">
        <v>122</v>
      </c>
      <c r="AF48" t="n">
        <v>88</v>
      </c>
    </row>
    <row r="49">
      <c r="A49" t="s">
        <v>3</v>
      </c>
      <c r="B49" t="s">
        <v>368</v>
      </c>
      <c r="C49" t="s">
        <v>236</v>
      </c>
      <c r="D49" t="s">
        <v>369</v>
      </c>
      <c r="E49" t="s">
        <v>237</v>
      </c>
      <c r="F49" t="n">
        <v>19</v>
      </c>
      <c r="G49" t="n">
        <v>11</v>
      </c>
      <c r="H49" t="n">
        <v>9</v>
      </c>
      <c r="I49" t="n">
        <v>11</v>
      </c>
      <c r="J49" t="n">
        <v>12</v>
      </c>
      <c r="K49" t="n">
        <v>9</v>
      </c>
      <c r="L49" t="n">
        <v>5</v>
      </c>
      <c r="M49" t="n">
        <v>6</v>
      </c>
      <c r="N49" t="n">
        <v>6</v>
      </c>
      <c r="O49" t="n">
        <v>7</v>
      </c>
      <c r="P49" t="n">
        <v>6</v>
      </c>
      <c r="Q49" t="n">
        <v>23</v>
      </c>
      <c r="R49" t="n">
        <v>27</v>
      </c>
      <c r="S49" t="n">
        <v>28</v>
      </c>
      <c r="T49" t="n">
        <v>34</v>
      </c>
      <c r="U49" t="n">
        <v>17</v>
      </c>
      <c r="V49" t="n">
        <v>20</v>
      </c>
      <c r="W49" t="n">
        <v>24</v>
      </c>
      <c r="X49" t="n">
        <v>28</v>
      </c>
      <c r="Y49" t="n">
        <v>24</v>
      </c>
      <c r="Z49" t="n">
        <v>22</v>
      </c>
      <c r="AA49" t="n">
        <v>22</v>
      </c>
      <c r="AB49" t="n">
        <v>22</v>
      </c>
      <c r="AC49" t="n">
        <v>22</v>
      </c>
      <c r="AD49" t="n">
        <v>19</v>
      </c>
      <c r="AE49" t="n">
        <v>19</v>
      </c>
      <c r="AF49" t="n">
        <v>16</v>
      </c>
    </row>
    <row r="50">
      <c r="A50" t="s">
        <v>3</v>
      </c>
      <c r="B50" t="s">
        <v>370</v>
      </c>
      <c r="C50" t="s">
        <v>236</v>
      </c>
      <c r="D50" t="s">
        <v>371</v>
      </c>
      <c r="E50" t="s">
        <v>237</v>
      </c>
      <c r="F50" t="n">
        <v>17</v>
      </c>
      <c r="G50" t="n">
        <v>13</v>
      </c>
      <c r="H50" t="n">
        <v>13</v>
      </c>
      <c r="I50" t="n">
        <v>16</v>
      </c>
      <c r="J50" t="n">
        <v>17</v>
      </c>
      <c r="K50" t="n">
        <v>14</v>
      </c>
      <c r="L50" t="n">
        <v>7</v>
      </c>
      <c r="M50" t="n">
        <v>9</v>
      </c>
      <c r="N50" t="n">
        <v>10</v>
      </c>
      <c r="O50" t="n">
        <v>12</v>
      </c>
      <c r="P50" t="n">
        <v>13</v>
      </c>
      <c r="Q50" t="n">
        <v>9</v>
      </c>
      <c r="R50" t="n">
        <v>15</v>
      </c>
      <c r="S50" t="n">
        <v>15</v>
      </c>
      <c r="T50" t="n">
        <v>16</v>
      </c>
      <c r="U50" t="n">
        <v>14</v>
      </c>
      <c r="V50" t="n">
        <v>14</v>
      </c>
      <c r="W50" t="n">
        <v>14</v>
      </c>
      <c r="X50" t="n">
        <v>17</v>
      </c>
      <c r="Y50" t="n">
        <v>12</v>
      </c>
      <c r="Z50" t="n">
        <v>15</v>
      </c>
      <c r="AA50" t="n">
        <v>15</v>
      </c>
      <c r="AB50" t="n">
        <v>16</v>
      </c>
      <c r="AC50" t="n">
        <v>21</v>
      </c>
      <c r="AD50" t="n">
        <v>18</v>
      </c>
      <c r="AE50" t="n">
        <v>17</v>
      </c>
      <c r="AF50" t="n">
        <v>14</v>
      </c>
    </row>
    <row r="51">
      <c r="A51" t="s">
        <v>3</v>
      </c>
      <c r="B51" t="s">
        <v>372</v>
      </c>
      <c r="C51" t="s">
        <v>236</v>
      </c>
      <c r="D51" t="s">
        <v>373</v>
      </c>
      <c r="E51" t="s">
        <v>237</v>
      </c>
      <c r="F51" t="n">
        <v>16</v>
      </c>
      <c r="G51" t="n">
        <v>12</v>
      </c>
      <c r="H51" t="n">
        <v>12</v>
      </c>
      <c r="I51" t="n">
        <v>15</v>
      </c>
      <c r="J51" t="n">
        <v>16</v>
      </c>
      <c r="K51" t="n">
        <v>13</v>
      </c>
      <c r="L51" t="n">
        <v>7</v>
      </c>
      <c r="M51" t="n">
        <v>9</v>
      </c>
      <c r="N51" t="n">
        <v>10</v>
      </c>
      <c r="O51" t="n">
        <v>11</v>
      </c>
      <c r="P51" t="n">
        <v>12</v>
      </c>
      <c r="Q51" t="n">
        <v>8</v>
      </c>
      <c r="R51" t="n">
        <v>12</v>
      </c>
      <c r="S51" t="n">
        <v>12</v>
      </c>
      <c r="T51" t="n">
        <v>13</v>
      </c>
      <c r="U51" t="n">
        <v>10</v>
      </c>
      <c r="V51" t="n">
        <v>11</v>
      </c>
      <c r="W51" t="n">
        <v>11</v>
      </c>
      <c r="X51" t="n">
        <v>14</v>
      </c>
      <c r="Y51" t="n">
        <v>11</v>
      </c>
      <c r="Z51" t="n">
        <v>13</v>
      </c>
      <c r="AA51" t="n">
        <v>12</v>
      </c>
      <c r="AB51" t="n">
        <v>13</v>
      </c>
      <c r="AC51" t="n">
        <v>14</v>
      </c>
      <c r="AD51" t="n">
        <v>13</v>
      </c>
      <c r="AE51" t="n">
        <v>10</v>
      </c>
      <c r="AF51" t="n">
        <v>9</v>
      </c>
    </row>
    <row r="52">
      <c r="A52" t="s">
        <v>3</v>
      </c>
      <c r="B52" t="s">
        <v>374</v>
      </c>
      <c r="C52" t="s">
        <v>236</v>
      </c>
      <c r="D52" t="s">
        <v>375</v>
      </c>
      <c r="E52" t="s">
        <v>237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0</v>
      </c>
      <c r="M52" t="n">
        <v>0</v>
      </c>
      <c r="N52" t="n">
        <v>0</v>
      </c>
      <c r="O52" t="n">
        <v>1</v>
      </c>
      <c r="P52" t="n">
        <v>1</v>
      </c>
      <c r="Q52" t="n">
        <v>1</v>
      </c>
      <c r="R52" t="n">
        <v>3</v>
      </c>
      <c r="S52" t="n">
        <v>3</v>
      </c>
      <c r="T52" t="n">
        <v>3</v>
      </c>
      <c r="U52" t="n">
        <v>4</v>
      </c>
      <c r="V52" t="n">
        <v>3</v>
      </c>
      <c r="W52" t="n">
        <v>3</v>
      </c>
      <c r="X52" t="n">
        <v>3</v>
      </c>
      <c r="Y52" t="n">
        <v>1</v>
      </c>
      <c r="Z52" t="n">
        <v>2</v>
      </c>
      <c r="AA52" t="n">
        <v>3</v>
      </c>
      <c r="AB52" t="n">
        <v>3</v>
      </c>
      <c r="AC52" t="n">
        <v>7</v>
      </c>
      <c r="AD52" t="n">
        <v>5</v>
      </c>
      <c r="AE52" t="n">
        <v>7</v>
      </c>
      <c r="AF52" t="n">
        <v>5</v>
      </c>
    </row>
    <row r="53">
      <c r="A53" t="s">
        <v>3</v>
      </c>
      <c r="B53" t="s">
        <v>376</v>
      </c>
      <c r="C53" t="s">
        <v>236</v>
      </c>
      <c r="D53" t="s">
        <v>377</v>
      </c>
      <c r="E53" t="s">
        <v>237</v>
      </c>
      <c r="F53" t="n">
        <v>9</v>
      </c>
      <c r="G53" t="n">
        <v>9</v>
      </c>
      <c r="H53" t="n">
        <v>11</v>
      </c>
      <c r="I53" t="n">
        <v>11</v>
      </c>
      <c r="J53" t="n">
        <v>2</v>
      </c>
      <c r="K53" t="n">
        <v>7</v>
      </c>
      <c r="L53" t="n">
        <v>4</v>
      </c>
      <c r="M53" t="n">
        <v>4</v>
      </c>
      <c r="N53" t="n">
        <v>6</v>
      </c>
      <c r="O53" t="n">
        <v>7</v>
      </c>
      <c r="P53" t="n">
        <v>4</v>
      </c>
      <c r="Q53" t="n">
        <v>6</v>
      </c>
      <c r="R53" t="n">
        <v>6</v>
      </c>
      <c r="S53" t="n">
        <v>5</v>
      </c>
      <c r="T53" t="n">
        <v>5</v>
      </c>
      <c r="U53" t="n">
        <v>3</v>
      </c>
      <c r="V53" t="n">
        <v>6</v>
      </c>
      <c r="W53" t="n">
        <v>6</v>
      </c>
      <c r="X53" t="n">
        <v>8</v>
      </c>
      <c r="Y53" t="n">
        <v>6</v>
      </c>
      <c r="Z53" t="n">
        <v>6</v>
      </c>
      <c r="AA53" t="n">
        <v>8</v>
      </c>
      <c r="AB53" t="n">
        <v>7</v>
      </c>
      <c r="AC53" t="n">
        <v>6</v>
      </c>
      <c r="AD53" t="n">
        <v>5</v>
      </c>
      <c r="AE53" t="n">
        <v>4</v>
      </c>
      <c r="AF53" t="n">
        <v>2</v>
      </c>
    </row>
    <row r="54">
      <c r="A54" t="s">
        <v>3</v>
      </c>
      <c r="B54" t="s">
        <v>378</v>
      </c>
      <c r="C54" t="s">
        <v>236</v>
      </c>
      <c r="D54" t="s">
        <v>379</v>
      </c>
      <c r="E54" t="s">
        <v>237</v>
      </c>
      <c r="F54" t="n">
        <v>16</v>
      </c>
      <c r="G54" t="n">
        <v>12</v>
      </c>
      <c r="H54" t="n">
        <v>14</v>
      </c>
      <c r="I54" t="n">
        <v>17</v>
      </c>
      <c r="J54" t="n">
        <v>7</v>
      </c>
      <c r="K54" t="n">
        <v>11</v>
      </c>
      <c r="L54" t="n">
        <v>7</v>
      </c>
      <c r="M54" t="n">
        <v>6</v>
      </c>
      <c r="N54" t="n">
        <v>10</v>
      </c>
      <c r="O54" t="n">
        <v>10</v>
      </c>
      <c r="P54" t="n">
        <v>7</v>
      </c>
      <c r="Q54" t="n">
        <v>12</v>
      </c>
      <c r="R54" t="n">
        <v>11</v>
      </c>
      <c r="S54" t="n">
        <v>10</v>
      </c>
      <c r="T54" t="n">
        <v>9</v>
      </c>
      <c r="U54" t="n">
        <v>9</v>
      </c>
      <c r="V54" t="n">
        <v>9</v>
      </c>
      <c r="W54" t="n">
        <v>12</v>
      </c>
      <c r="X54" t="n">
        <v>13</v>
      </c>
      <c r="Y54" t="n">
        <v>10</v>
      </c>
      <c r="Z54" t="n">
        <v>11</v>
      </c>
      <c r="AA54" t="n">
        <v>13</v>
      </c>
      <c r="AB54" t="n">
        <v>11</v>
      </c>
      <c r="AC54" t="n">
        <v>8</v>
      </c>
      <c r="AD54" t="n">
        <v>7</v>
      </c>
      <c r="AE54" t="n">
        <v>4</v>
      </c>
      <c r="AF54" t="n">
        <v>2</v>
      </c>
    </row>
    <row r="55">
      <c r="A55" t="s">
        <v>3</v>
      </c>
      <c r="B55" t="s">
        <v>380</v>
      </c>
      <c r="C55" t="s">
        <v>236</v>
      </c>
      <c r="D55" t="s">
        <v>381</v>
      </c>
      <c r="E55" t="s">
        <v>237</v>
      </c>
      <c r="F55" t="n">
        <v>7</v>
      </c>
      <c r="G55" t="n">
        <v>3</v>
      </c>
      <c r="H55" t="n">
        <v>3</v>
      </c>
      <c r="I55" t="n">
        <v>6</v>
      </c>
      <c r="J55" t="n">
        <v>5</v>
      </c>
      <c r="K55" t="n">
        <v>4</v>
      </c>
      <c r="L55" t="n">
        <v>3</v>
      </c>
      <c r="M55" t="n">
        <v>2</v>
      </c>
      <c r="N55" t="n">
        <v>4</v>
      </c>
      <c r="O55" t="n">
        <v>3</v>
      </c>
      <c r="P55" t="n">
        <v>3</v>
      </c>
      <c r="Q55" t="n">
        <v>6</v>
      </c>
      <c r="R55" t="n">
        <v>5</v>
      </c>
      <c r="S55" t="n">
        <v>5</v>
      </c>
      <c r="T55" t="n">
        <v>4</v>
      </c>
      <c r="U55" t="n">
        <v>6</v>
      </c>
      <c r="V55" t="n">
        <v>3</v>
      </c>
      <c r="W55" t="n">
        <v>6</v>
      </c>
      <c r="X55" t="n">
        <v>5</v>
      </c>
      <c r="Y55" t="n">
        <v>4</v>
      </c>
      <c r="Z55" t="n">
        <v>5</v>
      </c>
      <c r="AA55" t="n">
        <v>5</v>
      </c>
      <c r="AB55" t="n">
        <v>4</v>
      </c>
      <c r="AC55" t="n">
        <v>2</v>
      </c>
      <c r="AD55" t="n">
        <v>2</v>
      </c>
      <c r="AE55" t="n">
        <v>0</v>
      </c>
      <c r="AF55" t="n">
        <v>0</v>
      </c>
    </row>
    <row r="56">
      <c r="A56" t="s">
        <v>3</v>
      </c>
      <c r="B56" t="s">
        <v>382</v>
      </c>
      <c r="C56" t="s">
        <v>236</v>
      </c>
      <c r="D56" t="s">
        <v>383</v>
      </c>
      <c r="E56" t="s">
        <v>237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3</v>
      </c>
      <c r="B57" t="s">
        <v>384</v>
      </c>
      <c r="C57" t="s">
        <v>236</v>
      </c>
      <c r="D57" t="s">
        <v>385</v>
      </c>
      <c r="E57" t="s">
        <v>237</v>
      </c>
      <c r="F57" t="n">
        <v>838</v>
      </c>
      <c r="G57" t="n">
        <v>580</v>
      </c>
      <c r="H57" t="n">
        <v>518</v>
      </c>
      <c r="I57" t="n">
        <v>652</v>
      </c>
      <c r="J57" t="n">
        <v>628</v>
      </c>
      <c r="K57" t="n">
        <v>521</v>
      </c>
      <c r="L57" t="n">
        <v>258</v>
      </c>
      <c r="M57" t="n">
        <v>285</v>
      </c>
      <c r="N57" t="n">
        <v>320</v>
      </c>
      <c r="O57" t="n">
        <v>355</v>
      </c>
      <c r="P57" t="n">
        <v>408</v>
      </c>
      <c r="Q57" t="n">
        <v>404</v>
      </c>
      <c r="R57" t="n">
        <v>569</v>
      </c>
      <c r="S57" t="n">
        <v>642</v>
      </c>
      <c r="T57" t="n">
        <v>472</v>
      </c>
      <c r="U57" t="n">
        <v>491</v>
      </c>
      <c r="V57" t="n">
        <v>583</v>
      </c>
      <c r="W57" t="n">
        <v>570</v>
      </c>
      <c r="X57" t="n">
        <v>523</v>
      </c>
      <c r="Y57" t="n">
        <v>591</v>
      </c>
      <c r="Z57" t="n">
        <v>725</v>
      </c>
      <c r="AA57" t="n">
        <v>741</v>
      </c>
      <c r="AB57" t="n">
        <v>830</v>
      </c>
      <c r="AC57" t="n">
        <v>1112</v>
      </c>
      <c r="AD57" t="n">
        <v>687</v>
      </c>
      <c r="AE57" t="n">
        <v>608</v>
      </c>
      <c r="AF57" t="n">
        <v>621</v>
      </c>
    </row>
    <row r="58">
      <c r="A58" t="s">
        <v>3</v>
      </c>
      <c r="B58" t="s">
        <v>386</v>
      </c>
      <c r="C58" t="s">
        <v>236</v>
      </c>
      <c r="D58" t="s">
        <v>387</v>
      </c>
      <c r="E58" t="s">
        <v>237</v>
      </c>
      <c r="F58" t="n">
        <v>838</v>
      </c>
      <c r="G58" t="n">
        <v>580</v>
      </c>
      <c r="H58" t="n">
        <v>518</v>
      </c>
      <c r="I58" t="n">
        <v>652</v>
      </c>
      <c r="J58" t="n">
        <v>628</v>
      </c>
      <c r="K58" t="n">
        <v>521</v>
      </c>
      <c r="L58" t="n">
        <v>258</v>
      </c>
      <c r="M58" t="n">
        <v>285</v>
      </c>
      <c r="N58" t="n">
        <v>320</v>
      </c>
      <c r="O58" t="n">
        <v>355</v>
      </c>
      <c r="P58" t="n">
        <v>408</v>
      </c>
      <c r="Q58" t="n">
        <v>404</v>
      </c>
      <c r="R58" t="n">
        <v>569</v>
      </c>
      <c r="S58" t="n">
        <v>642</v>
      </c>
      <c r="T58" t="n">
        <v>472</v>
      </c>
      <c r="U58" t="n">
        <v>491</v>
      </c>
      <c r="V58" t="n">
        <v>583</v>
      </c>
      <c r="W58" t="n">
        <v>570</v>
      </c>
      <c r="X58" t="n">
        <v>523</v>
      </c>
      <c r="Y58" t="n">
        <v>591</v>
      </c>
      <c r="Z58" t="n">
        <v>725</v>
      </c>
      <c r="AA58" t="n">
        <v>741</v>
      </c>
      <c r="AB58" t="n">
        <v>830</v>
      </c>
      <c r="AC58" t="n">
        <v>1112</v>
      </c>
      <c r="AD58" t="n">
        <v>687</v>
      </c>
      <c r="AE58" t="n">
        <v>608</v>
      </c>
      <c r="AF58" t="n">
        <v>621</v>
      </c>
    </row>
    <row r="59">
      <c r="A59" t="s">
        <v>3</v>
      </c>
      <c r="B59" t="s">
        <v>388</v>
      </c>
      <c r="C59" t="s">
        <v>236</v>
      </c>
      <c r="D59" t="s">
        <v>389</v>
      </c>
      <c r="E59" t="s">
        <v>237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5</v>
      </c>
      <c r="B2" t="s">
        <v>197</v>
      </c>
      <c r="C2" t="s">
        <v>236</v>
      </c>
      <c r="D2" t="s">
        <v>199</v>
      </c>
      <c r="E2" t="s">
        <v>237</v>
      </c>
      <c r="F2" t="n">
        <v>11</v>
      </c>
      <c r="G2" t="n">
        <v>8</v>
      </c>
      <c r="H2" t="n">
        <v>12</v>
      </c>
      <c r="I2" t="n">
        <v>14</v>
      </c>
      <c r="J2" t="n">
        <v>16</v>
      </c>
      <c r="K2" t="n">
        <v>11</v>
      </c>
      <c r="L2" t="n">
        <v>11</v>
      </c>
      <c r="M2" t="n">
        <v>7</v>
      </c>
      <c r="N2" t="n">
        <v>14</v>
      </c>
      <c r="O2" t="n">
        <v>18</v>
      </c>
      <c r="P2" t="n">
        <v>15</v>
      </c>
      <c r="Q2" t="n">
        <v>10</v>
      </c>
      <c r="R2" t="n">
        <v>10</v>
      </c>
      <c r="S2" t="n">
        <v>7</v>
      </c>
      <c r="T2" t="n">
        <v>10</v>
      </c>
      <c r="U2" t="n">
        <v>7</v>
      </c>
      <c r="V2" t="n">
        <v>7</v>
      </c>
      <c r="W2" t="n">
        <v>9</v>
      </c>
      <c r="X2" t="n">
        <v>9</v>
      </c>
      <c r="Y2" t="n">
        <v>9</v>
      </c>
      <c r="Z2" t="n">
        <v>9</v>
      </c>
      <c r="AA2" t="n">
        <v>8</v>
      </c>
      <c r="AB2" t="n">
        <v>8</v>
      </c>
      <c r="AC2" t="n">
        <v>8</v>
      </c>
      <c r="AD2" t="n">
        <v>8</v>
      </c>
      <c r="AE2" t="n">
        <v>8</v>
      </c>
      <c r="AF2" t="n">
        <v>8</v>
      </c>
    </row>
    <row r="3">
      <c r="A3" t="s">
        <v>5</v>
      </c>
      <c r="B3" t="s">
        <v>276</v>
      </c>
      <c r="C3" t="s">
        <v>236</v>
      </c>
      <c r="D3" t="s">
        <v>277</v>
      </c>
      <c r="E3" t="s">
        <v>237</v>
      </c>
      <c r="F3" t="n">
        <v>1</v>
      </c>
      <c r="G3" t="n">
        <v>1</v>
      </c>
      <c r="H3" t="n">
        <v>0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2</v>
      </c>
      <c r="O3" t="n">
        <v>2</v>
      </c>
      <c r="P3" t="n">
        <v>2</v>
      </c>
      <c r="Q3" t="n">
        <v>9</v>
      </c>
      <c r="R3" t="n">
        <v>11</v>
      </c>
      <c r="S3" t="n">
        <v>11</v>
      </c>
      <c r="T3" t="n">
        <v>8</v>
      </c>
      <c r="U3" t="n">
        <v>6</v>
      </c>
      <c r="V3" t="n">
        <v>9</v>
      </c>
      <c r="W3" t="n">
        <v>12</v>
      </c>
      <c r="X3" t="n">
        <v>11</v>
      </c>
      <c r="Y3" t="n">
        <v>11</v>
      </c>
      <c r="Z3" t="n">
        <v>7</v>
      </c>
      <c r="AA3" t="n">
        <v>5</v>
      </c>
      <c r="AB3" t="n">
        <v>5</v>
      </c>
      <c r="AC3" t="n">
        <v>4</v>
      </c>
      <c r="AD3" t="n">
        <v>3</v>
      </c>
      <c r="AE3" t="n">
        <v>7</v>
      </c>
      <c r="AF3" t="n">
        <v>11</v>
      </c>
    </row>
    <row r="4">
      <c r="A4" t="s">
        <v>5</v>
      </c>
      <c r="B4" t="s">
        <v>278</v>
      </c>
      <c r="C4" t="s">
        <v>236</v>
      </c>
      <c r="D4" t="s">
        <v>279</v>
      </c>
      <c r="E4" t="s">
        <v>237</v>
      </c>
      <c r="F4" t="n">
        <v>100</v>
      </c>
      <c r="G4" t="n">
        <v>99</v>
      </c>
      <c r="H4" t="n">
        <v>115</v>
      </c>
      <c r="I4" t="n">
        <v>141</v>
      </c>
      <c r="J4" t="n">
        <v>144</v>
      </c>
      <c r="K4" t="n">
        <v>114</v>
      </c>
      <c r="L4" t="n">
        <v>150</v>
      </c>
      <c r="M4" t="n">
        <v>71</v>
      </c>
      <c r="N4" t="n">
        <v>126</v>
      </c>
      <c r="O4" t="n">
        <v>144</v>
      </c>
      <c r="P4" t="n">
        <v>126</v>
      </c>
      <c r="Q4" t="n">
        <v>237</v>
      </c>
      <c r="R4" t="n">
        <v>313</v>
      </c>
      <c r="S4" t="n">
        <v>264</v>
      </c>
      <c r="T4" t="n">
        <v>202</v>
      </c>
      <c r="U4" t="n">
        <v>164</v>
      </c>
      <c r="V4" t="n">
        <v>158</v>
      </c>
      <c r="W4" t="n">
        <v>180</v>
      </c>
      <c r="X4" t="n">
        <v>135</v>
      </c>
      <c r="Y4" t="n">
        <v>136</v>
      </c>
      <c r="Z4" t="n">
        <v>191</v>
      </c>
      <c r="AA4" t="n">
        <v>184</v>
      </c>
      <c r="AB4" t="n">
        <v>231</v>
      </c>
      <c r="AC4" t="n">
        <v>177</v>
      </c>
      <c r="AD4" t="n">
        <v>168</v>
      </c>
      <c r="AE4" t="n">
        <v>150</v>
      </c>
      <c r="AF4" t="n">
        <v>182</v>
      </c>
    </row>
    <row r="5">
      <c r="A5" t="s">
        <v>5</v>
      </c>
      <c r="B5" t="s">
        <v>280</v>
      </c>
      <c r="C5" t="s">
        <v>236</v>
      </c>
      <c r="D5" t="s">
        <v>281</v>
      </c>
      <c r="E5" t="s">
        <v>237</v>
      </c>
      <c r="F5" t="n">
        <v>8</v>
      </c>
      <c r="G5" t="n">
        <v>7</v>
      </c>
      <c r="H5" t="n">
        <v>8</v>
      </c>
      <c r="I5" t="n">
        <v>10</v>
      </c>
      <c r="J5" t="n">
        <v>10</v>
      </c>
      <c r="K5" t="n">
        <v>7</v>
      </c>
      <c r="L5" t="n">
        <v>9</v>
      </c>
      <c r="M5" t="n">
        <v>6</v>
      </c>
      <c r="N5" t="n">
        <v>12</v>
      </c>
      <c r="O5" t="n">
        <v>12</v>
      </c>
      <c r="P5" t="n">
        <v>9</v>
      </c>
      <c r="Q5" t="n">
        <v>19</v>
      </c>
      <c r="R5" t="n">
        <v>22</v>
      </c>
      <c r="S5" t="n">
        <v>22</v>
      </c>
      <c r="T5" t="n">
        <v>22</v>
      </c>
      <c r="U5" t="n">
        <v>16</v>
      </c>
      <c r="V5" t="n">
        <v>15</v>
      </c>
      <c r="W5" t="n">
        <v>15</v>
      </c>
      <c r="X5" t="n">
        <v>12</v>
      </c>
      <c r="Y5" t="n">
        <v>14</v>
      </c>
      <c r="Z5" t="n">
        <v>14</v>
      </c>
      <c r="AA5" t="n">
        <v>13</v>
      </c>
      <c r="AB5" t="n">
        <v>27</v>
      </c>
      <c r="AC5" t="n">
        <v>14</v>
      </c>
      <c r="AD5" t="n">
        <v>11</v>
      </c>
      <c r="AE5" t="n">
        <v>11</v>
      </c>
      <c r="AF5" t="n">
        <v>10</v>
      </c>
    </row>
    <row r="6">
      <c r="A6" t="s">
        <v>5</v>
      </c>
      <c r="B6" t="s">
        <v>282</v>
      </c>
      <c r="C6" t="s">
        <v>236</v>
      </c>
      <c r="D6" t="s">
        <v>283</v>
      </c>
      <c r="E6" t="s">
        <v>237</v>
      </c>
      <c r="F6" t="n">
        <v>1</v>
      </c>
      <c r="G6" t="n">
        <v>0</v>
      </c>
      <c r="H6" t="n">
        <v>2</v>
      </c>
      <c r="I6" t="n">
        <v>1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5</v>
      </c>
      <c r="B7" t="s">
        <v>284</v>
      </c>
      <c r="C7" t="s">
        <v>236</v>
      </c>
      <c r="D7" t="s">
        <v>285</v>
      </c>
      <c r="E7" t="s">
        <v>237</v>
      </c>
      <c r="F7" t="n">
        <v>26</v>
      </c>
      <c r="G7" t="n">
        <v>43</v>
      </c>
      <c r="H7" t="n">
        <v>35</v>
      </c>
      <c r="I7" t="n">
        <v>49</v>
      </c>
      <c r="J7" t="n">
        <v>40</v>
      </c>
      <c r="K7" t="n">
        <v>30</v>
      </c>
      <c r="L7" t="n">
        <v>52</v>
      </c>
      <c r="M7" t="n">
        <v>19</v>
      </c>
      <c r="N7" t="n">
        <v>44</v>
      </c>
      <c r="O7" t="n">
        <v>39</v>
      </c>
      <c r="P7" t="n">
        <v>32</v>
      </c>
      <c r="Q7" t="n">
        <v>66</v>
      </c>
      <c r="R7" t="n">
        <v>79</v>
      </c>
      <c r="S7" t="n">
        <v>70</v>
      </c>
      <c r="T7" t="n">
        <v>31</v>
      </c>
      <c r="U7" t="n">
        <v>32</v>
      </c>
      <c r="V7" t="n">
        <v>39</v>
      </c>
      <c r="W7" t="n">
        <v>30</v>
      </c>
      <c r="X7" t="n">
        <v>29</v>
      </c>
      <c r="Y7" t="n">
        <v>25</v>
      </c>
      <c r="Z7" t="n">
        <v>33</v>
      </c>
      <c r="AA7" t="n">
        <v>41</v>
      </c>
      <c r="AB7" t="n">
        <v>84</v>
      </c>
      <c r="AC7" t="n">
        <v>28</v>
      </c>
      <c r="AD7" t="n">
        <v>30</v>
      </c>
      <c r="AE7" t="n">
        <v>23</v>
      </c>
      <c r="AF7" t="n">
        <v>27</v>
      </c>
    </row>
    <row r="8">
      <c r="A8" t="s">
        <v>5</v>
      </c>
      <c r="B8" t="s">
        <v>286</v>
      </c>
      <c r="C8" t="s">
        <v>236</v>
      </c>
      <c r="D8" t="s">
        <v>287</v>
      </c>
      <c r="E8" t="s">
        <v>237</v>
      </c>
      <c r="F8" t="n">
        <v>1</v>
      </c>
      <c r="G8" t="n">
        <v>1</v>
      </c>
      <c r="H8" t="n">
        <v>6</v>
      </c>
      <c r="I8" t="n">
        <v>1</v>
      </c>
      <c r="J8" t="n">
        <v>3</v>
      </c>
      <c r="K8" t="n">
        <v>1</v>
      </c>
      <c r="L8" t="n">
        <v>5</v>
      </c>
      <c r="M8" t="n">
        <v>0</v>
      </c>
      <c r="N8" t="n">
        <v>3</v>
      </c>
      <c r="O8" t="n">
        <v>2</v>
      </c>
      <c r="P8" t="n">
        <v>9</v>
      </c>
      <c r="Q8" t="n">
        <v>12</v>
      </c>
      <c r="R8" t="n">
        <v>40</v>
      </c>
      <c r="S8" t="n">
        <v>14</v>
      </c>
      <c r="T8" t="n">
        <v>7</v>
      </c>
      <c r="U8" t="n">
        <v>10</v>
      </c>
      <c r="V8" t="n">
        <v>3</v>
      </c>
      <c r="W8" t="n">
        <v>7</v>
      </c>
      <c r="X8" t="n">
        <v>6</v>
      </c>
      <c r="Y8" t="n">
        <v>7</v>
      </c>
      <c r="Z8" t="n">
        <v>17</v>
      </c>
      <c r="AA8" t="n">
        <v>-5</v>
      </c>
      <c r="AB8" t="n">
        <v>-35</v>
      </c>
      <c r="AC8" t="n">
        <v>2</v>
      </c>
      <c r="AD8" t="n">
        <v>1</v>
      </c>
      <c r="AE8" t="n">
        <v>1</v>
      </c>
      <c r="AF8" t="n">
        <v>7</v>
      </c>
    </row>
    <row r="9">
      <c r="A9" t="s">
        <v>5</v>
      </c>
      <c r="B9" t="s">
        <v>288</v>
      </c>
      <c r="C9" t="s">
        <v>236</v>
      </c>
      <c r="D9" t="s">
        <v>289</v>
      </c>
      <c r="E9" t="s">
        <v>237</v>
      </c>
      <c r="F9" t="n">
        <v>16</v>
      </c>
      <c r="G9" t="n">
        <v>9</v>
      </c>
      <c r="H9" t="n">
        <v>16</v>
      </c>
      <c r="I9" t="n">
        <v>14</v>
      </c>
      <c r="J9" t="n">
        <v>16</v>
      </c>
      <c r="K9" t="n">
        <v>9</v>
      </c>
      <c r="L9" t="n">
        <v>11</v>
      </c>
      <c r="M9" t="n">
        <v>11</v>
      </c>
      <c r="N9" t="n">
        <v>13</v>
      </c>
      <c r="O9" t="n">
        <v>18</v>
      </c>
      <c r="P9" t="n">
        <v>12</v>
      </c>
      <c r="Q9" t="n">
        <v>26</v>
      </c>
      <c r="R9" t="n">
        <v>52</v>
      </c>
      <c r="S9" t="n">
        <v>33</v>
      </c>
      <c r="T9" t="n">
        <v>25</v>
      </c>
      <c r="U9" t="n">
        <v>15</v>
      </c>
      <c r="V9" t="n">
        <v>21</v>
      </c>
      <c r="W9" t="n">
        <v>27</v>
      </c>
      <c r="X9" t="n">
        <v>32</v>
      </c>
      <c r="Y9" t="n">
        <v>22</v>
      </c>
      <c r="Z9" t="n">
        <v>46</v>
      </c>
      <c r="AA9" t="n">
        <v>66</v>
      </c>
      <c r="AB9" t="n">
        <v>85</v>
      </c>
      <c r="AC9" t="n">
        <v>62</v>
      </c>
      <c r="AD9" t="n">
        <v>49</v>
      </c>
      <c r="AE9" t="n">
        <v>48</v>
      </c>
      <c r="AF9" t="n">
        <v>73</v>
      </c>
    </row>
    <row r="10">
      <c r="A10" t="s">
        <v>5</v>
      </c>
      <c r="B10" t="s">
        <v>290</v>
      </c>
      <c r="C10" t="s">
        <v>236</v>
      </c>
      <c r="D10" t="s">
        <v>291</v>
      </c>
      <c r="E10" t="s">
        <v>237</v>
      </c>
      <c r="F10" t="n">
        <v>18</v>
      </c>
      <c r="G10" t="n">
        <v>10</v>
      </c>
      <c r="H10" t="n">
        <v>17</v>
      </c>
      <c r="I10" t="n">
        <v>16</v>
      </c>
      <c r="J10" t="n">
        <v>17</v>
      </c>
      <c r="K10" t="n">
        <v>10</v>
      </c>
      <c r="L10" t="n">
        <v>12</v>
      </c>
      <c r="M10" t="n">
        <v>13</v>
      </c>
      <c r="N10" t="n">
        <v>14</v>
      </c>
      <c r="O10" t="n">
        <v>20</v>
      </c>
      <c r="P10" t="n">
        <v>13</v>
      </c>
      <c r="Q10" t="n">
        <v>29</v>
      </c>
      <c r="R10" t="n">
        <v>56</v>
      </c>
      <c r="S10" t="n">
        <v>37</v>
      </c>
      <c r="T10" t="n">
        <v>30</v>
      </c>
      <c r="U10" t="n">
        <v>20</v>
      </c>
      <c r="V10" t="n">
        <v>25</v>
      </c>
      <c r="W10" t="n">
        <v>33</v>
      </c>
      <c r="X10" t="n">
        <v>40</v>
      </c>
      <c r="Y10" t="n">
        <v>28</v>
      </c>
      <c r="Z10" t="n">
        <v>52</v>
      </c>
      <c r="AA10" t="n">
        <v>71</v>
      </c>
      <c r="AB10" t="n">
        <v>89</v>
      </c>
      <c r="AC10" t="n">
        <v>68</v>
      </c>
      <c r="AD10" t="n">
        <v>55</v>
      </c>
      <c r="AE10" t="n">
        <v>52</v>
      </c>
      <c r="AF10" t="n">
        <v>79</v>
      </c>
    </row>
    <row r="11">
      <c r="A11" t="s">
        <v>5</v>
      </c>
      <c r="B11" t="s">
        <v>292</v>
      </c>
      <c r="C11" t="s">
        <v>236</v>
      </c>
      <c r="D11" t="s">
        <v>293</v>
      </c>
      <c r="E11" t="s">
        <v>237</v>
      </c>
      <c r="F11" t="n">
        <v>2</v>
      </c>
      <c r="G11" t="n">
        <v>1</v>
      </c>
      <c r="H11" t="n">
        <v>1</v>
      </c>
      <c r="I11" t="n">
        <v>2</v>
      </c>
      <c r="J11" t="n">
        <v>1</v>
      </c>
      <c r="K11" t="n">
        <v>1</v>
      </c>
      <c r="L11" t="n">
        <v>1</v>
      </c>
      <c r="M11" t="n">
        <v>2</v>
      </c>
      <c r="N11" t="n">
        <v>1</v>
      </c>
      <c r="O11" t="n">
        <v>2</v>
      </c>
      <c r="P11" t="n">
        <v>1</v>
      </c>
      <c r="Q11" t="n">
        <v>3</v>
      </c>
      <c r="R11" t="n">
        <v>4</v>
      </c>
      <c r="S11" t="n">
        <v>4</v>
      </c>
      <c r="T11" t="n">
        <v>5</v>
      </c>
      <c r="U11" t="n">
        <v>5</v>
      </c>
      <c r="V11" t="n">
        <v>4</v>
      </c>
      <c r="W11" t="n">
        <v>6</v>
      </c>
      <c r="X11" t="n">
        <v>8</v>
      </c>
      <c r="Y11" t="n">
        <v>6</v>
      </c>
      <c r="Z11" t="n">
        <v>6</v>
      </c>
      <c r="AA11" t="n">
        <v>5</v>
      </c>
      <c r="AB11" t="n">
        <v>4</v>
      </c>
      <c r="AC11" t="n">
        <v>6</v>
      </c>
      <c r="AD11" t="n">
        <v>6</v>
      </c>
      <c r="AE11" t="n">
        <v>4</v>
      </c>
      <c r="AF11" t="n">
        <v>6</v>
      </c>
    </row>
    <row r="12">
      <c r="A12" t="s">
        <v>5</v>
      </c>
      <c r="B12" t="s">
        <v>294</v>
      </c>
      <c r="C12" t="s">
        <v>236</v>
      </c>
      <c r="D12" t="s">
        <v>295</v>
      </c>
      <c r="E12" t="s">
        <v>237</v>
      </c>
      <c r="F12" t="n">
        <v>7</v>
      </c>
      <c r="G12" t="n">
        <v>6</v>
      </c>
      <c r="H12" t="n">
        <v>7</v>
      </c>
      <c r="I12" t="n">
        <v>9</v>
      </c>
      <c r="J12" t="n">
        <v>11</v>
      </c>
      <c r="K12" t="n">
        <v>9</v>
      </c>
      <c r="L12" t="n">
        <v>8</v>
      </c>
      <c r="M12" t="n">
        <v>6</v>
      </c>
      <c r="N12" t="n">
        <v>10</v>
      </c>
      <c r="O12" t="n">
        <v>13</v>
      </c>
      <c r="P12" t="n">
        <v>11</v>
      </c>
      <c r="Q12" t="n">
        <v>19</v>
      </c>
      <c r="R12" t="n">
        <v>19</v>
      </c>
      <c r="S12" t="n">
        <v>17</v>
      </c>
      <c r="T12" t="n">
        <v>17</v>
      </c>
      <c r="U12" t="n">
        <v>10</v>
      </c>
      <c r="V12" t="n">
        <v>10</v>
      </c>
      <c r="W12" t="n">
        <v>11</v>
      </c>
      <c r="X12" t="n">
        <v>8</v>
      </c>
      <c r="Y12" t="n">
        <v>9</v>
      </c>
      <c r="Z12" t="n">
        <v>11</v>
      </c>
      <c r="AA12" t="n">
        <v>9</v>
      </c>
      <c r="AB12" t="n">
        <v>6</v>
      </c>
      <c r="AC12" t="n">
        <v>5</v>
      </c>
      <c r="AD12" t="n">
        <v>6</v>
      </c>
      <c r="AE12" t="n">
        <v>5</v>
      </c>
      <c r="AF12" t="n">
        <v>6</v>
      </c>
    </row>
    <row r="13">
      <c r="A13" t="s">
        <v>5</v>
      </c>
      <c r="B13" t="s">
        <v>296</v>
      </c>
      <c r="C13" t="s">
        <v>236</v>
      </c>
      <c r="D13" t="s">
        <v>297</v>
      </c>
      <c r="E13" t="s">
        <v>237</v>
      </c>
      <c r="F13" t="n">
        <v>5</v>
      </c>
      <c r="G13" t="n">
        <v>4</v>
      </c>
      <c r="H13" t="n">
        <v>6</v>
      </c>
      <c r="I13" t="n">
        <v>8</v>
      </c>
      <c r="J13" t="n">
        <v>6</v>
      </c>
      <c r="K13" t="n">
        <v>7</v>
      </c>
      <c r="L13" t="n">
        <v>7</v>
      </c>
      <c r="M13" t="n">
        <v>6</v>
      </c>
      <c r="N13" t="n">
        <v>7</v>
      </c>
      <c r="O13" t="n">
        <v>11</v>
      </c>
      <c r="P13" t="n">
        <v>7</v>
      </c>
      <c r="Q13" t="n">
        <v>24</v>
      </c>
      <c r="R13" t="n">
        <v>36</v>
      </c>
      <c r="S13" t="n">
        <v>26</v>
      </c>
      <c r="T13" t="n">
        <v>42</v>
      </c>
      <c r="U13" t="n">
        <v>37</v>
      </c>
      <c r="V13" t="n">
        <v>23</v>
      </c>
      <c r="W13" t="n">
        <v>45</v>
      </c>
      <c r="X13" t="n">
        <v>15</v>
      </c>
      <c r="Y13" t="n">
        <v>20</v>
      </c>
      <c r="Z13" t="n">
        <v>22</v>
      </c>
      <c r="AA13" t="n">
        <v>19</v>
      </c>
      <c r="AB13" t="n">
        <v>21</v>
      </c>
      <c r="AC13" t="n">
        <v>26</v>
      </c>
      <c r="AD13" t="n">
        <v>30</v>
      </c>
      <c r="AE13" t="n">
        <v>21</v>
      </c>
      <c r="AF13" t="n">
        <v>20</v>
      </c>
    </row>
    <row r="14">
      <c r="A14" t="s">
        <v>5</v>
      </c>
      <c r="B14" t="s">
        <v>298</v>
      </c>
      <c r="C14" t="s">
        <v>236</v>
      </c>
      <c r="D14" t="s">
        <v>299</v>
      </c>
      <c r="E14" t="s">
        <v>237</v>
      </c>
      <c r="F14" t="n">
        <v>24</v>
      </c>
      <c r="G14" t="n">
        <v>14</v>
      </c>
      <c r="H14" t="n">
        <v>21</v>
      </c>
      <c r="I14" t="n">
        <v>30</v>
      </c>
      <c r="J14" t="n">
        <v>43</v>
      </c>
      <c r="K14" t="n">
        <v>38</v>
      </c>
      <c r="L14" t="n">
        <v>43</v>
      </c>
      <c r="M14" t="n">
        <v>14</v>
      </c>
      <c r="N14" t="n">
        <v>22</v>
      </c>
      <c r="O14" t="n">
        <v>34</v>
      </c>
      <c r="P14" t="n">
        <v>32</v>
      </c>
      <c r="Q14" t="n">
        <v>43</v>
      </c>
      <c r="R14" t="n">
        <v>32</v>
      </c>
      <c r="S14" t="n">
        <v>45</v>
      </c>
      <c r="T14" t="n">
        <v>19</v>
      </c>
      <c r="U14" t="n">
        <v>24</v>
      </c>
      <c r="V14" t="n">
        <v>25</v>
      </c>
      <c r="W14" t="n">
        <v>20</v>
      </c>
      <c r="X14" t="n">
        <v>10</v>
      </c>
      <c r="Y14" t="n">
        <v>17</v>
      </c>
      <c r="Z14" t="n">
        <v>22</v>
      </c>
      <c r="AA14" t="n">
        <v>18</v>
      </c>
      <c r="AB14" t="n">
        <v>22</v>
      </c>
      <c r="AC14" t="n">
        <v>18</v>
      </c>
      <c r="AD14" t="n">
        <v>18</v>
      </c>
      <c r="AE14" t="n">
        <v>24</v>
      </c>
      <c r="AF14" t="n">
        <v>22</v>
      </c>
    </row>
    <row r="15">
      <c r="A15" t="s">
        <v>5</v>
      </c>
      <c r="B15" t="s">
        <v>300</v>
      </c>
      <c r="C15" t="s">
        <v>236</v>
      </c>
      <c r="D15" t="s">
        <v>301</v>
      </c>
      <c r="E15" t="s">
        <v>237</v>
      </c>
      <c r="F15" t="n">
        <v>27</v>
      </c>
      <c r="G15" t="n">
        <v>18</v>
      </c>
      <c r="H15" t="n">
        <v>25</v>
      </c>
      <c r="I15" t="n">
        <v>36</v>
      </c>
      <c r="J15" t="n">
        <v>47</v>
      </c>
      <c r="K15" t="n">
        <v>42</v>
      </c>
      <c r="L15" t="n">
        <v>47</v>
      </c>
      <c r="M15" t="n">
        <v>16</v>
      </c>
      <c r="N15" t="n">
        <v>26</v>
      </c>
      <c r="O15" t="n">
        <v>38</v>
      </c>
      <c r="P15" t="n">
        <v>36</v>
      </c>
      <c r="Q15" t="n">
        <v>47</v>
      </c>
      <c r="R15" t="n">
        <v>38</v>
      </c>
      <c r="S15" t="n">
        <v>53</v>
      </c>
      <c r="T15" t="n">
        <v>25</v>
      </c>
      <c r="U15" t="n">
        <v>28</v>
      </c>
      <c r="V15" t="n">
        <v>30</v>
      </c>
      <c r="W15" t="n">
        <v>24</v>
      </c>
      <c r="X15" t="n">
        <v>15</v>
      </c>
      <c r="Y15" t="n">
        <v>19</v>
      </c>
      <c r="Z15" t="n">
        <v>26</v>
      </c>
      <c r="AA15" t="n">
        <v>23</v>
      </c>
      <c r="AB15" t="n">
        <v>27</v>
      </c>
      <c r="AC15" t="n">
        <v>21</v>
      </c>
      <c r="AD15" t="n">
        <v>22</v>
      </c>
      <c r="AE15" t="n">
        <v>27</v>
      </c>
      <c r="AF15" t="n">
        <v>25</v>
      </c>
    </row>
    <row r="16">
      <c r="A16" t="s">
        <v>5</v>
      </c>
      <c r="B16" t="s">
        <v>302</v>
      </c>
      <c r="C16" t="s">
        <v>236</v>
      </c>
      <c r="D16" t="s">
        <v>303</v>
      </c>
      <c r="E16" t="s">
        <v>237</v>
      </c>
      <c r="F16" t="n">
        <v>3</v>
      </c>
      <c r="G16" t="n">
        <v>4</v>
      </c>
      <c r="H16" t="n">
        <v>4</v>
      </c>
      <c r="I16" t="n">
        <v>6</v>
      </c>
      <c r="J16" t="n">
        <v>4</v>
      </c>
      <c r="K16" t="n">
        <v>4</v>
      </c>
      <c r="L16" t="n">
        <v>4</v>
      </c>
      <c r="M16" t="n">
        <v>2</v>
      </c>
      <c r="N16" t="n">
        <v>4</v>
      </c>
      <c r="O16" t="n">
        <v>4</v>
      </c>
      <c r="P16" t="n">
        <v>4</v>
      </c>
      <c r="Q16" t="n">
        <v>4</v>
      </c>
      <c r="R16" t="n">
        <v>6</v>
      </c>
      <c r="S16" t="n">
        <v>8</v>
      </c>
      <c r="T16" t="n">
        <v>6</v>
      </c>
      <c r="U16" t="n">
        <v>4</v>
      </c>
      <c r="V16" t="n">
        <v>5</v>
      </c>
      <c r="W16" t="n">
        <v>4</v>
      </c>
      <c r="X16" t="n">
        <v>5</v>
      </c>
      <c r="Y16" t="n">
        <v>2</v>
      </c>
      <c r="Z16" t="n">
        <v>4</v>
      </c>
      <c r="AA16" t="n">
        <v>5</v>
      </c>
      <c r="AB16" t="n">
        <v>5</v>
      </c>
      <c r="AC16" t="n">
        <v>3</v>
      </c>
      <c r="AD16" t="n">
        <v>4</v>
      </c>
      <c r="AE16" t="n">
        <v>3</v>
      </c>
      <c r="AF16" t="n">
        <v>3</v>
      </c>
    </row>
    <row r="17">
      <c r="A17" t="s">
        <v>5</v>
      </c>
      <c r="B17" t="s">
        <v>304</v>
      </c>
      <c r="C17" t="s">
        <v>236</v>
      </c>
      <c r="D17" t="s">
        <v>305</v>
      </c>
      <c r="E17" t="s">
        <v>237</v>
      </c>
      <c r="F17" t="n">
        <v>7</v>
      </c>
      <c r="G17" t="n">
        <v>8</v>
      </c>
      <c r="H17" t="n">
        <v>7</v>
      </c>
      <c r="I17" t="n">
        <v>8</v>
      </c>
      <c r="J17" t="n">
        <v>7</v>
      </c>
      <c r="K17" t="n">
        <v>7</v>
      </c>
      <c r="L17" t="n">
        <v>7</v>
      </c>
      <c r="M17" t="n">
        <v>4</v>
      </c>
      <c r="N17" t="n">
        <v>8</v>
      </c>
      <c r="O17" t="n">
        <v>7</v>
      </c>
      <c r="P17" t="n">
        <v>6</v>
      </c>
      <c r="Q17" t="n">
        <v>13</v>
      </c>
      <c r="R17" t="n">
        <v>14</v>
      </c>
      <c r="S17" t="n">
        <v>16</v>
      </c>
      <c r="T17" t="n">
        <v>20</v>
      </c>
      <c r="U17" t="n">
        <v>6</v>
      </c>
      <c r="V17" t="n">
        <v>8</v>
      </c>
      <c r="W17" t="n">
        <v>10</v>
      </c>
      <c r="X17" t="n">
        <v>7</v>
      </c>
      <c r="Y17" t="n">
        <v>10</v>
      </c>
      <c r="Z17" t="n">
        <v>12</v>
      </c>
      <c r="AA17" t="n">
        <v>9</v>
      </c>
      <c r="AB17" t="n">
        <v>9</v>
      </c>
      <c r="AC17" t="n">
        <v>10</v>
      </c>
      <c r="AD17" t="n">
        <v>11</v>
      </c>
      <c r="AE17" t="n">
        <v>8</v>
      </c>
      <c r="AF17" t="n">
        <v>7</v>
      </c>
    </row>
    <row r="18">
      <c r="A18" t="s">
        <v>5</v>
      </c>
      <c r="B18" t="s">
        <v>306</v>
      </c>
      <c r="C18" t="s">
        <v>236</v>
      </c>
      <c r="D18" t="s">
        <v>307</v>
      </c>
      <c r="E18" t="s">
        <v>237</v>
      </c>
      <c r="F18" t="n">
        <v>0</v>
      </c>
      <c r="G18" t="n">
        <v>1</v>
      </c>
      <c r="H18" t="n">
        <v>1</v>
      </c>
      <c r="I18" t="n">
        <v>1</v>
      </c>
      <c r="J18" t="n">
        <v>1</v>
      </c>
      <c r="K18" t="n">
        <v>0</v>
      </c>
      <c r="L18" t="n">
        <v>1</v>
      </c>
      <c r="M18" t="n">
        <v>0</v>
      </c>
      <c r="N18" t="n">
        <v>1</v>
      </c>
      <c r="O18" t="n">
        <v>1</v>
      </c>
      <c r="P18" t="n">
        <v>1</v>
      </c>
      <c r="Q18" t="n">
        <v>3</v>
      </c>
      <c r="R18" t="n">
        <v>4</v>
      </c>
      <c r="S18" t="n">
        <v>4</v>
      </c>
      <c r="T18" t="n">
        <v>6</v>
      </c>
      <c r="U18" t="n">
        <v>3</v>
      </c>
      <c r="V18" t="n">
        <v>3</v>
      </c>
      <c r="W18" t="n">
        <v>3</v>
      </c>
      <c r="X18" t="n">
        <v>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5</v>
      </c>
      <c r="B19" t="s">
        <v>308</v>
      </c>
      <c r="C19" t="s">
        <v>236</v>
      </c>
      <c r="D19" t="s">
        <v>309</v>
      </c>
      <c r="E19" t="s">
        <v>237</v>
      </c>
      <c r="F19" t="n">
        <v>0</v>
      </c>
      <c r="G19" t="n">
        <v>1</v>
      </c>
      <c r="H19" t="n">
        <v>1</v>
      </c>
      <c r="I19" t="n">
        <v>2</v>
      </c>
      <c r="J19" t="n">
        <v>2</v>
      </c>
      <c r="K19" t="n">
        <v>0</v>
      </c>
      <c r="L19" t="n">
        <v>1</v>
      </c>
      <c r="M19" t="n">
        <v>1</v>
      </c>
      <c r="N19" t="n">
        <v>1</v>
      </c>
      <c r="O19" t="n">
        <v>0</v>
      </c>
      <c r="P19" t="n">
        <v>1</v>
      </c>
      <c r="Q19" t="n">
        <v>4</v>
      </c>
      <c r="R19" t="n">
        <v>4</v>
      </c>
      <c r="S19" t="n">
        <v>4</v>
      </c>
      <c r="T19" t="n">
        <v>2</v>
      </c>
      <c r="U19" t="n">
        <v>2</v>
      </c>
      <c r="V19" t="n">
        <v>2</v>
      </c>
      <c r="W19" t="n">
        <v>2</v>
      </c>
      <c r="X19" t="n">
        <v>2</v>
      </c>
      <c r="Y19" t="n">
        <v>4</v>
      </c>
      <c r="Z19" t="n">
        <v>4</v>
      </c>
      <c r="AA19" t="n">
        <v>4</v>
      </c>
      <c r="AB19" t="n">
        <v>3</v>
      </c>
      <c r="AC19" t="n">
        <v>3</v>
      </c>
      <c r="AD19" t="n">
        <v>2</v>
      </c>
      <c r="AE19" t="n">
        <v>2</v>
      </c>
      <c r="AF19" t="n">
        <v>1</v>
      </c>
    </row>
    <row r="20">
      <c r="A20" t="s">
        <v>5</v>
      </c>
      <c r="B20" t="s">
        <v>310</v>
      </c>
      <c r="C20" t="s">
        <v>236</v>
      </c>
      <c r="D20" t="s">
        <v>311</v>
      </c>
      <c r="E20" t="s">
        <v>237</v>
      </c>
      <c r="F20" t="n">
        <v>16</v>
      </c>
      <c r="G20" t="n">
        <v>12</v>
      </c>
      <c r="H20" t="n">
        <v>20</v>
      </c>
      <c r="I20" t="n">
        <v>15</v>
      </c>
      <c r="J20" t="n">
        <v>17</v>
      </c>
      <c r="K20" t="n">
        <v>18</v>
      </c>
      <c r="L20" t="n">
        <v>16</v>
      </c>
      <c r="M20" t="n">
        <v>14</v>
      </c>
      <c r="N20" t="n">
        <v>20</v>
      </c>
      <c r="O20" t="n">
        <v>31</v>
      </c>
      <c r="P20" t="n">
        <v>30</v>
      </c>
      <c r="Q20" t="n">
        <v>45</v>
      </c>
      <c r="R20" t="n">
        <v>42</v>
      </c>
      <c r="S20" t="n">
        <v>49</v>
      </c>
      <c r="T20" t="n">
        <v>49</v>
      </c>
      <c r="U20" t="n">
        <v>27</v>
      </c>
      <c r="V20" t="n">
        <v>16</v>
      </c>
      <c r="W20" t="n">
        <v>12</v>
      </c>
      <c r="X20" t="n">
        <v>21</v>
      </c>
      <c r="Y20" t="n">
        <v>27</v>
      </c>
      <c r="Z20" t="n">
        <v>34</v>
      </c>
      <c r="AA20" t="n">
        <v>45</v>
      </c>
      <c r="AB20" t="n">
        <v>35</v>
      </c>
      <c r="AC20" t="n">
        <v>32</v>
      </c>
      <c r="AD20" t="n">
        <v>25</v>
      </c>
      <c r="AE20" t="n">
        <v>41</v>
      </c>
      <c r="AF20" t="n">
        <v>34</v>
      </c>
    </row>
    <row r="21">
      <c r="A21" t="s">
        <v>5</v>
      </c>
      <c r="B21" t="s">
        <v>312</v>
      </c>
      <c r="C21" t="s">
        <v>236</v>
      </c>
      <c r="D21" t="s">
        <v>313</v>
      </c>
      <c r="E21" t="s">
        <v>237</v>
      </c>
      <c r="F21" t="n">
        <v>17</v>
      </c>
      <c r="G21" t="n">
        <v>13</v>
      </c>
      <c r="H21" t="n">
        <v>21</v>
      </c>
      <c r="I21" t="n">
        <v>17</v>
      </c>
      <c r="J21" t="n">
        <v>19</v>
      </c>
      <c r="K21" t="n">
        <v>19</v>
      </c>
      <c r="L21" t="n">
        <v>18</v>
      </c>
      <c r="M21" t="n">
        <v>15</v>
      </c>
      <c r="N21" t="n">
        <v>22</v>
      </c>
      <c r="O21" t="n">
        <v>33</v>
      </c>
      <c r="P21" t="n">
        <v>32</v>
      </c>
      <c r="Q21" t="n">
        <v>49</v>
      </c>
      <c r="R21" t="n">
        <v>48</v>
      </c>
      <c r="S21" t="n">
        <v>54</v>
      </c>
      <c r="T21" t="n">
        <v>55</v>
      </c>
      <c r="U21" t="n">
        <v>31</v>
      </c>
      <c r="V21" t="n">
        <v>20</v>
      </c>
      <c r="W21" t="n">
        <v>19</v>
      </c>
      <c r="X21" t="n">
        <v>26</v>
      </c>
      <c r="Y21" t="n">
        <v>30</v>
      </c>
      <c r="Z21" t="n">
        <v>38</v>
      </c>
      <c r="AA21" t="n">
        <v>50</v>
      </c>
      <c r="AB21" t="n">
        <v>39</v>
      </c>
      <c r="AC21" t="n">
        <v>35</v>
      </c>
      <c r="AD21" t="n">
        <v>28</v>
      </c>
      <c r="AE21" t="n">
        <v>43</v>
      </c>
      <c r="AF21" t="n">
        <v>36</v>
      </c>
    </row>
    <row r="22">
      <c r="A22" t="s">
        <v>5</v>
      </c>
      <c r="B22" t="s">
        <v>314</v>
      </c>
      <c r="C22" t="s">
        <v>236</v>
      </c>
      <c r="D22" t="s">
        <v>315</v>
      </c>
      <c r="E22" t="s">
        <v>237</v>
      </c>
      <c r="F22" t="n">
        <v>1</v>
      </c>
      <c r="G22" t="n">
        <v>1</v>
      </c>
      <c r="H22" t="n">
        <v>1</v>
      </c>
      <c r="I22" t="n">
        <v>2</v>
      </c>
      <c r="J22" t="n">
        <v>2</v>
      </c>
      <c r="K22" t="n">
        <v>1</v>
      </c>
      <c r="L22" t="n">
        <v>2</v>
      </c>
      <c r="M22" t="n">
        <v>1</v>
      </c>
      <c r="N22" t="n">
        <v>2</v>
      </c>
      <c r="O22" t="n">
        <v>2</v>
      </c>
      <c r="P22" t="n">
        <v>2</v>
      </c>
      <c r="Q22" t="n">
        <v>4</v>
      </c>
      <c r="R22" t="n">
        <v>6</v>
      </c>
      <c r="S22" t="n">
        <v>5</v>
      </c>
      <c r="T22" t="n">
        <v>6</v>
      </c>
      <c r="U22" t="n">
        <v>4</v>
      </c>
      <c r="V22" t="n">
        <v>4</v>
      </c>
      <c r="W22" t="n">
        <v>7</v>
      </c>
      <c r="X22" t="n">
        <v>5</v>
      </c>
      <c r="Y22" t="n">
        <v>3</v>
      </c>
      <c r="Z22" t="n">
        <v>4</v>
      </c>
      <c r="AA22" t="n">
        <v>5</v>
      </c>
      <c r="AB22" t="n">
        <v>4</v>
      </c>
      <c r="AC22" t="n">
        <v>3</v>
      </c>
      <c r="AD22" t="n">
        <v>3</v>
      </c>
      <c r="AE22" t="n">
        <v>2</v>
      </c>
      <c r="AF22" t="n">
        <v>2</v>
      </c>
    </row>
    <row r="23">
      <c r="A23" t="s">
        <v>5</v>
      </c>
      <c r="B23" t="s">
        <v>316</v>
      </c>
      <c r="C23" t="s">
        <v>236</v>
      </c>
      <c r="D23" t="s">
        <v>317</v>
      </c>
      <c r="E23" t="s">
        <v>237</v>
      </c>
      <c r="F23" t="n">
        <v>2</v>
      </c>
      <c r="G23" t="n">
        <v>2</v>
      </c>
      <c r="H23" t="n">
        <v>2</v>
      </c>
      <c r="I23" t="n">
        <v>2</v>
      </c>
      <c r="J23" t="n">
        <v>4</v>
      </c>
      <c r="K23" t="n">
        <v>3</v>
      </c>
      <c r="L23" t="n">
        <v>3</v>
      </c>
      <c r="M23" t="n">
        <v>2</v>
      </c>
      <c r="N23" t="n">
        <v>5</v>
      </c>
      <c r="O23" t="n">
        <v>6</v>
      </c>
      <c r="P23" t="n">
        <v>6</v>
      </c>
      <c r="Q23" t="n">
        <v>16</v>
      </c>
      <c r="R23" t="n">
        <v>9</v>
      </c>
      <c r="S23" t="n">
        <v>11</v>
      </c>
      <c r="T23" t="n">
        <v>8</v>
      </c>
      <c r="U23" t="n">
        <v>8</v>
      </c>
      <c r="V23" t="n">
        <v>9</v>
      </c>
      <c r="W23" t="n">
        <v>9</v>
      </c>
      <c r="X23" t="n">
        <v>6</v>
      </c>
      <c r="Y23" t="n">
        <v>6</v>
      </c>
      <c r="Z23" t="n">
        <v>6</v>
      </c>
      <c r="AA23" t="n">
        <v>8</v>
      </c>
      <c r="AB23" t="n">
        <v>6</v>
      </c>
      <c r="AC23" t="n">
        <v>6</v>
      </c>
      <c r="AD23" t="n">
        <v>4</v>
      </c>
      <c r="AE23" t="n">
        <v>3</v>
      </c>
      <c r="AF23" t="n">
        <v>2</v>
      </c>
    </row>
    <row r="24">
      <c r="A24" t="s">
        <v>5</v>
      </c>
      <c r="B24" t="s">
        <v>318</v>
      </c>
      <c r="C24" t="s">
        <v>236</v>
      </c>
      <c r="D24" t="s">
        <v>319</v>
      </c>
      <c r="E24" t="s">
        <v>237</v>
      </c>
      <c r="F24" t="n">
        <v>25</v>
      </c>
      <c r="G24" t="n">
        <v>24</v>
      </c>
      <c r="H24" t="n">
        <v>42</v>
      </c>
      <c r="I24" t="n">
        <v>49</v>
      </c>
      <c r="J24" t="n">
        <v>58</v>
      </c>
      <c r="K24" t="n">
        <v>42</v>
      </c>
      <c r="L24" t="n">
        <v>42</v>
      </c>
      <c r="M24" t="n">
        <v>25</v>
      </c>
      <c r="N24" t="n">
        <v>50</v>
      </c>
      <c r="O24" t="n">
        <v>50</v>
      </c>
      <c r="P24" t="n">
        <v>46</v>
      </c>
      <c r="Q24" t="n">
        <v>40</v>
      </c>
      <c r="R24" t="n">
        <v>57</v>
      </c>
      <c r="S24" t="n">
        <v>71</v>
      </c>
      <c r="T24" t="n">
        <v>48</v>
      </c>
      <c r="U24" t="n">
        <v>46</v>
      </c>
      <c r="V24" t="n">
        <v>33</v>
      </c>
      <c r="W24" t="n">
        <v>43</v>
      </c>
      <c r="X24" t="n">
        <v>30</v>
      </c>
      <c r="Y24" t="n">
        <v>33</v>
      </c>
      <c r="Z24" t="n">
        <v>31</v>
      </c>
      <c r="AA24" t="n">
        <v>35</v>
      </c>
      <c r="AB24" t="n">
        <v>23</v>
      </c>
      <c r="AC24" t="n">
        <v>26</v>
      </c>
      <c r="AD24" t="n">
        <v>19</v>
      </c>
      <c r="AE24" t="n">
        <v>15</v>
      </c>
      <c r="AF24" t="n">
        <v>11</v>
      </c>
    </row>
    <row r="25">
      <c r="A25" t="s">
        <v>5</v>
      </c>
      <c r="B25" t="s">
        <v>320</v>
      </c>
      <c r="C25" t="s">
        <v>236</v>
      </c>
      <c r="D25" t="s">
        <v>321</v>
      </c>
      <c r="E25" t="s">
        <v>237</v>
      </c>
      <c r="F25" t="n">
        <v>2</v>
      </c>
      <c r="G25" t="n">
        <v>1</v>
      </c>
      <c r="H25" t="n">
        <v>2</v>
      </c>
      <c r="I25" t="n">
        <v>2</v>
      </c>
      <c r="J25" t="n">
        <v>3</v>
      </c>
      <c r="K25" t="n">
        <v>2</v>
      </c>
      <c r="L25" t="n">
        <v>2</v>
      </c>
      <c r="M25" t="n">
        <v>1</v>
      </c>
      <c r="N25" t="n">
        <v>2</v>
      </c>
      <c r="O25" t="n">
        <v>2</v>
      </c>
      <c r="P25" t="n">
        <v>2</v>
      </c>
      <c r="Q25" t="n">
        <v>5</v>
      </c>
      <c r="R25" t="n">
        <v>3</v>
      </c>
      <c r="S25" t="n">
        <v>12</v>
      </c>
      <c r="T25" t="n">
        <v>4</v>
      </c>
      <c r="U25" t="n">
        <v>6</v>
      </c>
      <c r="V25" t="n">
        <v>7</v>
      </c>
      <c r="W25" t="n">
        <v>4</v>
      </c>
      <c r="X25" t="n">
        <v>2</v>
      </c>
      <c r="Y25" t="n">
        <v>4</v>
      </c>
      <c r="Z25" t="n">
        <v>3</v>
      </c>
      <c r="AA25" t="n">
        <v>4</v>
      </c>
      <c r="AB25" t="n">
        <v>2</v>
      </c>
      <c r="AC25" t="n">
        <v>2</v>
      </c>
      <c r="AD25" t="n">
        <v>2</v>
      </c>
      <c r="AE25" t="n">
        <v>2</v>
      </c>
      <c r="AF25" t="n">
        <v>1</v>
      </c>
    </row>
    <row r="26">
      <c r="A26" t="s">
        <v>5</v>
      </c>
      <c r="B26" t="s">
        <v>322</v>
      </c>
      <c r="C26" t="s">
        <v>236</v>
      </c>
      <c r="D26" t="s">
        <v>323</v>
      </c>
      <c r="E26" t="s">
        <v>237</v>
      </c>
      <c r="F26" t="n">
        <v>13</v>
      </c>
      <c r="G26" t="n">
        <v>15</v>
      </c>
      <c r="H26" t="n">
        <v>26</v>
      </c>
      <c r="I26" t="n">
        <v>29</v>
      </c>
      <c r="J26" t="n">
        <v>31</v>
      </c>
      <c r="K26" t="n">
        <v>23</v>
      </c>
      <c r="L26" t="n">
        <v>23</v>
      </c>
      <c r="M26" t="n">
        <v>14</v>
      </c>
      <c r="N26" t="n">
        <v>26</v>
      </c>
      <c r="O26" t="n">
        <v>26</v>
      </c>
      <c r="P26" t="n">
        <v>24</v>
      </c>
      <c r="Q26" t="n">
        <v>18</v>
      </c>
      <c r="R26" t="n">
        <v>26</v>
      </c>
      <c r="S26" t="n">
        <v>27</v>
      </c>
      <c r="T26" t="n">
        <v>20</v>
      </c>
      <c r="U26" t="n">
        <v>19</v>
      </c>
      <c r="V26" t="n">
        <v>7</v>
      </c>
      <c r="W26" t="n">
        <v>15</v>
      </c>
      <c r="X26" t="n">
        <v>11</v>
      </c>
      <c r="Y26" t="n">
        <v>12</v>
      </c>
      <c r="Z26" t="n">
        <v>11</v>
      </c>
      <c r="AA26" t="n">
        <v>13</v>
      </c>
      <c r="AB26" t="n">
        <v>9</v>
      </c>
      <c r="AC26" t="n">
        <v>11</v>
      </c>
      <c r="AD26" t="n">
        <v>7</v>
      </c>
      <c r="AE26" t="n">
        <v>5</v>
      </c>
      <c r="AF26" t="n">
        <v>3</v>
      </c>
    </row>
    <row r="27">
      <c r="A27" t="s">
        <v>5</v>
      </c>
      <c r="B27" t="s">
        <v>324</v>
      </c>
      <c r="C27" t="s">
        <v>236</v>
      </c>
      <c r="D27" t="s">
        <v>325</v>
      </c>
      <c r="E27" t="s">
        <v>237</v>
      </c>
      <c r="F27" t="n">
        <v>10</v>
      </c>
      <c r="G27" t="n">
        <v>8</v>
      </c>
      <c r="H27" t="n">
        <v>14</v>
      </c>
      <c r="I27" t="n">
        <v>18</v>
      </c>
      <c r="J27" t="n">
        <v>24</v>
      </c>
      <c r="K27" t="n">
        <v>17</v>
      </c>
      <c r="L27" t="n">
        <v>17</v>
      </c>
      <c r="M27" t="n">
        <v>10</v>
      </c>
      <c r="N27" t="n">
        <v>22</v>
      </c>
      <c r="O27" t="n">
        <v>22</v>
      </c>
      <c r="P27" t="n">
        <v>20</v>
      </c>
      <c r="Q27" t="n">
        <v>17</v>
      </c>
      <c r="R27" t="n">
        <v>28</v>
      </c>
      <c r="S27" t="n">
        <v>32</v>
      </c>
      <c r="T27" t="n">
        <v>24</v>
      </c>
      <c r="U27" t="n">
        <v>21</v>
      </c>
      <c r="V27" t="n">
        <v>19</v>
      </c>
      <c r="W27" t="n">
        <v>24</v>
      </c>
      <c r="X27" t="n">
        <v>17</v>
      </c>
      <c r="Y27" t="n">
        <v>17</v>
      </c>
      <c r="Z27" t="n">
        <v>17</v>
      </c>
      <c r="AA27" t="n">
        <v>18</v>
      </c>
      <c r="AB27" t="n">
        <v>12</v>
      </c>
      <c r="AC27" t="n">
        <v>13</v>
      </c>
      <c r="AD27" t="n">
        <v>10</v>
      </c>
      <c r="AE27" t="n">
        <v>8</v>
      </c>
      <c r="AF27" t="n">
        <v>7</v>
      </c>
    </row>
    <row r="28">
      <c r="A28" t="s">
        <v>5</v>
      </c>
      <c r="B28" t="s">
        <v>326</v>
      </c>
      <c r="C28" t="s">
        <v>236</v>
      </c>
      <c r="D28" t="s">
        <v>327</v>
      </c>
      <c r="E28" t="s">
        <v>237</v>
      </c>
      <c r="F28" t="n">
        <v>33</v>
      </c>
      <c r="G28" t="n">
        <v>27</v>
      </c>
      <c r="H28" t="n">
        <v>33</v>
      </c>
      <c r="I28" t="n">
        <v>48</v>
      </c>
      <c r="J28" t="n">
        <v>51</v>
      </c>
      <c r="K28" t="n">
        <v>39</v>
      </c>
      <c r="L28" t="n">
        <v>38</v>
      </c>
      <c r="M28" t="n">
        <v>26</v>
      </c>
      <c r="N28" t="n">
        <v>59</v>
      </c>
      <c r="O28" t="n">
        <v>58</v>
      </c>
      <c r="P28" t="n">
        <v>37</v>
      </c>
      <c r="Q28" t="n">
        <v>27</v>
      </c>
      <c r="R28" t="n">
        <v>29</v>
      </c>
      <c r="S28" t="n">
        <v>33</v>
      </c>
      <c r="T28" t="n">
        <v>28</v>
      </c>
      <c r="U28" t="n">
        <v>23</v>
      </c>
      <c r="V28" t="n">
        <v>27</v>
      </c>
      <c r="W28" t="n">
        <v>22</v>
      </c>
      <c r="X28" t="n">
        <v>22</v>
      </c>
      <c r="Y28" t="n">
        <v>25</v>
      </c>
      <c r="Z28" t="n">
        <v>20</v>
      </c>
      <c r="AA28" t="n">
        <v>27</v>
      </c>
      <c r="AB28" t="n">
        <v>21</v>
      </c>
      <c r="AC28" t="n">
        <v>18</v>
      </c>
      <c r="AD28" t="n">
        <v>18</v>
      </c>
      <c r="AE28" t="n">
        <v>15</v>
      </c>
      <c r="AF28" t="n">
        <v>14</v>
      </c>
    </row>
    <row r="29">
      <c r="A29" t="s">
        <v>5</v>
      </c>
      <c r="B29" t="s">
        <v>328</v>
      </c>
      <c r="C29" t="s">
        <v>236</v>
      </c>
      <c r="D29" t="s">
        <v>329</v>
      </c>
      <c r="E29" t="s">
        <v>237</v>
      </c>
      <c r="F29" t="n">
        <v>15</v>
      </c>
      <c r="G29" t="n">
        <v>13</v>
      </c>
      <c r="H29" t="n">
        <v>16</v>
      </c>
      <c r="I29" t="n">
        <v>24</v>
      </c>
      <c r="J29" t="n">
        <v>19</v>
      </c>
      <c r="K29" t="n">
        <v>15</v>
      </c>
      <c r="L29" t="n">
        <v>17</v>
      </c>
      <c r="M29" t="n">
        <v>12</v>
      </c>
      <c r="N29" t="n">
        <v>27</v>
      </c>
      <c r="O29" t="n">
        <v>32</v>
      </c>
      <c r="P29" t="n">
        <v>13</v>
      </c>
      <c r="Q29" t="n">
        <v>12</v>
      </c>
      <c r="R29" t="n">
        <v>13</v>
      </c>
      <c r="S29" t="n">
        <v>13</v>
      </c>
      <c r="T29" t="n">
        <v>10</v>
      </c>
      <c r="U29" t="n">
        <v>8</v>
      </c>
      <c r="V29" t="n">
        <v>11</v>
      </c>
      <c r="W29" t="n">
        <v>9</v>
      </c>
      <c r="X29" t="n">
        <v>7</v>
      </c>
      <c r="Y29" t="n">
        <v>8</v>
      </c>
      <c r="Z29" t="n">
        <v>8</v>
      </c>
      <c r="AA29" t="n">
        <v>13</v>
      </c>
      <c r="AB29" t="n">
        <v>12</v>
      </c>
      <c r="AC29" t="n">
        <v>12</v>
      </c>
      <c r="AD29" t="n">
        <v>10</v>
      </c>
      <c r="AE29" t="n">
        <v>8</v>
      </c>
      <c r="AF29" t="n">
        <v>8</v>
      </c>
    </row>
    <row r="30">
      <c r="A30" t="s">
        <v>5</v>
      </c>
      <c r="B30" t="s">
        <v>330</v>
      </c>
      <c r="C30" t="s">
        <v>236</v>
      </c>
      <c r="D30" t="s">
        <v>331</v>
      </c>
      <c r="E30" t="s">
        <v>237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1</v>
      </c>
      <c r="N30" t="n">
        <v>2</v>
      </c>
      <c r="O30" t="n">
        <v>2</v>
      </c>
      <c r="P30" t="n">
        <v>3</v>
      </c>
      <c r="Q30" t="n">
        <v>3</v>
      </c>
      <c r="R30" t="n">
        <v>1</v>
      </c>
      <c r="S30" t="n">
        <v>1</v>
      </c>
      <c r="T30" t="n">
        <v>1</v>
      </c>
      <c r="U30" t="n">
        <v>1</v>
      </c>
      <c r="V30" t="n">
        <v>5</v>
      </c>
      <c r="W30" t="n">
        <v>3</v>
      </c>
      <c r="X30" t="n">
        <v>3</v>
      </c>
      <c r="Y30" t="n">
        <v>2</v>
      </c>
      <c r="Z30" t="n">
        <v>2</v>
      </c>
      <c r="AA30" t="n">
        <v>2</v>
      </c>
      <c r="AB30" t="n">
        <v>1</v>
      </c>
      <c r="AC30" t="n">
        <v>1</v>
      </c>
      <c r="AD30" t="n">
        <v>1</v>
      </c>
      <c r="AE30" t="n">
        <v>2</v>
      </c>
      <c r="AF30" t="n">
        <v>0</v>
      </c>
    </row>
    <row r="31">
      <c r="A31" t="s">
        <v>5</v>
      </c>
      <c r="B31" t="s">
        <v>332</v>
      </c>
      <c r="C31" t="s">
        <v>236</v>
      </c>
      <c r="D31" t="s">
        <v>333</v>
      </c>
      <c r="E31" t="s">
        <v>237</v>
      </c>
      <c r="F31" t="n">
        <v>2</v>
      </c>
      <c r="G31" t="n">
        <v>2</v>
      </c>
      <c r="H31" t="n">
        <v>3</v>
      </c>
      <c r="I31" t="n">
        <v>5</v>
      </c>
      <c r="J31" t="n">
        <v>5</v>
      </c>
      <c r="K31" t="n">
        <v>2</v>
      </c>
      <c r="L31" t="n">
        <v>4</v>
      </c>
      <c r="M31" t="n">
        <v>1</v>
      </c>
      <c r="N31" t="n">
        <v>1</v>
      </c>
      <c r="O31" t="n">
        <v>2</v>
      </c>
      <c r="P31" t="n">
        <v>2</v>
      </c>
      <c r="Q31" t="n">
        <v>1</v>
      </c>
      <c r="R31" t="n">
        <v>1</v>
      </c>
      <c r="S31" t="n">
        <v>5</v>
      </c>
      <c r="T31" t="n">
        <v>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5</v>
      </c>
      <c r="B32" t="s">
        <v>334</v>
      </c>
      <c r="C32" t="s">
        <v>236</v>
      </c>
      <c r="D32" t="s">
        <v>335</v>
      </c>
      <c r="E32" t="s">
        <v>237</v>
      </c>
      <c r="F32" t="n">
        <v>12</v>
      </c>
      <c r="G32" t="n">
        <v>10</v>
      </c>
      <c r="H32" t="n">
        <v>10</v>
      </c>
      <c r="I32" t="n">
        <v>13</v>
      </c>
      <c r="J32" t="n">
        <v>18</v>
      </c>
      <c r="K32" t="n">
        <v>16</v>
      </c>
      <c r="L32" t="n">
        <v>11</v>
      </c>
      <c r="M32" t="n">
        <v>8</v>
      </c>
      <c r="N32" t="n">
        <v>24</v>
      </c>
      <c r="O32" t="n">
        <v>21</v>
      </c>
      <c r="P32" t="n">
        <v>19</v>
      </c>
      <c r="Q32" t="n">
        <v>11</v>
      </c>
      <c r="R32" t="n">
        <v>13</v>
      </c>
      <c r="S32" t="n">
        <v>13</v>
      </c>
      <c r="T32" t="n">
        <v>14</v>
      </c>
      <c r="U32" t="n">
        <v>11</v>
      </c>
      <c r="V32" t="n">
        <v>10</v>
      </c>
      <c r="W32" t="n">
        <v>9</v>
      </c>
      <c r="X32" t="n">
        <v>11</v>
      </c>
      <c r="Y32" t="n">
        <v>13</v>
      </c>
      <c r="Z32" t="n">
        <v>9</v>
      </c>
      <c r="AA32" t="n">
        <v>10</v>
      </c>
      <c r="AB32" t="n">
        <v>5</v>
      </c>
      <c r="AC32" t="n">
        <v>3</v>
      </c>
      <c r="AD32" t="n">
        <v>6</v>
      </c>
      <c r="AE32" t="n">
        <v>4</v>
      </c>
      <c r="AF32" t="n">
        <v>5</v>
      </c>
    </row>
    <row r="33">
      <c r="A33" t="s">
        <v>5</v>
      </c>
      <c r="B33" t="s">
        <v>336</v>
      </c>
      <c r="C33" t="s">
        <v>236</v>
      </c>
      <c r="D33" t="s">
        <v>337</v>
      </c>
      <c r="E33" t="s">
        <v>237</v>
      </c>
      <c r="F33" t="n">
        <v>4</v>
      </c>
      <c r="G33" t="n">
        <v>2</v>
      </c>
      <c r="H33" t="n">
        <v>4</v>
      </c>
      <c r="I33" t="n">
        <v>6</v>
      </c>
      <c r="J33" t="n">
        <v>9</v>
      </c>
      <c r="K33" t="n">
        <v>6</v>
      </c>
      <c r="L33" t="n">
        <v>5</v>
      </c>
      <c r="M33" t="n">
        <v>4</v>
      </c>
      <c r="N33" t="n">
        <v>5</v>
      </c>
      <c r="O33" t="n">
        <v>1</v>
      </c>
      <c r="P33" t="n">
        <v>0</v>
      </c>
      <c r="Q33" t="n">
        <v>0</v>
      </c>
      <c r="R33" t="n">
        <v>1</v>
      </c>
      <c r="S33" t="n">
        <v>1</v>
      </c>
      <c r="T33" t="n">
        <v>2</v>
      </c>
      <c r="U33" t="n">
        <v>3</v>
      </c>
      <c r="V33" t="n">
        <v>1</v>
      </c>
      <c r="W33" t="n">
        <v>1</v>
      </c>
      <c r="X33" t="n">
        <v>1</v>
      </c>
      <c r="Y33" t="n">
        <v>2</v>
      </c>
      <c r="Z33" t="n">
        <v>1</v>
      </c>
      <c r="AA33" t="n">
        <v>2</v>
      </c>
      <c r="AB33" t="n">
        <v>3</v>
      </c>
      <c r="AC33" t="n">
        <v>2</v>
      </c>
      <c r="AD33" t="n">
        <v>1</v>
      </c>
      <c r="AE33" t="n">
        <v>1</v>
      </c>
      <c r="AF33" t="n">
        <v>1</v>
      </c>
    </row>
    <row r="34">
      <c r="A34" t="s">
        <v>5</v>
      </c>
      <c r="B34" t="s">
        <v>338</v>
      </c>
      <c r="C34" t="s">
        <v>236</v>
      </c>
      <c r="D34" t="s">
        <v>339</v>
      </c>
      <c r="E34" t="s">
        <v>237</v>
      </c>
      <c r="F34" t="n">
        <v>5</v>
      </c>
      <c r="G34" t="n">
        <v>6</v>
      </c>
      <c r="H34" t="n">
        <v>9</v>
      </c>
      <c r="I34" t="n">
        <v>14</v>
      </c>
      <c r="J34" t="n">
        <v>13</v>
      </c>
      <c r="K34" t="n">
        <v>10</v>
      </c>
      <c r="L34" t="n">
        <v>10</v>
      </c>
      <c r="M34" t="n">
        <v>6</v>
      </c>
      <c r="N34" t="n">
        <v>13</v>
      </c>
      <c r="O34" t="n">
        <v>14</v>
      </c>
      <c r="P34" t="n">
        <v>13</v>
      </c>
      <c r="Q34" t="n">
        <v>10</v>
      </c>
      <c r="R34" t="n">
        <v>11</v>
      </c>
      <c r="S34" t="n">
        <v>10</v>
      </c>
      <c r="T34" t="n">
        <v>8</v>
      </c>
      <c r="U34" t="n">
        <v>8</v>
      </c>
      <c r="V34" t="n">
        <v>10</v>
      </c>
      <c r="W34" t="n">
        <v>10</v>
      </c>
      <c r="X34" t="n">
        <v>5</v>
      </c>
      <c r="Y34" t="n">
        <v>5</v>
      </c>
      <c r="Z34" t="n">
        <v>5</v>
      </c>
      <c r="AA34" t="n">
        <v>6</v>
      </c>
      <c r="AB34" t="n">
        <v>3</v>
      </c>
      <c r="AC34" t="n">
        <v>6</v>
      </c>
      <c r="AD34" t="n">
        <v>4</v>
      </c>
      <c r="AE34" t="n">
        <v>3</v>
      </c>
      <c r="AF34" t="n">
        <v>3</v>
      </c>
    </row>
    <row r="35">
      <c r="A35" t="s">
        <v>5</v>
      </c>
      <c r="B35" t="s">
        <v>340</v>
      </c>
      <c r="C35" t="s">
        <v>236</v>
      </c>
      <c r="D35" t="s">
        <v>341</v>
      </c>
      <c r="E35" t="s">
        <v>237</v>
      </c>
      <c r="F35" t="n">
        <v>32</v>
      </c>
      <c r="G35" t="n">
        <v>29</v>
      </c>
      <c r="H35" t="n">
        <v>39</v>
      </c>
      <c r="I35" t="n">
        <v>46</v>
      </c>
      <c r="J35" t="n">
        <v>53</v>
      </c>
      <c r="K35" t="n">
        <v>46</v>
      </c>
      <c r="L35" t="n">
        <v>48</v>
      </c>
      <c r="M35" t="n">
        <v>30</v>
      </c>
      <c r="N35" t="n">
        <v>28</v>
      </c>
      <c r="O35" t="n">
        <v>83</v>
      </c>
      <c r="P35" t="n">
        <v>61</v>
      </c>
      <c r="Q35" t="n">
        <v>66</v>
      </c>
      <c r="R35" t="n">
        <v>62</v>
      </c>
      <c r="S35" t="n">
        <v>68</v>
      </c>
      <c r="T35" t="n">
        <v>37</v>
      </c>
      <c r="U35" t="n">
        <v>56</v>
      </c>
      <c r="V35" t="n">
        <v>108</v>
      </c>
      <c r="W35" t="n">
        <v>112</v>
      </c>
      <c r="X35" t="n">
        <v>94</v>
      </c>
      <c r="Y35" t="n">
        <v>98</v>
      </c>
      <c r="Z35" t="n">
        <v>109</v>
      </c>
      <c r="AA35" t="n">
        <v>117</v>
      </c>
      <c r="AB35" t="n">
        <v>107</v>
      </c>
      <c r="AC35" t="n">
        <v>148</v>
      </c>
      <c r="AD35" t="n">
        <v>99</v>
      </c>
      <c r="AE35" t="n">
        <v>113</v>
      </c>
      <c r="AF35" t="n">
        <v>122</v>
      </c>
    </row>
    <row r="36">
      <c r="A36" t="s">
        <v>5</v>
      </c>
      <c r="B36" t="s">
        <v>342</v>
      </c>
      <c r="C36" t="s">
        <v>236</v>
      </c>
      <c r="D36" t="s">
        <v>343</v>
      </c>
      <c r="E36" t="s">
        <v>237</v>
      </c>
      <c r="F36" t="n">
        <v>5</v>
      </c>
      <c r="G36" t="n">
        <v>4</v>
      </c>
      <c r="H36" t="n">
        <v>9</v>
      </c>
      <c r="I36" t="n">
        <v>8</v>
      </c>
      <c r="J36" t="n">
        <v>3</v>
      </c>
      <c r="K36" t="n">
        <v>4</v>
      </c>
      <c r="L36" t="n">
        <v>5</v>
      </c>
      <c r="M36" t="n">
        <v>4</v>
      </c>
      <c r="N36" t="n">
        <v>5</v>
      </c>
      <c r="O36" t="n">
        <v>4</v>
      </c>
      <c r="P36" t="n">
        <v>5</v>
      </c>
      <c r="Q36" t="n">
        <v>7</v>
      </c>
      <c r="R36" t="n">
        <v>8</v>
      </c>
      <c r="S36" t="n">
        <v>7</v>
      </c>
      <c r="T36" t="n">
        <v>8</v>
      </c>
      <c r="U36" t="n">
        <v>9</v>
      </c>
      <c r="V36" t="n">
        <v>9</v>
      </c>
      <c r="W36" t="n">
        <v>9</v>
      </c>
      <c r="X36" t="n">
        <v>4</v>
      </c>
      <c r="Y36" t="n">
        <v>3</v>
      </c>
      <c r="Z36" t="n">
        <v>3</v>
      </c>
      <c r="AA36" t="n">
        <v>4</v>
      </c>
      <c r="AB36" t="n">
        <v>5</v>
      </c>
      <c r="AC36" t="n">
        <v>4</v>
      </c>
      <c r="AD36" t="n">
        <v>3</v>
      </c>
      <c r="AE36" t="n">
        <v>2</v>
      </c>
      <c r="AF36" t="n">
        <v>5</v>
      </c>
    </row>
    <row r="37">
      <c r="A37" t="s">
        <v>5</v>
      </c>
      <c r="B37" t="s">
        <v>344</v>
      </c>
      <c r="C37" t="s">
        <v>236</v>
      </c>
      <c r="D37" t="s">
        <v>345</v>
      </c>
      <c r="E37" t="s">
        <v>237</v>
      </c>
      <c r="F37" t="n">
        <v>22</v>
      </c>
      <c r="G37" t="n">
        <v>21</v>
      </c>
      <c r="H37" t="n">
        <v>27</v>
      </c>
      <c r="I37" t="n">
        <v>34</v>
      </c>
      <c r="J37" t="n">
        <v>43</v>
      </c>
      <c r="K37" t="n">
        <v>36</v>
      </c>
      <c r="L37" t="n">
        <v>36</v>
      </c>
      <c r="M37" t="n">
        <v>22</v>
      </c>
      <c r="N37" t="n">
        <v>17</v>
      </c>
      <c r="O37" t="n">
        <v>64</v>
      </c>
      <c r="P37" t="n">
        <v>48</v>
      </c>
      <c r="Q37" t="n">
        <v>38</v>
      </c>
      <c r="R37" t="n">
        <v>30</v>
      </c>
      <c r="S37" t="n">
        <v>42</v>
      </c>
      <c r="T37" t="n">
        <v>20</v>
      </c>
      <c r="U37" t="n">
        <v>34</v>
      </c>
      <c r="V37" t="n">
        <v>86</v>
      </c>
      <c r="W37" t="n">
        <v>89</v>
      </c>
      <c r="X37" t="n">
        <v>74</v>
      </c>
      <c r="Y37" t="n">
        <v>75</v>
      </c>
      <c r="Z37" t="n">
        <v>75</v>
      </c>
      <c r="AA37" t="n">
        <v>87</v>
      </c>
      <c r="AB37" t="n">
        <v>68</v>
      </c>
      <c r="AC37" t="n">
        <v>107</v>
      </c>
      <c r="AD37" t="n">
        <v>84</v>
      </c>
      <c r="AE37" t="n">
        <v>102</v>
      </c>
      <c r="AF37" t="n">
        <v>107</v>
      </c>
    </row>
    <row r="38">
      <c r="A38" t="s">
        <v>5</v>
      </c>
      <c r="B38" t="s">
        <v>346</v>
      </c>
      <c r="C38" t="s">
        <v>236</v>
      </c>
      <c r="D38" t="s">
        <v>347</v>
      </c>
      <c r="E38" t="s">
        <v>237</v>
      </c>
      <c r="F38" t="n">
        <v>5</v>
      </c>
      <c r="G38" t="n">
        <v>4</v>
      </c>
      <c r="H38" t="n">
        <v>3</v>
      </c>
      <c r="I38" t="n">
        <v>4</v>
      </c>
      <c r="J38" t="n">
        <v>7</v>
      </c>
      <c r="K38" t="n">
        <v>6</v>
      </c>
      <c r="L38" t="n">
        <v>7</v>
      </c>
      <c r="M38" t="n">
        <v>4</v>
      </c>
      <c r="N38" t="n">
        <v>6</v>
      </c>
      <c r="O38" t="n">
        <v>15</v>
      </c>
      <c r="P38" t="n">
        <v>8</v>
      </c>
      <c r="Q38" t="n">
        <v>21</v>
      </c>
      <c r="R38" t="n">
        <v>24</v>
      </c>
      <c r="S38" t="n">
        <v>19</v>
      </c>
      <c r="T38" t="n">
        <v>9</v>
      </c>
      <c r="U38" t="n">
        <v>13</v>
      </c>
      <c r="V38" t="n">
        <v>13</v>
      </c>
      <c r="W38" t="n">
        <v>14</v>
      </c>
      <c r="X38" t="n">
        <v>16</v>
      </c>
      <c r="Y38" t="n">
        <v>20</v>
      </c>
      <c r="Z38" t="n">
        <v>31</v>
      </c>
      <c r="AA38" t="n">
        <v>26</v>
      </c>
      <c r="AB38" t="n">
        <v>34</v>
      </c>
      <c r="AC38" t="n">
        <v>37</v>
      </c>
      <c r="AD38" t="n">
        <v>12</v>
      </c>
      <c r="AE38" t="n">
        <v>9</v>
      </c>
      <c r="AF38" t="n">
        <v>10</v>
      </c>
    </row>
    <row r="39">
      <c r="A39" t="s">
        <v>5</v>
      </c>
      <c r="B39" t="s">
        <v>348</v>
      </c>
      <c r="C39" t="s">
        <v>236</v>
      </c>
      <c r="D39" t="s">
        <v>349</v>
      </c>
      <c r="E39" t="s">
        <v>237</v>
      </c>
      <c r="F39" t="n">
        <v>2</v>
      </c>
      <c r="G39" t="n">
        <v>5</v>
      </c>
      <c r="H39" t="n">
        <v>3</v>
      </c>
      <c r="I39" t="n">
        <v>4</v>
      </c>
      <c r="J39" t="n">
        <v>4</v>
      </c>
      <c r="K39" t="n">
        <v>6</v>
      </c>
      <c r="L39" t="n">
        <v>4</v>
      </c>
      <c r="M39" t="n">
        <v>6</v>
      </c>
      <c r="N39" t="n">
        <v>6</v>
      </c>
      <c r="O39" t="n">
        <v>3</v>
      </c>
      <c r="P39" t="n">
        <v>6</v>
      </c>
      <c r="Q39" t="n">
        <v>10</v>
      </c>
      <c r="R39" t="n">
        <v>15</v>
      </c>
      <c r="S39" t="n">
        <v>18</v>
      </c>
      <c r="T39" t="n">
        <v>11</v>
      </c>
      <c r="U39" t="n">
        <v>8</v>
      </c>
      <c r="V39" t="n">
        <v>8</v>
      </c>
      <c r="W39" t="n">
        <v>4</v>
      </c>
      <c r="X39" t="n">
        <v>7</v>
      </c>
      <c r="Y39" t="n">
        <v>2</v>
      </c>
      <c r="Z39" t="n">
        <v>3</v>
      </c>
      <c r="AA39" t="n">
        <v>3</v>
      </c>
      <c r="AB39" t="n">
        <v>52</v>
      </c>
      <c r="AC39" t="n">
        <v>28</v>
      </c>
      <c r="AD39" t="n">
        <v>46</v>
      </c>
      <c r="AE39" t="n">
        <v>36</v>
      </c>
      <c r="AF39" t="n">
        <v>34</v>
      </c>
    </row>
    <row r="40">
      <c r="A40" t="s">
        <v>5</v>
      </c>
      <c r="B40" t="s">
        <v>350</v>
      </c>
      <c r="C40" t="s">
        <v>236</v>
      </c>
      <c r="D40" t="s">
        <v>351</v>
      </c>
      <c r="E40" t="s">
        <v>237</v>
      </c>
      <c r="F40" t="n">
        <v>0</v>
      </c>
      <c r="G40" t="n">
        <v>0</v>
      </c>
      <c r="H40" t="n">
        <v>0</v>
      </c>
      <c r="I40" t="n">
        <v>1</v>
      </c>
      <c r="J40" t="n">
        <v>1</v>
      </c>
      <c r="K40" t="n">
        <v>3</v>
      </c>
      <c r="L40" t="n">
        <v>2</v>
      </c>
      <c r="M40" t="n">
        <v>2</v>
      </c>
      <c r="N40" t="n">
        <v>4</v>
      </c>
      <c r="O40" t="n">
        <v>5</v>
      </c>
      <c r="P40" t="n">
        <v>6</v>
      </c>
      <c r="Q40" t="n">
        <v>6</v>
      </c>
      <c r="R40" t="n">
        <v>6</v>
      </c>
      <c r="S40" t="n">
        <v>15</v>
      </c>
      <c r="T40" t="n">
        <v>7</v>
      </c>
      <c r="U40" t="n">
        <v>3</v>
      </c>
      <c r="V40" t="n">
        <v>2</v>
      </c>
      <c r="W40" t="n">
        <v>1</v>
      </c>
      <c r="X40" t="n">
        <v>4</v>
      </c>
      <c r="Y40" t="n">
        <v>4</v>
      </c>
      <c r="Z40" t="n">
        <v>4</v>
      </c>
      <c r="AA40" t="n">
        <v>5</v>
      </c>
      <c r="AB40" t="n">
        <v>5</v>
      </c>
      <c r="AC40" t="n">
        <v>5</v>
      </c>
      <c r="AD40" t="n">
        <v>4</v>
      </c>
      <c r="AE40" t="n">
        <v>4</v>
      </c>
      <c r="AF40" t="n">
        <v>4</v>
      </c>
    </row>
    <row r="41">
      <c r="A41" t="s">
        <v>5</v>
      </c>
      <c r="B41" t="s">
        <v>352</v>
      </c>
      <c r="C41" t="s">
        <v>236</v>
      </c>
      <c r="D41" t="s">
        <v>353</v>
      </c>
      <c r="E41" t="s">
        <v>237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/>
      <c r="AD41"/>
      <c r="AE41"/>
      <c r="AF41"/>
    </row>
    <row r="42">
      <c r="A42" t="s">
        <v>5</v>
      </c>
      <c r="B42" t="s">
        <v>354</v>
      </c>
      <c r="C42" t="s">
        <v>236</v>
      </c>
      <c r="D42" t="s">
        <v>355</v>
      </c>
      <c r="E42" t="s">
        <v>237</v>
      </c>
      <c r="F42" t="n">
        <v>9</v>
      </c>
      <c r="G42" t="n">
        <v>10</v>
      </c>
      <c r="H42" t="n">
        <v>13</v>
      </c>
      <c r="I42" t="n">
        <v>16</v>
      </c>
      <c r="J42" t="n">
        <v>20</v>
      </c>
      <c r="K42" t="n">
        <v>17</v>
      </c>
      <c r="L42" t="n">
        <v>17</v>
      </c>
      <c r="M42" t="n">
        <v>11</v>
      </c>
      <c r="N42" t="n">
        <v>21</v>
      </c>
      <c r="O42" t="n">
        <v>19</v>
      </c>
      <c r="P42" t="n">
        <v>21</v>
      </c>
      <c r="Q42" t="n">
        <v>25</v>
      </c>
      <c r="R42" t="n">
        <v>25</v>
      </c>
      <c r="S42" t="n">
        <v>34</v>
      </c>
      <c r="T42" t="n">
        <v>10</v>
      </c>
      <c r="U42" t="n">
        <v>16</v>
      </c>
      <c r="V42" t="n">
        <v>20</v>
      </c>
      <c r="W42" t="n">
        <v>12</v>
      </c>
      <c r="X42" t="n">
        <v>14</v>
      </c>
      <c r="Y42" t="n">
        <v>10</v>
      </c>
      <c r="Z42" t="n">
        <v>9</v>
      </c>
      <c r="AA42" t="n">
        <v>12</v>
      </c>
      <c r="AB42" t="n">
        <v>12</v>
      </c>
      <c r="AC42" t="n">
        <v>10</v>
      </c>
      <c r="AD42" t="n">
        <v>9</v>
      </c>
      <c r="AE42" t="n">
        <v>9</v>
      </c>
      <c r="AF42" t="n">
        <v>9</v>
      </c>
    </row>
    <row r="43">
      <c r="A43" t="s">
        <v>5</v>
      </c>
      <c r="B43" t="s">
        <v>356</v>
      </c>
      <c r="C43" t="s">
        <v>236</v>
      </c>
      <c r="D43" t="s">
        <v>357</v>
      </c>
      <c r="E43" t="s">
        <v>237</v>
      </c>
      <c r="F43" t="n">
        <v>14</v>
      </c>
      <c r="G43" t="n">
        <v>16</v>
      </c>
      <c r="H43" t="n">
        <v>20</v>
      </c>
      <c r="I43" t="n">
        <v>26</v>
      </c>
      <c r="J43" t="n">
        <v>31</v>
      </c>
      <c r="K43" t="n">
        <v>29</v>
      </c>
      <c r="L43" t="n">
        <v>26</v>
      </c>
      <c r="M43" t="n">
        <v>17</v>
      </c>
      <c r="N43" t="n">
        <v>39</v>
      </c>
      <c r="O43" t="n">
        <v>36</v>
      </c>
      <c r="P43" t="n">
        <v>40</v>
      </c>
      <c r="Q43" t="n">
        <v>47</v>
      </c>
      <c r="R43" t="n">
        <v>49</v>
      </c>
      <c r="S43" t="n">
        <v>67</v>
      </c>
      <c r="T43" t="n">
        <v>35</v>
      </c>
      <c r="U43" t="n">
        <v>38</v>
      </c>
      <c r="V43" t="n">
        <v>46</v>
      </c>
      <c r="W43" t="n">
        <v>37</v>
      </c>
      <c r="X43" t="n">
        <v>34</v>
      </c>
      <c r="Y43" t="n">
        <v>26</v>
      </c>
      <c r="Z43" t="n">
        <v>22</v>
      </c>
      <c r="AA43" t="n">
        <v>31</v>
      </c>
      <c r="AB43" t="n">
        <v>26</v>
      </c>
      <c r="AC43" t="n">
        <v>25</v>
      </c>
      <c r="AD43" t="n">
        <v>24</v>
      </c>
      <c r="AE43" t="n">
        <v>21</v>
      </c>
      <c r="AF43" t="n">
        <v>21</v>
      </c>
    </row>
    <row r="44">
      <c r="A44" t="s">
        <v>5</v>
      </c>
      <c r="B44" t="s">
        <v>358</v>
      </c>
      <c r="C44" t="s">
        <v>236</v>
      </c>
      <c r="D44" t="s">
        <v>359</v>
      </c>
      <c r="E44" t="s">
        <v>237</v>
      </c>
      <c r="F44" t="n">
        <v>247</v>
      </c>
      <c r="G44" t="n">
        <v>238</v>
      </c>
      <c r="H44" t="n">
        <v>307</v>
      </c>
      <c r="I44" t="n">
        <v>374</v>
      </c>
      <c r="J44" t="n">
        <v>398</v>
      </c>
      <c r="K44" t="n">
        <v>333</v>
      </c>
      <c r="L44" t="n">
        <v>363</v>
      </c>
      <c r="M44" t="n">
        <v>213</v>
      </c>
      <c r="N44" t="n">
        <v>381</v>
      </c>
      <c r="O44" t="n">
        <v>468</v>
      </c>
      <c r="P44" t="n">
        <v>401</v>
      </c>
      <c r="Q44" t="n">
        <v>540</v>
      </c>
      <c r="R44" t="n">
        <v>639</v>
      </c>
      <c r="S44" t="n">
        <v>635</v>
      </c>
      <c r="T44" t="n">
        <v>473</v>
      </c>
      <c r="U44" t="n">
        <v>411</v>
      </c>
      <c r="V44" t="n">
        <v>459</v>
      </c>
      <c r="W44" t="n">
        <v>485</v>
      </c>
      <c r="X44" t="n">
        <v>406</v>
      </c>
      <c r="Y44" t="n">
        <v>403</v>
      </c>
      <c r="Z44" t="n">
        <v>463</v>
      </c>
      <c r="AA44" t="n">
        <v>498</v>
      </c>
      <c r="AB44" t="n">
        <v>545</v>
      </c>
      <c r="AC44" t="n">
        <v>499</v>
      </c>
      <c r="AD44" t="n">
        <v>437</v>
      </c>
      <c r="AE44" t="n">
        <v>425</v>
      </c>
      <c r="AF44" t="n">
        <v>453</v>
      </c>
    </row>
    <row r="45">
      <c r="A45" t="s">
        <v>5</v>
      </c>
      <c r="B45" t="s">
        <v>360</v>
      </c>
      <c r="C45" t="s">
        <v>236</v>
      </c>
      <c r="D45" t="s">
        <v>361</v>
      </c>
      <c r="E45" t="s">
        <v>237</v>
      </c>
      <c r="F45" t="n">
        <v>236</v>
      </c>
      <c r="G45" t="n">
        <v>230</v>
      </c>
      <c r="H45" t="n">
        <v>295</v>
      </c>
      <c r="I45" t="n">
        <v>360</v>
      </c>
      <c r="J45" t="n">
        <v>382</v>
      </c>
      <c r="K45" t="n">
        <v>322</v>
      </c>
      <c r="L45" t="n">
        <v>352</v>
      </c>
      <c r="M45" t="n">
        <v>206</v>
      </c>
      <c r="N45" t="n">
        <v>367</v>
      </c>
      <c r="O45" t="n">
        <v>450</v>
      </c>
      <c r="P45" t="n">
        <v>386</v>
      </c>
      <c r="Q45" t="n">
        <v>530</v>
      </c>
      <c r="R45" t="n">
        <v>629</v>
      </c>
      <c r="S45" t="n">
        <v>628</v>
      </c>
      <c r="T45" t="n">
        <v>463</v>
      </c>
      <c r="U45" t="n">
        <v>404</v>
      </c>
      <c r="V45" t="n">
        <v>452</v>
      </c>
      <c r="W45" t="n">
        <v>476</v>
      </c>
      <c r="X45" t="n">
        <v>397</v>
      </c>
      <c r="Y45" t="n">
        <v>394</v>
      </c>
      <c r="Z45" t="n">
        <v>454</v>
      </c>
      <c r="AA45" t="n">
        <v>490</v>
      </c>
      <c r="AB45" t="n">
        <v>537</v>
      </c>
      <c r="AC45" t="n">
        <v>491</v>
      </c>
      <c r="AD45" t="n">
        <v>429</v>
      </c>
      <c r="AE45" t="n">
        <v>417</v>
      </c>
      <c r="AF45" t="n">
        <v>445</v>
      </c>
    </row>
    <row r="46">
      <c r="A46" t="s">
        <v>5</v>
      </c>
      <c r="B46" t="s">
        <v>362</v>
      </c>
      <c r="C46" t="s">
        <v>236</v>
      </c>
      <c r="D46" t="s">
        <v>363</v>
      </c>
      <c r="E46" t="s">
        <v>237</v>
      </c>
      <c r="F46" t="n">
        <v>5</v>
      </c>
      <c r="G46" t="n">
        <v>6</v>
      </c>
      <c r="H46" t="n">
        <v>7</v>
      </c>
      <c r="I46" t="n">
        <v>10</v>
      </c>
      <c r="J46" t="n">
        <v>11</v>
      </c>
      <c r="K46" t="n">
        <v>12</v>
      </c>
      <c r="L46" t="n">
        <v>9</v>
      </c>
      <c r="M46" t="n">
        <v>6</v>
      </c>
      <c r="N46" t="n">
        <v>18</v>
      </c>
      <c r="O46" t="n">
        <v>17</v>
      </c>
      <c r="P46" t="n">
        <v>19</v>
      </c>
      <c r="Q46" t="n">
        <v>22</v>
      </c>
      <c r="R46" t="n">
        <v>24</v>
      </c>
      <c r="S46" t="n">
        <v>33</v>
      </c>
      <c r="T46" t="n">
        <v>25</v>
      </c>
      <c r="U46" t="n">
        <v>22</v>
      </c>
      <c r="V46" t="n">
        <v>26</v>
      </c>
      <c r="W46" t="n">
        <v>25</v>
      </c>
      <c r="X46" t="n">
        <v>20</v>
      </c>
      <c r="Y46" t="n">
        <v>16</v>
      </c>
      <c r="Z46" t="n">
        <v>13</v>
      </c>
      <c r="AA46" t="n">
        <v>19</v>
      </c>
      <c r="AB46" t="n">
        <v>14</v>
      </c>
      <c r="AC46" t="n">
        <v>15</v>
      </c>
      <c r="AD46" t="n">
        <v>15</v>
      </c>
      <c r="AE46" t="n">
        <v>12</v>
      </c>
      <c r="AF46" t="n">
        <v>12</v>
      </c>
    </row>
    <row r="47">
      <c r="A47" t="s">
        <v>5</v>
      </c>
      <c r="B47" t="s">
        <v>364</v>
      </c>
      <c r="C47" t="s">
        <v>236</v>
      </c>
      <c r="D47" t="s">
        <v>365</v>
      </c>
      <c r="E47" t="s">
        <v>237</v>
      </c>
      <c r="F47" t="n">
        <v>12</v>
      </c>
      <c r="G47" t="n">
        <v>13</v>
      </c>
      <c r="H47" t="n">
        <v>14</v>
      </c>
      <c r="I47" t="n">
        <v>19</v>
      </c>
      <c r="J47" t="n">
        <v>27</v>
      </c>
      <c r="K47" t="n">
        <v>21</v>
      </c>
      <c r="L47" t="n">
        <v>25</v>
      </c>
      <c r="M47" t="n">
        <v>14</v>
      </c>
      <c r="N47" t="n">
        <v>26</v>
      </c>
      <c r="O47" t="n">
        <v>31</v>
      </c>
      <c r="P47" t="n">
        <v>26</v>
      </c>
      <c r="Q47" t="n">
        <v>9</v>
      </c>
      <c r="R47" t="n">
        <v>13</v>
      </c>
      <c r="S47" t="n">
        <v>13</v>
      </c>
      <c r="T47" t="n">
        <v>8</v>
      </c>
      <c r="U47" t="n">
        <v>7</v>
      </c>
      <c r="V47" t="n">
        <v>4</v>
      </c>
      <c r="W47" t="n">
        <v>7</v>
      </c>
      <c r="X47" t="n">
        <v>6</v>
      </c>
      <c r="Y47" t="n">
        <v>4</v>
      </c>
      <c r="Z47" t="n">
        <v>7</v>
      </c>
      <c r="AA47" t="n">
        <v>7</v>
      </c>
      <c r="AB47" t="n">
        <v>8</v>
      </c>
      <c r="AC47" t="n">
        <v>6</v>
      </c>
      <c r="AD47" t="n">
        <v>8</v>
      </c>
      <c r="AE47" t="n">
        <v>6</v>
      </c>
      <c r="AF47" t="n">
        <v>7</v>
      </c>
    </row>
    <row r="48">
      <c r="A48" t="s">
        <v>5</v>
      </c>
      <c r="B48" t="s">
        <v>366</v>
      </c>
      <c r="C48" t="s">
        <v>236</v>
      </c>
      <c r="D48" t="s">
        <v>367</v>
      </c>
      <c r="E48" t="s">
        <v>237</v>
      </c>
      <c r="F48" t="n">
        <v>35</v>
      </c>
      <c r="G48" t="n">
        <v>34</v>
      </c>
      <c r="H48" t="n">
        <v>43</v>
      </c>
      <c r="I48" t="n">
        <v>53</v>
      </c>
      <c r="J48" t="n">
        <v>69</v>
      </c>
      <c r="K48" t="n">
        <v>58</v>
      </c>
      <c r="L48" t="n">
        <v>66</v>
      </c>
      <c r="M48" t="n">
        <v>42</v>
      </c>
      <c r="N48" t="n">
        <v>76</v>
      </c>
      <c r="O48" t="n">
        <v>91</v>
      </c>
      <c r="P48" t="n">
        <v>82</v>
      </c>
      <c r="Q48" t="n">
        <v>40</v>
      </c>
      <c r="R48" t="n">
        <v>42</v>
      </c>
      <c r="S48" t="n">
        <v>42</v>
      </c>
      <c r="T48" t="n">
        <v>42</v>
      </c>
      <c r="U48" t="n">
        <v>29</v>
      </c>
      <c r="V48" t="n">
        <v>26</v>
      </c>
      <c r="W48" t="n">
        <v>30</v>
      </c>
      <c r="X48" t="n">
        <v>30</v>
      </c>
      <c r="Y48" t="n">
        <v>27</v>
      </c>
      <c r="Z48" t="n">
        <v>27</v>
      </c>
      <c r="AA48" t="n">
        <v>27</v>
      </c>
      <c r="AB48" t="n">
        <v>25</v>
      </c>
      <c r="AC48" t="n">
        <v>24</v>
      </c>
      <c r="AD48" t="n">
        <v>25</v>
      </c>
      <c r="AE48" t="n">
        <v>22</v>
      </c>
      <c r="AF48" t="n">
        <v>26</v>
      </c>
    </row>
    <row r="49">
      <c r="A49" t="s">
        <v>5</v>
      </c>
      <c r="B49" t="s">
        <v>368</v>
      </c>
      <c r="C49" t="s">
        <v>236</v>
      </c>
      <c r="D49" t="s">
        <v>369</v>
      </c>
      <c r="E49" t="s">
        <v>237</v>
      </c>
      <c r="F49" t="n">
        <v>11</v>
      </c>
      <c r="G49" t="n">
        <v>8</v>
      </c>
      <c r="H49" t="n">
        <v>11</v>
      </c>
      <c r="I49" t="n">
        <v>13</v>
      </c>
      <c r="J49" t="n">
        <v>16</v>
      </c>
      <c r="K49" t="n">
        <v>13</v>
      </c>
      <c r="L49" t="n">
        <v>15</v>
      </c>
      <c r="M49" t="n">
        <v>10</v>
      </c>
      <c r="N49" t="n">
        <v>17</v>
      </c>
      <c r="O49" t="n">
        <v>19</v>
      </c>
      <c r="P49" t="n">
        <v>15</v>
      </c>
      <c r="Q49" t="n">
        <v>14</v>
      </c>
      <c r="R49" t="n">
        <v>13</v>
      </c>
      <c r="S49" t="n">
        <v>13</v>
      </c>
      <c r="T49" t="n">
        <v>6</v>
      </c>
      <c r="U49" t="n">
        <v>5</v>
      </c>
      <c r="V49" t="n">
        <v>5</v>
      </c>
      <c r="W49" t="n">
        <v>7</v>
      </c>
      <c r="X49" t="n">
        <v>7</v>
      </c>
      <c r="Y49" t="n">
        <v>5</v>
      </c>
      <c r="Z49" t="n">
        <v>7</v>
      </c>
      <c r="AA49" t="n">
        <v>8</v>
      </c>
      <c r="AB49" t="n">
        <v>9</v>
      </c>
      <c r="AC49" t="n">
        <v>10</v>
      </c>
      <c r="AD49" t="n">
        <v>9</v>
      </c>
      <c r="AE49" t="n">
        <v>8</v>
      </c>
      <c r="AF49" t="n">
        <v>9</v>
      </c>
    </row>
    <row r="50">
      <c r="A50" t="s">
        <v>5</v>
      </c>
      <c r="B50" t="s">
        <v>370</v>
      </c>
      <c r="C50" t="s">
        <v>236</v>
      </c>
      <c r="D50" t="s">
        <v>371</v>
      </c>
      <c r="E50" t="s">
        <v>237</v>
      </c>
      <c r="F50" t="n">
        <v>12</v>
      </c>
      <c r="G50" t="n">
        <v>13</v>
      </c>
      <c r="H50" t="n">
        <v>18</v>
      </c>
      <c r="I50" t="n">
        <v>21</v>
      </c>
      <c r="J50" t="n">
        <v>26</v>
      </c>
      <c r="K50" t="n">
        <v>24</v>
      </c>
      <c r="L50" t="n">
        <v>26</v>
      </c>
      <c r="M50" t="n">
        <v>18</v>
      </c>
      <c r="N50" t="n">
        <v>33</v>
      </c>
      <c r="O50" t="n">
        <v>41</v>
      </c>
      <c r="P50" t="n">
        <v>41</v>
      </c>
      <c r="Q50" t="n">
        <v>17</v>
      </c>
      <c r="R50" t="n">
        <v>16</v>
      </c>
      <c r="S50" t="n">
        <v>16</v>
      </c>
      <c r="T50" t="n">
        <v>28</v>
      </c>
      <c r="U50" t="n">
        <v>17</v>
      </c>
      <c r="V50" t="n">
        <v>17</v>
      </c>
      <c r="W50" t="n">
        <v>16</v>
      </c>
      <c r="X50" t="n">
        <v>17</v>
      </c>
      <c r="Y50" t="n">
        <v>18</v>
      </c>
      <c r="Z50" t="n">
        <v>13</v>
      </c>
      <c r="AA50" t="n">
        <v>12</v>
      </c>
      <c r="AB50" t="n">
        <v>8</v>
      </c>
      <c r="AC50" t="n">
        <v>8</v>
      </c>
      <c r="AD50" t="n">
        <v>8</v>
      </c>
      <c r="AE50" t="n">
        <v>8</v>
      </c>
      <c r="AF50" t="n">
        <v>10</v>
      </c>
    </row>
    <row r="51">
      <c r="A51" t="s">
        <v>5</v>
      </c>
      <c r="B51" t="s">
        <v>372</v>
      </c>
      <c r="C51" t="s">
        <v>236</v>
      </c>
      <c r="D51" t="s">
        <v>373</v>
      </c>
      <c r="E51" t="s">
        <v>237</v>
      </c>
      <c r="F51" t="n">
        <v>12</v>
      </c>
      <c r="G51" t="n">
        <v>13</v>
      </c>
      <c r="H51" t="n">
        <v>17</v>
      </c>
      <c r="I51" t="n">
        <v>20</v>
      </c>
      <c r="J51" t="n">
        <v>25</v>
      </c>
      <c r="K51" t="n">
        <v>24</v>
      </c>
      <c r="L51" t="n">
        <v>25</v>
      </c>
      <c r="M51" t="n">
        <v>18</v>
      </c>
      <c r="N51" t="n">
        <v>31</v>
      </c>
      <c r="O51" t="n">
        <v>38</v>
      </c>
      <c r="P51" t="n">
        <v>38</v>
      </c>
      <c r="Q51" t="n">
        <v>17</v>
      </c>
      <c r="R51" t="n">
        <v>16</v>
      </c>
      <c r="S51" t="n">
        <v>16</v>
      </c>
      <c r="T51" t="n">
        <v>27</v>
      </c>
      <c r="U51" t="n">
        <v>16</v>
      </c>
      <c r="V51" t="n">
        <v>17</v>
      </c>
      <c r="W51" t="n">
        <v>15</v>
      </c>
      <c r="X51" t="n">
        <v>15</v>
      </c>
      <c r="Y51" t="n">
        <v>16</v>
      </c>
      <c r="Z51" t="n">
        <v>11</v>
      </c>
      <c r="AA51" t="n">
        <v>9</v>
      </c>
      <c r="AB51" t="n">
        <v>7</v>
      </c>
      <c r="AC51" t="n">
        <v>7</v>
      </c>
      <c r="AD51" t="n">
        <v>6</v>
      </c>
      <c r="AE51" t="n">
        <v>6</v>
      </c>
      <c r="AF51" t="n">
        <v>7</v>
      </c>
    </row>
    <row r="52">
      <c r="A52" t="s">
        <v>5</v>
      </c>
      <c r="B52" t="s">
        <v>374</v>
      </c>
      <c r="C52" t="s">
        <v>236</v>
      </c>
      <c r="D52" t="s">
        <v>375</v>
      </c>
      <c r="E52" t="s">
        <v>237</v>
      </c>
      <c r="F52" t="n">
        <v>0</v>
      </c>
      <c r="G52" t="n">
        <v>0</v>
      </c>
      <c r="H52" t="n">
        <v>1</v>
      </c>
      <c r="I52" t="n">
        <v>1</v>
      </c>
      <c r="J52" t="n">
        <v>1</v>
      </c>
      <c r="K52" t="n">
        <v>0</v>
      </c>
      <c r="L52" t="n">
        <v>1</v>
      </c>
      <c r="M52" t="n">
        <v>0</v>
      </c>
      <c r="N52" t="n">
        <v>2</v>
      </c>
      <c r="O52" t="n">
        <v>3</v>
      </c>
      <c r="P52" t="n">
        <v>3</v>
      </c>
      <c r="Q52" t="n">
        <v>0</v>
      </c>
      <c r="R52" t="n">
        <v>0</v>
      </c>
      <c r="S52" t="n">
        <v>0</v>
      </c>
      <c r="T52" t="n">
        <v>1</v>
      </c>
      <c r="U52" t="n">
        <v>1</v>
      </c>
      <c r="V52" t="n">
        <v>0</v>
      </c>
      <c r="W52" t="n">
        <v>1</v>
      </c>
      <c r="X52" t="n">
        <v>2</v>
      </c>
      <c r="Y52" t="n">
        <v>2</v>
      </c>
      <c r="Z52" t="n">
        <v>2</v>
      </c>
      <c r="AA52" t="n">
        <v>3</v>
      </c>
      <c r="AB52" t="n">
        <v>1</v>
      </c>
      <c r="AC52" t="n">
        <v>1</v>
      </c>
      <c r="AD52" t="n">
        <v>2</v>
      </c>
      <c r="AE52" t="n">
        <v>2</v>
      </c>
      <c r="AF52" t="n">
        <v>3</v>
      </c>
    </row>
    <row r="53">
      <c r="A53" t="s">
        <v>5</v>
      </c>
      <c r="B53" t="s">
        <v>376</v>
      </c>
      <c r="C53" t="s">
        <v>236</v>
      </c>
      <c r="D53" t="s">
        <v>377</v>
      </c>
      <c r="E53" t="s">
        <v>237</v>
      </c>
      <c r="F53" t="n">
        <v>4</v>
      </c>
      <c r="G53" t="n">
        <v>7</v>
      </c>
      <c r="H53" t="n">
        <v>10</v>
      </c>
      <c r="I53" t="n">
        <v>11</v>
      </c>
      <c r="J53" t="n">
        <v>1</v>
      </c>
      <c r="K53" t="n">
        <v>11</v>
      </c>
      <c r="L53" t="n">
        <v>10</v>
      </c>
      <c r="M53" t="n">
        <v>6</v>
      </c>
      <c r="N53" t="n">
        <v>12</v>
      </c>
      <c r="O53" t="n">
        <v>16</v>
      </c>
      <c r="P53" t="n">
        <v>13</v>
      </c>
      <c r="Q53" t="n">
        <v>13</v>
      </c>
      <c r="R53" t="n">
        <v>19</v>
      </c>
      <c r="S53" t="n">
        <v>15</v>
      </c>
      <c r="T53" t="n">
        <v>17</v>
      </c>
      <c r="U53" t="n">
        <v>10</v>
      </c>
      <c r="V53" t="n">
        <v>16</v>
      </c>
      <c r="W53" t="n">
        <v>17</v>
      </c>
      <c r="X53" t="n">
        <v>17</v>
      </c>
      <c r="Y53" t="n">
        <v>14</v>
      </c>
      <c r="Z53" t="n">
        <v>14</v>
      </c>
      <c r="AA53" t="n">
        <v>16</v>
      </c>
      <c r="AB53" t="n">
        <v>15</v>
      </c>
      <c r="AC53" t="n">
        <v>10</v>
      </c>
      <c r="AD53" t="n">
        <v>8</v>
      </c>
      <c r="AE53" t="n">
        <v>7</v>
      </c>
      <c r="AF53" t="n">
        <v>4</v>
      </c>
    </row>
    <row r="54">
      <c r="A54" t="s">
        <v>5</v>
      </c>
      <c r="B54" t="s">
        <v>378</v>
      </c>
      <c r="C54" t="s">
        <v>236</v>
      </c>
      <c r="D54" t="s">
        <v>379</v>
      </c>
      <c r="E54" t="s">
        <v>237</v>
      </c>
      <c r="F54" t="n">
        <v>5</v>
      </c>
      <c r="G54" t="n">
        <v>8</v>
      </c>
      <c r="H54" t="n">
        <v>11</v>
      </c>
      <c r="I54" t="n">
        <v>12</v>
      </c>
      <c r="J54" t="n">
        <v>4</v>
      </c>
      <c r="K54" t="n">
        <v>13</v>
      </c>
      <c r="L54" t="n">
        <v>12</v>
      </c>
      <c r="M54" t="n">
        <v>7</v>
      </c>
      <c r="N54" t="n">
        <v>17</v>
      </c>
      <c r="O54" t="n">
        <v>21</v>
      </c>
      <c r="P54" t="n">
        <v>17</v>
      </c>
      <c r="Q54" t="n">
        <v>19</v>
      </c>
      <c r="R54" t="n">
        <v>25</v>
      </c>
      <c r="S54" t="n">
        <v>21</v>
      </c>
      <c r="T54" t="n">
        <v>23</v>
      </c>
      <c r="U54" t="n">
        <v>16</v>
      </c>
      <c r="V54" t="n">
        <v>24</v>
      </c>
      <c r="W54" t="n">
        <v>28</v>
      </c>
      <c r="X54" t="n">
        <v>27</v>
      </c>
      <c r="Y54" t="n">
        <v>22</v>
      </c>
      <c r="Z54" t="n">
        <v>22</v>
      </c>
      <c r="AA54" t="n">
        <v>24</v>
      </c>
      <c r="AB54" t="n">
        <v>24</v>
      </c>
      <c r="AC54" t="n">
        <v>18</v>
      </c>
      <c r="AD54" t="n">
        <v>16</v>
      </c>
      <c r="AE54" t="n">
        <v>11</v>
      </c>
      <c r="AF54" t="n">
        <v>9</v>
      </c>
    </row>
    <row r="55">
      <c r="A55" t="s">
        <v>5</v>
      </c>
      <c r="B55" t="s">
        <v>380</v>
      </c>
      <c r="C55" t="s">
        <v>236</v>
      </c>
      <c r="D55" t="s">
        <v>381</v>
      </c>
      <c r="E55" t="s">
        <v>237</v>
      </c>
      <c r="F55" t="n">
        <v>1</v>
      </c>
      <c r="G55" t="n">
        <v>1</v>
      </c>
      <c r="H55" t="n">
        <v>1</v>
      </c>
      <c r="I55" t="n">
        <v>1</v>
      </c>
      <c r="J55" t="n">
        <v>3</v>
      </c>
      <c r="K55" t="n">
        <v>2</v>
      </c>
      <c r="L55" t="n">
        <v>2</v>
      </c>
      <c r="M55" t="n">
        <v>1</v>
      </c>
      <c r="N55" t="n">
        <v>5</v>
      </c>
      <c r="O55" t="n">
        <v>5</v>
      </c>
      <c r="P55" t="n">
        <v>4</v>
      </c>
      <c r="Q55" t="n">
        <v>6</v>
      </c>
      <c r="R55" t="n">
        <v>6</v>
      </c>
      <c r="S55" t="n">
        <v>6</v>
      </c>
      <c r="T55" t="n">
        <v>6</v>
      </c>
      <c r="U55" t="n">
        <v>6</v>
      </c>
      <c r="V55" t="n">
        <v>8</v>
      </c>
      <c r="W55" t="n">
        <v>11</v>
      </c>
      <c r="X55" t="n">
        <v>10</v>
      </c>
      <c r="Y55" t="n">
        <v>8</v>
      </c>
      <c r="Z55" t="n">
        <v>8</v>
      </c>
      <c r="AA55" t="n">
        <v>8</v>
      </c>
      <c r="AB55" t="n">
        <v>9</v>
      </c>
      <c r="AC55" t="n">
        <v>8</v>
      </c>
      <c r="AD55" t="n">
        <v>8</v>
      </c>
      <c r="AE55" t="n">
        <v>4</v>
      </c>
      <c r="AF55" t="n">
        <v>5</v>
      </c>
    </row>
    <row r="56">
      <c r="A56" t="s">
        <v>5</v>
      </c>
      <c r="B56" t="s">
        <v>382</v>
      </c>
      <c r="C56" t="s">
        <v>236</v>
      </c>
      <c r="D56" t="s">
        <v>383</v>
      </c>
      <c r="E56" t="s">
        <v>237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5</v>
      </c>
      <c r="B57" t="s">
        <v>384</v>
      </c>
      <c r="C57" t="s">
        <v>236</v>
      </c>
      <c r="D57" t="s">
        <v>385</v>
      </c>
      <c r="E57" t="s">
        <v>237</v>
      </c>
      <c r="F57" t="n">
        <v>282</v>
      </c>
      <c r="G57" t="n">
        <v>272</v>
      </c>
      <c r="H57" t="n">
        <v>350</v>
      </c>
      <c r="I57" t="n">
        <v>428</v>
      </c>
      <c r="J57" t="n">
        <v>468</v>
      </c>
      <c r="K57" t="n">
        <v>394</v>
      </c>
      <c r="L57" t="n">
        <v>431</v>
      </c>
      <c r="M57" t="n">
        <v>257</v>
      </c>
      <c r="N57" t="n">
        <v>461</v>
      </c>
      <c r="O57" t="n">
        <v>564</v>
      </c>
      <c r="P57" t="n">
        <v>489</v>
      </c>
      <c r="Q57" t="n">
        <v>586</v>
      </c>
      <c r="R57" t="n">
        <v>687</v>
      </c>
      <c r="S57" t="n">
        <v>692</v>
      </c>
      <c r="T57" t="n">
        <v>522</v>
      </c>
      <c r="U57" t="n">
        <v>443</v>
      </c>
      <c r="V57" t="n">
        <v>487</v>
      </c>
      <c r="W57" t="n">
        <v>516</v>
      </c>
      <c r="X57" t="n">
        <v>440</v>
      </c>
      <c r="Y57" t="n">
        <v>434</v>
      </c>
      <c r="Z57" t="n">
        <v>494</v>
      </c>
      <c r="AA57" t="n">
        <v>530</v>
      </c>
      <c r="AB57" t="n">
        <v>575</v>
      </c>
      <c r="AC57" t="n">
        <v>528</v>
      </c>
      <c r="AD57" t="n">
        <v>466</v>
      </c>
      <c r="AE57" t="n">
        <v>451</v>
      </c>
      <c r="AF57" t="n">
        <v>483</v>
      </c>
    </row>
    <row r="58">
      <c r="A58" t="s">
        <v>5</v>
      </c>
      <c r="B58" t="s">
        <v>386</v>
      </c>
      <c r="C58" t="s">
        <v>236</v>
      </c>
      <c r="D58" t="s">
        <v>387</v>
      </c>
      <c r="E58" t="s">
        <v>237</v>
      </c>
      <c r="F58" t="n">
        <v>282</v>
      </c>
      <c r="G58" t="n">
        <v>272</v>
      </c>
      <c r="H58" t="n">
        <v>350</v>
      </c>
      <c r="I58" t="n">
        <v>428</v>
      </c>
      <c r="J58" t="n">
        <v>468</v>
      </c>
      <c r="K58" t="n">
        <v>394</v>
      </c>
      <c r="L58" t="n">
        <v>431</v>
      </c>
      <c r="M58" t="n">
        <v>257</v>
      </c>
      <c r="N58" t="n">
        <v>461</v>
      </c>
      <c r="O58" t="n">
        <v>564</v>
      </c>
      <c r="P58" t="n">
        <v>489</v>
      </c>
      <c r="Q58" t="n">
        <v>586</v>
      </c>
      <c r="R58" t="n">
        <v>687</v>
      </c>
      <c r="S58" t="n">
        <v>692</v>
      </c>
      <c r="T58" t="n">
        <v>522</v>
      </c>
      <c r="U58" t="n">
        <v>443</v>
      </c>
      <c r="V58" t="n">
        <v>487</v>
      </c>
      <c r="W58" t="n">
        <v>516</v>
      </c>
      <c r="X58" t="n">
        <v>440</v>
      </c>
      <c r="Y58" t="n">
        <v>434</v>
      </c>
      <c r="Z58" t="n">
        <v>494</v>
      </c>
      <c r="AA58" t="n">
        <v>530</v>
      </c>
      <c r="AB58" t="n">
        <v>575</v>
      </c>
      <c r="AC58" t="n">
        <v>528</v>
      </c>
      <c r="AD58" t="n">
        <v>466</v>
      </c>
      <c r="AE58" t="n">
        <v>451</v>
      </c>
      <c r="AF58" t="n">
        <v>483</v>
      </c>
    </row>
    <row r="59">
      <c r="A59" t="s">
        <v>5</v>
      </c>
      <c r="B59" t="s">
        <v>388</v>
      </c>
      <c r="C59" t="s">
        <v>236</v>
      </c>
      <c r="D59" t="s">
        <v>389</v>
      </c>
      <c r="E59" t="s">
        <v>237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7</v>
      </c>
      <c r="B2" t="s">
        <v>197</v>
      </c>
      <c r="C2" t="s">
        <v>236</v>
      </c>
      <c r="D2" t="s">
        <v>199</v>
      </c>
      <c r="E2" t="s">
        <v>237</v>
      </c>
      <c r="F2" t="n">
        <v>2</v>
      </c>
      <c r="G2" t="n">
        <v>1</v>
      </c>
      <c r="H2" t="n">
        <v>2</v>
      </c>
      <c r="I2" t="n">
        <v>2</v>
      </c>
      <c r="J2" t="n">
        <v>2</v>
      </c>
      <c r="K2" t="n">
        <v>3</v>
      </c>
      <c r="L2" t="n">
        <v>3</v>
      </c>
      <c r="M2" t="n">
        <v>3</v>
      </c>
      <c r="N2" t="n">
        <v>3</v>
      </c>
      <c r="O2" t="n">
        <v>3</v>
      </c>
      <c r="P2" t="n">
        <v>4</v>
      </c>
      <c r="Q2" t="n">
        <v>6</v>
      </c>
      <c r="R2" t="n">
        <v>5</v>
      </c>
      <c r="S2" t="n">
        <v>5</v>
      </c>
      <c r="T2" t="n">
        <v>5</v>
      </c>
      <c r="U2" t="n">
        <v>6</v>
      </c>
      <c r="V2" t="n">
        <v>5</v>
      </c>
      <c r="W2" t="n">
        <v>5</v>
      </c>
      <c r="X2" t="n">
        <v>7</v>
      </c>
      <c r="Y2" t="n">
        <v>6</v>
      </c>
      <c r="Z2" t="n">
        <v>6</v>
      </c>
      <c r="AA2" t="n">
        <v>5</v>
      </c>
      <c r="AB2" t="n">
        <v>4</v>
      </c>
      <c r="AC2" t="n">
        <v>5</v>
      </c>
      <c r="AD2" t="n">
        <v>5</v>
      </c>
      <c r="AE2" t="n">
        <v>5</v>
      </c>
      <c r="AF2" t="n">
        <v>5</v>
      </c>
    </row>
    <row r="3">
      <c r="A3" t="s">
        <v>7</v>
      </c>
      <c r="B3" t="s">
        <v>276</v>
      </c>
      <c r="C3" t="s">
        <v>236</v>
      </c>
      <c r="D3" t="s">
        <v>277</v>
      </c>
      <c r="E3" t="s">
        <v>237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2</v>
      </c>
      <c r="Q3" t="n">
        <v>2</v>
      </c>
      <c r="R3" t="n">
        <v>2</v>
      </c>
      <c r="S3" t="n">
        <v>2</v>
      </c>
      <c r="T3" t="n">
        <v>6</v>
      </c>
      <c r="U3" t="n">
        <v>8</v>
      </c>
      <c r="V3" t="n">
        <v>5</v>
      </c>
      <c r="W3" t="n">
        <v>3</v>
      </c>
      <c r="X3" t="n">
        <v>1</v>
      </c>
      <c r="Y3" t="n">
        <v>1</v>
      </c>
      <c r="Z3" t="n">
        <v>2</v>
      </c>
      <c r="AA3" t="n">
        <v>2</v>
      </c>
      <c r="AB3" t="n">
        <v>4</v>
      </c>
      <c r="AC3" t="n">
        <v>4</v>
      </c>
      <c r="AD3" t="n">
        <v>5</v>
      </c>
      <c r="AE3" t="n">
        <v>7</v>
      </c>
      <c r="AF3" t="n">
        <v>11</v>
      </c>
    </row>
    <row r="4">
      <c r="A4" t="s">
        <v>7</v>
      </c>
      <c r="B4" t="s">
        <v>278</v>
      </c>
      <c r="C4" t="s">
        <v>236</v>
      </c>
      <c r="D4" t="s">
        <v>279</v>
      </c>
      <c r="E4" t="s">
        <v>237</v>
      </c>
      <c r="F4" t="n">
        <v>199</v>
      </c>
      <c r="G4" t="n">
        <v>189</v>
      </c>
      <c r="H4" t="n">
        <v>236</v>
      </c>
      <c r="I4" t="n">
        <v>310</v>
      </c>
      <c r="J4" t="n">
        <v>343</v>
      </c>
      <c r="K4" t="n">
        <v>398</v>
      </c>
      <c r="L4" t="n">
        <v>479</v>
      </c>
      <c r="M4" t="n">
        <v>399</v>
      </c>
      <c r="N4" t="n">
        <v>520</v>
      </c>
      <c r="O4" t="n">
        <v>497</v>
      </c>
      <c r="P4" t="n">
        <v>603</v>
      </c>
      <c r="Q4" t="n">
        <v>698</v>
      </c>
      <c r="R4" t="n">
        <v>691</v>
      </c>
      <c r="S4" t="n">
        <v>700</v>
      </c>
      <c r="T4" t="n">
        <v>768</v>
      </c>
      <c r="U4" t="n">
        <v>794</v>
      </c>
      <c r="V4" t="n">
        <v>817</v>
      </c>
      <c r="W4" t="n">
        <v>830</v>
      </c>
      <c r="X4" t="n">
        <v>726</v>
      </c>
      <c r="Y4" t="n">
        <v>748</v>
      </c>
      <c r="Z4" t="n">
        <v>724</v>
      </c>
      <c r="AA4" t="n">
        <v>682</v>
      </c>
      <c r="AB4" t="n">
        <v>762</v>
      </c>
      <c r="AC4" t="n">
        <v>931</v>
      </c>
      <c r="AD4" t="n">
        <v>1070</v>
      </c>
      <c r="AE4" t="n">
        <v>1086</v>
      </c>
      <c r="AF4" t="n">
        <v>1082</v>
      </c>
    </row>
    <row r="5">
      <c r="A5" t="s">
        <v>7</v>
      </c>
      <c r="B5" t="s">
        <v>280</v>
      </c>
      <c r="C5" t="s">
        <v>236</v>
      </c>
      <c r="D5" t="s">
        <v>281</v>
      </c>
      <c r="E5" t="s">
        <v>237</v>
      </c>
      <c r="F5" t="n">
        <v>13</v>
      </c>
      <c r="G5" t="n">
        <v>14</v>
      </c>
      <c r="H5" t="n">
        <v>14</v>
      </c>
      <c r="I5" t="n">
        <v>18</v>
      </c>
      <c r="J5" t="n">
        <v>25</v>
      </c>
      <c r="K5" t="n">
        <v>32</v>
      </c>
      <c r="L5" t="n">
        <v>26</v>
      </c>
      <c r="M5" t="n">
        <v>19</v>
      </c>
      <c r="N5" t="n">
        <v>40</v>
      </c>
      <c r="O5" t="n">
        <v>34</v>
      </c>
      <c r="P5" t="n">
        <v>44</v>
      </c>
      <c r="Q5" t="n">
        <v>37</v>
      </c>
      <c r="R5" t="n">
        <v>33</v>
      </c>
      <c r="S5" t="n">
        <v>36</v>
      </c>
      <c r="T5" t="n">
        <v>36</v>
      </c>
      <c r="U5" t="n">
        <v>44</v>
      </c>
      <c r="V5" t="n">
        <v>51</v>
      </c>
      <c r="W5" t="n">
        <v>52</v>
      </c>
      <c r="X5" t="n">
        <v>55</v>
      </c>
      <c r="Y5" t="n">
        <v>52</v>
      </c>
      <c r="Z5" t="n">
        <v>48</v>
      </c>
      <c r="AA5" t="n">
        <v>55</v>
      </c>
      <c r="AB5" t="n">
        <v>52</v>
      </c>
      <c r="AC5" t="n">
        <v>50</v>
      </c>
      <c r="AD5" t="n">
        <v>42</v>
      </c>
      <c r="AE5" t="n">
        <v>67</v>
      </c>
      <c r="AF5" t="n">
        <v>67</v>
      </c>
    </row>
    <row r="6">
      <c r="A6" t="s">
        <v>7</v>
      </c>
      <c r="B6" t="s">
        <v>282</v>
      </c>
      <c r="C6" t="s">
        <v>236</v>
      </c>
      <c r="D6" t="s">
        <v>283</v>
      </c>
      <c r="E6" t="s">
        <v>237</v>
      </c>
      <c r="F6" t="n">
        <v>1</v>
      </c>
      <c r="G6" t="n">
        <v>2</v>
      </c>
      <c r="H6" t="n">
        <v>2</v>
      </c>
      <c r="I6" t="n">
        <v>2</v>
      </c>
      <c r="J6" t="n">
        <v>1</v>
      </c>
      <c r="K6" t="n">
        <v>1</v>
      </c>
      <c r="L6" t="n">
        <v>2</v>
      </c>
      <c r="M6" t="n">
        <v>1</v>
      </c>
      <c r="N6" t="n">
        <v>3</v>
      </c>
      <c r="O6" t="n">
        <v>3</v>
      </c>
      <c r="P6" t="n">
        <v>3</v>
      </c>
      <c r="Q6" t="n">
        <v>3</v>
      </c>
      <c r="R6" t="n">
        <v>4</v>
      </c>
      <c r="S6" t="n">
        <v>3</v>
      </c>
      <c r="T6" t="n">
        <v>2</v>
      </c>
      <c r="U6" t="n">
        <v>2</v>
      </c>
      <c r="V6" t="n">
        <v>2</v>
      </c>
      <c r="W6" t="n">
        <v>4</v>
      </c>
      <c r="X6" t="n">
        <v>3</v>
      </c>
      <c r="Y6" t="n">
        <v>3</v>
      </c>
      <c r="Z6" t="n">
        <v>4</v>
      </c>
      <c r="AA6" t="n">
        <v>5</v>
      </c>
      <c r="AB6" t="n">
        <v>7</v>
      </c>
      <c r="AC6" t="n">
        <v>18</v>
      </c>
      <c r="AD6" t="n">
        <v>4</v>
      </c>
      <c r="AE6" t="n">
        <v>6</v>
      </c>
      <c r="AF6" t="n">
        <v>5</v>
      </c>
    </row>
    <row r="7">
      <c r="A7" t="s">
        <v>7</v>
      </c>
      <c r="B7" t="s">
        <v>284</v>
      </c>
      <c r="C7" t="s">
        <v>236</v>
      </c>
      <c r="D7" t="s">
        <v>285</v>
      </c>
      <c r="E7" t="s">
        <v>237</v>
      </c>
      <c r="F7" t="n">
        <v>43</v>
      </c>
      <c r="G7" t="n">
        <v>51</v>
      </c>
      <c r="H7" t="n">
        <v>60</v>
      </c>
      <c r="I7" t="n">
        <v>80</v>
      </c>
      <c r="J7" t="n">
        <v>79</v>
      </c>
      <c r="K7" t="n">
        <v>114</v>
      </c>
      <c r="L7" t="n">
        <v>148</v>
      </c>
      <c r="M7" t="n">
        <v>117</v>
      </c>
      <c r="N7" t="n">
        <v>117</v>
      </c>
      <c r="O7" t="n">
        <v>106</v>
      </c>
      <c r="P7" t="n">
        <v>162</v>
      </c>
      <c r="Q7" t="n">
        <v>211</v>
      </c>
      <c r="R7" t="n">
        <v>159</v>
      </c>
      <c r="S7" t="n">
        <v>121</v>
      </c>
      <c r="T7" t="n">
        <v>132</v>
      </c>
      <c r="U7" t="n">
        <v>123</v>
      </c>
      <c r="V7" t="n">
        <v>101</v>
      </c>
      <c r="W7" t="n">
        <v>114</v>
      </c>
      <c r="X7" t="n">
        <v>55</v>
      </c>
      <c r="Y7" t="n">
        <v>62</v>
      </c>
      <c r="Z7" t="n">
        <v>55</v>
      </c>
      <c r="AA7" t="n">
        <v>79</v>
      </c>
      <c r="AB7" t="n">
        <v>74</v>
      </c>
      <c r="AC7" t="n">
        <v>70</v>
      </c>
      <c r="AD7" t="n">
        <v>90</v>
      </c>
      <c r="AE7" t="n">
        <v>114</v>
      </c>
      <c r="AF7" t="n">
        <v>81</v>
      </c>
    </row>
    <row r="8">
      <c r="A8" t="s">
        <v>7</v>
      </c>
      <c r="B8" t="s">
        <v>286</v>
      </c>
      <c r="C8" t="s">
        <v>236</v>
      </c>
      <c r="D8" t="s">
        <v>287</v>
      </c>
      <c r="E8" t="s">
        <v>237</v>
      </c>
      <c r="F8" t="n">
        <v>8</v>
      </c>
      <c r="G8" t="n">
        <v>6</v>
      </c>
      <c r="H8" t="n">
        <v>8</v>
      </c>
      <c r="I8" t="n">
        <v>8</v>
      </c>
      <c r="J8" t="n">
        <v>9</v>
      </c>
      <c r="K8" t="n">
        <v>9</v>
      </c>
      <c r="L8" t="n">
        <v>18</v>
      </c>
      <c r="M8" t="n">
        <v>5</v>
      </c>
      <c r="N8" t="n">
        <v>17</v>
      </c>
      <c r="O8" t="n">
        <v>23</v>
      </c>
      <c r="P8" t="n">
        <v>22</v>
      </c>
      <c r="Q8" t="n">
        <v>7</v>
      </c>
      <c r="R8" t="n">
        <v>11</v>
      </c>
      <c r="S8" t="n">
        <v>14</v>
      </c>
      <c r="T8" t="n">
        <v>10</v>
      </c>
      <c r="U8" t="n">
        <v>10</v>
      </c>
      <c r="V8" t="n">
        <v>9</v>
      </c>
      <c r="W8" t="n">
        <v>7</v>
      </c>
      <c r="X8" t="n">
        <v>16</v>
      </c>
      <c r="Y8" t="n">
        <v>28</v>
      </c>
      <c r="Z8" t="n">
        <v>19</v>
      </c>
      <c r="AA8" t="n">
        <v>18</v>
      </c>
      <c r="AB8" t="n">
        <v>25</v>
      </c>
      <c r="AC8" t="n">
        <v>47</v>
      </c>
      <c r="AD8" t="n">
        <v>54</v>
      </c>
      <c r="AE8" t="n">
        <v>39</v>
      </c>
      <c r="AF8" t="n">
        <v>25</v>
      </c>
    </row>
    <row r="9">
      <c r="A9" t="s">
        <v>7</v>
      </c>
      <c r="B9" t="s">
        <v>288</v>
      </c>
      <c r="C9" t="s">
        <v>236</v>
      </c>
      <c r="D9" t="s">
        <v>289</v>
      </c>
      <c r="E9" t="s">
        <v>237</v>
      </c>
      <c r="F9" t="n">
        <v>6</v>
      </c>
      <c r="G9" t="n">
        <v>10</v>
      </c>
      <c r="H9" t="n">
        <v>8</v>
      </c>
      <c r="I9" t="n">
        <v>15</v>
      </c>
      <c r="J9" t="n">
        <v>11</v>
      </c>
      <c r="K9" t="n">
        <v>8</v>
      </c>
      <c r="L9" t="n">
        <v>13</v>
      </c>
      <c r="M9" t="n">
        <v>17</v>
      </c>
      <c r="N9" t="n">
        <v>16</v>
      </c>
      <c r="O9" t="n">
        <v>14</v>
      </c>
      <c r="P9" t="n">
        <v>16</v>
      </c>
      <c r="Q9" t="n">
        <v>14</v>
      </c>
      <c r="R9" t="n">
        <v>15</v>
      </c>
      <c r="S9" t="n">
        <v>20</v>
      </c>
      <c r="T9" t="n">
        <v>29</v>
      </c>
      <c r="U9" t="n">
        <v>19</v>
      </c>
      <c r="V9" t="n">
        <v>17</v>
      </c>
      <c r="W9" t="n">
        <v>24</v>
      </c>
      <c r="X9" t="n">
        <v>21</v>
      </c>
      <c r="Y9" t="n">
        <v>18</v>
      </c>
      <c r="Z9" t="n">
        <v>23</v>
      </c>
      <c r="AA9" t="n">
        <v>17</v>
      </c>
      <c r="AB9" t="n">
        <v>36</v>
      </c>
      <c r="AC9" t="n">
        <v>38</v>
      </c>
      <c r="AD9" t="n">
        <v>35</v>
      </c>
      <c r="AE9" t="n">
        <v>45</v>
      </c>
      <c r="AF9" t="n">
        <v>43</v>
      </c>
    </row>
    <row r="10">
      <c r="A10" t="s">
        <v>7</v>
      </c>
      <c r="B10" t="s">
        <v>290</v>
      </c>
      <c r="C10" t="s">
        <v>236</v>
      </c>
      <c r="D10" t="s">
        <v>291</v>
      </c>
      <c r="E10" t="s">
        <v>237</v>
      </c>
      <c r="F10" t="n">
        <v>8</v>
      </c>
      <c r="G10" t="n">
        <v>11</v>
      </c>
      <c r="H10" t="n">
        <v>12</v>
      </c>
      <c r="I10" t="n">
        <v>22</v>
      </c>
      <c r="J10" t="n">
        <v>15</v>
      </c>
      <c r="K10" t="n">
        <v>11</v>
      </c>
      <c r="L10" t="n">
        <v>18</v>
      </c>
      <c r="M10" t="n">
        <v>27</v>
      </c>
      <c r="N10" t="n">
        <v>22</v>
      </c>
      <c r="O10" t="n">
        <v>20</v>
      </c>
      <c r="P10" t="n">
        <v>22</v>
      </c>
      <c r="Q10" t="n">
        <v>18</v>
      </c>
      <c r="R10" t="n">
        <v>19</v>
      </c>
      <c r="S10" t="n">
        <v>25</v>
      </c>
      <c r="T10" t="n">
        <v>34</v>
      </c>
      <c r="U10" t="n">
        <v>26</v>
      </c>
      <c r="V10" t="n">
        <v>24</v>
      </c>
      <c r="W10" t="n">
        <v>32</v>
      </c>
      <c r="X10" t="n">
        <v>29</v>
      </c>
      <c r="Y10" t="n">
        <v>26</v>
      </c>
      <c r="Z10" t="n">
        <v>31</v>
      </c>
      <c r="AA10" t="n">
        <v>26</v>
      </c>
      <c r="AB10" t="n">
        <v>44</v>
      </c>
      <c r="AC10" t="n">
        <v>45</v>
      </c>
      <c r="AD10" t="n">
        <v>52</v>
      </c>
      <c r="AE10" t="n">
        <v>54</v>
      </c>
      <c r="AF10" t="n">
        <v>54</v>
      </c>
    </row>
    <row r="11">
      <c r="A11" t="s">
        <v>7</v>
      </c>
      <c r="B11" t="s">
        <v>292</v>
      </c>
      <c r="C11" t="s">
        <v>236</v>
      </c>
      <c r="D11" t="s">
        <v>293</v>
      </c>
      <c r="E11" t="s">
        <v>237</v>
      </c>
      <c r="F11" t="n">
        <v>2</v>
      </c>
      <c r="G11" t="n">
        <v>1</v>
      </c>
      <c r="H11" t="n">
        <v>4</v>
      </c>
      <c r="I11" t="n">
        <v>7</v>
      </c>
      <c r="J11" t="n">
        <v>4</v>
      </c>
      <c r="K11" t="n">
        <v>3</v>
      </c>
      <c r="L11" t="n">
        <v>5</v>
      </c>
      <c r="M11" t="n">
        <v>10</v>
      </c>
      <c r="N11" t="n">
        <v>6</v>
      </c>
      <c r="O11" t="n">
        <v>6</v>
      </c>
      <c r="P11" t="n">
        <v>6</v>
      </c>
      <c r="Q11" t="n">
        <v>4</v>
      </c>
      <c r="R11" t="n">
        <v>4</v>
      </c>
      <c r="S11" t="n">
        <v>5</v>
      </c>
      <c r="T11" t="n">
        <v>5</v>
      </c>
      <c r="U11" t="n">
        <v>7</v>
      </c>
      <c r="V11" t="n">
        <v>7</v>
      </c>
      <c r="W11" t="n">
        <v>8</v>
      </c>
      <c r="X11" t="n">
        <v>8</v>
      </c>
      <c r="Y11" t="n">
        <v>8</v>
      </c>
      <c r="Z11" t="n">
        <v>8</v>
      </c>
      <c r="AA11" t="n">
        <v>9</v>
      </c>
      <c r="AB11" t="n">
        <v>8</v>
      </c>
      <c r="AC11" t="n">
        <v>7</v>
      </c>
      <c r="AD11" t="n">
        <v>17</v>
      </c>
      <c r="AE11" t="n">
        <v>9</v>
      </c>
      <c r="AF11" t="n">
        <v>11</v>
      </c>
    </row>
    <row r="12">
      <c r="A12" t="s">
        <v>7</v>
      </c>
      <c r="B12" t="s">
        <v>294</v>
      </c>
      <c r="C12" t="s">
        <v>236</v>
      </c>
      <c r="D12" t="s">
        <v>295</v>
      </c>
      <c r="E12" t="s">
        <v>237</v>
      </c>
      <c r="F12" t="n">
        <v>18</v>
      </c>
      <c r="G12" t="n">
        <v>18</v>
      </c>
      <c r="H12" t="n">
        <v>25</v>
      </c>
      <c r="I12" t="n">
        <v>26</v>
      </c>
      <c r="J12" t="n">
        <v>30</v>
      </c>
      <c r="K12" t="n">
        <v>32</v>
      </c>
      <c r="L12" t="n">
        <v>29</v>
      </c>
      <c r="M12" t="n">
        <v>16</v>
      </c>
      <c r="N12" t="n">
        <v>19</v>
      </c>
      <c r="O12" t="n">
        <v>24</v>
      </c>
      <c r="P12" t="n">
        <v>23</v>
      </c>
      <c r="Q12" t="n">
        <v>48</v>
      </c>
      <c r="R12" t="n">
        <v>35</v>
      </c>
      <c r="S12" t="n">
        <v>37</v>
      </c>
      <c r="T12" t="n">
        <v>28</v>
      </c>
      <c r="U12" t="n">
        <v>26</v>
      </c>
      <c r="V12" t="n">
        <v>33</v>
      </c>
      <c r="W12" t="n">
        <v>26</v>
      </c>
      <c r="X12" t="n">
        <v>25</v>
      </c>
      <c r="Y12" t="n">
        <v>27</v>
      </c>
      <c r="Z12" t="n">
        <v>28</v>
      </c>
      <c r="AA12" t="n">
        <v>22</v>
      </c>
      <c r="AB12" t="n">
        <v>27</v>
      </c>
      <c r="AC12" t="n">
        <v>39</v>
      </c>
      <c r="AD12" t="n">
        <v>51</v>
      </c>
      <c r="AE12" t="n">
        <v>53</v>
      </c>
      <c r="AF12" t="n">
        <v>52</v>
      </c>
    </row>
    <row r="13">
      <c r="A13" t="s">
        <v>7</v>
      </c>
      <c r="B13" t="s">
        <v>296</v>
      </c>
      <c r="C13" t="s">
        <v>236</v>
      </c>
      <c r="D13" t="s">
        <v>297</v>
      </c>
      <c r="E13" t="s">
        <v>237</v>
      </c>
      <c r="F13" t="n">
        <v>19</v>
      </c>
      <c r="G13" t="n">
        <v>13</v>
      </c>
      <c r="H13" t="n">
        <v>18</v>
      </c>
      <c r="I13" t="n">
        <v>24</v>
      </c>
      <c r="J13" t="n">
        <v>21</v>
      </c>
      <c r="K13" t="n">
        <v>20</v>
      </c>
      <c r="L13" t="n">
        <v>43</v>
      </c>
      <c r="M13" t="n">
        <v>27</v>
      </c>
      <c r="N13" t="n">
        <v>50</v>
      </c>
      <c r="O13" t="n">
        <v>44</v>
      </c>
      <c r="P13" t="n">
        <v>59</v>
      </c>
      <c r="Q13" t="n">
        <v>52</v>
      </c>
      <c r="R13" t="n">
        <v>65</v>
      </c>
      <c r="S13" t="n">
        <v>56</v>
      </c>
      <c r="T13" t="n">
        <v>51</v>
      </c>
      <c r="U13" t="n">
        <v>47</v>
      </c>
      <c r="V13" t="n">
        <v>47</v>
      </c>
      <c r="W13" t="n">
        <v>58</v>
      </c>
      <c r="X13" t="n">
        <v>40</v>
      </c>
      <c r="Y13" t="n">
        <v>68</v>
      </c>
      <c r="Z13" t="n">
        <v>64</v>
      </c>
      <c r="AA13" t="n">
        <v>65</v>
      </c>
      <c r="AB13" t="n">
        <v>74</v>
      </c>
      <c r="AC13" t="n">
        <v>64</v>
      </c>
      <c r="AD13" t="n">
        <v>86</v>
      </c>
      <c r="AE13" t="n">
        <v>90</v>
      </c>
      <c r="AF13" t="n">
        <v>115</v>
      </c>
    </row>
    <row r="14">
      <c r="A14" t="s">
        <v>7</v>
      </c>
      <c r="B14" t="s">
        <v>298</v>
      </c>
      <c r="C14" t="s">
        <v>236</v>
      </c>
      <c r="D14" t="s">
        <v>299</v>
      </c>
      <c r="E14" t="s">
        <v>237</v>
      </c>
      <c r="F14" t="n">
        <v>18</v>
      </c>
      <c r="G14" t="n">
        <v>11</v>
      </c>
      <c r="H14" t="n">
        <v>14</v>
      </c>
      <c r="I14" t="n">
        <v>38</v>
      </c>
      <c r="J14" t="n">
        <v>80</v>
      </c>
      <c r="K14" t="n">
        <v>90</v>
      </c>
      <c r="L14" t="n">
        <v>103</v>
      </c>
      <c r="M14" t="n">
        <v>141</v>
      </c>
      <c r="N14" t="n">
        <v>147</v>
      </c>
      <c r="O14" t="n">
        <v>138</v>
      </c>
      <c r="P14" t="n">
        <v>158</v>
      </c>
      <c r="Q14" t="n">
        <v>224</v>
      </c>
      <c r="R14" t="n">
        <v>235</v>
      </c>
      <c r="S14" t="n">
        <v>271</v>
      </c>
      <c r="T14" t="n">
        <v>286</v>
      </c>
      <c r="U14" t="n">
        <v>325</v>
      </c>
      <c r="V14" t="n">
        <v>373</v>
      </c>
      <c r="W14" t="n">
        <v>346</v>
      </c>
      <c r="X14" t="n">
        <v>303</v>
      </c>
      <c r="Y14" t="n">
        <v>258</v>
      </c>
      <c r="Z14" t="n">
        <v>225</v>
      </c>
      <c r="AA14" t="n">
        <v>198</v>
      </c>
      <c r="AB14" t="n">
        <v>219</v>
      </c>
      <c r="AC14" t="n">
        <v>299</v>
      </c>
      <c r="AD14" t="n">
        <v>408</v>
      </c>
      <c r="AE14" t="n">
        <v>346</v>
      </c>
      <c r="AF14" t="n">
        <v>341</v>
      </c>
    </row>
    <row r="15">
      <c r="A15" t="s">
        <v>7</v>
      </c>
      <c r="B15" t="s">
        <v>300</v>
      </c>
      <c r="C15" t="s">
        <v>236</v>
      </c>
      <c r="D15" t="s">
        <v>301</v>
      </c>
      <c r="E15" t="s">
        <v>237</v>
      </c>
      <c r="F15" t="n">
        <v>36</v>
      </c>
      <c r="G15" t="n">
        <v>29</v>
      </c>
      <c r="H15" t="n">
        <v>30</v>
      </c>
      <c r="I15" t="n">
        <v>56</v>
      </c>
      <c r="J15" t="n">
        <v>99</v>
      </c>
      <c r="K15" t="n">
        <v>106</v>
      </c>
      <c r="L15" t="n">
        <v>117</v>
      </c>
      <c r="M15" t="n">
        <v>147</v>
      </c>
      <c r="N15" t="n">
        <v>167</v>
      </c>
      <c r="O15" t="n">
        <v>152</v>
      </c>
      <c r="P15" t="n">
        <v>175</v>
      </c>
      <c r="Q15" t="n">
        <v>246</v>
      </c>
      <c r="R15" t="n">
        <v>257</v>
      </c>
      <c r="S15" t="n">
        <v>306</v>
      </c>
      <c r="T15" t="n">
        <v>328</v>
      </c>
      <c r="U15" t="n">
        <v>360</v>
      </c>
      <c r="V15" t="n">
        <v>407</v>
      </c>
      <c r="W15" t="n">
        <v>377</v>
      </c>
      <c r="X15" t="n">
        <v>321</v>
      </c>
      <c r="Y15" t="n">
        <v>286</v>
      </c>
      <c r="Z15" t="n">
        <v>244</v>
      </c>
      <c r="AA15" t="n">
        <v>217</v>
      </c>
      <c r="AB15" t="n">
        <v>249</v>
      </c>
      <c r="AC15" t="n">
        <v>332</v>
      </c>
      <c r="AD15" t="n">
        <v>446</v>
      </c>
      <c r="AE15" t="n">
        <v>378</v>
      </c>
      <c r="AF15" t="n">
        <v>375</v>
      </c>
    </row>
    <row r="16">
      <c r="A16" t="s">
        <v>7</v>
      </c>
      <c r="B16" t="s">
        <v>302</v>
      </c>
      <c r="C16" t="s">
        <v>236</v>
      </c>
      <c r="D16" t="s">
        <v>303</v>
      </c>
      <c r="E16" t="s">
        <v>237</v>
      </c>
      <c r="F16" t="n">
        <v>18</v>
      </c>
      <c r="G16" t="n">
        <v>18</v>
      </c>
      <c r="H16" t="n">
        <v>16</v>
      </c>
      <c r="I16" t="n">
        <v>18</v>
      </c>
      <c r="J16" t="n">
        <v>19</v>
      </c>
      <c r="K16" t="n">
        <v>16</v>
      </c>
      <c r="L16" t="n">
        <v>14</v>
      </c>
      <c r="M16" t="n">
        <v>6</v>
      </c>
      <c r="N16" t="n">
        <v>20</v>
      </c>
      <c r="O16" t="n">
        <v>14</v>
      </c>
      <c r="P16" t="n">
        <v>17</v>
      </c>
      <c r="Q16" t="n">
        <v>22</v>
      </c>
      <c r="R16" t="n">
        <v>22</v>
      </c>
      <c r="S16" t="n">
        <v>35</v>
      </c>
      <c r="T16" t="n">
        <v>42</v>
      </c>
      <c r="U16" t="n">
        <v>35</v>
      </c>
      <c r="V16" t="n">
        <v>34</v>
      </c>
      <c r="W16" t="n">
        <v>31</v>
      </c>
      <c r="X16" t="n">
        <v>18</v>
      </c>
      <c r="Y16" t="n">
        <v>28</v>
      </c>
      <c r="Z16" t="n">
        <v>19</v>
      </c>
      <c r="AA16" t="n">
        <v>19</v>
      </c>
      <c r="AB16" t="n">
        <v>30</v>
      </c>
      <c r="AC16" t="n">
        <v>33</v>
      </c>
      <c r="AD16" t="n">
        <v>38</v>
      </c>
      <c r="AE16" t="n">
        <v>32</v>
      </c>
      <c r="AF16" t="n">
        <v>34</v>
      </c>
    </row>
    <row r="17">
      <c r="A17" t="s">
        <v>7</v>
      </c>
      <c r="B17" t="s">
        <v>304</v>
      </c>
      <c r="C17" t="s">
        <v>236</v>
      </c>
      <c r="D17" t="s">
        <v>305</v>
      </c>
      <c r="E17" t="s">
        <v>237</v>
      </c>
      <c r="F17" t="n">
        <v>31</v>
      </c>
      <c r="G17" t="n">
        <v>27</v>
      </c>
      <c r="H17" t="n">
        <v>44</v>
      </c>
      <c r="I17" t="n">
        <v>35</v>
      </c>
      <c r="J17" t="n">
        <v>34</v>
      </c>
      <c r="K17" t="n">
        <v>44</v>
      </c>
      <c r="L17" t="n">
        <v>44</v>
      </c>
      <c r="M17" t="n">
        <v>23</v>
      </c>
      <c r="N17" t="n">
        <v>56</v>
      </c>
      <c r="O17" t="n">
        <v>63</v>
      </c>
      <c r="P17" t="n">
        <v>65</v>
      </c>
      <c r="Q17" t="n">
        <v>56</v>
      </c>
      <c r="R17" t="n">
        <v>79</v>
      </c>
      <c r="S17" t="n">
        <v>81</v>
      </c>
      <c r="T17" t="n">
        <v>121</v>
      </c>
      <c r="U17" t="n">
        <v>123</v>
      </c>
      <c r="V17" t="n">
        <v>112</v>
      </c>
      <c r="W17" t="n">
        <v>117</v>
      </c>
      <c r="X17" t="n">
        <v>139</v>
      </c>
      <c r="Y17" t="n">
        <v>160</v>
      </c>
      <c r="Z17" t="n">
        <v>192</v>
      </c>
      <c r="AA17" t="n">
        <v>152</v>
      </c>
      <c r="AB17" t="n">
        <v>170</v>
      </c>
      <c r="AC17" t="n">
        <v>215</v>
      </c>
      <c r="AD17" t="n">
        <v>179</v>
      </c>
      <c r="AE17" t="n">
        <v>214</v>
      </c>
      <c r="AF17" t="n">
        <v>227</v>
      </c>
    </row>
    <row r="18">
      <c r="A18" t="s">
        <v>7</v>
      </c>
      <c r="B18" t="s">
        <v>306</v>
      </c>
      <c r="C18" t="s">
        <v>236</v>
      </c>
      <c r="D18" t="s">
        <v>307</v>
      </c>
      <c r="E18" t="s">
        <v>237</v>
      </c>
      <c r="F18" t="n">
        <v>8</v>
      </c>
      <c r="G18" t="n">
        <v>6</v>
      </c>
      <c r="H18" t="n">
        <v>7</v>
      </c>
      <c r="I18" t="n">
        <v>24</v>
      </c>
      <c r="J18" t="n">
        <v>11</v>
      </c>
      <c r="K18" t="n">
        <v>10</v>
      </c>
      <c r="L18" t="n">
        <v>12</v>
      </c>
      <c r="M18" t="n">
        <v>4</v>
      </c>
      <c r="N18" t="n">
        <v>10</v>
      </c>
      <c r="O18" t="n">
        <v>9</v>
      </c>
      <c r="P18" t="n">
        <v>8</v>
      </c>
      <c r="Q18" t="n">
        <v>6</v>
      </c>
      <c r="R18" t="n">
        <v>8</v>
      </c>
      <c r="S18" t="n">
        <v>8</v>
      </c>
      <c r="T18" t="n">
        <v>10</v>
      </c>
      <c r="U18" t="n">
        <v>9</v>
      </c>
      <c r="V18" t="n">
        <v>13</v>
      </c>
      <c r="W18" t="n">
        <v>19</v>
      </c>
      <c r="X18" t="n">
        <v>15</v>
      </c>
      <c r="Y18" t="n">
        <v>13</v>
      </c>
      <c r="Z18" t="n">
        <v>12</v>
      </c>
      <c r="AA18" t="n">
        <v>17</v>
      </c>
      <c r="AB18" t="n">
        <v>18</v>
      </c>
      <c r="AC18" t="n">
        <v>17</v>
      </c>
      <c r="AD18" t="n">
        <v>17</v>
      </c>
      <c r="AE18" t="n">
        <v>15</v>
      </c>
      <c r="AF18" t="n">
        <v>20</v>
      </c>
    </row>
    <row r="19">
      <c r="A19" t="s">
        <v>7</v>
      </c>
      <c r="B19" t="s">
        <v>308</v>
      </c>
      <c r="C19" t="s">
        <v>236</v>
      </c>
      <c r="D19" t="s">
        <v>309</v>
      </c>
      <c r="E19" t="s">
        <v>237</v>
      </c>
      <c r="F19" t="n">
        <v>14</v>
      </c>
      <c r="G19" t="n">
        <v>12</v>
      </c>
      <c r="H19" t="n">
        <v>16</v>
      </c>
      <c r="I19" t="n">
        <v>15</v>
      </c>
      <c r="J19" t="n">
        <v>19</v>
      </c>
      <c r="K19" t="n">
        <v>19</v>
      </c>
      <c r="L19" t="n">
        <v>22</v>
      </c>
      <c r="M19" t="n">
        <v>13</v>
      </c>
      <c r="N19" t="n">
        <v>19</v>
      </c>
      <c r="O19" t="n">
        <v>19</v>
      </c>
      <c r="P19" t="n">
        <v>20</v>
      </c>
      <c r="Q19" t="n">
        <v>14</v>
      </c>
      <c r="R19" t="n">
        <v>21</v>
      </c>
      <c r="S19" t="n">
        <v>13</v>
      </c>
      <c r="T19" t="n">
        <v>16</v>
      </c>
      <c r="U19" t="n">
        <v>24</v>
      </c>
      <c r="V19" t="n">
        <v>18</v>
      </c>
      <c r="W19" t="n">
        <v>24</v>
      </c>
      <c r="X19" t="n">
        <v>28</v>
      </c>
      <c r="Y19" t="n">
        <v>23</v>
      </c>
      <c r="Z19" t="n">
        <v>27</v>
      </c>
      <c r="AA19" t="n">
        <v>26</v>
      </c>
      <c r="AB19" t="n">
        <v>22</v>
      </c>
      <c r="AC19" t="n">
        <v>34</v>
      </c>
      <c r="AD19" t="n">
        <v>49</v>
      </c>
      <c r="AE19" t="n">
        <v>56</v>
      </c>
      <c r="AF19" t="n">
        <v>61</v>
      </c>
    </row>
    <row r="20">
      <c r="A20" t="s">
        <v>7</v>
      </c>
      <c r="B20" t="s">
        <v>310</v>
      </c>
      <c r="C20" t="s">
        <v>236</v>
      </c>
      <c r="D20" t="s">
        <v>311</v>
      </c>
      <c r="E20" t="s">
        <v>237</v>
      </c>
      <c r="F20" t="n">
        <v>14</v>
      </c>
      <c r="G20" t="n">
        <v>13</v>
      </c>
      <c r="H20" t="n">
        <v>15</v>
      </c>
      <c r="I20" t="n">
        <v>23</v>
      </c>
      <c r="J20" t="n">
        <v>26</v>
      </c>
      <c r="K20" t="n">
        <v>27</v>
      </c>
      <c r="L20" t="n">
        <v>30</v>
      </c>
      <c r="M20" t="n">
        <v>30</v>
      </c>
      <c r="N20" t="n">
        <v>24</v>
      </c>
      <c r="O20" t="n">
        <v>28</v>
      </c>
      <c r="P20" t="n">
        <v>49</v>
      </c>
      <c r="Q20" t="n">
        <v>43</v>
      </c>
      <c r="R20" t="n">
        <v>45</v>
      </c>
      <c r="S20" t="n">
        <v>49</v>
      </c>
      <c r="T20" t="n">
        <v>59</v>
      </c>
      <c r="U20" t="n">
        <v>56</v>
      </c>
      <c r="V20" t="n">
        <v>70</v>
      </c>
      <c r="W20" t="n">
        <v>75</v>
      </c>
      <c r="X20" t="n">
        <v>94</v>
      </c>
      <c r="Y20" t="n">
        <v>89</v>
      </c>
      <c r="Z20" t="n">
        <v>90</v>
      </c>
      <c r="AA20" t="n">
        <v>99</v>
      </c>
      <c r="AB20" t="n">
        <v>95</v>
      </c>
      <c r="AC20" t="n">
        <v>118</v>
      </c>
      <c r="AD20" t="n">
        <v>119</v>
      </c>
      <c r="AE20" t="n">
        <v>121</v>
      </c>
      <c r="AF20" t="n">
        <v>148</v>
      </c>
    </row>
    <row r="21">
      <c r="A21" t="s">
        <v>7</v>
      </c>
      <c r="B21" t="s">
        <v>312</v>
      </c>
      <c r="C21" t="s">
        <v>236</v>
      </c>
      <c r="D21" t="s">
        <v>313</v>
      </c>
      <c r="E21" t="s">
        <v>237</v>
      </c>
      <c r="F21" t="n">
        <v>14</v>
      </c>
      <c r="G21" t="n">
        <v>13</v>
      </c>
      <c r="H21" t="n">
        <v>15</v>
      </c>
      <c r="I21" t="n">
        <v>23</v>
      </c>
      <c r="J21" t="n">
        <v>27</v>
      </c>
      <c r="K21" t="n">
        <v>28</v>
      </c>
      <c r="L21" t="n">
        <v>32</v>
      </c>
      <c r="M21" t="n">
        <v>31</v>
      </c>
      <c r="N21" t="n">
        <v>27</v>
      </c>
      <c r="O21" t="n">
        <v>30</v>
      </c>
      <c r="P21" t="n">
        <v>52</v>
      </c>
      <c r="Q21" t="n">
        <v>45</v>
      </c>
      <c r="R21" t="n">
        <v>49</v>
      </c>
      <c r="S21" t="n">
        <v>52</v>
      </c>
      <c r="T21" t="n">
        <v>62</v>
      </c>
      <c r="U21" t="n">
        <v>63</v>
      </c>
      <c r="V21" t="n">
        <v>73</v>
      </c>
      <c r="W21" t="n">
        <v>78</v>
      </c>
      <c r="X21" t="n">
        <v>100</v>
      </c>
      <c r="Y21" t="n">
        <v>100</v>
      </c>
      <c r="Z21" t="n">
        <v>100</v>
      </c>
      <c r="AA21" t="n">
        <v>108</v>
      </c>
      <c r="AB21" t="n">
        <v>106</v>
      </c>
      <c r="AC21" t="n">
        <v>128</v>
      </c>
      <c r="AD21" t="n">
        <v>131</v>
      </c>
      <c r="AE21" t="n">
        <v>130</v>
      </c>
      <c r="AF21" t="n">
        <v>158</v>
      </c>
    </row>
    <row r="22">
      <c r="A22" t="s">
        <v>7</v>
      </c>
      <c r="B22" t="s">
        <v>314</v>
      </c>
      <c r="C22" t="s">
        <v>236</v>
      </c>
      <c r="D22" t="s">
        <v>315</v>
      </c>
      <c r="E22" t="s">
        <v>237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1</v>
      </c>
      <c r="L22" t="n">
        <v>2</v>
      </c>
      <c r="M22" t="n">
        <v>1</v>
      </c>
      <c r="N22" t="n">
        <v>3</v>
      </c>
      <c r="O22" t="n">
        <v>2</v>
      </c>
      <c r="P22" t="n">
        <v>3</v>
      </c>
      <c r="Q22" t="n">
        <v>2</v>
      </c>
      <c r="R22" t="n">
        <v>4</v>
      </c>
      <c r="S22" t="n">
        <v>3</v>
      </c>
      <c r="T22" t="n">
        <v>3</v>
      </c>
      <c r="U22" t="n">
        <v>7</v>
      </c>
      <c r="V22" t="n">
        <v>3</v>
      </c>
      <c r="W22" t="n">
        <v>3</v>
      </c>
      <c r="X22" t="n">
        <v>6</v>
      </c>
      <c r="Y22" t="n">
        <v>11</v>
      </c>
      <c r="Z22" t="n">
        <v>10</v>
      </c>
      <c r="AA22" t="n">
        <v>9</v>
      </c>
      <c r="AB22" t="n">
        <v>11</v>
      </c>
      <c r="AC22" t="n">
        <v>10</v>
      </c>
      <c r="AD22" t="n">
        <v>12</v>
      </c>
      <c r="AE22" t="n">
        <v>9</v>
      </c>
      <c r="AF22" t="n">
        <v>10</v>
      </c>
    </row>
    <row r="23">
      <c r="A23" t="s">
        <v>7</v>
      </c>
      <c r="B23" t="s">
        <v>316</v>
      </c>
      <c r="C23" t="s">
        <v>236</v>
      </c>
      <c r="D23" t="s">
        <v>317</v>
      </c>
      <c r="E23" t="s">
        <v>237</v>
      </c>
      <c r="F23" t="n">
        <v>18</v>
      </c>
      <c r="G23" t="n">
        <v>17</v>
      </c>
      <c r="H23" t="n">
        <v>19</v>
      </c>
      <c r="I23" t="n">
        <v>25</v>
      </c>
      <c r="J23" t="n">
        <v>27</v>
      </c>
      <c r="K23" t="n">
        <v>30</v>
      </c>
      <c r="L23" t="n">
        <v>31</v>
      </c>
      <c r="M23" t="n">
        <v>33</v>
      </c>
      <c r="N23" t="n">
        <v>37</v>
      </c>
      <c r="O23" t="n">
        <v>36</v>
      </c>
      <c r="P23" t="n">
        <v>42</v>
      </c>
      <c r="Q23" t="n">
        <v>44</v>
      </c>
      <c r="R23" t="n">
        <v>26</v>
      </c>
      <c r="S23" t="n">
        <v>60</v>
      </c>
      <c r="T23" t="n">
        <v>37</v>
      </c>
      <c r="U23" t="n">
        <v>43</v>
      </c>
      <c r="V23" t="n">
        <v>33</v>
      </c>
      <c r="W23" t="n">
        <v>56</v>
      </c>
      <c r="X23" t="n">
        <v>49</v>
      </c>
      <c r="Y23" t="n">
        <v>78</v>
      </c>
      <c r="Z23" t="n">
        <v>87</v>
      </c>
      <c r="AA23" t="n">
        <v>92</v>
      </c>
      <c r="AB23" t="n">
        <v>133</v>
      </c>
      <c r="AC23" t="n">
        <v>95</v>
      </c>
      <c r="AD23" t="n">
        <v>116</v>
      </c>
      <c r="AE23" t="n">
        <v>106</v>
      </c>
      <c r="AF23" t="n">
        <v>106</v>
      </c>
    </row>
    <row r="24">
      <c r="A24" t="s">
        <v>7</v>
      </c>
      <c r="B24" t="s">
        <v>318</v>
      </c>
      <c r="C24" t="s">
        <v>236</v>
      </c>
      <c r="D24" t="s">
        <v>319</v>
      </c>
      <c r="E24" t="s">
        <v>237</v>
      </c>
      <c r="F24" t="n">
        <v>35</v>
      </c>
      <c r="G24" t="n">
        <v>38</v>
      </c>
      <c r="H24" t="n">
        <v>48</v>
      </c>
      <c r="I24" t="n">
        <v>72</v>
      </c>
      <c r="J24" t="n">
        <v>91</v>
      </c>
      <c r="K24" t="n">
        <v>119</v>
      </c>
      <c r="L24" t="n">
        <v>147</v>
      </c>
      <c r="M24" t="n">
        <v>171</v>
      </c>
      <c r="N24" t="n">
        <v>252</v>
      </c>
      <c r="O24" t="n">
        <v>234</v>
      </c>
      <c r="P24" t="n">
        <v>233</v>
      </c>
      <c r="Q24" t="n">
        <v>206</v>
      </c>
      <c r="R24" t="n">
        <v>208</v>
      </c>
      <c r="S24" t="n">
        <v>250</v>
      </c>
      <c r="T24" t="n">
        <v>239</v>
      </c>
      <c r="U24" t="n">
        <v>224</v>
      </c>
      <c r="V24" t="n">
        <v>250</v>
      </c>
      <c r="W24" t="n">
        <v>336</v>
      </c>
      <c r="X24" t="n">
        <v>384</v>
      </c>
      <c r="Y24" t="n">
        <v>432</v>
      </c>
      <c r="Z24" t="n">
        <v>382</v>
      </c>
      <c r="AA24" t="n">
        <v>363</v>
      </c>
      <c r="AB24" t="n">
        <v>379</v>
      </c>
      <c r="AC24" t="n">
        <v>422</v>
      </c>
      <c r="AD24" t="n">
        <v>414</v>
      </c>
      <c r="AE24" t="n">
        <v>475</v>
      </c>
      <c r="AF24" t="n">
        <v>482</v>
      </c>
    </row>
    <row r="25">
      <c r="A25" t="s">
        <v>7</v>
      </c>
      <c r="B25" t="s">
        <v>320</v>
      </c>
      <c r="C25" t="s">
        <v>236</v>
      </c>
      <c r="D25" t="s">
        <v>321</v>
      </c>
      <c r="E25" t="s">
        <v>237</v>
      </c>
      <c r="F25" t="n">
        <v>5</v>
      </c>
      <c r="G25" t="n">
        <v>5</v>
      </c>
      <c r="H25" t="n">
        <v>6</v>
      </c>
      <c r="I25" t="n">
        <v>10</v>
      </c>
      <c r="J25" t="n">
        <v>12</v>
      </c>
      <c r="K25" t="n">
        <v>10</v>
      </c>
      <c r="L25" t="n">
        <v>13</v>
      </c>
      <c r="M25" t="n">
        <v>13</v>
      </c>
      <c r="N25" t="n">
        <v>16</v>
      </c>
      <c r="O25" t="n">
        <v>15</v>
      </c>
      <c r="P25" t="n">
        <v>14</v>
      </c>
      <c r="Q25" t="n">
        <v>14</v>
      </c>
      <c r="R25" t="n">
        <v>18</v>
      </c>
      <c r="S25" t="n">
        <v>22</v>
      </c>
      <c r="T25" t="n">
        <v>21</v>
      </c>
      <c r="U25" t="n">
        <v>22</v>
      </c>
      <c r="V25" t="n">
        <v>16</v>
      </c>
      <c r="W25" t="n">
        <v>25</v>
      </c>
      <c r="X25" t="n">
        <v>23</v>
      </c>
      <c r="Y25" t="n">
        <v>27</v>
      </c>
      <c r="Z25" t="n">
        <v>23</v>
      </c>
      <c r="AA25" t="n">
        <v>27</v>
      </c>
      <c r="AB25" t="n">
        <v>27</v>
      </c>
      <c r="AC25" t="n">
        <v>44</v>
      </c>
      <c r="AD25" t="n">
        <v>39</v>
      </c>
      <c r="AE25" t="n">
        <v>45</v>
      </c>
      <c r="AF25" t="n">
        <v>40</v>
      </c>
    </row>
    <row r="26">
      <c r="A26" t="s">
        <v>7</v>
      </c>
      <c r="B26" t="s">
        <v>322</v>
      </c>
      <c r="C26" t="s">
        <v>236</v>
      </c>
      <c r="D26" t="s">
        <v>323</v>
      </c>
      <c r="E26" t="s">
        <v>237</v>
      </c>
      <c r="F26" t="n">
        <v>24</v>
      </c>
      <c r="G26" t="n">
        <v>26</v>
      </c>
      <c r="H26" t="n">
        <v>33</v>
      </c>
      <c r="I26" t="n">
        <v>49</v>
      </c>
      <c r="J26" t="n">
        <v>63</v>
      </c>
      <c r="K26" t="n">
        <v>87</v>
      </c>
      <c r="L26" t="n">
        <v>107</v>
      </c>
      <c r="M26" t="n">
        <v>127</v>
      </c>
      <c r="N26" t="n">
        <v>196</v>
      </c>
      <c r="O26" t="n">
        <v>178</v>
      </c>
      <c r="P26" t="n">
        <v>172</v>
      </c>
      <c r="Q26" t="n">
        <v>146</v>
      </c>
      <c r="R26" t="n">
        <v>136</v>
      </c>
      <c r="S26" t="n">
        <v>167</v>
      </c>
      <c r="T26" t="n">
        <v>169</v>
      </c>
      <c r="U26" t="n">
        <v>143</v>
      </c>
      <c r="V26" t="n">
        <v>179</v>
      </c>
      <c r="W26" t="n">
        <v>227</v>
      </c>
      <c r="X26" t="n">
        <v>249</v>
      </c>
      <c r="Y26" t="n">
        <v>265</v>
      </c>
      <c r="Z26" t="n">
        <v>269</v>
      </c>
      <c r="AA26" t="n">
        <v>234</v>
      </c>
      <c r="AB26" t="n">
        <v>267</v>
      </c>
      <c r="AC26" t="n">
        <v>275</v>
      </c>
      <c r="AD26" t="n">
        <v>251</v>
      </c>
      <c r="AE26" t="n">
        <v>304</v>
      </c>
      <c r="AF26" t="n">
        <v>293</v>
      </c>
    </row>
    <row r="27">
      <c r="A27" t="s">
        <v>7</v>
      </c>
      <c r="B27" t="s">
        <v>324</v>
      </c>
      <c r="C27" t="s">
        <v>236</v>
      </c>
      <c r="D27" t="s">
        <v>325</v>
      </c>
      <c r="E27" t="s">
        <v>237</v>
      </c>
      <c r="F27" t="n">
        <v>6</v>
      </c>
      <c r="G27" t="n">
        <v>7</v>
      </c>
      <c r="H27" t="n">
        <v>9</v>
      </c>
      <c r="I27" t="n">
        <v>13</v>
      </c>
      <c r="J27" t="n">
        <v>16</v>
      </c>
      <c r="K27" t="n">
        <v>22</v>
      </c>
      <c r="L27" t="n">
        <v>27</v>
      </c>
      <c r="M27" t="n">
        <v>31</v>
      </c>
      <c r="N27" t="n">
        <v>40</v>
      </c>
      <c r="O27" t="n">
        <v>41</v>
      </c>
      <c r="P27" t="n">
        <v>47</v>
      </c>
      <c r="Q27" t="n">
        <v>46</v>
      </c>
      <c r="R27" t="n">
        <v>54</v>
      </c>
      <c r="S27" t="n">
        <v>61</v>
      </c>
      <c r="T27" t="n">
        <v>49</v>
      </c>
      <c r="U27" t="n">
        <v>59</v>
      </c>
      <c r="V27" t="n">
        <v>55</v>
      </c>
      <c r="W27" t="n">
        <v>84</v>
      </c>
      <c r="X27" t="n">
        <v>112</v>
      </c>
      <c r="Y27" t="n">
        <v>140</v>
      </c>
      <c r="Z27" t="n">
        <v>90</v>
      </c>
      <c r="AA27" t="n">
        <v>102</v>
      </c>
      <c r="AB27" t="n">
        <v>85</v>
      </c>
      <c r="AC27" t="n">
        <v>103</v>
      </c>
      <c r="AD27" t="n">
        <v>124</v>
      </c>
      <c r="AE27" t="n">
        <v>126</v>
      </c>
      <c r="AF27" t="n">
        <v>149</v>
      </c>
    </row>
    <row r="28">
      <c r="A28" t="s">
        <v>7</v>
      </c>
      <c r="B28" t="s">
        <v>326</v>
      </c>
      <c r="C28" t="s">
        <v>236</v>
      </c>
      <c r="D28" t="s">
        <v>327</v>
      </c>
      <c r="E28" t="s">
        <v>237</v>
      </c>
      <c r="F28" t="n">
        <v>54</v>
      </c>
      <c r="G28" t="n">
        <v>61</v>
      </c>
      <c r="H28" t="n">
        <v>72</v>
      </c>
      <c r="I28" t="n">
        <v>89</v>
      </c>
      <c r="J28" t="n">
        <v>99</v>
      </c>
      <c r="K28" t="n">
        <v>95</v>
      </c>
      <c r="L28" t="n">
        <v>90</v>
      </c>
      <c r="M28" t="n">
        <v>78</v>
      </c>
      <c r="N28" t="n">
        <v>77</v>
      </c>
      <c r="O28" t="n">
        <v>101</v>
      </c>
      <c r="P28" t="n">
        <v>89</v>
      </c>
      <c r="Q28" t="n">
        <v>92</v>
      </c>
      <c r="R28" t="n">
        <v>83</v>
      </c>
      <c r="S28" t="n">
        <v>81</v>
      </c>
      <c r="T28" t="n">
        <v>127</v>
      </c>
      <c r="U28" t="n">
        <v>86</v>
      </c>
      <c r="V28" t="n">
        <v>93</v>
      </c>
      <c r="W28" t="n">
        <v>104</v>
      </c>
      <c r="X28" t="n">
        <v>90</v>
      </c>
      <c r="Y28" t="n">
        <v>103</v>
      </c>
      <c r="Z28" t="n">
        <v>105</v>
      </c>
      <c r="AA28" t="n">
        <v>119</v>
      </c>
      <c r="AB28" t="n">
        <v>143</v>
      </c>
      <c r="AC28" t="n">
        <v>148</v>
      </c>
      <c r="AD28" t="n">
        <v>155</v>
      </c>
      <c r="AE28" t="n">
        <v>165</v>
      </c>
      <c r="AF28" t="n">
        <v>152</v>
      </c>
    </row>
    <row r="29">
      <c r="A29" t="s">
        <v>7</v>
      </c>
      <c r="B29" t="s">
        <v>328</v>
      </c>
      <c r="C29" t="s">
        <v>236</v>
      </c>
      <c r="D29" t="s">
        <v>329</v>
      </c>
      <c r="E29" t="s">
        <v>237</v>
      </c>
      <c r="F29" t="n">
        <v>11</v>
      </c>
      <c r="G29" t="n">
        <v>8</v>
      </c>
      <c r="H29" t="n">
        <v>11</v>
      </c>
      <c r="I29" t="n">
        <v>9</v>
      </c>
      <c r="J29" t="n">
        <v>10</v>
      </c>
      <c r="K29" t="n">
        <v>10</v>
      </c>
      <c r="L29" t="n">
        <v>13</v>
      </c>
      <c r="M29" t="n">
        <v>13</v>
      </c>
      <c r="N29" t="n">
        <v>12</v>
      </c>
      <c r="O29" t="n">
        <v>16</v>
      </c>
      <c r="P29" t="n">
        <v>13</v>
      </c>
      <c r="Q29" t="n">
        <v>18</v>
      </c>
      <c r="R29" t="n">
        <v>18</v>
      </c>
      <c r="S29" t="n">
        <v>11</v>
      </c>
      <c r="T29" t="n">
        <v>45</v>
      </c>
      <c r="U29" t="n">
        <v>20</v>
      </c>
      <c r="V29" t="n">
        <v>9</v>
      </c>
      <c r="W29" t="n">
        <v>11</v>
      </c>
      <c r="X29" t="n">
        <v>12</v>
      </c>
      <c r="Y29" t="n">
        <v>25</v>
      </c>
      <c r="Z29" t="n">
        <v>17</v>
      </c>
      <c r="AA29" t="n">
        <v>19</v>
      </c>
      <c r="AB29" t="n">
        <v>44</v>
      </c>
      <c r="AC29" t="n">
        <v>35</v>
      </c>
      <c r="AD29" t="n">
        <v>34</v>
      </c>
      <c r="AE29" t="n">
        <v>31</v>
      </c>
      <c r="AF29" t="n">
        <v>27</v>
      </c>
    </row>
    <row r="30">
      <c r="A30" t="s">
        <v>7</v>
      </c>
      <c r="B30" t="s">
        <v>330</v>
      </c>
      <c r="C30" t="s">
        <v>236</v>
      </c>
      <c r="D30" t="s">
        <v>331</v>
      </c>
      <c r="E30" t="s">
        <v>237</v>
      </c>
      <c r="F30" t="n">
        <v>2</v>
      </c>
      <c r="G30" t="n">
        <v>2</v>
      </c>
      <c r="H30" t="n">
        <v>3</v>
      </c>
      <c r="I30" t="n">
        <v>3</v>
      </c>
      <c r="J30" t="n">
        <v>4</v>
      </c>
      <c r="K30" t="n">
        <v>4</v>
      </c>
      <c r="L30" t="n">
        <v>5</v>
      </c>
      <c r="M30" t="n">
        <v>5</v>
      </c>
      <c r="N30" t="n">
        <v>5</v>
      </c>
      <c r="O30" t="n">
        <v>5</v>
      </c>
      <c r="P30" t="n">
        <v>7</v>
      </c>
      <c r="Q30" t="n">
        <v>5</v>
      </c>
      <c r="R30" t="n">
        <v>6</v>
      </c>
      <c r="S30" t="n">
        <v>7</v>
      </c>
      <c r="T30" t="n">
        <v>7</v>
      </c>
      <c r="U30" t="n">
        <v>6</v>
      </c>
      <c r="V30" t="n">
        <v>4</v>
      </c>
      <c r="W30" t="n">
        <v>4</v>
      </c>
      <c r="X30" t="n">
        <v>4</v>
      </c>
      <c r="Y30" t="n">
        <v>4</v>
      </c>
      <c r="Z30" t="n">
        <v>6</v>
      </c>
      <c r="AA30" t="n">
        <v>5</v>
      </c>
      <c r="AB30" t="n">
        <v>5</v>
      </c>
      <c r="AC30" t="n">
        <v>6</v>
      </c>
      <c r="AD30" t="n">
        <v>5</v>
      </c>
      <c r="AE30" t="n">
        <v>5</v>
      </c>
      <c r="AF30" t="n">
        <v>3</v>
      </c>
    </row>
    <row r="31">
      <c r="A31" t="s">
        <v>7</v>
      </c>
      <c r="B31" t="s">
        <v>332</v>
      </c>
      <c r="C31" t="s">
        <v>236</v>
      </c>
      <c r="D31" t="s">
        <v>333</v>
      </c>
      <c r="E31" t="s">
        <v>237</v>
      </c>
      <c r="F31" t="n">
        <v>16</v>
      </c>
      <c r="G31" t="n">
        <v>14</v>
      </c>
      <c r="H31" t="n">
        <v>16</v>
      </c>
      <c r="I31" t="n">
        <v>21</v>
      </c>
      <c r="J31" t="n">
        <v>23</v>
      </c>
      <c r="K31" t="n">
        <v>26</v>
      </c>
      <c r="L31" t="n">
        <v>29</v>
      </c>
      <c r="M31" t="n">
        <v>28</v>
      </c>
      <c r="N31" t="n">
        <v>27</v>
      </c>
      <c r="O31" t="n">
        <v>44</v>
      </c>
      <c r="P31" t="n">
        <v>34</v>
      </c>
      <c r="Q31" t="n">
        <v>32</v>
      </c>
      <c r="R31" t="n">
        <v>27</v>
      </c>
      <c r="S31" t="n">
        <v>22</v>
      </c>
      <c r="T31" t="n">
        <v>23</v>
      </c>
      <c r="U31" t="n">
        <v>14</v>
      </c>
      <c r="V31" t="n">
        <v>15</v>
      </c>
      <c r="W31" t="n">
        <v>18</v>
      </c>
      <c r="X31" t="n">
        <v>18</v>
      </c>
      <c r="Y31" t="n">
        <v>16</v>
      </c>
      <c r="Z31" t="n">
        <v>30</v>
      </c>
      <c r="AA31" t="n">
        <v>42</v>
      </c>
      <c r="AB31" t="n">
        <v>34</v>
      </c>
      <c r="AC31" t="n">
        <v>45</v>
      </c>
      <c r="AD31" t="n">
        <v>43</v>
      </c>
      <c r="AE31" t="n">
        <v>27</v>
      </c>
      <c r="AF31" t="n">
        <v>23</v>
      </c>
    </row>
    <row r="32">
      <c r="A32" t="s">
        <v>7</v>
      </c>
      <c r="B32" t="s">
        <v>334</v>
      </c>
      <c r="C32" t="s">
        <v>236</v>
      </c>
      <c r="D32" t="s">
        <v>335</v>
      </c>
      <c r="E32" t="s">
        <v>237</v>
      </c>
      <c r="F32" t="n">
        <v>8</v>
      </c>
      <c r="G32" t="n">
        <v>7</v>
      </c>
      <c r="H32" t="n">
        <v>8</v>
      </c>
      <c r="I32" t="n">
        <v>13</v>
      </c>
      <c r="J32" t="n">
        <v>15</v>
      </c>
      <c r="K32" t="n">
        <v>17</v>
      </c>
      <c r="L32" t="n">
        <v>17</v>
      </c>
      <c r="M32" t="n">
        <v>19</v>
      </c>
      <c r="N32" t="n">
        <v>15</v>
      </c>
      <c r="O32" t="n">
        <v>20</v>
      </c>
      <c r="P32" t="n">
        <v>19</v>
      </c>
      <c r="Q32" t="n">
        <v>19</v>
      </c>
      <c r="R32" t="n">
        <v>18</v>
      </c>
      <c r="S32" t="n">
        <v>23</v>
      </c>
      <c r="T32" t="n">
        <v>30</v>
      </c>
      <c r="U32" t="n">
        <v>24</v>
      </c>
      <c r="V32" t="n">
        <v>40</v>
      </c>
      <c r="W32" t="n">
        <v>35</v>
      </c>
      <c r="X32" t="n">
        <v>24</v>
      </c>
      <c r="Y32" t="n">
        <v>27</v>
      </c>
      <c r="Z32" t="n">
        <v>26</v>
      </c>
      <c r="AA32" t="n">
        <v>37</v>
      </c>
      <c r="AB32" t="n">
        <v>51</v>
      </c>
      <c r="AC32" t="n">
        <v>39</v>
      </c>
      <c r="AD32" t="n">
        <v>57</v>
      </c>
      <c r="AE32" t="n">
        <v>74</v>
      </c>
      <c r="AF32" t="n">
        <v>63</v>
      </c>
    </row>
    <row r="33">
      <c r="A33" t="s">
        <v>7</v>
      </c>
      <c r="B33" t="s">
        <v>336</v>
      </c>
      <c r="C33" t="s">
        <v>236</v>
      </c>
      <c r="D33" t="s">
        <v>337</v>
      </c>
      <c r="E33" t="s">
        <v>237</v>
      </c>
      <c r="F33" t="n">
        <v>17</v>
      </c>
      <c r="G33" t="n">
        <v>30</v>
      </c>
      <c r="H33" t="n">
        <v>34</v>
      </c>
      <c r="I33" t="n">
        <v>43</v>
      </c>
      <c r="J33" t="n">
        <v>47</v>
      </c>
      <c r="K33" t="n">
        <v>38</v>
      </c>
      <c r="L33" t="n">
        <v>26</v>
      </c>
      <c r="M33" t="n">
        <v>13</v>
      </c>
      <c r="N33" t="n">
        <v>18</v>
      </c>
      <c r="O33" t="n">
        <v>16</v>
      </c>
      <c r="P33" t="n">
        <v>16</v>
      </c>
      <c r="Q33" t="n">
        <v>18</v>
      </c>
      <c r="R33" t="n">
        <v>14</v>
      </c>
      <c r="S33" t="n">
        <v>18</v>
      </c>
      <c r="T33" t="n">
        <v>22</v>
      </c>
      <c r="U33" t="n">
        <v>22</v>
      </c>
      <c r="V33" t="n">
        <v>25</v>
      </c>
      <c r="W33" t="n">
        <v>36</v>
      </c>
      <c r="X33" t="n">
        <v>32</v>
      </c>
      <c r="Y33" t="n">
        <v>31</v>
      </c>
      <c r="Z33" t="n">
        <v>26</v>
      </c>
      <c r="AA33" t="n">
        <v>16</v>
      </c>
      <c r="AB33" t="n">
        <v>9</v>
      </c>
      <c r="AC33" t="n">
        <v>23</v>
      </c>
      <c r="AD33" t="n">
        <v>16</v>
      </c>
      <c r="AE33" t="n">
        <v>28</v>
      </c>
      <c r="AF33" t="n">
        <v>36</v>
      </c>
    </row>
    <row r="34">
      <c r="A34" t="s">
        <v>7</v>
      </c>
      <c r="B34" t="s">
        <v>338</v>
      </c>
      <c r="C34" t="s">
        <v>236</v>
      </c>
      <c r="D34" t="s">
        <v>339</v>
      </c>
      <c r="E34" t="s">
        <v>237</v>
      </c>
      <c r="F34" t="n">
        <v>4</v>
      </c>
      <c r="G34" t="n">
        <v>3</v>
      </c>
      <c r="H34" t="n">
        <v>4</v>
      </c>
      <c r="I34" t="n">
        <v>5</v>
      </c>
      <c r="J34" t="n">
        <v>6</v>
      </c>
      <c r="K34" t="n">
        <v>7</v>
      </c>
      <c r="L34" t="n">
        <v>8</v>
      </c>
      <c r="M34" t="n">
        <v>7</v>
      </c>
      <c r="N34" t="n">
        <v>10</v>
      </c>
      <c r="O34" t="n">
        <v>9</v>
      </c>
      <c r="P34" t="n">
        <v>8</v>
      </c>
      <c r="Q34" t="n">
        <v>9</v>
      </c>
      <c r="R34" t="n">
        <v>12</v>
      </c>
      <c r="S34" t="n">
        <v>14</v>
      </c>
      <c r="T34" t="n">
        <v>16</v>
      </c>
      <c r="U34" t="n">
        <v>22</v>
      </c>
      <c r="V34" t="n">
        <v>20</v>
      </c>
      <c r="W34" t="n">
        <v>22</v>
      </c>
      <c r="X34" t="n">
        <v>23</v>
      </c>
      <c r="Y34" t="n">
        <v>20</v>
      </c>
      <c r="Z34" t="n">
        <v>21</v>
      </c>
      <c r="AA34" t="n">
        <v>24</v>
      </c>
      <c r="AB34" t="n">
        <v>25</v>
      </c>
      <c r="AC34" t="n">
        <v>26</v>
      </c>
      <c r="AD34" t="n">
        <v>36</v>
      </c>
      <c r="AE34" t="n">
        <v>28</v>
      </c>
      <c r="AF34" t="n">
        <v>30</v>
      </c>
    </row>
    <row r="35">
      <c r="A35" t="s">
        <v>7</v>
      </c>
      <c r="B35" t="s">
        <v>340</v>
      </c>
      <c r="C35" t="s">
        <v>236</v>
      </c>
      <c r="D35" t="s">
        <v>341</v>
      </c>
      <c r="E35" t="s">
        <v>237</v>
      </c>
      <c r="F35" t="n">
        <v>165</v>
      </c>
      <c r="G35" t="n">
        <v>158</v>
      </c>
      <c r="H35" t="n">
        <v>168</v>
      </c>
      <c r="I35" t="n">
        <v>209</v>
      </c>
      <c r="J35" t="n">
        <v>244</v>
      </c>
      <c r="K35" t="n">
        <v>287</v>
      </c>
      <c r="L35" t="n">
        <v>319</v>
      </c>
      <c r="M35" t="n">
        <v>295</v>
      </c>
      <c r="N35" t="n">
        <v>379</v>
      </c>
      <c r="O35" t="n">
        <v>307</v>
      </c>
      <c r="P35" t="n">
        <v>420</v>
      </c>
      <c r="Q35" t="n">
        <v>422</v>
      </c>
      <c r="R35" t="n">
        <v>485</v>
      </c>
      <c r="S35" t="n">
        <v>438</v>
      </c>
      <c r="T35" t="n">
        <v>448</v>
      </c>
      <c r="U35" t="n">
        <v>420</v>
      </c>
      <c r="V35" t="n">
        <v>394</v>
      </c>
      <c r="W35" t="n">
        <v>369</v>
      </c>
      <c r="X35" t="n">
        <v>463</v>
      </c>
      <c r="Y35" t="n">
        <v>509</v>
      </c>
      <c r="Z35" t="n">
        <v>536</v>
      </c>
      <c r="AA35" t="n">
        <v>568</v>
      </c>
      <c r="AB35" t="n">
        <v>561</v>
      </c>
      <c r="AC35" t="n">
        <v>735</v>
      </c>
      <c r="AD35" t="n">
        <v>751</v>
      </c>
      <c r="AE35" t="n">
        <v>700</v>
      </c>
      <c r="AF35" t="n">
        <v>820</v>
      </c>
    </row>
    <row r="36">
      <c r="A36" t="s">
        <v>7</v>
      </c>
      <c r="B36" t="s">
        <v>342</v>
      </c>
      <c r="C36" t="s">
        <v>236</v>
      </c>
      <c r="D36" t="s">
        <v>343</v>
      </c>
      <c r="E36" t="s">
        <v>237</v>
      </c>
      <c r="F36" t="n">
        <v>34</v>
      </c>
      <c r="G36" t="n">
        <v>31</v>
      </c>
      <c r="H36" t="n">
        <v>29</v>
      </c>
      <c r="I36" t="n">
        <v>33</v>
      </c>
      <c r="J36" t="n">
        <v>44</v>
      </c>
      <c r="K36" t="n">
        <v>42</v>
      </c>
      <c r="L36" t="n">
        <v>53</v>
      </c>
      <c r="M36" t="n">
        <v>33</v>
      </c>
      <c r="N36" t="n">
        <v>45</v>
      </c>
      <c r="O36" t="n">
        <v>59</v>
      </c>
      <c r="P36" t="n">
        <v>58</v>
      </c>
      <c r="Q36" t="n">
        <v>53</v>
      </c>
      <c r="R36" t="n">
        <v>84</v>
      </c>
      <c r="S36" t="n">
        <v>71</v>
      </c>
      <c r="T36" t="n">
        <v>100</v>
      </c>
      <c r="U36" t="n">
        <v>103</v>
      </c>
      <c r="V36" t="n">
        <v>101</v>
      </c>
      <c r="W36" t="n">
        <v>111</v>
      </c>
      <c r="X36" t="n">
        <v>98</v>
      </c>
      <c r="Y36" t="n">
        <v>100</v>
      </c>
      <c r="Z36" t="n">
        <v>109</v>
      </c>
      <c r="AA36" t="n">
        <v>119</v>
      </c>
      <c r="AB36" t="n">
        <v>111</v>
      </c>
      <c r="AC36" t="n">
        <v>138</v>
      </c>
      <c r="AD36" t="n">
        <v>133</v>
      </c>
      <c r="AE36" t="n">
        <v>141</v>
      </c>
      <c r="AF36" t="n">
        <v>158</v>
      </c>
    </row>
    <row r="37">
      <c r="A37" t="s">
        <v>7</v>
      </c>
      <c r="B37" t="s">
        <v>344</v>
      </c>
      <c r="C37" t="s">
        <v>236</v>
      </c>
      <c r="D37" t="s">
        <v>345</v>
      </c>
      <c r="E37" t="s">
        <v>237</v>
      </c>
      <c r="F37" t="n">
        <v>53</v>
      </c>
      <c r="G37" t="n">
        <v>44</v>
      </c>
      <c r="H37" t="n">
        <v>49</v>
      </c>
      <c r="I37" t="n">
        <v>63</v>
      </c>
      <c r="J37" t="n">
        <v>70</v>
      </c>
      <c r="K37" t="n">
        <v>95</v>
      </c>
      <c r="L37" t="n">
        <v>97</v>
      </c>
      <c r="M37" t="n">
        <v>98</v>
      </c>
      <c r="N37" t="n">
        <v>168</v>
      </c>
      <c r="O37" t="n">
        <v>74</v>
      </c>
      <c r="P37" t="n">
        <v>126</v>
      </c>
      <c r="Q37" t="n">
        <v>116</v>
      </c>
      <c r="R37" t="n">
        <v>144</v>
      </c>
      <c r="S37" t="n">
        <v>77</v>
      </c>
      <c r="T37" t="n">
        <v>107</v>
      </c>
      <c r="U37" t="n">
        <v>92</v>
      </c>
      <c r="V37" t="n">
        <v>59</v>
      </c>
      <c r="W37" t="n">
        <v>57</v>
      </c>
      <c r="X37" t="n">
        <v>73</v>
      </c>
      <c r="Y37" t="n">
        <v>81</v>
      </c>
      <c r="Z37" t="n">
        <v>81</v>
      </c>
      <c r="AA37" t="n">
        <v>94</v>
      </c>
      <c r="AB37" t="n">
        <v>120</v>
      </c>
      <c r="AC37" t="n">
        <v>123</v>
      </c>
      <c r="AD37" t="n">
        <v>105</v>
      </c>
      <c r="AE37" t="n">
        <v>90</v>
      </c>
      <c r="AF37" t="n">
        <v>181</v>
      </c>
    </row>
    <row r="38">
      <c r="A38" t="s">
        <v>7</v>
      </c>
      <c r="B38" t="s">
        <v>346</v>
      </c>
      <c r="C38" t="s">
        <v>236</v>
      </c>
      <c r="D38" t="s">
        <v>347</v>
      </c>
      <c r="E38" t="s">
        <v>237</v>
      </c>
      <c r="F38" t="n">
        <v>78</v>
      </c>
      <c r="G38" t="n">
        <v>83</v>
      </c>
      <c r="H38" t="n">
        <v>90</v>
      </c>
      <c r="I38" t="n">
        <v>113</v>
      </c>
      <c r="J38" t="n">
        <v>130</v>
      </c>
      <c r="K38" t="n">
        <v>150</v>
      </c>
      <c r="L38" t="n">
        <v>169</v>
      </c>
      <c r="M38" t="n">
        <v>164</v>
      </c>
      <c r="N38" t="n">
        <v>166</v>
      </c>
      <c r="O38" t="n">
        <v>174</v>
      </c>
      <c r="P38" t="n">
        <v>236</v>
      </c>
      <c r="Q38" t="n">
        <v>253</v>
      </c>
      <c r="R38" t="n">
        <v>257</v>
      </c>
      <c r="S38" t="n">
        <v>290</v>
      </c>
      <c r="T38" t="n">
        <v>241</v>
      </c>
      <c r="U38" t="n">
        <v>225</v>
      </c>
      <c r="V38" t="n">
        <v>234</v>
      </c>
      <c r="W38" t="n">
        <v>201</v>
      </c>
      <c r="X38" t="n">
        <v>292</v>
      </c>
      <c r="Y38" t="n">
        <v>328</v>
      </c>
      <c r="Z38" t="n">
        <v>346</v>
      </c>
      <c r="AA38" t="n">
        <v>355</v>
      </c>
      <c r="AB38" t="n">
        <v>330</v>
      </c>
      <c r="AC38" t="n">
        <v>474</v>
      </c>
      <c r="AD38" t="n">
        <v>513</v>
      </c>
      <c r="AE38" t="n">
        <v>469</v>
      </c>
      <c r="AF38" t="n">
        <v>481</v>
      </c>
    </row>
    <row r="39">
      <c r="A39" t="s">
        <v>7</v>
      </c>
      <c r="B39" t="s">
        <v>348</v>
      </c>
      <c r="C39" t="s">
        <v>236</v>
      </c>
      <c r="D39" t="s">
        <v>349</v>
      </c>
      <c r="E39" t="s">
        <v>237</v>
      </c>
      <c r="F39" t="n">
        <v>201</v>
      </c>
      <c r="G39" t="n">
        <v>151</v>
      </c>
      <c r="H39" t="n">
        <v>149</v>
      </c>
      <c r="I39" t="n">
        <v>166</v>
      </c>
      <c r="J39" t="n">
        <v>188</v>
      </c>
      <c r="K39" t="n">
        <v>203</v>
      </c>
      <c r="L39" t="n">
        <v>235</v>
      </c>
      <c r="M39" t="n">
        <v>209</v>
      </c>
      <c r="N39" t="n">
        <v>262</v>
      </c>
      <c r="O39" t="n">
        <v>303</v>
      </c>
      <c r="P39" t="n">
        <v>304</v>
      </c>
      <c r="Q39" t="n">
        <v>342</v>
      </c>
      <c r="R39" t="n">
        <v>418</v>
      </c>
      <c r="S39" t="n">
        <v>414</v>
      </c>
      <c r="T39" t="n">
        <v>381</v>
      </c>
      <c r="U39" t="n">
        <v>380</v>
      </c>
      <c r="V39" t="n">
        <v>375</v>
      </c>
      <c r="W39" t="n">
        <v>267</v>
      </c>
      <c r="X39" t="n">
        <v>273</v>
      </c>
      <c r="Y39" t="n">
        <v>368</v>
      </c>
      <c r="Z39" t="n">
        <v>358</v>
      </c>
      <c r="AA39" t="n">
        <v>366</v>
      </c>
      <c r="AB39" t="n">
        <v>359</v>
      </c>
      <c r="AC39" t="n">
        <v>357</v>
      </c>
      <c r="AD39" t="n">
        <v>403</v>
      </c>
      <c r="AE39" t="n">
        <v>284</v>
      </c>
      <c r="AF39" t="n">
        <v>257</v>
      </c>
    </row>
    <row r="40">
      <c r="A40" t="s">
        <v>7</v>
      </c>
      <c r="B40" t="s">
        <v>350</v>
      </c>
      <c r="C40" t="s">
        <v>236</v>
      </c>
      <c r="D40" t="s">
        <v>351</v>
      </c>
      <c r="E40" t="s">
        <v>237</v>
      </c>
      <c r="F40" t="n">
        <v>3</v>
      </c>
      <c r="G40" t="n">
        <v>3</v>
      </c>
      <c r="H40" t="n">
        <v>3</v>
      </c>
      <c r="I40" t="n">
        <v>3</v>
      </c>
      <c r="J40" t="n">
        <v>2</v>
      </c>
      <c r="K40" t="n">
        <v>2</v>
      </c>
      <c r="L40" t="n">
        <v>3</v>
      </c>
      <c r="M40" t="n">
        <v>4</v>
      </c>
      <c r="N40" t="n">
        <v>2</v>
      </c>
      <c r="O40" t="n">
        <v>2</v>
      </c>
      <c r="P40" t="n">
        <v>3</v>
      </c>
      <c r="Q40" t="n">
        <v>6</v>
      </c>
      <c r="R40" t="n">
        <v>5</v>
      </c>
      <c r="S40" t="n">
        <v>11</v>
      </c>
      <c r="T40" t="n">
        <v>14</v>
      </c>
      <c r="U40" t="n">
        <v>27</v>
      </c>
      <c r="V40" t="n">
        <v>17</v>
      </c>
      <c r="W40" t="n">
        <v>19</v>
      </c>
      <c r="X40" t="n">
        <v>24</v>
      </c>
      <c r="Y40" t="n">
        <v>32</v>
      </c>
      <c r="Z40" t="n">
        <v>29</v>
      </c>
      <c r="AA40" t="n">
        <v>25</v>
      </c>
      <c r="AB40" t="n">
        <v>29</v>
      </c>
      <c r="AC40" t="n">
        <v>35</v>
      </c>
      <c r="AD40" t="n">
        <v>27</v>
      </c>
      <c r="AE40" t="n">
        <v>31</v>
      </c>
      <c r="AF40" t="n">
        <v>38</v>
      </c>
    </row>
    <row r="41">
      <c r="A41" t="s">
        <v>7</v>
      </c>
      <c r="B41" t="s">
        <v>352</v>
      </c>
      <c r="C41" t="s">
        <v>236</v>
      </c>
      <c r="D41" t="s">
        <v>353</v>
      </c>
      <c r="E41" t="s">
        <v>237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/>
      <c r="AD41"/>
      <c r="AE41"/>
      <c r="AF41"/>
    </row>
    <row r="42">
      <c r="A42" t="s">
        <v>7</v>
      </c>
      <c r="B42" t="s">
        <v>354</v>
      </c>
      <c r="C42" t="s">
        <v>236</v>
      </c>
      <c r="D42" t="s">
        <v>355</v>
      </c>
      <c r="E42" t="s">
        <v>237</v>
      </c>
      <c r="F42" t="n">
        <v>41</v>
      </c>
      <c r="G42" t="n">
        <v>34</v>
      </c>
      <c r="H42" t="n">
        <v>39</v>
      </c>
      <c r="I42" t="n">
        <v>50</v>
      </c>
      <c r="J42" t="n">
        <v>61</v>
      </c>
      <c r="K42" t="n">
        <v>74</v>
      </c>
      <c r="L42" t="n">
        <v>77</v>
      </c>
      <c r="M42" t="n">
        <v>77</v>
      </c>
      <c r="N42" t="n">
        <v>91</v>
      </c>
      <c r="O42" t="n">
        <v>91</v>
      </c>
      <c r="P42" t="n">
        <v>111</v>
      </c>
      <c r="Q42" t="n">
        <v>100</v>
      </c>
      <c r="R42" t="n">
        <v>141</v>
      </c>
      <c r="S42" t="n">
        <v>156</v>
      </c>
      <c r="T42" t="n">
        <v>122</v>
      </c>
      <c r="U42" t="n">
        <v>138</v>
      </c>
      <c r="V42" t="n">
        <v>154</v>
      </c>
      <c r="W42" t="n">
        <v>138</v>
      </c>
      <c r="X42" t="n">
        <v>160</v>
      </c>
      <c r="Y42" t="n">
        <v>170</v>
      </c>
      <c r="Z42" t="n">
        <v>178</v>
      </c>
      <c r="AA42" t="n">
        <v>173</v>
      </c>
      <c r="AB42" t="n">
        <v>173</v>
      </c>
      <c r="AC42" t="n">
        <v>164</v>
      </c>
      <c r="AD42" t="n">
        <v>259</v>
      </c>
      <c r="AE42" t="n">
        <v>247</v>
      </c>
      <c r="AF42" t="n">
        <v>279</v>
      </c>
    </row>
    <row r="43">
      <c r="A43" t="s">
        <v>7</v>
      </c>
      <c r="B43" t="s">
        <v>356</v>
      </c>
      <c r="C43" t="s">
        <v>236</v>
      </c>
      <c r="D43" t="s">
        <v>357</v>
      </c>
      <c r="E43" t="s">
        <v>237</v>
      </c>
      <c r="F43" t="n">
        <v>62</v>
      </c>
      <c r="G43" t="n">
        <v>48</v>
      </c>
      <c r="H43" t="n">
        <v>58</v>
      </c>
      <c r="I43" t="n">
        <v>73</v>
      </c>
      <c r="J43" t="n">
        <v>86</v>
      </c>
      <c r="K43" t="n">
        <v>99</v>
      </c>
      <c r="L43" t="n">
        <v>108</v>
      </c>
      <c r="M43" t="n">
        <v>103</v>
      </c>
      <c r="N43" t="n">
        <v>125</v>
      </c>
      <c r="O43" t="n">
        <v>120</v>
      </c>
      <c r="P43" t="n">
        <v>149</v>
      </c>
      <c r="Q43" t="n">
        <v>139</v>
      </c>
      <c r="R43" t="n">
        <v>180</v>
      </c>
      <c r="S43" t="n">
        <v>201</v>
      </c>
      <c r="T43" t="n">
        <v>173</v>
      </c>
      <c r="U43" t="n">
        <v>191</v>
      </c>
      <c r="V43" t="n">
        <v>208</v>
      </c>
      <c r="W43" t="n">
        <v>208</v>
      </c>
      <c r="X43" t="n">
        <v>226</v>
      </c>
      <c r="Y43" t="n">
        <v>250</v>
      </c>
      <c r="Z43" t="n">
        <v>248</v>
      </c>
      <c r="AA43" t="n">
        <v>266</v>
      </c>
      <c r="AB43" t="n">
        <v>277</v>
      </c>
      <c r="AC43" t="n">
        <v>266</v>
      </c>
      <c r="AD43" t="n">
        <v>387</v>
      </c>
      <c r="AE43" t="n">
        <v>358</v>
      </c>
      <c r="AF43" t="n">
        <v>400</v>
      </c>
    </row>
    <row r="44">
      <c r="A44" t="s">
        <v>7</v>
      </c>
      <c r="B44" t="s">
        <v>358</v>
      </c>
      <c r="C44" t="s">
        <v>236</v>
      </c>
      <c r="D44" t="s">
        <v>359</v>
      </c>
      <c r="E44" t="s">
        <v>237</v>
      </c>
      <c r="F44" t="n">
        <v>770</v>
      </c>
      <c r="G44" t="n">
        <v>694</v>
      </c>
      <c r="H44" t="n">
        <v>789</v>
      </c>
      <c r="I44" t="n">
        <v>996</v>
      </c>
      <c r="J44" t="n">
        <v>1138</v>
      </c>
      <c r="K44" t="n">
        <v>1299</v>
      </c>
      <c r="L44" t="n">
        <v>1482</v>
      </c>
      <c r="M44" t="n">
        <v>1365</v>
      </c>
      <c r="N44" t="n">
        <v>1718</v>
      </c>
      <c r="O44" t="n">
        <v>1667</v>
      </c>
      <c r="P44" t="n">
        <v>1943</v>
      </c>
      <c r="Q44" t="n">
        <v>2048</v>
      </c>
      <c r="R44" t="n">
        <v>2201</v>
      </c>
      <c r="S44" t="n">
        <v>2282</v>
      </c>
      <c r="T44" t="n">
        <v>2311</v>
      </c>
      <c r="U44" t="n">
        <v>2304</v>
      </c>
      <c r="V44" t="n">
        <v>2316</v>
      </c>
      <c r="W44" t="n">
        <v>2320</v>
      </c>
      <c r="X44" t="n">
        <v>2391</v>
      </c>
      <c r="Y44" t="n">
        <v>2663</v>
      </c>
      <c r="Z44" t="n">
        <v>2605</v>
      </c>
      <c r="AA44" t="n">
        <v>2635</v>
      </c>
      <c r="AB44" t="n">
        <v>2811</v>
      </c>
      <c r="AC44" t="n">
        <v>3171</v>
      </c>
      <c r="AD44" t="n">
        <v>3540</v>
      </c>
      <c r="AE44" t="n">
        <v>3389</v>
      </c>
      <c r="AF44" t="n">
        <v>3588</v>
      </c>
    </row>
    <row r="45">
      <c r="A45" t="s">
        <v>7</v>
      </c>
      <c r="B45" t="s">
        <v>360</v>
      </c>
      <c r="C45" t="s">
        <v>236</v>
      </c>
      <c r="D45" t="s">
        <v>361</v>
      </c>
      <c r="E45" t="s">
        <v>237</v>
      </c>
      <c r="F45" t="n">
        <v>768</v>
      </c>
      <c r="G45" t="n">
        <v>693</v>
      </c>
      <c r="H45" t="n">
        <v>787</v>
      </c>
      <c r="I45" t="n">
        <v>994</v>
      </c>
      <c r="J45" t="n">
        <v>1136</v>
      </c>
      <c r="K45" t="n">
        <v>1296</v>
      </c>
      <c r="L45" t="n">
        <v>1479</v>
      </c>
      <c r="M45" t="n">
        <v>1362</v>
      </c>
      <c r="N45" t="n">
        <v>1715</v>
      </c>
      <c r="O45" t="n">
        <v>1664</v>
      </c>
      <c r="P45" t="n">
        <v>1939</v>
      </c>
      <c r="Q45" t="n">
        <v>2042</v>
      </c>
      <c r="R45" t="n">
        <v>2196</v>
      </c>
      <c r="S45" t="n">
        <v>2277</v>
      </c>
      <c r="T45" t="n">
        <v>2306</v>
      </c>
      <c r="U45" t="n">
        <v>2298</v>
      </c>
      <c r="V45" t="n">
        <v>2311</v>
      </c>
      <c r="W45" t="n">
        <v>2315</v>
      </c>
      <c r="X45" t="n">
        <v>2384</v>
      </c>
      <c r="Y45" t="n">
        <v>2657</v>
      </c>
      <c r="Z45" t="n">
        <v>2599</v>
      </c>
      <c r="AA45" t="n">
        <v>2630</v>
      </c>
      <c r="AB45" t="n">
        <v>2807</v>
      </c>
      <c r="AC45" t="n">
        <v>3166</v>
      </c>
      <c r="AD45" t="n">
        <v>3535</v>
      </c>
      <c r="AE45" t="n">
        <v>3384</v>
      </c>
      <c r="AF45" t="n">
        <v>3583</v>
      </c>
    </row>
    <row r="46">
      <c r="A46" t="s">
        <v>7</v>
      </c>
      <c r="B46" t="s">
        <v>362</v>
      </c>
      <c r="C46" t="s">
        <v>236</v>
      </c>
      <c r="D46" t="s">
        <v>363</v>
      </c>
      <c r="E46" t="s">
        <v>237</v>
      </c>
      <c r="F46" t="n">
        <v>21</v>
      </c>
      <c r="G46" t="n">
        <v>14</v>
      </c>
      <c r="H46" t="n">
        <v>19</v>
      </c>
      <c r="I46" t="n">
        <v>23</v>
      </c>
      <c r="J46" t="n">
        <v>25</v>
      </c>
      <c r="K46" t="n">
        <v>25</v>
      </c>
      <c r="L46" t="n">
        <v>31</v>
      </c>
      <c r="M46" t="n">
        <v>26</v>
      </c>
      <c r="N46" t="n">
        <v>34</v>
      </c>
      <c r="O46" t="n">
        <v>29</v>
      </c>
      <c r="P46" t="n">
        <v>38</v>
      </c>
      <c r="Q46" t="n">
        <v>39</v>
      </c>
      <c r="R46" t="n">
        <v>39</v>
      </c>
      <c r="S46" t="n">
        <v>45</v>
      </c>
      <c r="T46" t="n">
        <v>51</v>
      </c>
      <c r="U46" t="n">
        <v>53</v>
      </c>
      <c r="V46" t="n">
        <v>54</v>
      </c>
      <c r="W46" t="n">
        <v>70</v>
      </c>
      <c r="X46" t="n">
        <v>66</v>
      </c>
      <c r="Y46" t="n">
        <v>80</v>
      </c>
      <c r="Z46" t="n">
        <v>70</v>
      </c>
      <c r="AA46" t="n">
        <v>93</v>
      </c>
      <c r="AB46" t="n">
        <v>104</v>
      </c>
      <c r="AC46" t="n">
        <v>102</v>
      </c>
      <c r="AD46" t="n">
        <v>128</v>
      </c>
      <c r="AE46" t="n">
        <v>111</v>
      </c>
      <c r="AF46" t="n">
        <v>121</v>
      </c>
    </row>
    <row r="47">
      <c r="A47" t="s">
        <v>7</v>
      </c>
      <c r="B47" t="s">
        <v>364</v>
      </c>
      <c r="C47" t="s">
        <v>236</v>
      </c>
      <c r="D47" t="s">
        <v>365</v>
      </c>
      <c r="E47" t="s">
        <v>237</v>
      </c>
      <c r="F47" t="n">
        <v>54</v>
      </c>
      <c r="G47" t="n">
        <v>52</v>
      </c>
      <c r="H47" t="n">
        <v>56</v>
      </c>
      <c r="I47" t="n">
        <v>63</v>
      </c>
      <c r="J47" t="n">
        <v>70</v>
      </c>
      <c r="K47" t="n">
        <v>84</v>
      </c>
      <c r="L47" t="n">
        <v>111</v>
      </c>
      <c r="M47" t="n">
        <v>111</v>
      </c>
      <c r="N47" t="n">
        <v>136</v>
      </c>
      <c r="O47" t="n">
        <v>147</v>
      </c>
      <c r="P47" t="n">
        <v>146</v>
      </c>
      <c r="Q47" t="n">
        <v>139</v>
      </c>
      <c r="R47" t="n">
        <v>136</v>
      </c>
      <c r="S47" t="n">
        <v>154</v>
      </c>
      <c r="T47" t="n">
        <v>149</v>
      </c>
      <c r="U47" t="n">
        <v>175</v>
      </c>
      <c r="V47" t="n">
        <v>181</v>
      </c>
      <c r="W47" t="n">
        <v>166</v>
      </c>
      <c r="X47" t="n">
        <v>162</v>
      </c>
      <c r="Y47" t="n">
        <v>166</v>
      </c>
      <c r="Z47" t="n">
        <v>198</v>
      </c>
      <c r="AA47" t="n">
        <v>211</v>
      </c>
      <c r="AB47" t="n">
        <v>198</v>
      </c>
      <c r="AC47" t="n">
        <v>230</v>
      </c>
      <c r="AD47" t="n">
        <v>227</v>
      </c>
      <c r="AE47" t="n">
        <v>193</v>
      </c>
      <c r="AF47" t="n">
        <v>173</v>
      </c>
    </row>
    <row r="48">
      <c r="A48" t="s">
        <v>7</v>
      </c>
      <c r="B48" t="s">
        <v>366</v>
      </c>
      <c r="C48" t="s">
        <v>236</v>
      </c>
      <c r="D48" t="s">
        <v>367</v>
      </c>
      <c r="E48" t="s">
        <v>237</v>
      </c>
      <c r="F48" t="n">
        <v>83</v>
      </c>
      <c r="G48" t="n">
        <v>81</v>
      </c>
      <c r="H48" t="n">
        <v>87</v>
      </c>
      <c r="I48" t="n">
        <v>104</v>
      </c>
      <c r="J48" t="n">
        <v>116</v>
      </c>
      <c r="K48" t="n">
        <v>133</v>
      </c>
      <c r="L48" t="n">
        <v>161</v>
      </c>
      <c r="M48" t="n">
        <v>173</v>
      </c>
      <c r="N48" t="n">
        <v>193</v>
      </c>
      <c r="O48" t="n">
        <v>202</v>
      </c>
      <c r="P48" t="n">
        <v>207</v>
      </c>
      <c r="Q48" t="n">
        <v>214</v>
      </c>
      <c r="R48" t="n">
        <v>207</v>
      </c>
      <c r="S48" t="n">
        <v>225</v>
      </c>
      <c r="T48" t="n">
        <v>212</v>
      </c>
      <c r="U48" t="n">
        <v>259</v>
      </c>
      <c r="V48" t="n">
        <v>259</v>
      </c>
      <c r="W48" t="n">
        <v>268</v>
      </c>
      <c r="X48" t="n">
        <v>276</v>
      </c>
      <c r="Y48" t="n">
        <v>299</v>
      </c>
      <c r="Z48" t="n">
        <v>303</v>
      </c>
      <c r="AA48" t="n">
        <v>355</v>
      </c>
      <c r="AB48" t="n">
        <v>366</v>
      </c>
      <c r="AC48" t="n">
        <v>409</v>
      </c>
      <c r="AD48" t="n">
        <v>426</v>
      </c>
      <c r="AE48" t="n">
        <v>415</v>
      </c>
      <c r="AF48" t="n">
        <v>421</v>
      </c>
    </row>
    <row r="49">
      <c r="A49" t="s">
        <v>7</v>
      </c>
      <c r="B49" t="s">
        <v>368</v>
      </c>
      <c r="C49" t="s">
        <v>236</v>
      </c>
      <c r="D49" t="s">
        <v>369</v>
      </c>
      <c r="E49" t="s">
        <v>237</v>
      </c>
      <c r="F49" t="n">
        <v>14</v>
      </c>
      <c r="G49" t="n">
        <v>14</v>
      </c>
      <c r="H49" t="n">
        <v>15</v>
      </c>
      <c r="I49" t="n">
        <v>20</v>
      </c>
      <c r="J49" t="n">
        <v>23</v>
      </c>
      <c r="K49" t="n">
        <v>24</v>
      </c>
      <c r="L49" t="n">
        <v>21</v>
      </c>
      <c r="M49" t="n">
        <v>32</v>
      </c>
      <c r="N49" t="n">
        <v>26</v>
      </c>
      <c r="O49" t="n">
        <v>23</v>
      </c>
      <c r="P49" t="n">
        <v>23</v>
      </c>
      <c r="Q49" t="n">
        <v>22</v>
      </c>
      <c r="R49" t="n">
        <v>19</v>
      </c>
      <c r="S49" t="n">
        <v>26</v>
      </c>
      <c r="T49" t="n">
        <v>19</v>
      </c>
      <c r="U49" t="n">
        <v>28</v>
      </c>
      <c r="V49" t="n">
        <v>28</v>
      </c>
      <c r="W49" t="n">
        <v>30</v>
      </c>
      <c r="X49" t="n">
        <v>31</v>
      </c>
      <c r="Y49" t="n">
        <v>44</v>
      </c>
      <c r="Z49" t="n">
        <v>42</v>
      </c>
      <c r="AA49" t="n">
        <v>57</v>
      </c>
      <c r="AB49" t="n">
        <v>64</v>
      </c>
      <c r="AC49" t="n">
        <v>62</v>
      </c>
      <c r="AD49" t="n">
        <v>67</v>
      </c>
      <c r="AE49" t="n">
        <v>77</v>
      </c>
      <c r="AF49" t="n">
        <v>58</v>
      </c>
    </row>
    <row r="50">
      <c r="A50" t="s">
        <v>7</v>
      </c>
      <c r="B50" t="s">
        <v>370</v>
      </c>
      <c r="C50" t="s">
        <v>236</v>
      </c>
      <c r="D50" t="s">
        <v>371</v>
      </c>
      <c r="E50" t="s">
        <v>237</v>
      </c>
      <c r="F50" t="n">
        <v>15</v>
      </c>
      <c r="G50" t="n">
        <v>15</v>
      </c>
      <c r="H50" t="n">
        <v>16</v>
      </c>
      <c r="I50" t="n">
        <v>21</v>
      </c>
      <c r="J50" t="n">
        <v>23</v>
      </c>
      <c r="K50" t="n">
        <v>25</v>
      </c>
      <c r="L50" t="n">
        <v>29</v>
      </c>
      <c r="M50" t="n">
        <v>30</v>
      </c>
      <c r="N50" t="n">
        <v>31</v>
      </c>
      <c r="O50" t="n">
        <v>32</v>
      </c>
      <c r="P50" t="n">
        <v>38</v>
      </c>
      <c r="Q50" t="n">
        <v>53</v>
      </c>
      <c r="R50" t="n">
        <v>52</v>
      </c>
      <c r="S50" t="n">
        <v>45</v>
      </c>
      <c r="T50" t="n">
        <v>44</v>
      </c>
      <c r="U50" t="n">
        <v>56</v>
      </c>
      <c r="V50" t="n">
        <v>50</v>
      </c>
      <c r="W50" t="n">
        <v>72</v>
      </c>
      <c r="X50" t="n">
        <v>83</v>
      </c>
      <c r="Y50" t="n">
        <v>89</v>
      </c>
      <c r="Z50" t="n">
        <v>63</v>
      </c>
      <c r="AA50" t="n">
        <v>87</v>
      </c>
      <c r="AB50" t="n">
        <v>104</v>
      </c>
      <c r="AC50" t="n">
        <v>117</v>
      </c>
      <c r="AD50" t="n">
        <v>132</v>
      </c>
      <c r="AE50" t="n">
        <v>145</v>
      </c>
      <c r="AF50" t="n">
        <v>190</v>
      </c>
    </row>
    <row r="51">
      <c r="A51" t="s">
        <v>7</v>
      </c>
      <c r="B51" t="s">
        <v>372</v>
      </c>
      <c r="C51" t="s">
        <v>236</v>
      </c>
      <c r="D51" t="s">
        <v>373</v>
      </c>
      <c r="E51" t="s">
        <v>237</v>
      </c>
      <c r="F51" t="n">
        <v>14</v>
      </c>
      <c r="G51" t="n">
        <v>14</v>
      </c>
      <c r="H51" t="n">
        <v>15</v>
      </c>
      <c r="I51" t="n">
        <v>19</v>
      </c>
      <c r="J51" t="n">
        <v>21</v>
      </c>
      <c r="K51" t="n">
        <v>23</v>
      </c>
      <c r="L51" t="n">
        <v>27</v>
      </c>
      <c r="M51" t="n">
        <v>28</v>
      </c>
      <c r="N51" t="n">
        <v>29</v>
      </c>
      <c r="O51" t="n">
        <v>29</v>
      </c>
      <c r="P51" t="n">
        <v>36</v>
      </c>
      <c r="Q51" t="n">
        <v>52</v>
      </c>
      <c r="R51" t="n">
        <v>51</v>
      </c>
      <c r="S51" t="n">
        <v>44</v>
      </c>
      <c r="T51" t="n">
        <v>42</v>
      </c>
      <c r="U51" t="n">
        <v>51</v>
      </c>
      <c r="V51" t="n">
        <v>46</v>
      </c>
      <c r="W51" t="n">
        <v>67</v>
      </c>
      <c r="X51" t="n">
        <v>77</v>
      </c>
      <c r="Y51" t="n">
        <v>84</v>
      </c>
      <c r="Z51" t="n">
        <v>54</v>
      </c>
      <c r="AA51" t="n">
        <v>79</v>
      </c>
      <c r="AB51" t="n">
        <v>91</v>
      </c>
      <c r="AC51" t="n">
        <v>106</v>
      </c>
      <c r="AD51" t="n">
        <v>116</v>
      </c>
      <c r="AE51" t="n">
        <v>125</v>
      </c>
      <c r="AF51" t="n">
        <v>164</v>
      </c>
    </row>
    <row r="52">
      <c r="A52" t="s">
        <v>7</v>
      </c>
      <c r="B52" t="s">
        <v>374</v>
      </c>
      <c r="C52" t="s">
        <v>236</v>
      </c>
      <c r="D52" t="s">
        <v>375</v>
      </c>
      <c r="E52" t="s">
        <v>237</v>
      </c>
      <c r="F52" t="n">
        <v>1</v>
      </c>
      <c r="G52" t="n">
        <v>1</v>
      </c>
      <c r="H52" t="n">
        <v>1</v>
      </c>
      <c r="I52" t="n">
        <v>2</v>
      </c>
      <c r="J52" t="n">
        <v>2</v>
      </c>
      <c r="K52" t="n">
        <v>2</v>
      </c>
      <c r="L52" t="n">
        <v>2</v>
      </c>
      <c r="M52" t="n">
        <v>2</v>
      </c>
      <c r="N52" t="n">
        <v>2</v>
      </c>
      <c r="O52" t="n">
        <v>3</v>
      </c>
      <c r="P52" t="n">
        <v>2</v>
      </c>
      <c r="Q52" t="n">
        <v>1</v>
      </c>
      <c r="R52" t="n">
        <v>1</v>
      </c>
      <c r="S52" t="n">
        <v>1</v>
      </c>
      <c r="T52" t="n">
        <v>2</v>
      </c>
      <c r="U52" t="n">
        <v>5</v>
      </c>
      <c r="V52" t="n">
        <v>4</v>
      </c>
      <c r="W52" t="n">
        <v>5</v>
      </c>
      <c r="X52" t="n">
        <v>6</v>
      </c>
      <c r="Y52" t="n">
        <v>5</v>
      </c>
      <c r="Z52" t="n">
        <v>9</v>
      </c>
      <c r="AA52" t="n">
        <v>8</v>
      </c>
      <c r="AB52" t="n">
        <v>13</v>
      </c>
      <c r="AC52" t="n">
        <v>11</v>
      </c>
      <c r="AD52" t="n">
        <v>16</v>
      </c>
      <c r="AE52" t="n">
        <v>20</v>
      </c>
      <c r="AF52" t="n">
        <v>26</v>
      </c>
    </row>
    <row r="53">
      <c r="A53" t="s">
        <v>7</v>
      </c>
      <c r="B53" t="s">
        <v>376</v>
      </c>
      <c r="C53" t="s">
        <v>236</v>
      </c>
      <c r="D53" t="s">
        <v>377</v>
      </c>
      <c r="E53" t="s">
        <v>237</v>
      </c>
      <c r="F53" t="n">
        <v>9</v>
      </c>
      <c r="G53" t="n">
        <v>8</v>
      </c>
      <c r="H53" t="n">
        <v>10</v>
      </c>
      <c r="I53" t="n">
        <v>12</v>
      </c>
      <c r="J53" t="n">
        <v>13</v>
      </c>
      <c r="K53" t="n">
        <v>15</v>
      </c>
      <c r="L53" t="n">
        <v>14</v>
      </c>
      <c r="M53" t="n">
        <v>16</v>
      </c>
      <c r="N53" t="n">
        <v>14</v>
      </c>
      <c r="O53" t="n">
        <v>17</v>
      </c>
      <c r="P53" t="n">
        <v>24</v>
      </c>
      <c r="Q53" t="n">
        <v>38</v>
      </c>
      <c r="R53" t="n">
        <v>28</v>
      </c>
      <c r="S53" t="n">
        <v>50</v>
      </c>
      <c r="T53" t="n">
        <v>27</v>
      </c>
      <c r="U53" t="n">
        <v>49</v>
      </c>
      <c r="V53" t="n">
        <v>27</v>
      </c>
      <c r="W53" t="n">
        <v>22</v>
      </c>
      <c r="X53" t="n">
        <v>28</v>
      </c>
      <c r="Y53" t="n">
        <v>27</v>
      </c>
      <c r="Z53" t="n">
        <v>13</v>
      </c>
      <c r="AA53" t="n">
        <v>18</v>
      </c>
      <c r="AB53" t="n">
        <v>37</v>
      </c>
      <c r="AC53" t="n">
        <v>23</v>
      </c>
      <c r="AD53" t="n">
        <v>33</v>
      </c>
      <c r="AE53" t="n">
        <v>25</v>
      </c>
      <c r="AF53" t="n">
        <v>38</v>
      </c>
    </row>
    <row r="54">
      <c r="A54" t="s">
        <v>7</v>
      </c>
      <c r="B54" t="s">
        <v>378</v>
      </c>
      <c r="C54" t="s">
        <v>236</v>
      </c>
      <c r="D54" t="s">
        <v>379</v>
      </c>
      <c r="E54" t="s">
        <v>237</v>
      </c>
      <c r="F54" t="n">
        <v>16</v>
      </c>
      <c r="G54" t="n">
        <v>15</v>
      </c>
      <c r="H54" t="n">
        <v>18</v>
      </c>
      <c r="I54" t="n">
        <v>22</v>
      </c>
      <c r="J54" t="n">
        <v>24</v>
      </c>
      <c r="K54" t="n">
        <v>29</v>
      </c>
      <c r="L54" t="n">
        <v>29</v>
      </c>
      <c r="M54" t="n">
        <v>35</v>
      </c>
      <c r="N54" t="n">
        <v>25</v>
      </c>
      <c r="O54" t="n">
        <v>26</v>
      </c>
      <c r="P54" t="n">
        <v>37</v>
      </c>
      <c r="Q54" t="n">
        <v>43</v>
      </c>
      <c r="R54" t="n">
        <v>42</v>
      </c>
      <c r="S54" t="n">
        <v>65</v>
      </c>
      <c r="T54" t="n">
        <v>49</v>
      </c>
      <c r="U54" t="n">
        <v>67</v>
      </c>
      <c r="V54" t="n">
        <v>43</v>
      </c>
      <c r="W54" t="n">
        <v>42</v>
      </c>
      <c r="X54" t="n">
        <v>49</v>
      </c>
      <c r="Y54" t="n">
        <v>48</v>
      </c>
      <c r="Z54" t="n">
        <v>36</v>
      </c>
      <c r="AA54" t="n">
        <v>40</v>
      </c>
      <c r="AB54" t="n">
        <v>58</v>
      </c>
      <c r="AC54" t="n">
        <v>54</v>
      </c>
      <c r="AD54" t="n">
        <v>67</v>
      </c>
      <c r="AE54" t="n">
        <v>45</v>
      </c>
      <c r="AF54" t="n">
        <v>85</v>
      </c>
    </row>
    <row r="55">
      <c r="A55" t="s">
        <v>7</v>
      </c>
      <c r="B55" t="s">
        <v>380</v>
      </c>
      <c r="C55" t="s">
        <v>236</v>
      </c>
      <c r="D55" t="s">
        <v>381</v>
      </c>
      <c r="E55" t="s">
        <v>237</v>
      </c>
      <c r="F55" t="n">
        <v>7</v>
      </c>
      <c r="G55" t="n">
        <v>7</v>
      </c>
      <c r="H55" t="n">
        <v>8</v>
      </c>
      <c r="I55" t="n">
        <v>10</v>
      </c>
      <c r="J55" t="n">
        <v>11</v>
      </c>
      <c r="K55" t="n">
        <v>14</v>
      </c>
      <c r="L55" t="n">
        <v>15</v>
      </c>
      <c r="M55" t="n">
        <v>19</v>
      </c>
      <c r="N55" t="n">
        <v>11</v>
      </c>
      <c r="O55" t="n">
        <v>9</v>
      </c>
      <c r="P55" t="n">
        <v>13</v>
      </c>
      <c r="Q55" t="n">
        <v>5</v>
      </c>
      <c r="R55" t="n">
        <v>14</v>
      </c>
      <c r="S55" t="n">
        <v>15</v>
      </c>
      <c r="T55" t="n">
        <v>22</v>
      </c>
      <c r="U55" t="n">
        <v>18</v>
      </c>
      <c r="V55" t="n">
        <v>16</v>
      </c>
      <c r="W55" t="n">
        <v>20</v>
      </c>
      <c r="X55" t="n">
        <v>21</v>
      </c>
      <c r="Y55" t="n">
        <v>21</v>
      </c>
      <c r="Z55" t="n">
        <v>23</v>
      </c>
      <c r="AA55" t="n">
        <v>22</v>
      </c>
      <c r="AB55" t="n">
        <v>21</v>
      </c>
      <c r="AC55" t="n">
        <v>31</v>
      </c>
      <c r="AD55" t="n">
        <v>34</v>
      </c>
      <c r="AE55" t="n">
        <v>20</v>
      </c>
      <c r="AF55" t="n">
        <v>47</v>
      </c>
    </row>
    <row r="56">
      <c r="A56" t="s">
        <v>7</v>
      </c>
      <c r="B56" t="s">
        <v>382</v>
      </c>
      <c r="C56" t="s">
        <v>236</v>
      </c>
      <c r="D56" t="s">
        <v>383</v>
      </c>
      <c r="E56" t="s">
        <v>237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7</v>
      </c>
      <c r="B57" t="s">
        <v>384</v>
      </c>
      <c r="C57" t="s">
        <v>236</v>
      </c>
      <c r="D57" t="s">
        <v>385</v>
      </c>
      <c r="E57" t="s">
        <v>237</v>
      </c>
      <c r="F57" t="n">
        <v>856</v>
      </c>
      <c r="G57" t="n">
        <v>778</v>
      </c>
      <c r="H57" t="n">
        <v>879</v>
      </c>
      <c r="I57" t="n">
        <v>1103</v>
      </c>
      <c r="J57" t="n">
        <v>1256</v>
      </c>
      <c r="K57" t="n">
        <v>1434</v>
      </c>
      <c r="L57" t="n">
        <v>1646</v>
      </c>
      <c r="M57" t="n">
        <v>1542</v>
      </c>
      <c r="N57" t="n">
        <v>1913</v>
      </c>
      <c r="O57" t="n">
        <v>1871</v>
      </c>
      <c r="P57" t="n">
        <v>2153</v>
      </c>
      <c r="Q57" t="n">
        <v>2268</v>
      </c>
      <c r="R57" t="n">
        <v>2413</v>
      </c>
      <c r="S57" t="n">
        <v>2518</v>
      </c>
      <c r="T57" t="n">
        <v>2537</v>
      </c>
      <c r="U57" t="n">
        <v>2590</v>
      </c>
      <c r="V57" t="n">
        <v>2592</v>
      </c>
      <c r="W57" t="n">
        <v>2607</v>
      </c>
      <c r="X57" t="n">
        <v>2691</v>
      </c>
      <c r="Y57" t="n">
        <v>2994</v>
      </c>
      <c r="Z57" t="n">
        <v>2937</v>
      </c>
      <c r="AA57" t="n">
        <v>3015</v>
      </c>
      <c r="AB57" t="n">
        <v>3206</v>
      </c>
      <c r="AC57" t="n">
        <v>3615</v>
      </c>
      <c r="AD57" t="n">
        <v>3993</v>
      </c>
      <c r="AE57" t="n">
        <v>3835</v>
      </c>
      <c r="AF57" t="n">
        <v>4047</v>
      </c>
    </row>
    <row r="58">
      <c r="A58" t="s">
        <v>7</v>
      </c>
      <c r="B58" t="s">
        <v>386</v>
      </c>
      <c r="C58" t="s">
        <v>236</v>
      </c>
      <c r="D58" t="s">
        <v>387</v>
      </c>
      <c r="E58" t="s">
        <v>237</v>
      </c>
      <c r="F58" t="n">
        <v>856</v>
      </c>
      <c r="G58" t="n">
        <v>778</v>
      </c>
      <c r="H58" t="n">
        <v>879</v>
      </c>
      <c r="I58" t="n">
        <v>1103</v>
      </c>
      <c r="J58" t="n">
        <v>1256</v>
      </c>
      <c r="K58" t="n">
        <v>1434</v>
      </c>
      <c r="L58" t="n">
        <v>1646</v>
      </c>
      <c r="M58" t="n">
        <v>1542</v>
      </c>
      <c r="N58" t="n">
        <v>1913</v>
      </c>
      <c r="O58" t="n">
        <v>1871</v>
      </c>
      <c r="P58" t="n">
        <v>2153</v>
      </c>
      <c r="Q58" t="n">
        <v>2268</v>
      </c>
      <c r="R58" t="n">
        <v>2413</v>
      </c>
      <c r="S58" t="n">
        <v>2518</v>
      </c>
      <c r="T58" t="n">
        <v>2537</v>
      </c>
      <c r="U58" t="n">
        <v>2590</v>
      </c>
      <c r="V58" t="n">
        <v>2592</v>
      </c>
      <c r="W58" t="n">
        <v>2607</v>
      </c>
      <c r="X58" t="n">
        <v>2691</v>
      </c>
      <c r="Y58" t="n">
        <v>2994</v>
      </c>
      <c r="Z58" t="n">
        <v>2937</v>
      </c>
      <c r="AA58" t="n">
        <v>3015</v>
      </c>
      <c r="AB58" t="n">
        <v>3206</v>
      </c>
      <c r="AC58" t="n">
        <v>3615</v>
      </c>
      <c r="AD58" t="n">
        <v>3993</v>
      </c>
      <c r="AE58" t="n">
        <v>3835</v>
      </c>
      <c r="AF58" t="n">
        <v>4047</v>
      </c>
    </row>
    <row r="59">
      <c r="A59" t="s">
        <v>7</v>
      </c>
      <c r="B59" t="s">
        <v>388</v>
      </c>
      <c r="C59" t="s">
        <v>236</v>
      </c>
      <c r="D59" t="s">
        <v>389</v>
      </c>
      <c r="E59" t="s">
        <v>237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9</v>
      </c>
      <c r="B2" t="s">
        <v>197</v>
      </c>
      <c r="C2" t="s">
        <v>236</v>
      </c>
      <c r="D2" t="s">
        <v>199</v>
      </c>
      <c r="E2" t="s">
        <v>237</v>
      </c>
      <c r="F2" t="n">
        <v>183</v>
      </c>
      <c r="G2" t="n">
        <v>171</v>
      </c>
      <c r="H2" t="n">
        <v>200</v>
      </c>
      <c r="I2" t="n">
        <v>188</v>
      </c>
      <c r="J2" t="n">
        <v>219</v>
      </c>
      <c r="K2" t="n">
        <v>240</v>
      </c>
      <c r="L2" t="n">
        <v>248</v>
      </c>
      <c r="M2" t="n">
        <v>277</v>
      </c>
      <c r="N2" t="n">
        <v>275</v>
      </c>
      <c r="O2" t="n">
        <v>263</v>
      </c>
      <c r="P2" t="n">
        <v>248</v>
      </c>
      <c r="Q2" t="n">
        <v>228</v>
      </c>
      <c r="R2" t="n">
        <v>251</v>
      </c>
      <c r="S2" t="n">
        <v>294</v>
      </c>
      <c r="T2" t="n">
        <v>284</v>
      </c>
      <c r="U2" t="n">
        <v>259</v>
      </c>
      <c r="V2" t="n">
        <v>284</v>
      </c>
      <c r="W2" t="n">
        <v>283</v>
      </c>
      <c r="X2" t="n">
        <v>269</v>
      </c>
      <c r="Y2" t="n">
        <v>231</v>
      </c>
      <c r="Z2" t="n">
        <v>221</v>
      </c>
      <c r="AA2" t="n">
        <v>261</v>
      </c>
      <c r="AB2" t="n">
        <v>296</v>
      </c>
      <c r="AC2" t="n">
        <v>233</v>
      </c>
      <c r="AD2" t="n">
        <v>251</v>
      </c>
      <c r="AE2" t="n">
        <v>267</v>
      </c>
      <c r="AF2" t="n">
        <v>258</v>
      </c>
    </row>
    <row r="3">
      <c r="A3" t="s">
        <v>9</v>
      </c>
      <c r="B3" t="s">
        <v>276</v>
      </c>
      <c r="C3" t="s">
        <v>236</v>
      </c>
      <c r="D3" t="s">
        <v>277</v>
      </c>
      <c r="E3" t="s">
        <v>237</v>
      </c>
      <c r="F3" t="n">
        <v>4</v>
      </c>
      <c r="G3" t="n">
        <v>4</v>
      </c>
      <c r="H3" t="n">
        <v>3</v>
      </c>
      <c r="I3" t="n">
        <v>5</v>
      </c>
      <c r="J3" t="n">
        <v>6</v>
      </c>
      <c r="K3" t="n">
        <v>4</v>
      </c>
      <c r="L3" t="n">
        <v>3</v>
      </c>
      <c r="M3" t="n">
        <v>5</v>
      </c>
      <c r="N3" t="n">
        <v>6</v>
      </c>
      <c r="O3" t="n">
        <v>6</v>
      </c>
      <c r="P3" t="n">
        <v>8</v>
      </c>
      <c r="Q3" t="n">
        <v>6</v>
      </c>
      <c r="R3" t="n">
        <v>8</v>
      </c>
      <c r="S3" t="n">
        <v>11</v>
      </c>
      <c r="T3" t="n">
        <v>6</v>
      </c>
      <c r="U3" t="n">
        <v>6</v>
      </c>
      <c r="V3" t="n">
        <v>11</v>
      </c>
      <c r="W3" t="n">
        <v>35</v>
      </c>
      <c r="X3" t="n">
        <v>29</v>
      </c>
      <c r="Y3" t="n">
        <v>22</v>
      </c>
      <c r="Z3" t="n">
        <v>17</v>
      </c>
      <c r="AA3" t="n">
        <v>11</v>
      </c>
      <c r="AB3" t="n">
        <v>13</v>
      </c>
      <c r="AC3" t="n">
        <v>13</v>
      </c>
      <c r="AD3" t="n">
        <v>9</v>
      </c>
      <c r="AE3" t="n">
        <v>15</v>
      </c>
      <c r="AF3" t="n">
        <v>19</v>
      </c>
    </row>
    <row r="4">
      <c r="A4" t="s">
        <v>9</v>
      </c>
      <c r="B4" t="s">
        <v>278</v>
      </c>
      <c r="C4" t="s">
        <v>236</v>
      </c>
      <c r="D4" t="s">
        <v>279</v>
      </c>
      <c r="E4" t="s">
        <v>237</v>
      </c>
      <c r="F4" t="n">
        <v>61</v>
      </c>
      <c r="G4" t="n">
        <v>72</v>
      </c>
      <c r="H4" t="n">
        <v>84</v>
      </c>
      <c r="I4" t="n">
        <v>102</v>
      </c>
      <c r="J4" t="n">
        <v>99</v>
      </c>
      <c r="K4" t="n">
        <v>108</v>
      </c>
      <c r="L4" t="n">
        <v>106</v>
      </c>
      <c r="M4" t="n">
        <v>93</v>
      </c>
      <c r="N4" t="n">
        <v>102</v>
      </c>
      <c r="O4" t="n">
        <v>111</v>
      </c>
      <c r="P4" t="n">
        <v>114</v>
      </c>
      <c r="Q4" t="n">
        <v>179</v>
      </c>
      <c r="R4" t="n">
        <v>162</v>
      </c>
      <c r="S4" t="n">
        <v>223</v>
      </c>
      <c r="T4" t="n">
        <v>137</v>
      </c>
      <c r="U4" t="n">
        <v>96</v>
      </c>
      <c r="V4" t="n">
        <v>101</v>
      </c>
      <c r="W4" t="n">
        <v>109</v>
      </c>
      <c r="X4" t="n">
        <v>75</v>
      </c>
      <c r="Y4" t="n">
        <v>90</v>
      </c>
      <c r="Z4" t="n">
        <v>121</v>
      </c>
      <c r="AA4" t="n">
        <v>108</v>
      </c>
      <c r="AB4" t="n">
        <v>134</v>
      </c>
      <c r="AC4" t="n">
        <v>129</v>
      </c>
      <c r="AD4" t="n">
        <v>135</v>
      </c>
      <c r="AE4" t="n">
        <v>116</v>
      </c>
      <c r="AF4" t="n">
        <v>282</v>
      </c>
    </row>
    <row r="5">
      <c r="A5" t="s">
        <v>9</v>
      </c>
      <c r="B5" t="s">
        <v>280</v>
      </c>
      <c r="C5" t="s">
        <v>236</v>
      </c>
      <c r="D5" t="s">
        <v>281</v>
      </c>
      <c r="E5" t="s">
        <v>237</v>
      </c>
      <c r="F5" t="n">
        <v>10</v>
      </c>
      <c r="G5" t="n">
        <v>9</v>
      </c>
      <c r="H5" t="n">
        <v>11</v>
      </c>
      <c r="I5" t="n">
        <v>11</v>
      </c>
      <c r="J5" t="n">
        <v>11</v>
      </c>
      <c r="K5" t="n">
        <v>11</v>
      </c>
      <c r="L5" t="n">
        <v>10</v>
      </c>
      <c r="M5" t="n">
        <v>10</v>
      </c>
      <c r="N5" t="n">
        <v>10</v>
      </c>
      <c r="O5" t="n">
        <v>11</v>
      </c>
      <c r="P5" t="n">
        <v>10</v>
      </c>
      <c r="Q5" t="n">
        <v>15</v>
      </c>
      <c r="R5" t="n">
        <v>11</v>
      </c>
      <c r="S5" t="n">
        <v>15</v>
      </c>
      <c r="T5" t="n">
        <v>13</v>
      </c>
      <c r="U5" t="n">
        <v>10</v>
      </c>
      <c r="V5" t="n">
        <v>10</v>
      </c>
      <c r="W5" t="n">
        <v>11</v>
      </c>
      <c r="X5" t="n">
        <v>10</v>
      </c>
      <c r="Y5" t="n">
        <v>13</v>
      </c>
      <c r="Z5" t="n">
        <v>13</v>
      </c>
      <c r="AA5" t="n">
        <v>12</v>
      </c>
      <c r="AB5" t="n">
        <v>25</v>
      </c>
      <c r="AC5" t="n">
        <v>13</v>
      </c>
      <c r="AD5" t="n">
        <v>10</v>
      </c>
      <c r="AE5" t="n">
        <v>11</v>
      </c>
      <c r="AF5" t="n">
        <v>11</v>
      </c>
    </row>
    <row r="6">
      <c r="A6" t="s">
        <v>9</v>
      </c>
      <c r="B6" t="s">
        <v>282</v>
      </c>
      <c r="C6" t="s">
        <v>236</v>
      </c>
      <c r="D6" t="s">
        <v>283</v>
      </c>
      <c r="E6" t="s">
        <v>237</v>
      </c>
      <c r="F6" t="n">
        <v>3</v>
      </c>
      <c r="G6" t="n">
        <v>3</v>
      </c>
      <c r="H6" t="n">
        <v>4</v>
      </c>
      <c r="I6" t="n">
        <v>4</v>
      </c>
      <c r="J6" t="n">
        <v>3</v>
      </c>
      <c r="K6" t="n">
        <v>4</v>
      </c>
      <c r="L6" t="n">
        <v>4</v>
      </c>
      <c r="M6" t="n">
        <v>3</v>
      </c>
      <c r="N6" t="n">
        <v>2</v>
      </c>
      <c r="O6" t="n">
        <v>2</v>
      </c>
      <c r="P6" t="n">
        <v>3</v>
      </c>
      <c r="Q6" t="n">
        <v>3</v>
      </c>
      <c r="R6" t="n">
        <v>3</v>
      </c>
      <c r="S6" t="n">
        <v>3</v>
      </c>
      <c r="T6" t="n">
        <v>1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9</v>
      </c>
      <c r="B7" t="s">
        <v>284</v>
      </c>
      <c r="C7" t="s">
        <v>236</v>
      </c>
      <c r="D7" t="s">
        <v>285</v>
      </c>
      <c r="E7" t="s">
        <v>237</v>
      </c>
      <c r="F7" t="n">
        <v>17</v>
      </c>
      <c r="G7" t="n">
        <v>18</v>
      </c>
      <c r="H7" t="n">
        <v>22</v>
      </c>
      <c r="I7" t="n">
        <v>26</v>
      </c>
      <c r="J7" t="n">
        <v>26</v>
      </c>
      <c r="K7" t="n">
        <v>27</v>
      </c>
      <c r="L7" t="n">
        <v>26</v>
      </c>
      <c r="M7" t="n">
        <v>23</v>
      </c>
      <c r="N7" t="n">
        <v>26</v>
      </c>
      <c r="O7" t="n">
        <v>26</v>
      </c>
      <c r="P7" t="n">
        <v>26</v>
      </c>
      <c r="Q7" t="n">
        <v>41</v>
      </c>
      <c r="R7" t="n">
        <v>34</v>
      </c>
      <c r="S7" t="n">
        <v>37</v>
      </c>
      <c r="T7" t="n">
        <v>16</v>
      </c>
      <c r="U7" t="n">
        <v>15</v>
      </c>
      <c r="V7" t="n">
        <v>19</v>
      </c>
      <c r="W7" t="n">
        <v>16</v>
      </c>
      <c r="X7" t="n">
        <v>13</v>
      </c>
      <c r="Y7" t="n">
        <v>12</v>
      </c>
      <c r="Z7" t="n">
        <v>17</v>
      </c>
      <c r="AA7" t="n">
        <v>22</v>
      </c>
      <c r="AB7" t="n">
        <v>39</v>
      </c>
      <c r="AC7" t="n">
        <v>18</v>
      </c>
      <c r="AD7" t="n">
        <v>17</v>
      </c>
      <c r="AE7" t="n">
        <v>14</v>
      </c>
      <c r="AF7" t="n">
        <v>20</v>
      </c>
    </row>
    <row r="8">
      <c r="A8" t="s">
        <v>9</v>
      </c>
      <c r="B8" t="s">
        <v>286</v>
      </c>
      <c r="C8" t="s">
        <v>236</v>
      </c>
      <c r="D8" t="s">
        <v>287</v>
      </c>
      <c r="E8" t="s">
        <v>237</v>
      </c>
      <c r="F8" t="n">
        <v>1</v>
      </c>
      <c r="G8" t="n">
        <v>2</v>
      </c>
      <c r="H8" t="n">
        <v>2</v>
      </c>
      <c r="I8" t="n">
        <v>2</v>
      </c>
      <c r="J8" t="n">
        <v>2</v>
      </c>
      <c r="K8" t="n">
        <v>1</v>
      </c>
      <c r="L8" t="n">
        <v>2</v>
      </c>
      <c r="M8" t="n">
        <v>1</v>
      </c>
      <c r="N8" t="n">
        <v>1</v>
      </c>
      <c r="O8" t="n">
        <v>1</v>
      </c>
      <c r="P8" t="n">
        <v>1</v>
      </c>
      <c r="Q8" t="n">
        <v>2</v>
      </c>
      <c r="R8" t="n">
        <v>2</v>
      </c>
      <c r="S8" t="n">
        <v>2</v>
      </c>
      <c r="T8" t="n">
        <v>2</v>
      </c>
      <c r="U8" t="n">
        <v>5</v>
      </c>
      <c r="V8" t="n">
        <v>1</v>
      </c>
      <c r="W8" t="n">
        <v>2</v>
      </c>
      <c r="X8" t="n">
        <v>2</v>
      </c>
      <c r="Y8" t="n">
        <v>2</v>
      </c>
      <c r="Z8" t="n">
        <v>8</v>
      </c>
      <c r="AA8" t="n">
        <v>-2</v>
      </c>
      <c r="AB8" t="n">
        <v>-15</v>
      </c>
      <c r="AC8" t="n">
        <v>2</v>
      </c>
      <c r="AD8" t="n">
        <v>1</v>
      </c>
      <c r="AE8" t="n">
        <v>1</v>
      </c>
      <c r="AF8" t="n">
        <v>131</v>
      </c>
    </row>
    <row r="9">
      <c r="A9" t="s">
        <v>9</v>
      </c>
      <c r="B9" t="s">
        <v>288</v>
      </c>
      <c r="C9" t="s">
        <v>236</v>
      </c>
      <c r="D9" t="s">
        <v>289</v>
      </c>
      <c r="E9" t="s">
        <v>237</v>
      </c>
      <c r="F9" t="n">
        <v>5</v>
      </c>
      <c r="G9" t="n">
        <v>5</v>
      </c>
      <c r="H9" t="n">
        <v>6</v>
      </c>
      <c r="I9" t="n">
        <v>6</v>
      </c>
      <c r="J9" t="n">
        <v>5</v>
      </c>
      <c r="K9" t="n">
        <v>5</v>
      </c>
      <c r="L9" t="n">
        <v>6</v>
      </c>
      <c r="M9" t="n">
        <v>5</v>
      </c>
      <c r="N9" t="n">
        <v>4</v>
      </c>
      <c r="O9" t="n">
        <v>6</v>
      </c>
      <c r="P9" t="n">
        <v>5</v>
      </c>
      <c r="Q9" t="n">
        <v>5</v>
      </c>
      <c r="R9" t="n">
        <v>7</v>
      </c>
      <c r="S9" t="n">
        <v>6</v>
      </c>
      <c r="T9" t="n">
        <v>3</v>
      </c>
      <c r="U9" t="n">
        <v>2</v>
      </c>
      <c r="V9" t="n">
        <v>3</v>
      </c>
      <c r="W9" t="n">
        <v>4</v>
      </c>
      <c r="X9" t="n">
        <v>6</v>
      </c>
      <c r="Y9" t="n">
        <v>4</v>
      </c>
      <c r="Z9" t="n">
        <v>9</v>
      </c>
      <c r="AA9" t="n">
        <v>13</v>
      </c>
      <c r="AB9" t="n">
        <v>16</v>
      </c>
      <c r="AC9" t="n">
        <v>13</v>
      </c>
      <c r="AD9" t="n">
        <v>10</v>
      </c>
      <c r="AE9" t="n">
        <v>10</v>
      </c>
      <c r="AF9" t="n">
        <v>17</v>
      </c>
    </row>
    <row r="10">
      <c r="A10" t="s">
        <v>9</v>
      </c>
      <c r="B10" t="s">
        <v>290</v>
      </c>
      <c r="C10" t="s">
        <v>236</v>
      </c>
      <c r="D10" t="s">
        <v>291</v>
      </c>
      <c r="E10" t="s">
        <v>237</v>
      </c>
      <c r="F10" t="n">
        <v>5</v>
      </c>
      <c r="G10" t="n">
        <v>6</v>
      </c>
      <c r="H10" t="n">
        <v>6</v>
      </c>
      <c r="I10" t="n">
        <v>7</v>
      </c>
      <c r="J10" t="n">
        <v>6</v>
      </c>
      <c r="K10" t="n">
        <v>6</v>
      </c>
      <c r="L10" t="n">
        <v>6</v>
      </c>
      <c r="M10" t="n">
        <v>6</v>
      </c>
      <c r="N10" t="n">
        <v>5</v>
      </c>
      <c r="O10" t="n">
        <v>6</v>
      </c>
      <c r="P10" t="n">
        <v>6</v>
      </c>
      <c r="Q10" t="n">
        <v>6</v>
      </c>
      <c r="R10" t="n">
        <v>7</v>
      </c>
      <c r="S10" t="n">
        <v>8</v>
      </c>
      <c r="T10" t="n">
        <v>3</v>
      </c>
      <c r="U10" t="n">
        <v>2</v>
      </c>
      <c r="V10" t="n">
        <v>3</v>
      </c>
      <c r="W10" t="n">
        <v>4</v>
      </c>
      <c r="X10" t="n">
        <v>6</v>
      </c>
      <c r="Y10" t="n">
        <v>4</v>
      </c>
      <c r="Z10" t="n">
        <v>9</v>
      </c>
      <c r="AA10" t="n">
        <v>13</v>
      </c>
      <c r="AB10" t="n">
        <v>16</v>
      </c>
      <c r="AC10" t="n">
        <v>14</v>
      </c>
      <c r="AD10" t="n">
        <v>11</v>
      </c>
      <c r="AE10" t="n">
        <v>12</v>
      </c>
      <c r="AF10" t="n">
        <v>17</v>
      </c>
    </row>
    <row r="11">
      <c r="A11" t="s">
        <v>9</v>
      </c>
      <c r="B11" t="s">
        <v>292</v>
      </c>
      <c r="C11" t="s">
        <v>236</v>
      </c>
      <c r="D11" t="s">
        <v>293</v>
      </c>
      <c r="E11" t="s">
        <v>237</v>
      </c>
      <c r="F11" t="n">
        <v>0</v>
      </c>
      <c r="G11" t="n">
        <v>1</v>
      </c>
      <c r="H11" t="n">
        <v>0</v>
      </c>
      <c r="I11" t="n">
        <v>1</v>
      </c>
      <c r="J11" t="n">
        <v>1</v>
      </c>
      <c r="K11" t="n">
        <v>1</v>
      </c>
      <c r="L11" t="n">
        <v>0</v>
      </c>
      <c r="M11" t="n">
        <v>1</v>
      </c>
      <c r="N11" t="n">
        <v>1</v>
      </c>
      <c r="O11" t="n">
        <v>0</v>
      </c>
      <c r="P11" t="n">
        <v>1</v>
      </c>
      <c r="Q11" t="n">
        <v>1</v>
      </c>
      <c r="R11" t="n">
        <v>0</v>
      </c>
      <c r="S11" t="n">
        <v>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</v>
      </c>
      <c r="AD11" t="n">
        <v>1</v>
      </c>
      <c r="AE11" t="n">
        <v>2</v>
      </c>
      <c r="AF11" t="n">
        <v>0</v>
      </c>
    </row>
    <row r="12">
      <c r="A12" t="s">
        <v>9</v>
      </c>
      <c r="B12" t="s">
        <v>294</v>
      </c>
      <c r="C12" t="s">
        <v>236</v>
      </c>
      <c r="D12" t="s">
        <v>295</v>
      </c>
      <c r="E12" t="s">
        <v>237</v>
      </c>
      <c r="F12" t="n">
        <v>5</v>
      </c>
      <c r="G12" t="n">
        <v>6</v>
      </c>
      <c r="H12" t="n">
        <v>8</v>
      </c>
      <c r="I12" t="n">
        <v>10</v>
      </c>
      <c r="J12" t="n">
        <v>10</v>
      </c>
      <c r="K12" t="n">
        <v>10</v>
      </c>
      <c r="L12" t="n">
        <v>10</v>
      </c>
      <c r="M12" t="n">
        <v>8</v>
      </c>
      <c r="N12" t="n">
        <v>9</v>
      </c>
      <c r="O12" t="n">
        <v>9</v>
      </c>
      <c r="P12" t="n">
        <v>10</v>
      </c>
      <c r="Q12" t="n">
        <v>14</v>
      </c>
      <c r="R12" t="n">
        <v>11</v>
      </c>
      <c r="S12" t="n">
        <v>15</v>
      </c>
      <c r="T12" t="n">
        <v>9</v>
      </c>
      <c r="U12" t="n">
        <v>6</v>
      </c>
      <c r="V12" t="n">
        <v>7</v>
      </c>
      <c r="W12" t="n">
        <v>7</v>
      </c>
      <c r="X12" t="n">
        <v>6</v>
      </c>
      <c r="Y12" t="n">
        <v>6</v>
      </c>
      <c r="Z12" t="n">
        <v>7</v>
      </c>
      <c r="AA12" t="n">
        <v>6</v>
      </c>
      <c r="AB12" t="n">
        <v>5</v>
      </c>
      <c r="AC12" t="n">
        <v>7</v>
      </c>
      <c r="AD12" t="n">
        <v>8</v>
      </c>
      <c r="AE12" t="n">
        <v>6</v>
      </c>
      <c r="AF12" t="n">
        <v>8</v>
      </c>
    </row>
    <row r="13">
      <c r="A13" t="s">
        <v>9</v>
      </c>
      <c r="B13" t="s">
        <v>296</v>
      </c>
      <c r="C13" t="s">
        <v>236</v>
      </c>
      <c r="D13" t="s">
        <v>297</v>
      </c>
      <c r="E13" t="s">
        <v>237</v>
      </c>
      <c r="F13" t="n">
        <v>4</v>
      </c>
      <c r="G13" t="n">
        <v>5</v>
      </c>
      <c r="H13" t="n">
        <v>6</v>
      </c>
      <c r="I13" t="n">
        <v>10</v>
      </c>
      <c r="J13" t="n">
        <v>10</v>
      </c>
      <c r="K13" t="n">
        <v>13</v>
      </c>
      <c r="L13" t="n">
        <v>10</v>
      </c>
      <c r="M13" t="n">
        <v>10</v>
      </c>
      <c r="N13" t="n">
        <v>10</v>
      </c>
      <c r="O13" t="n">
        <v>13</v>
      </c>
      <c r="P13" t="n">
        <v>13</v>
      </c>
      <c r="Q13" t="n">
        <v>25</v>
      </c>
      <c r="R13" t="n">
        <v>34</v>
      </c>
      <c r="S13" t="n">
        <v>41</v>
      </c>
      <c r="T13" t="n">
        <v>36</v>
      </c>
      <c r="U13" t="n">
        <v>22</v>
      </c>
      <c r="V13" t="n">
        <v>20</v>
      </c>
      <c r="W13" t="n">
        <v>34</v>
      </c>
      <c r="X13" t="n">
        <v>13</v>
      </c>
      <c r="Y13" t="n">
        <v>16</v>
      </c>
      <c r="Z13" t="n">
        <v>19</v>
      </c>
      <c r="AA13" t="n">
        <v>17</v>
      </c>
      <c r="AB13" t="n">
        <v>20</v>
      </c>
      <c r="AC13" t="n">
        <v>28</v>
      </c>
      <c r="AD13" t="n">
        <v>33</v>
      </c>
      <c r="AE13" t="n">
        <v>25</v>
      </c>
      <c r="AF13" t="n">
        <v>39</v>
      </c>
    </row>
    <row r="14">
      <c r="A14" t="s">
        <v>9</v>
      </c>
      <c r="B14" t="s">
        <v>298</v>
      </c>
      <c r="C14" t="s">
        <v>236</v>
      </c>
      <c r="D14" t="s">
        <v>299</v>
      </c>
      <c r="E14" t="s">
        <v>237</v>
      </c>
      <c r="F14" t="n">
        <v>3</v>
      </c>
      <c r="G14" t="n">
        <v>5</v>
      </c>
      <c r="H14" t="n">
        <v>7</v>
      </c>
      <c r="I14" t="n">
        <v>10</v>
      </c>
      <c r="J14" t="n">
        <v>10</v>
      </c>
      <c r="K14" t="n">
        <v>12</v>
      </c>
      <c r="L14" t="n">
        <v>14</v>
      </c>
      <c r="M14" t="n">
        <v>12</v>
      </c>
      <c r="N14" t="n">
        <v>15</v>
      </c>
      <c r="O14" t="n">
        <v>17</v>
      </c>
      <c r="P14" t="n">
        <v>18</v>
      </c>
      <c r="Q14" t="n">
        <v>26</v>
      </c>
      <c r="R14" t="n">
        <v>19</v>
      </c>
      <c r="S14" t="n">
        <v>47</v>
      </c>
      <c r="T14" t="n">
        <v>11</v>
      </c>
      <c r="U14" t="n">
        <v>14</v>
      </c>
      <c r="V14" t="n">
        <v>14</v>
      </c>
      <c r="W14" t="n">
        <v>11</v>
      </c>
      <c r="X14" t="n">
        <v>7</v>
      </c>
      <c r="Y14" t="n">
        <v>13</v>
      </c>
      <c r="Z14" t="n">
        <v>16</v>
      </c>
      <c r="AA14" t="n">
        <v>14</v>
      </c>
      <c r="AB14" t="n">
        <v>17</v>
      </c>
      <c r="AC14" t="n">
        <v>14</v>
      </c>
      <c r="AD14" t="n">
        <v>14</v>
      </c>
      <c r="AE14" t="n">
        <v>19</v>
      </c>
      <c r="AF14" t="n">
        <v>17</v>
      </c>
    </row>
    <row r="15">
      <c r="A15" t="s">
        <v>9</v>
      </c>
      <c r="B15" t="s">
        <v>300</v>
      </c>
      <c r="C15" t="s">
        <v>236</v>
      </c>
      <c r="D15" t="s">
        <v>301</v>
      </c>
      <c r="E15" t="s">
        <v>237</v>
      </c>
      <c r="F15" t="n">
        <v>5</v>
      </c>
      <c r="G15" t="n">
        <v>8</v>
      </c>
      <c r="H15" t="n">
        <v>10</v>
      </c>
      <c r="I15" t="n">
        <v>14</v>
      </c>
      <c r="J15" t="n">
        <v>13</v>
      </c>
      <c r="K15" t="n">
        <v>16</v>
      </c>
      <c r="L15" t="n">
        <v>18</v>
      </c>
      <c r="M15" t="n">
        <v>14</v>
      </c>
      <c r="N15" t="n">
        <v>20</v>
      </c>
      <c r="O15" t="n">
        <v>22</v>
      </c>
      <c r="P15" t="n">
        <v>22</v>
      </c>
      <c r="Q15" t="n">
        <v>31</v>
      </c>
      <c r="R15" t="n">
        <v>24</v>
      </c>
      <c r="S15" t="n">
        <v>55</v>
      </c>
      <c r="T15" t="n">
        <v>16</v>
      </c>
      <c r="U15" t="n">
        <v>17</v>
      </c>
      <c r="V15" t="n">
        <v>18</v>
      </c>
      <c r="W15" t="n">
        <v>14</v>
      </c>
      <c r="X15" t="n">
        <v>11</v>
      </c>
      <c r="Y15" t="n">
        <v>14</v>
      </c>
      <c r="Z15" t="n">
        <v>18</v>
      </c>
      <c r="AA15" t="n">
        <v>16</v>
      </c>
      <c r="AB15" t="n">
        <v>19</v>
      </c>
      <c r="AC15" t="n">
        <v>16</v>
      </c>
      <c r="AD15" t="n">
        <v>16</v>
      </c>
      <c r="AE15" t="n">
        <v>21</v>
      </c>
      <c r="AF15" t="n">
        <v>19</v>
      </c>
    </row>
    <row r="16">
      <c r="A16" t="s">
        <v>9</v>
      </c>
      <c r="B16" t="s">
        <v>302</v>
      </c>
      <c r="C16" t="s">
        <v>236</v>
      </c>
      <c r="D16" t="s">
        <v>303</v>
      </c>
      <c r="E16" t="s">
        <v>237</v>
      </c>
      <c r="F16" t="n">
        <v>2</v>
      </c>
      <c r="G16" t="n">
        <v>3</v>
      </c>
      <c r="H16" t="n">
        <v>3</v>
      </c>
      <c r="I16" t="n">
        <v>4</v>
      </c>
      <c r="J16" t="n">
        <v>3</v>
      </c>
      <c r="K16" t="n">
        <v>4</v>
      </c>
      <c r="L16" t="n">
        <v>4</v>
      </c>
      <c r="M16" t="n">
        <v>2</v>
      </c>
      <c r="N16" t="n">
        <v>5</v>
      </c>
      <c r="O16" t="n">
        <v>5</v>
      </c>
      <c r="P16" t="n">
        <v>4</v>
      </c>
      <c r="Q16" t="n">
        <v>5</v>
      </c>
      <c r="R16" t="n">
        <v>5</v>
      </c>
      <c r="S16" t="n">
        <v>8</v>
      </c>
      <c r="T16" t="n">
        <v>5</v>
      </c>
      <c r="U16" t="n">
        <v>3</v>
      </c>
      <c r="V16" t="n">
        <v>4</v>
      </c>
      <c r="W16" t="n">
        <v>3</v>
      </c>
      <c r="X16" t="n">
        <v>4</v>
      </c>
      <c r="Y16" t="n">
        <v>1</v>
      </c>
      <c r="Z16" t="n">
        <v>2</v>
      </c>
      <c r="AA16" t="n">
        <v>2</v>
      </c>
      <c r="AB16" t="n">
        <v>2</v>
      </c>
      <c r="AC16" t="n">
        <v>2</v>
      </c>
      <c r="AD16" t="n">
        <v>2</v>
      </c>
      <c r="AE16" t="n">
        <v>2</v>
      </c>
      <c r="AF16" t="n">
        <v>2</v>
      </c>
    </row>
    <row r="17">
      <c r="A17" t="s">
        <v>9</v>
      </c>
      <c r="B17" t="s">
        <v>304</v>
      </c>
      <c r="C17" t="s">
        <v>236</v>
      </c>
      <c r="D17" t="s">
        <v>305</v>
      </c>
      <c r="E17" t="s">
        <v>237</v>
      </c>
      <c r="F17" t="n">
        <v>7</v>
      </c>
      <c r="G17" t="n">
        <v>8</v>
      </c>
      <c r="H17" t="n">
        <v>8</v>
      </c>
      <c r="I17" t="n">
        <v>10</v>
      </c>
      <c r="J17" t="n">
        <v>10</v>
      </c>
      <c r="K17" t="n">
        <v>10</v>
      </c>
      <c r="L17" t="n">
        <v>10</v>
      </c>
      <c r="M17" t="n">
        <v>8</v>
      </c>
      <c r="N17" t="n">
        <v>10</v>
      </c>
      <c r="O17" t="n">
        <v>10</v>
      </c>
      <c r="P17" t="n">
        <v>13</v>
      </c>
      <c r="Q17" t="n">
        <v>24</v>
      </c>
      <c r="R17" t="n">
        <v>20</v>
      </c>
      <c r="S17" t="n">
        <v>29</v>
      </c>
      <c r="T17" t="n">
        <v>28</v>
      </c>
      <c r="U17" t="n">
        <v>10</v>
      </c>
      <c r="V17" t="n">
        <v>14</v>
      </c>
      <c r="W17" t="n">
        <v>15</v>
      </c>
      <c r="X17" t="n">
        <v>10</v>
      </c>
      <c r="Y17" t="n">
        <v>13</v>
      </c>
      <c r="Z17" t="n">
        <v>14</v>
      </c>
      <c r="AA17" t="n">
        <v>11</v>
      </c>
      <c r="AB17" t="n">
        <v>10</v>
      </c>
      <c r="AC17" t="n">
        <v>14</v>
      </c>
      <c r="AD17" t="n">
        <v>17</v>
      </c>
      <c r="AE17" t="n">
        <v>10</v>
      </c>
      <c r="AF17" t="n">
        <v>13</v>
      </c>
    </row>
    <row r="18">
      <c r="A18" t="s">
        <v>9</v>
      </c>
      <c r="B18" t="s">
        <v>306</v>
      </c>
      <c r="C18" t="s">
        <v>236</v>
      </c>
      <c r="D18" t="s">
        <v>307</v>
      </c>
      <c r="E18" t="s">
        <v>237</v>
      </c>
      <c r="F18" t="n">
        <v>2</v>
      </c>
      <c r="G18" t="n">
        <v>2</v>
      </c>
      <c r="H18" t="n">
        <v>2</v>
      </c>
      <c r="I18" t="n">
        <v>3</v>
      </c>
      <c r="J18" t="n">
        <v>3</v>
      </c>
      <c r="K18" t="n">
        <v>4</v>
      </c>
      <c r="L18" t="n">
        <v>3</v>
      </c>
      <c r="M18" t="n">
        <v>3</v>
      </c>
      <c r="N18" t="n">
        <v>3</v>
      </c>
      <c r="O18" t="n">
        <v>4</v>
      </c>
      <c r="P18" t="n">
        <v>4</v>
      </c>
      <c r="Q18" t="n">
        <v>8</v>
      </c>
      <c r="R18" t="n">
        <v>6</v>
      </c>
      <c r="S18" t="n">
        <v>6</v>
      </c>
      <c r="T18" t="n">
        <v>7</v>
      </c>
      <c r="U18" t="n">
        <v>3</v>
      </c>
      <c r="V18" t="n">
        <v>2</v>
      </c>
      <c r="W18" t="n">
        <v>2</v>
      </c>
      <c r="X18" t="n">
        <v>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9</v>
      </c>
      <c r="B19" t="s">
        <v>308</v>
      </c>
      <c r="C19" t="s">
        <v>236</v>
      </c>
      <c r="D19" t="s">
        <v>309</v>
      </c>
      <c r="E19" t="s">
        <v>237</v>
      </c>
      <c r="F19" t="n">
        <v>2</v>
      </c>
      <c r="G19" t="n">
        <v>5</v>
      </c>
      <c r="H19" t="n">
        <v>5</v>
      </c>
      <c r="I19" t="n">
        <v>5</v>
      </c>
      <c r="J19" t="n">
        <v>5</v>
      </c>
      <c r="K19" t="n">
        <v>6</v>
      </c>
      <c r="L19" t="n">
        <v>7</v>
      </c>
      <c r="M19" t="n">
        <v>7</v>
      </c>
      <c r="N19" t="n">
        <v>6</v>
      </c>
      <c r="O19" t="n">
        <v>7</v>
      </c>
      <c r="P19" t="n">
        <v>6</v>
      </c>
      <c r="Q19" t="n">
        <v>10</v>
      </c>
      <c r="R19" t="n">
        <v>10</v>
      </c>
      <c r="S19" t="n">
        <v>12</v>
      </c>
      <c r="T19" t="n">
        <v>6</v>
      </c>
      <c r="U19" t="n">
        <v>6</v>
      </c>
      <c r="V19" t="n">
        <v>7</v>
      </c>
      <c r="W19" t="n">
        <v>4</v>
      </c>
      <c r="X19" t="n">
        <v>3</v>
      </c>
      <c r="Y19" t="n">
        <v>10</v>
      </c>
      <c r="Z19" t="n">
        <v>16</v>
      </c>
      <c r="AA19" t="n">
        <v>13</v>
      </c>
      <c r="AB19" t="n">
        <v>15</v>
      </c>
      <c r="AC19" t="n">
        <v>17</v>
      </c>
      <c r="AD19" t="n">
        <v>22</v>
      </c>
      <c r="AE19" t="n">
        <v>16</v>
      </c>
      <c r="AF19" t="n">
        <v>24</v>
      </c>
    </row>
    <row r="20">
      <c r="A20" t="s">
        <v>9</v>
      </c>
      <c r="B20" t="s">
        <v>310</v>
      </c>
      <c r="C20" t="s">
        <v>236</v>
      </c>
      <c r="D20" t="s">
        <v>311</v>
      </c>
      <c r="E20" t="s">
        <v>237</v>
      </c>
      <c r="F20" t="n">
        <v>8</v>
      </c>
      <c r="G20" t="n">
        <v>9</v>
      </c>
      <c r="H20" t="n">
        <v>11</v>
      </c>
      <c r="I20" t="n">
        <v>12</v>
      </c>
      <c r="J20" t="n">
        <v>12</v>
      </c>
      <c r="K20" t="n">
        <v>12</v>
      </c>
      <c r="L20" t="n">
        <v>12</v>
      </c>
      <c r="M20" t="n">
        <v>10</v>
      </c>
      <c r="N20" t="n">
        <v>12</v>
      </c>
      <c r="O20" t="n">
        <v>12</v>
      </c>
      <c r="P20" t="n">
        <v>12</v>
      </c>
      <c r="Q20" t="n">
        <v>13</v>
      </c>
      <c r="R20" t="n">
        <v>11</v>
      </c>
      <c r="S20" t="n">
        <v>18</v>
      </c>
      <c r="T20" t="n">
        <v>13</v>
      </c>
      <c r="U20" t="n">
        <v>44</v>
      </c>
      <c r="V20" t="n">
        <v>8</v>
      </c>
      <c r="W20" t="n">
        <v>40</v>
      </c>
      <c r="X20" t="n">
        <v>47</v>
      </c>
      <c r="Y20" t="n">
        <v>56</v>
      </c>
      <c r="Z20" t="n">
        <v>63</v>
      </c>
      <c r="AA20" t="n">
        <v>76</v>
      </c>
      <c r="AB20" t="n">
        <v>62</v>
      </c>
      <c r="AC20" t="n">
        <v>58</v>
      </c>
      <c r="AD20" t="n">
        <v>47</v>
      </c>
      <c r="AE20" t="n">
        <v>73</v>
      </c>
      <c r="AF20" t="n">
        <v>65</v>
      </c>
    </row>
    <row r="21">
      <c r="A21" t="s">
        <v>9</v>
      </c>
      <c r="B21" t="s">
        <v>312</v>
      </c>
      <c r="C21" t="s">
        <v>236</v>
      </c>
      <c r="D21" t="s">
        <v>313</v>
      </c>
      <c r="E21" t="s">
        <v>237</v>
      </c>
      <c r="F21" t="n">
        <v>32</v>
      </c>
      <c r="G21" t="n">
        <v>34</v>
      </c>
      <c r="H21" t="n">
        <v>38</v>
      </c>
      <c r="I21" t="n">
        <v>53</v>
      </c>
      <c r="J21" t="n">
        <v>54</v>
      </c>
      <c r="K21" t="n">
        <v>50</v>
      </c>
      <c r="L21" t="n">
        <v>51</v>
      </c>
      <c r="M21" t="n">
        <v>26</v>
      </c>
      <c r="N21" t="n">
        <v>28</v>
      </c>
      <c r="O21" t="n">
        <v>28</v>
      </c>
      <c r="P21" t="n">
        <v>33</v>
      </c>
      <c r="Q21" t="n">
        <v>29</v>
      </c>
      <c r="R21" t="n">
        <v>31</v>
      </c>
      <c r="S21" t="n">
        <v>38</v>
      </c>
      <c r="T21" t="n">
        <v>30</v>
      </c>
      <c r="U21" t="n">
        <v>69</v>
      </c>
      <c r="V21" t="n">
        <v>24</v>
      </c>
      <c r="W21" t="n">
        <v>83</v>
      </c>
      <c r="X21" t="n">
        <v>69</v>
      </c>
      <c r="Y21" t="n">
        <v>78</v>
      </c>
      <c r="Z21" t="n">
        <v>88</v>
      </c>
      <c r="AA21" t="n">
        <v>109</v>
      </c>
      <c r="AB21" t="n">
        <v>92</v>
      </c>
      <c r="AC21" t="n">
        <v>82</v>
      </c>
      <c r="AD21" t="n">
        <v>65</v>
      </c>
      <c r="AE21" t="n">
        <v>92</v>
      </c>
      <c r="AF21" t="n">
        <v>87</v>
      </c>
    </row>
    <row r="22">
      <c r="A22" t="s">
        <v>9</v>
      </c>
      <c r="B22" t="s">
        <v>314</v>
      </c>
      <c r="C22" t="s">
        <v>236</v>
      </c>
      <c r="D22" t="s">
        <v>315</v>
      </c>
      <c r="E22" t="s">
        <v>237</v>
      </c>
      <c r="F22" t="n">
        <v>24</v>
      </c>
      <c r="G22" t="n">
        <v>25</v>
      </c>
      <c r="H22" t="n">
        <v>27</v>
      </c>
      <c r="I22" t="n">
        <v>41</v>
      </c>
      <c r="J22" t="n">
        <v>42</v>
      </c>
      <c r="K22" t="n">
        <v>38</v>
      </c>
      <c r="L22" t="n">
        <v>39</v>
      </c>
      <c r="M22" t="n">
        <v>16</v>
      </c>
      <c r="N22" t="n">
        <v>16</v>
      </c>
      <c r="O22" t="n">
        <v>16</v>
      </c>
      <c r="P22" t="n">
        <v>21</v>
      </c>
      <c r="Q22" t="n">
        <v>16</v>
      </c>
      <c r="R22" t="n">
        <v>20</v>
      </c>
      <c r="S22" t="n">
        <v>20</v>
      </c>
      <c r="T22" t="n">
        <v>17</v>
      </c>
      <c r="U22" t="n">
        <v>25</v>
      </c>
      <c r="V22" t="n">
        <v>16</v>
      </c>
      <c r="W22" t="n">
        <v>43</v>
      </c>
      <c r="X22" t="n">
        <v>22</v>
      </c>
      <c r="Y22" t="n">
        <v>22</v>
      </c>
      <c r="Z22" t="n">
        <v>25</v>
      </c>
      <c r="AA22" t="n">
        <v>33</v>
      </c>
      <c r="AB22" t="n">
        <v>30</v>
      </c>
      <c r="AC22" t="n">
        <v>24</v>
      </c>
      <c r="AD22" t="n">
        <v>18</v>
      </c>
      <c r="AE22" t="n">
        <v>19</v>
      </c>
      <c r="AF22" t="n">
        <v>22</v>
      </c>
    </row>
    <row r="23">
      <c r="A23" t="s">
        <v>9</v>
      </c>
      <c r="B23" t="s">
        <v>316</v>
      </c>
      <c r="C23" t="s">
        <v>236</v>
      </c>
      <c r="D23" t="s">
        <v>317</v>
      </c>
      <c r="E23" t="s">
        <v>237</v>
      </c>
      <c r="F23" t="n">
        <v>65</v>
      </c>
      <c r="G23" t="n">
        <v>70</v>
      </c>
      <c r="H23" t="n">
        <v>82</v>
      </c>
      <c r="I23" t="n">
        <v>97</v>
      </c>
      <c r="J23" t="n">
        <v>109</v>
      </c>
      <c r="K23" t="n">
        <v>119</v>
      </c>
      <c r="L23" t="n">
        <v>111</v>
      </c>
      <c r="M23" t="n">
        <v>113</v>
      </c>
      <c r="N23" t="n">
        <v>123</v>
      </c>
      <c r="O23" t="n">
        <v>134</v>
      </c>
      <c r="P23" t="n">
        <v>142</v>
      </c>
      <c r="Q23" t="n">
        <v>149</v>
      </c>
      <c r="R23" t="n">
        <v>167</v>
      </c>
      <c r="S23" t="n">
        <v>165</v>
      </c>
      <c r="T23" t="n">
        <v>133</v>
      </c>
      <c r="U23" t="n">
        <v>195</v>
      </c>
      <c r="V23" t="n">
        <v>148</v>
      </c>
      <c r="W23" t="n">
        <v>143</v>
      </c>
      <c r="X23" t="n">
        <v>115</v>
      </c>
      <c r="Y23" t="n">
        <v>115</v>
      </c>
      <c r="Z23" t="n">
        <v>136</v>
      </c>
      <c r="AA23" t="n">
        <v>146</v>
      </c>
      <c r="AB23" t="n">
        <v>169</v>
      </c>
      <c r="AC23" t="n">
        <v>201</v>
      </c>
      <c r="AD23" t="n">
        <v>217</v>
      </c>
      <c r="AE23" t="n">
        <v>231</v>
      </c>
      <c r="AF23" t="n">
        <v>261</v>
      </c>
    </row>
    <row r="24">
      <c r="A24" t="s">
        <v>9</v>
      </c>
      <c r="B24" t="s">
        <v>318</v>
      </c>
      <c r="C24" t="s">
        <v>236</v>
      </c>
      <c r="D24" t="s">
        <v>319</v>
      </c>
      <c r="E24" t="s">
        <v>237</v>
      </c>
      <c r="F24" t="n">
        <v>141</v>
      </c>
      <c r="G24" t="n">
        <v>162</v>
      </c>
      <c r="H24" t="n">
        <v>166</v>
      </c>
      <c r="I24" t="n">
        <v>206</v>
      </c>
      <c r="J24" t="n">
        <v>212</v>
      </c>
      <c r="K24" t="n">
        <v>249</v>
      </c>
      <c r="L24" t="n">
        <v>290</v>
      </c>
      <c r="M24" t="n">
        <v>250</v>
      </c>
      <c r="N24" t="n">
        <v>268</v>
      </c>
      <c r="O24" t="n">
        <v>261</v>
      </c>
      <c r="P24" t="n">
        <v>270</v>
      </c>
      <c r="Q24" t="n">
        <v>234</v>
      </c>
      <c r="R24" t="n">
        <v>275</v>
      </c>
      <c r="S24" t="n">
        <v>297</v>
      </c>
      <c r="T24" t="n">
        <v>226</v>
      </c>
      <c r="U24" t="n">
        <v>303</v>
      </c>
      <c r="V24" t="n">
        <v>246</v>
      </c>
      <c r="W24" t="n">
        <v>276</v>
      </c>
      <c r="X24" t="n">
        <v>182</v>
      </c>
      <c r="Y24" t="n">
        <v>169</v>
      </c>
      <c r="Z24" t="n">
        <v>179</v>
      </c>
      <c r="AA24" t="n">
        <v>145</v>
      </c>
      <c r="AB24" t="n">
        <v>106</v>
      </c>
      <c r="AC24" t="n">
        <v>95</v>
      </c>
      <c r="AD24" t="n">
        <v>69</v>
      </c>
      <c r="AE24" t="n">
        <v>49</v>
      </c>
      <c r="AF24" t="n">
        <v>43</v>
      </c>
    </row>
    <row r="25">
      <c r="A25" t="s">
        <v>9</v>
      </c>
      <c r="B25" t="s">
        <v>320</v>
      </c>
      <c r="C25" t="s">
        <v>236</v>
      </c>
      <c r="D25" t="s">
        <v>321</v>
      </c>
      <c r="E25" t="s">
        <v>237</v>
      </c>
      <c r="F25" t="n">
        <v>18</v>
      </c>
      <c r="G25" t="n">
        <v>20</v>
      </c>
      <c r="H25" t="n">
        <v>21</v>
      </c>
      <c r="I25" t="n">
        <v>23</v>
      </c>
      <c r="J25" t="n">
        <v>22</v>
      </c>
      <c r="K25" t="n">
        <v>41</v>
      </c>
      <c r="L25" t="n">
        <v>39</v>
      </c>
      <c r="M25" t="n">
        <v>33</v>
      </c>
      <c r="N25" t="n">
        <v>33</v>
      </c>
      <c r="O25" t="n">
        <v>35</v>
      </c>
      <c r="P25" t="n">
        <v>28</v>
      </c>
      <c r="Q25" t="n">
        <v>38</v>
      </c>
      <c r="R25" t="n">
        <v>30</v>
      </c>
      <c r="S25" t="n">
        <v>46</v>
      </c>
      <c r="T25" t="n">
        <v>31</v>
      </c>
      <c r="U25" t="n">
        <v>51</v>
      </c>
      <c r="V25" t="n">
        <v>47</v>
      </c>
      <c r="W25" t="n">
        <v>38</v>
      </c>
      <c r="X25" t="n">
        <v>17</v>
      </c>
      <c r="Y25" t="n">
        <v>20</v>
      </c>
      <c r="Z25" t="n">
        <v>24</v>
      </c>
      <c r="AA25" t="n">
        <v>26</v>
      </c>
      <c r="AB25" t="n">
        <v>15</v>
      </c>
      <c r="AC25" t="n">
        <v>15</v>
      </c>
      <c r="AD25" t="n">
        <v>13</v>
      </c>
      <c r="AE25" t="n">
        <v>10</v>
      </c>
      <c r="AF25" t="n">
        <v>8</v>
      </c>
    </row>
    <row r="26">
      <c r="A26" t="s">
        <v>9</v>
      </c>
      <c r="B26" t="s">
        <v>322</v>
      </c>
      <c r="C26" t="s">
        <v>236</v>
      </c>
      <c r="D26" t="s">
        <v>323</v>
      </c>
      <c r="E26" t="s">
        <v>237</v>
      </c>
      <c r="F26" t="n">
        <v>90</v>
      </c>
      <c r="G26" t="n">
        <v>108</v>
      </c>
      <c r="H26" t="n">
        <v>111</v>
      </c>
      <c r="I26" t="n">
        <v>140</v>
      </c>
      <c r="J26" t="n">
        <v>138</v>
      </c>
      <c r="K26" t="n">
        <v>146</v>
      </c>
      <c r="L26" t="n">
        <v>171</v>
      </c>
      <c r="M26" t="n">
        <v>150</v>
      </c>
      <c r="N26" t="n">
        <v>144</v>
      </c>
      <c r="O26" t="n">
        <v>143</v>
      </c>
      <c r="P26" t="n">
        <v>152</v>
      </c>
      <c r="Q26" t="n">
        <v>115</v>
      </c>
      <c r="R26" t="n">
        <v>153</v>
      </c>
      <c r="S26" t="n">
        <v>157</v>
      </c>
      <c r="T26" t="n">
        <v>108</v>
      </c>
      <c r="U26" t="n">
        <v>132</v>
      </c>
      <c r="V26" t="n">
        <v>114</v>
      </c>
      <c r="W26" t="n">
        <v>135</v>
      </c>
      <c r="X26" t="n">
        <v>92</v>
      </c>
      <c r="Y26" t="n">
        <v>80</v>
      </c>
      <c r="Z26" t="n">
        <v>74</v>
      </c>
      <c r="AA26" t="n">
        <v>60</v>
      </c>
      <c r="AB26" t="n">
        <v>49</v>
      </c>
      <c r="AC26" t="n">
        <v>38</v>
      </c>
      <c r="AD26" t="n">
        <v>24</v>
      </c>
      <c r="AE26" t="n">
        <v>15</v>
      </c>
      <c r="AF26" t="n">
        <v>10</v>
      </c>
    </row>
    <row r="27">
      <c r="A27" t="s">
        <v>9</v>
      </c>
      <c r="B27" t="s">
        <v>324</v>
      </c>
      <c r="C27" t="s">
        <v>236</v>
      </c>
      <c r="D27" t="s">
        <v>325</v>
      </c>
      <c r="E27" t="s">
        <v>237</v>
      </c>
      <c r="F27" t="n">
        <v>33</v>
      </c>
      <c r="G27" t="n">
        <v>34</v>
      </c>
      <c r="H27" t="n">
        <v>34</v>
      </c>
      <c r="I27" t="n">
        <v>43</v>
      </c>
      <c r="J27" t="n">
        <v>52</v>
      </c>
      <c r="K27" t="n">
        <v>62</v>
      </c>
      <c r="L27" t="n">
        <v>80</v>
      </c>
      <c r="M27" t="n">
        <v>67</v>
      </c>
      <c r="N27" t="n">
        <v>91</v>
      </c>
      <c r="O27" t="n">
        <v>83</v>
      </c>
      <c r="P27" t="n">
        <v>90</v>
      </c>
      <c r="Q27" t="n">
        <v>81</v>
      </c>
      <c r="R27" t="n">
        <v>92</v>
      </c>
      <c r="S27" t="n">
        <v>94</v>
      </c>
      <c r="T27" t="n">
        <v>87</v>
      </c>
      <c r="U27" t="n">
        <v>120</v>
      </c>
      <c r="V27" t="n">
        <v>85</v>
      </c>
      <c r="W27" t="n">
        <v>103</v>
      </c>
      <c r="X27" t="n">
        <v>73</v>
      </c>
      <c r="Y27" t="n">
        <v>69</v>
      </c>
      <c r="Z27" t="n">
        <v>81</v>
      </c>
      <c r="AA27" t="n">
        <v>59</v>
      </c>
      <c r="AB27" t="n">
        <v>42</v>
      </c>
      <c r="AC27" t="n">
        <v>42</v>
      </c>
      <c r="AD27" t="n">
        <v>32</v>
      </c>
      <c r="AE27" t="n">
        <v>24</v>
      </c>
      <c r="AF27" t="n">
        <v>25</v>
      </c>
    </row>
    <row r="28">
      <c r="A28" t="s">
        <v>9</v>
      </c>
      <c r="B28" t="s">
        <v>326</v>
      </c>
      <c r="C28" t="s">
        <v>236</v>
      </c>
      <c r="D28" t="s">
        <v>327</v>
      </c>
      <c r="E28" t="s">
        <v>237</v>
      </c>
      <c r="F28" t="n">
        <v>500</v>
      </c>
      <c r="G28" t="n">
        <v>453</v>
      </c>
      <c r="H28" t="n">
        <v>748</v>
      </c>
      <c r="I28" t="n">
        <v>830</v>
      </c>
      <c r="J28" t="n">
        <v>854</v>
      </c>
      <c r="K28" t="n">
        <v>640</v>
      </c>
      <c r="L28" t="n">
        <v>872</v>
      </c>
      <c r="M28" t="n">
        <v>586</v>
      </c>
      <c r="N28" t="n">
        <v>467</v>
      </c>
      <c r="O28" t="n">
        <v>972</v>
      </c>
      <c r="P28" t="n">
        <v>894</v>
      </c>
      <c r="Q28" t="n">
        <v>987</v>
      </c>
      <c r="R28" t="n">
        <v>1053</v>
      </c>
      <c r="S28" t="n">
        <v>716</v>
      </c>
      <c r="T28" t="n">
        <v>974</v>
      </c>
      <c r="U28" t="n">
        <v>673</v>
      </c>
      <c r="V28" t="n">
        <v>821</v>
      </c>
      <c r="W28" t="n">
        <v>841</v>
      </c>
      <c r="X28" t="n">
        <v>917</v>
      </c>
      <c r="Y28" t="n">
        <v>612</v>
      </c>
      <c r="Z28" t="n">
        <v>828</v>
      </c>
      <c r="AA28" t="n">
        <v>1230</v>
      </c>
      <c r="AB28" t="n">
        <v>1051</v>
      </c>
      <c r="AC28" t="n">
        <v>1087</v>
      </c>
      <c r="AD28" t="n">
        <v>1258</v>
      </c>
      <c r="AE28" t="n">
        <v>939</v>
      </c>
      <c r="AF28" t="n">
        <v>650</v>
      </c>
    </row>
    <row r="29">
      <c r="A29" t="s">
        <v>9</v>
      </c>
      <c r="B29" t="s">
        <v>328</v>
      </c>
      <c r="C29" t="s">
        <v>236</v>
      </c>
      <c r="D29" t="s">
        <v>329</v>
      </c>
      <c r="E29" t="s">
        <v>237</v>
      </c>
      <c r="F29" t="n">
        <v>421</v>
      </c>
      <c r="G29" t="n">
        <v>366</v>
      </c>
      <c r="H29" t="n">
        <v>411</v>
      </c>
      <c r="I29" t="n">
        <v>467</v>
      </c>
      <c r="J29" t="n">
        <v>497</v>
      </c>
      <c r="K29" t="n">
        <v>452</v>
      </c>
      <c r="L29" t="n">
        <v>478</v>
      </c>
      <c r="M29" t="n">
        <v>446</v>
      </c>
      <c r="N29" t="n">
        <v>459</v>
      </c>
      <c r="O29" t="n">
        <v>526</v>
      </c>
      <c r="P29" t="n">
        <v>562</v>
      </c>
      <c r="Q29" t="n">
        <v>439</v>
      </c>
      <c r="R29" t="n">
        <v>418</v>
      </c>
      <c r="S29" t="n">
        <v>517</v>
      </c>
      <c r="T29" t="n">
        <v>411</v>
      </c>
      <c r="U29" t="n">
        <v>419</v>
      </c>
      <c r="V29" t="n">
        <v>483</v>
      </c>
      <c r="W29" t="n">
        <v>385</v>
      </c>
      <c r="X29" t="n">
        <v>379</v>
      </c>
      <c r="Y29" t="n">
        <v>446</v>
      </c>
      <c r="Z29" t="n">
        <v>537</v>
      </c>
      <c r="AA29" t="n">
        <v>679</v>
      </c>
      <c r="AB29" t="n">
        <v>668</v>
      </c>
      <c r="AC29" t="n">
        <v>663</v>
      </c>
      <c r="AD29" t="n">
        <v>664</v>
      </c>
      <c r="AE29" t="n">
        <v>643</v>
      </c>
      <c r="AF29" t="n">
        <v>710</v>
      </c>
    </row>
    <row r="30">
      <c r="A30" t="s">
        <v>9</v>
      </c>
      <c r="B30" t="s">
        <v>330</v>
      </c>
      <c r="C30" t="s">
        <v>236</v>
      </c>
      <c r="D30" t="s">
        <v>331</v>
      </c>
      <c r="E30" t="s">
        <v>237</v>
      </c>
      <c r="F30" t="n">
        <v>-7</v>
      </c>
      <c r="G30" t="n">
        <v>-7</v>
      </c>
      <c r="H30" t="n">
        <v>238</v>
      </c>
      <c r="I30" t="n">
        <v>196</v>
      </c>
      <c r="J30" t="n">
        <v>107</v>
      </c>
      <c r="K30" t="n">
        <v>23</v>
      </c>
      <c r="L30" t="n">
        <v>174</v>
      </c>
      <c r="M30" t="n">
        <v>72</v>
      </c>
      <c r="N30" t="n">
        <v>-47</v>
      </c>
      <c r="O30" t="n">
        <v>320</v>
      </c>
      <c r="P30" t="n">
        <v>91</v>
      </c>
      <c r="Q30" t="n">
        <v>206</v>
      </c>
      <c r="R30" t="n">
        <v>345</v>
      </c>
      <c r="S30" t="n">
        <v>-10</v>
      </c>
      <c r="T30" t="n">
        <v>89</v>
      </c>
      <c r="U30" t="n">
        <v>38</v>
      </c>
      <c r="V30" t="n">
        <v>198</v>
      </c>
      <c r="W30" t="n">
        <v>316</v>
      </c>
      <c r="X30" t="n">
        <v>225</v>
      </c>
      <c r="Y30" t="n">
        <v>6</v>
      </c>
      <c r="Z30" t="n">
        <v>75</v>
      </c>
      <c r="AA30" t="n">
        <v>78</v>
      </c>
      <c r="AB30" t="n">
        <v>-65</v>
      </c>
      <c r="AC30" t="n">
        <v>144</v>
      </c>
      <c r="AD30" t="n">
        <v>119</v>
      </c>
      <c r="AE30" t="n">
        <v>81</v>
      </c>
      <c r="AF30" t="n">
        <v>36</v>
      </c>
    </row>
    <row r="31">
      <c r="A31" t="s">
        <v>9</v>
      </c>
      <c r="B31" t="s">
        <v>332</v>
      </c>
      <c r="C31" t="s">
        <v>236</v>
      </c>
      <c r="D31" t="s">
        <v>333</v>
      </c>
      <c r="E31" t="s">
        <v>237</v>
      </c>
      <c r="F31" t="n">
        <v>55</v>
      </c>
      <c r="G31" t="n">
        <v>78</v>
      </c>
      <c r="H31" t="n">
        <v>43</v>
      </c>
      <c r="I31" t="n">
        <v>86</v>
      </c>
      <c r="J31" t="n">
        <v>231</v>
      </c>
      <c r="K31" t="n">
        <v>128</v>
      </c>
      <c r="L31" t="n">
        <v>189</v>
      </c>
      <c r="M31" t="n">
        <v>42</v>
      </c>
      <c r="N31" t="n">
        <v>28</v>
      </c>
      <c r="O31" t="n">
        <v>87</v>
      </c>
      <c r="P31" t="n">
        <v>220</v>
      </c>
      <c r="Q31" t="n">
        <v>274</v>
      </c>
      <c r="R31" t="n">
        <v>256</v>
      </c>
      <c r="S31" t="n">
        <v>178</v>
      </c>
      <c r="T31" t="n">
        <v>414</v>
      </c>
      <c r="U31" t="n">
        <v>119</v>
      </c>
      <c r="V31" t="n">
        <v>82</v>
      </c>
      <c r="W31" t="n">
        <v>109</v>
      </c>
      <c r="X31" t="n">
        <v>270</v>
      </c>
      <c r="Y31" t="n">
        <v>96</v>
      </c>
      <c r="Z31" t="n">
        <v>158</v>
      </c>
      <c r="AA31" t="n">
        <v>315</v>
      </c>
      <c r="AB31" t="n">
        <v>350</v>
      </c>
      <c r="AC31" t="n">
        <v>211</v>
      </c>
      <c r="AD31" t="n">
        <v>373</v>
      </c>
      <c r="AE31" t="n">
        <v>131</v>
      </c>
      <c r="AF31" t="n">
        <v>-253</v>
      </c>
    </row>
    <row r="32">
      <c r="A32" t="s">
        <v>9</v>
      </c>
      <c r="B32" t="s">
        <v>334</v>
      </c>
      <c r="C32" t="s">
        <v>236</v>
      </c>
      <c r="D32" t="s">
        <v>335</v>
      </c>
      <c r="E32" t="s">
        <v>237</v>
      </c>
      <c r="F32" t="n">
        <v>25</v>
      </c>
      <c r="G32" t="n">
        <v>13</v>
      </c>
      <c r="H32" t="n">
        <v>53</v>
      </c>
      <c r="I32" t="n">
        <v>77</v>
      </c>
      <c r="J32" t="n">
        <v>15</v>
      </c>
      <c r="K32" t="n">
        <v>20</v>
      </c>
      <c r="L32" t="n">
        <v>22</v>
      </c>
      <c r="M32" t="n">
        <v>16</v>
      </c>
      <c r="N32" t="n">
        <v>20</v>
      </c>
      <c r="O32" t="n">
        <v>23</v>
      </c>
      <c r="P32" t="n">
        <v>19</v>
      </c>
      <c r="Q32" t="n">
        <v>39</v>
      </c>
      <c r="R32" t="n">
        <v>21</v>
      </c>
      <c r="S32" t="n">
        <v>21</v>
      </c>
      <c r="T32" t="n">
        <v>37</v>
      </c>
      <c r="U32" t="n">
        <v>58</v>
      </c>
      <c r="V32" t="n">
        <v>37</v>
      </c>
      <c r="W32" t="n">
        <v>21</v>
      </c>
      <c r="X32" t="n">
        <v>27</v>
      </c>
      <c r="Y32" t="n">
        <v>44</v>
      </c>
      <c r="Z32" t="n">
        <v>48</v>
      </c>
      <c r="AA32" t="n">
        <v>141</v>
      </c>
      <c r="AB32" t="n">
        <v>78</v>
      </c>
      <c r="AC32" t="n">
        <v>56</v>
      </c>
      <c r="AD32" t="n">
        <v>91</v>
      </c>
      <c r="AE32" t="n">
        <v>76</v>
      </c>
      <c r="AF32" t="n">
        <v>150</v>
      </c>
    </row>
    <row r="33">
      <c r="A33" t="s">
        <v>9</v>
      </c>
      <c r="B33" t="s">
        <v>336</v>
      </c>
      <c r="C33" t="s">
        <v>236</v>
      </c>
      <c r="D33" t="s">
        <v>337</v>
      </c>
      <c r="E33" t="s">
        <v>237</v>
      </c>
      <c r="F33" t="n">
        <v>6</v>
      </c>
      <c r="G33" t="n">
        <v>3</v>
      </c>
      <c r="H33" t="n">
        <v>3</v>
      </c>
      <c r="I33" t="n">
        <v>4</v>
      </c>
      <c r="J33" t="n">
        <v>4</v>
      </c>
      <c r="K33" t="n">
        <v>17</v>
      </c>
      <c r="L33" t="n">
        <v>9</v>
      </c>
      <c r="M33" t="n">
        <v>10</v>
      </c>
      <c r="N33" t="n">
        <v>7</v>
      </c>
      <c r="O33" t="n">
        <v>16</v>
      </c>
      <c r="P33" t="n">
        <v>2</v>
      </c>
      <c r="Q33" t="n">
        <v>29</v>
      </c>
      <c r="R33" t="n">
        <v>13</v>
      </c>
      <c r="S33" t="n">
        <v>10</v>
      </c>
      <c r="T33" t="n">
        <v>23</v>
      </c>
      <c r="U33" t="n">
        <v>39</v>
      </c>
      <c r="V33" t="n">
        <v>21</v>
      </c>
      <c r="W33" t="n">
        <v>10</v>
      </c>
      <c r="X33" t="n">
        <v>16</v>
      </c>
      <c r="Y33" t="n">
        <v>20</v>
      </c>
      <c r="Z33" t="n">
        <v>10</v>
      </c>
      <c r="AA33" t="n">
        <v>17</v>
      </c>
      <c r="AB33" t="n">
        <v>20</v>
      </c>
      <c r="AC33" t="n">
        <v>13</v>
      </c>
      <c r="AD33" t="n">
        <v>11</v>
      </c>
      <c r="AE33" t="n">
        <v>8</v>
      </c>
      <c r="AF33" t="n">
        <v>7</v>
      </c>
    </row>
    <row r="34">
      <c r="A34" t="s">
        <v>9</v>
      </c>
      <c r="B34" t="s">
        <v>338</v>
      </c>
      <c r="C34" t="s">
        <v>236</v>
      </c>
      <c r="D34" t="s">
        <v>339</v>
      </c>
      <c r="E34" t="s">
        <v>237</v>
      </c>
      <c r="F34" t="n">
        <v>10</v>
      </c>
      <c r="G34" t="n">
        <v>12</v>
      </c>
      <c r="H34" t="n">
        <v>7</v>
      </c>
      <c r="I34" t="n">
        <v>14</v>
      </c>
      <c r="J34" t="n">
        <v>15</v>
      </c>
      <c r="K34" t="n">
        <v>15</v>
      </c>
      <c r="L34" t="n">
        <v>15</v>
      </c>
      <c r="M34" t="n">
        <v>16</v>
      </c>
      <c r="N34" t="n">
        <v>18</v>
      </c>
      <c r="O34" t="n">
        <v>19</v>
      </c>
      <c r="P34" t="n">
        <v>21</v>
      </c>
      <c r="Q34" t="n">
        <v>24</v>
      </c>
      <c r="R34" t="n">
        <v>16</v>
      </c>
      <c r="S34" t="n">
        <v>13</v>
      </c>
      <c r="T34" t="n">
        <v>14</v>
      </c>
      <c r="U34" t="n">
        <v>22</v>
      </c>
      <c r="V34" t="n">
        <v>16</v>
      </c>
      <c r="W34" t="n">
        <v>24</v>
      </c>
      <c r="X34" t="n">
        <v>15</v>
      </c>
      <c r="Y34" t="n">
        <v>15</v>
      </c>
      <c r="Z34" t="n">
        <v>13</v>
      </c>
      <c r="AA34" t="n">
        <v>14</v>
      </c>
      <c r="AB34" t="n">
        <v>13</v>
      </c>
      <c r="AC34" t="n">
        <v>20</v>
      </c>
      <c r="AD34" t="n">
        <v>20</v>
      </c>
      <c r="AE34" t="n">
        <v>20</v>
      </c>
      <c r="AF34" t="n">
        <v>33</v>
      </c>
    </row>
    <row r="35">
      <c r="A35" t="s">
        <v>9</v>
      </c>
      <c r="B35" t="s">
        <v>340</v>
      </c>
      <c r="C35" t="s">
        <v>236</v>
      </c>
      <c r="D35" t="s">
        <v>341</v>
      </c>
      <c r="E35" t="s">
        <v>237</v>
      </c>
      <c r="F35" t="n">
        <v>24</v>
      </c>
      <c r="G35" t="n">
        <v>30</v>
      </c>
      <c r="H35" t="n">
        <v>35</v>
      </c>
      <c r="I35" t="n">
        <v>39</v>
      </c>
      <c r="J35" t="n">
        <v>43</v>
      </c>
      <c r="K35" t="n">
        <v>58</v>
      </c>
      <c r="L35" t="n">
        <v>56</v>
      </c>
      <c r="M35" t="n">
        <v>50</v>
      </c>
      <c r="N35" t="n">
        <v>39</v>
      </c>
      <c r="O35" t="n">
        <v>89</v>
      </c>
      <c r="P35" t="n">
        <v>78</v>
      </c>
      <c r="Q35" t="n">
        <v>67</v>
      </c>
      <c r="R35" t="n">
        <v>70</v>
      </c>
      <c r="S35" t="n">
        <v>95</v>
      </c>
      <c r="T35" t="n">
        <v>85</v>
      </c>
      <c r="U35" t="n">
        <v>129</v>
      </c>
      <c r="V35" t="n">
        <v>57</v>
      </c>
      <c r="W35" t="n">
        <v>63</v>
      </c>
      <c r="X35" t="n">
        <v>43</v>
      </c>
      <c r="Y35" t="n">
        <v>37</v>
      </c>
      <c r="Z35" t="n">
        <v>34</v>
      </c>
      <c r="AA35" t="n">
        <v>34</v>
      </c>
      <c r="AB35" t="n">
        <v>30</v>
      </c>
      <c r="AC35" t="n">
        <v>40</v>
      </c>
      <c r="AD35" t="n">
        <v>31</v>
      </c>
      <c r="AE35" t="n">
        <v>40</v>
      </c>
      <c r="AF35" t="n">
        <v>38</v>
      </c>
    </row>
    <row r="36">
      <c r="A36" t="s">
        <v>9</v>
      </c>
      <c r="B36" t="s">
        <v>342</v>
      </c>
      <c r="C36" t="s">
        <v>236</v>
      </c>
      <c r="D36" t="s">
        <v>343</v>
      </c>
      <c r="E36" t="s">
        <v>237</v>
      </c>
      <c r="F36" t="n">
        <v>5</v>
      </c>
      <c r="G36" t="n">
        <v>7</v>
      </c>
      <c r="H36" t="n">
        <v>9</v>
      </c>
      <c r="I36" t="n">
        <v>11</v>
      </c>
      <c r="J36" t="n">
        <v>11</v>
      </c>
      <c r="K36" t="n">
        <v>13</v>
      </c>
      <c r="L36" t="n">
        <v>13</v>
      </c>
      <c r="M36" t="n">
        <v>12</v>
      </c>
      <c r="N36" t="n">
        <v>10</v>
      </c>
      <c r="O36" t="n">
        <v>10</v>
      </c>
      <c r="P36" t="n">
        <v>14</v>
      </c>
      <c r="Q36" t="n">
        <v>13</v>
      </c>
      <c r="R36" t="n">
        <v>12</v>
      </c>
      <c r="S36" t="n">
        <v>10</v>
      </c>
      <c r="T36" t="n">
        <v>14</v>
      </c>
      <c r="U36" t="n">
        <v>15</v>
      </c>
      <c r="V36" t="n">
        <v>13</v>
      </c>
      <c r="W36" t="n">
        <v>13</v>
      </c>
      <c r="X36" t="n">
        <v>5</v>
      </c>
      <c r="Y36" t="n">
        <v>5</v>
      </c>
      <c r="Z36" t="n">
        <v>3</v>
      </c>
      <c r="AA36" t="n">
        <v>4</v>
      </c>
      <c r="AB36" t="n">
        <v>5</v>
      </c>
      <c r="AC36" t="n">
        <v>6</v>
      </c>
      <c r="AD36" t="n">
        <v>4</v>
      </c>
      <c r="AE36" t="n">
        <v>3</v>
      </c>
      <c r="AF36" t="n">
        <v>3</v>
      </c>
    </row>
    <row r="37">
      <c r="A37" t="s">
        <v>9</v>
      </c>
      <c r="B37" t="s">
        <v>344</v>
      </c>
      <c r="C37" t="s">
        <v>236</v>
      </c>
      <c r="D37" t="s">
        <v>345</v>
      </c>
      <c r="E37" t="s">
        <v>237</v>
      </c>
      <c r="F37" t="n">
        <v>8</v>
      </c>
      <c r="G37" t="n">
        <v>8</v>
      </c>
      <c r="H37" t="n">
        <v>13</v>
      </c>
      <c r="I37" t="n">
        <v>14</v>
      </c>
      <c r="J37" t="n">
        <v>14</v>
      </c>
      <c r="K37" t="n">
        <v>25</v>
      </c>
      <c r="L37" t="n">
        <v>21</v>
      </c>
      <c r="M37" t="n">
        <v>16</v>
      </c>
      <c r="N37" t="n">
        <v>13</v>
      </c>
      <c r="O37" t="n">
        <v>61</v>
      </c>
      <c r="P37" t="n">
        <v>47</v>
      </c>
      <c r="Q37" t="n">
        <v>33</v>
      </c>
      <c r="R37" t="n">
        <v>58</v>
      </c>
      <c r="S37" t="n">
        <v>70</v>
      </c>
      <c r="T37" t="n">
        <v>71</v>
      </c>
      <c r="U37" t="n">
        <v>100</v>
      </c>
      <c r="V37" t="n">
        <v>39</v>
      </c>
      <c r="W37" t="n">
        <v>34</v>
      </c>
      <c r="X37" t="n">
        <v>27</v>
      </c>
      <c r="Y37" t="n">
        <v>25</v>
      </c>
      <c r="Z37" t="n">
        <v>20</v>
      </c>
      <c r="AA37" t="n">
        <v>21</v>
      </c>
      <c r="AB37" t="n">
        <v>17</v>
      </c>
      <c r="AC37" t="n">
        <v>19</v>
      </c>
      <c r="AD37" t="n">
        <v>15</v>
      </c>
      <c r="AE37" t="n">
        <v>18</v>
      </c>
      <c r="AF37" t="n">
        <v>18</v>
      </c>
    </row>
    <row r="38">
      <c r="A38" t="s">
        <v>9</v>
      </c>
      <c r="B38" t="s">
        <v>346</v>
      </c>
      <c r="C38" t="s">
        <v>236</v>
      </c>
      <c r="D38" t="s">
        <v>347</v>
      </c>
      <c r="E38" t="s">
        <v>237</v>
      </c>
      <c r="F38" t="n">
        <v>11</v>
      </c>
      <c r="G38" t="n">
        <v>15</v>
      </c>
      <c r="H38" t="n">
        <v>13</v>
      </c>
      <c r="I38" t="n">
        <v>14</v>
      </c>
      <c r="J38" t="n">
        <v>18</v>
      </c>
      <c r="K38" t="n">
        <v>20</v>
      </c>
      <c r="L38" t="n">
        <v>22</v>
      </c>
      <c r="M38" t="n">
        <v>22</v>
      </c>
      <c r="N38" t="n">
        <v>16</v>
      </c>
      <c r="O38" t="n">
        <v>18</v>
      </c>
      <c r="P38" t="n">
        <v>17</v>
      </c>
      <c r="Q38" t="n">
        <v>21</v>
      </c>
      <c r="R38" t="n">
        <v>0</v>
      </c>
      <c r="S38" t="n">
        <v>15</v>
      </c>
      <c r="T38" t="n">
        <v>0</v>
      </c>
      <c r="U38" t="n">
        <v>14</v>
      </c>
      <c r="V38" t="n">
        <v>5</v>
      </c>
      <c r="W38" t="n">
        <v>16</v>
      </c>
      <c r="X38" t="n">
        <v>11</v>
      </c>
      <c r="Y38" t="n">
        <v>7</v>
      </c>
      <c r="Z38" t="n">
        <v>11</v>
      </c>
      <c r="AA38" t="n">
        <v>9</v>
      </c>
      <c r="AB38" t="n">
        <v>8</v>
      </c>
      <c r="AC38" t="n">
        <v>15</v>
      </c>
      <c r="AD38" t="n">
        <v>12</v>
      </c>
      <c r="AE38" t="n">
        <v>19</v>
      </c>
      <c r="AF38" t="n">
        <v>17</v>
      </c>
    </row>
    <row r="39">
      <c r="A39" t="s">
        <v>9</v>
      </c>
      <c r="B39" t="s">
        <v>348</v>
      </c>
      <c r="C39" t="s">
        <v>236</v>
      </c>
      <c r="D39" t="s">
        <v>349</v>
      </c>
      <c r="E39" t="s">
        <v>237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9</v>
      </c>
      <c r="B40" t="s">
        <v>350</v>
      </c>
      <c r="C40" t="s">
        <v>236</v>
      </c>
      <c r="D40" t="s">
        <v>351</v>
      </c>
      <c r="E40" t="s">
        <v>237</v>
      </c>
      <c r="F40" t="n">
        <v>8</v>
      </c>
      <c r="G40" t="n">
        <v>14</v>
      </c>
      <c r="H40" t="n">
        <v>9</v>
      </c>
      <c r="I40" t="n">
        <v>8</v>
      </c>
      <c r="J40" t="n">
        <v>10</v>
      </c>
      <c r="K40" t="n">
        <v>12</v>
      </c>
      <c r="L40" t="n">
        <v>8</v>
      </c>
      <c r="M40" t="n">
        <v>17</v>
      </c>
      <c r="N40" t="n">
        <v>21</v>
      </c>
      <c r="O40" t="n">
        <v>20</v>
      </c>
      <c r="P40" t="n">
        <v>31</v>
      </c>
      <c r="Q40" t="n">
        <v>34</v>
      </c>
      <c r="R40" t="n">
        <v>32</v>
      </c>
      <c r="S40" t="n">
        <v>49</v>
      </c>
      <c r="T40" t="n">
        <v>55</v>
      </c>
      <c r="U40" t="n">
        <v>49</v>
      </c>
      <c r="V40" t="n">
        <v>35</v>
      </c>
      <c r="W40" t="n">
        <v>49</v>
      </c>
      <c r="X40" t="n">
        <v>52</v>
      </c>
      <c r="Y40" t="n">
        <v>49</v>
      </c>
      <c r="Z40" t="n">
        <v>48</v>
      </c>
      <c r="AA40" t="n">
        <v>53</v>
      </c>
      <c r="AB40" t="n">
        <v>42</v>
      </c>
      <c r="AC40" t="n">
        <v>51</v>
      </c>
      <c r="AD40" t="n">
        <v>41</v>
      </c>
      <c r="AE40" t="n">
        <v>40</v>
      </c>
      <c r="AF40" t="n">
        <v>39</v>
      </c>
    </row>
    <row r="41">
      <c r="A41" t="s">
        <v>9</v>
      </c>
      <c r="B41" t="s">
        <v>352</v>
      </c>
      <c r="C41" t="s">
        <v>236</v>
      </c>
      <c r="D41" t="s">
        <v>353</v>
      </c>
      <c r="E41" t="s">
        <v>237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/>
      <c r="AD41"/>
      <c r="AE41"/>
      <c r="AF41"/>
    </row>
    <row r="42">
      <c r="A42" t="s">
        <v>9</v>
      </c>
      <c r="B42" t="s">
        <v>354</v>
      </c>
      <c r="C42" t="s">
        <v>236</v>
      </c>
      <c r="D42" t="s">
        <v>355</v>
      </c>
      <c r="E42" t="s">
        <v>237</v>
      </c>
      <c r="F42" t="n">
        <v>27</v>
      </c>
      <c r="G42" t="n">
        <v>35</v>
      </c>
      <c r="H42" t="n">
        <v>56</v>
      </c>
      <c r="I42" t="n">
        <v>47</v>
      </c>
      <c r="J42" t="n">
        <v>56</v>
      </c>
      <c r="K42" t="n">
        <v>55</v>
      </c>
      <c r="L42" t="n">
        <v>54</v>
      </c>
      <c r="M42" t="n">
        <v>50</v>
      </c>
      <c r="N42" t="n">
        <v>53</v>
      </c>
      <c r="O42" t="n">
        <v>57</v>
      </c>
      <c r="P42" t="n">
        <v>51</v>
      </c>
      <c r="Q42" t="n">
        <v>51</v>
      </c>
      <c r="R42" t="n">
        <v>65</v>
      </c>
      <c r="S42" t="n">
        <v>70</v>
      </c>
      <c r="T42" t="n">
        <v>29</v>
      </c>
      <c r="U42" t="n">
        <v>42</v>
      </c>
      <c r="V42" t="n">
        <v>55</v>
      </c>
      <c r="W42" t="n">
        <v>35</v>
      </c>
      <c r="X42" t="n">
        <v>28</v>
      </c>
      <c r="Y42" t="n">
        <v>27</v>
      </c>
      <c r="Z42" t="n">
        <v>20</v>
      </c>
      <c r="AA42" t="n">
        <v>24</v>
      </c>
      <c r="AB42" t="n">
        <v>29</v>
      </c>
      <c r="AC42" t="n">
        <v>47</v>
      </c>
      <c r="AD42" t="n">
        <v>64</v>
      </c>
      <c r="AE42" t="n">
        <v>58</v>
      </c>
      <c r="AF42" t="n">
        <v>79</v>
      </c>
    </row>
    <row r="43">
      <c r="A43" t="s">
        <v>9</v>
      </c>
      <c r="B43" t="s">
        <v>356</v>
      </c>
      <c r="C43" t="s">
        <v>236</v>
      </c>
      <c r="D43" t="s">
        <v>357</v>
      </c>
      <c r="E43" t="s">
        <v>237</v>
      </c>
      <c r="F43" t="n">
        <v>52</v>
      </c>
      <c r="G43" t="n">
        <v>75</v>
      </c>
      <c r="H43" t="n">
        <v>112</v>
      </c>
      <c r="I43" t="n">
        <v>110</v>
      </c>
      <c r="J43" t="n">
        <v>115</v>
      </c>
      <c r="K43" t="n">
        <v>156</v>
      </c>
      <c r="L43" t="n">
        <v>148</v>
      </c>
      <c r="M43" t="n">
        <v>172</v>
      </c>
      <c r="N43" t="n">
        <v>208</v>
      </c>
      <c r="O43" t="n">
        <v>215</v>
      </c>
      <c r="P43" t="n">
        <v>212</v>
      </c>
      <c r="Q43" t="n">
        <v>351</v>
      </c>
      <c r="R43" t="n">
        <v>258</v>
      </c>
      <c r="S43" t="n">
        <v>230</v>
      </c>
      <c r="T43" t="n">
        <v>152</v>
      </c>
      <c r="U43" t="n">
        <v>182</v>
      </c>
      <c r="V43" t="n">
        <v>213</v>
      </c>
      <c r="W43" t="n">
        <v>217</v>
      </c>
      <c r="X43" t="n">
        <v>184</v>
      </c>
      <c r="Y43" t="n">
        <v>209</v>
      </c>
      <c r="Z43" t="n">
        <v>220</v>
      </c>
      <c r="AA43" t="n">
        <v>233</v>
      </c>
      <c r="AB43" t="n">
        <v>340</v>
      </c>
      <c r="AC43" t="n">
        <v>289</v>
      </c>
      <c r="AD43" t="n">
        <v>326</v>
      </c>
      <c r="AE43" t="n">
        <v>293</v>
      </c>
      <c r="AF43" t="n">
        <v>315</v>
      </c>
    </row>
    <row r="44">
      <c r="A44" t="s">
        <v>9</v>
      </c>
      <c r="B44" t="s">
        <v>358</v>
      </c>
      <c r="C44" t="s">
        <v>236</v>
      </c>
      <c r="D44" t="s">
        <v>359</v>
      </c>
      <c r="E44" t="s">
        <v>237</v>
      </c>
      <c r="F44" t="n">
        <v>1085</v>
      </c>
      <c r="G44" t="n">
        <v>1100</v>
      </c>
      <c r="H44" t="n">
        <v>1493</v>
      </c>
      <c r="I44" t="n">
        <v>1667</v>
      </c>
      <c r="J44" t="n">
        <v>1751</v>
      </c>
      <c r="K44" t="n">
        <v>1664</v>
      </c>
      <c r="L44" t="n">
        <v>1926</v>
      </c>
      <c r="M44" t="n">
        <v>1616</v>
      </c>
      <c r="N44" t="n">
        <v>1568</v>
      </c>
      <c r="O44" t="n">
        <v>2140</v>
      </c>
      <c r="P44" t="n">
        <v>2067</v>
      </c>
      <c r="Q44" t="n">
        <v>2296</v>
      </c>
      <c r="R44" t="n">
        <v>2345</v>
      </c>
      <c r="S44" t="n">
        <v>2125</v>
      </c>
      <c r="T44" t="n">
        <v>2086</v>
      </c>
      <c r="U44" t="n">
        <v>1969</v>
      </c>
      <c r="V44" t="n">
        <v>1958</v>
      </c>
      <c r="W44" t="n">
        <v>2109</v>
      </c>
      <c r="X44" t="n">
        <v>1925</v>
      </c>
      <c r="Y44" t="n">
        <v>1601</v>
      </c>
      <c r="Z44" t="n">
        <v>1882</v>
      </c>
      <c r="AA44" t="n">
        <v>2318</v>
      </c>
      <c r="AB44" t="n">
        <v>2268</v>
      </c>
      <c r="AC44" t="n">
        <v>2214</v>
      </c>
      <c r="AD44" t="n">
        <v>2410</v>
      </c>
      <c r="AE44" t="n">
        <v>2089</v>
      </c>
      <c r="AF44" t="n">
        <v>2016</v>
      </c>
    </row>
    <row r="45">
      <c r="A45" t="s">
        <v>9</v>
      </c>
      <c r="B45" t="s">
        <v>360</v>
      </c>
      <c r="C45" t="s">
        <v>236</v>
      </c>
      <c r="D45" t="s">
        <v>361</v>
      </c>
      <c r="E45" t="s">
        <v>237</v>
      </c>
      <c r="F45" t="n">
        <v>902</v>
      </c>
      <c r="G45" t="n">
        <v>929</v>
      </c>
      <c r="H45" t="n">
        <v>1293</v>
      </c>
      <c r="I45" t="n">
        <v>1479</v>
      </c>
      <c r="J45" t="n">
        <v>1532</v>
      </c>
      <c r="K45" t="n">
        <v>1424</v>
      </c>
      <c r="L45" t="n">
        <v>1678</v>
      </c>
      <c r="M45" t="n">
        <v>1339</v>
      </c>
      <c r="N45" t="n">
        <v>1293</v>
      </c>
      <c r="O45" t="n">
        <v>1877</v>
      </c>
      <c r="P45" t="n">
        <v>1819</v>
      </c>
      <c r="Q45" t="n">
        <v>2068</v>
      </c>
      <c r="R45" t="n">
        <v>2094</v>
      </c>
      <c r="S45" t="n">
        <v>1831</v>
      </c>
      <c r="T45" t="n">
        <v>1802</v>
      </c>
      <c r="U45" t="n">
        <v>1710</v>
      </c>
      <c r="V45" t="n">
        <v>1674</v>
      </c>
      <c r="W45" t="n">
        <v>1826</v>
      </c>
      <c r="X45" t="n">
        <v>1656</v>
      </c>
      <c r="Y45" t="n">
        <v>1370</v>
      </c>
      <c r="Z45" t="n">
        <v>1661</v>
      </c>
      <c r="AA45" t="n">
        <v>2057</v>
      </c>
      <c r="AB45" t="n">
        <v>1972</v>
      </c>
      <c r="AC45" t="n">
        <v>1981</v>
      </c>
      <c r="AD45" t="n">
        <v>2159</v>
      </c>
      <c r="AE45" t="n">
        <v>1822</v>
      </c>
      <c r="AF45" t="n">
        <v>1758</v>
      </c>
    </row>
    <row r="46">
      <c r="A46" t="s">
        <v>9</v>
      </c>
      <c r="B46" t="s">
        <v>362</v>
      </c>
      <c r="C46" t="s">
        <v>236</v>
      </c>
      <c r="D46" t="s">
        <v>363</v>
      </c>
      <c r="E46" t="s">
        <v>237</v>
      </c>
      <c r="F46" t="n">
        <v>25</v>
      </c>
      <c r="G46" t="n">
        <v>40</v>
      </c>
      <c r="H46" t="n">
        <v>56</v>
      </c>
      <c r="I46" t="n">
        <v>63</v>
      </c>
      <c r="J46" t="n">
        <v>59</v>
      </c>
      <c r="K46" t="n">
        <v>101</v>
      </c>
      <c r="L46" t="n">
        <v>94</v>
      </c>
      <c r="M46" t="n">
        <v>122</v>
      </c>
      <c r="N46" t="n">
        <v>155</v>
      </c>
      <c r="O46" t="n">
        <v>158</v>
      </c>
      <c r="P46" t="n">
        <v>161</v>
      </c>
      <c r="Q46" t="n">
        <v>300</v>
      </c>
      <c r="R46" t="n">
        <v>193</v>
      </c>
      <c r="S46" t="n">
        <v>160</v>
      </c>
      <c r="T46" t="n">
        <v>123</v>
      </c>
      <c r="U46" t="n">
        <v>140</v>
      </c>
      <c r="V46" t="n">
        <v>158</v>
      </c>
      <c r="W46" t="n">
        <v>182</v>
      </c>
      <c r="X46" t="n">
        <v>156</v>
      </c>
      <c r="Y46" t="n">
        <v>182</v>
      </c>
      <c r="Z46" t="n">
        <v>200</v>
      </c>
      <c r="AA46" t="n">
        <v>209</v>
      </c>
      <c r="AB46" t="n">
        <v>311</v>
      </c>
      <c r="AC46" t="n">
        <v>242</v>
      </c>
      <c r="AD46" t="n">
        <v>262</v>
      </c>
      <c r="AE46" t="n">
        <v>235</v>
      </c>
      <c r="AF46" t="n">
        <v>236</v>
      </c>
    </row>
    <row r="47">
      <c r="A47" t="s">
        <v>9</v>
      </c>
      <c r="B47" t="s">
        <v>364</v>
      </c>
      <c r="C47" t="s">
        <v>236</v>
      </c>
      <c r="D47" t="s">
        <v>365</v>
      </c>
      <c r="E47" t="s">
        <v>237</v>
      </c>
      <c r="F47" t="n">
        <v>45</v>
      </c>
      <c r="G47" t="n">
        <v>46</v>
      </c>
      <c r="H47" t="n">
        <v>33</v>
      </c>
      <c r="I47" t="n">
        <v>37</v>
      </c>
      <c r="J47" t="n">
        <v>53</v>
      </c>
      <c r="K47" t="n">
        <v>63</v>
      </c>
      <c r="L47" t="n">
        <v>47</v>
      </c>
      <c r="M47" t="n">
        <v>67</v>
      </c>
      <c r="N47" t="n">
        <v>60</v>
      </c>
      <c r="O47" t="n">
        <v>61</v>
      </c>
      <c r="P47" t="n">
        <v>77</v>
      </c>
      <c r="Q47" t="n">
        <v>59</v>
      </c>
      <c r="R47" t="n">
        <v>45</v>
      </c>
      <c r="S47" t="n">
        <v>57</v>
      </c>
      <c r="T47" t="n">
        <v>54</v>
      </c>
      <c r="U47" t="n">
        <v>98</v>
      </c>
      <c r="V47" t="n">
        <v>94</v>
      </c>
      <c r="W47" t="n">
        <v>102</v>
      </c>
      <c r="X47" t="n">
        <v>104</v>
      </c>
      <c r="Y47" t="n">
        <v>87</v>
      </c>
      <c r="Z47" t="n">
        <v>109</v>
      </c>
      <c r="AA47" t="n">
        <v>111</v>
      </c>
      <c r="AB47" t="n">
        <v>89</v>
      </c>
      <c r="AC47" t="n">
        <v>78</v>
      </c>
      <c r="AD47" t="n">
        <v>85</v>
      </c>
      <c r="AE47" t="n">
        <v>117</v>
      </c>
      <c r="AF47" t="n">
        <v>122</v>
      </c>
    </row>
    <row r="48">
      <c r="A48" t="s">
        <v>9</v>
      </c>
      <c r="B48" t="s">
        <v>366</v>
      </c>
      <c r="C48" t="s">
        <v>236</v>
      </c>
      <c r="D48" t="s">
        <v>367</v>
      </c>
      <c r="E48" t="s">
        <v>237</v>
      </c>
      <c r="F48" t="n">
        <v>69</v>
      </c>
      <c r="G48" t="n">
        <v>67</v>
      </c>
      <c r="H48" t="n">
        <v>53</v>
      </c>
      <c r="I48" t="n">
        <v>62</v>
      </c>
      <c r="J48" t="n">
        <v>77</v>
      </c>
      <c r="K48" t="n">
        <v>91</v>
      </c>
      <c r="L48" t="n">
        <v>72</v>
      </c>
      <c r="M48" t="n">
        <v>99</v>
      </c>
      <c r="N48" t="n">
        <v>98</v>
      </c>
      <c r="O48" t="n">
        <v>109</v>
      </c>
      <c r="P48" t="n">
        <v>127</v>
      </c>
      <c r="Q48" t="n">
        <v>110</v>
      </c>
      <c r="R48" t="n">
        <v>111</v>
      </c>
      <c r="S48" t="n">
        <v>117</v>
      </c>
      <c r="T48" t="n">
        <v>112</v>
      </c>
      <c r="U48" t="n">
        <v>159</v>
      </c>
      <c r="V48" t="n">
        <v>153</v>
      </c>
      <c r="W48" t="n">
        <v>158</v>
      </c>
      <c r="X48" t="n">
        <v>153</v>
      </c>
      <c r="Y48" t="n">
        <v>132</v>
      </c>
      <c r="Z48" t="n">
        <v>161</v>
      </c>
      <c r="AA48" t="n">
        <v>152</v>
      </c>
      <c r="AB48" t="n">
        <v>125</v>
      </c>
      <c r="AC48" t="n">
        <v>119</v>
      </c>
      <c r="AD48" t="n">
        <v>133</v>
      </c>
      <c r="AE48" t="n">
        <v>161</v>
      </c>
      <c r="AF48" t="n">
        <v>194</v>
      </c>
    </row>
    <row r="49">
      <c r="A49" t="s">
        <v>9</v>
      </c>
      <c r="B49" t="s">
        <v>368</v>
      </c>
      <c r="C49" t="s">
        <v>236</v>
      </c>
      <c r="D49" t="s">
        <v>369</v>
      </c>
      <c r="E49" t="s">
        <v>237</v>
      </c>
      <c r="F49" t="n">
        <v>18</v>
      </c>
      <c r="G49" t="n">
        <v>14</v>
      </c>
      <c r="H49" t="n">
        <v>13</v>
      </c>
      <c r="I49" t="n">
        <v>15</v>
      </c>
      <c r="J49" t="n">
        <v>15</v>
      </c>
      <c r="K49" t="n">
        <v>18</v>
      </c>
      <c r="L49" t="n">
        <v>14</v>
      </c>
      <c r="M49" t="n">
        <v>19</v>
      </c>
      <c r="N49" t="n">
        <v>17</v>
      </c>
      <c r="O49" t="n">
        <v>19</v>
      </c>
      <c r="P49" t="n">
        <v>19</v>
      </c>
      <c r="Q49" t="n">
        <v>18</v>
      </c>
      <c r="R49" t="n">
        <v>21</v>
      </c>
      <c r="S49" t="n">
        <v>22</v>
      </c>
      <c r="T49" t="n">
        <v>22</v>
      </c>
      <c r="U49" t="n">
        <v>18</v>
      </c>
      <c r="V49" t="n">
        <v>17</v>
      </c>
      <c r="W49" t="n">
        <v>18</v>
      </c>
      <c r="X49" t="n">
        <v>14</v>
      </c>
      <c r="Y49" t="n">
        <v>15</v>
      </c>
      <c r="Z49" t="n">
        <v>19</v>
      </c>
      <c r="AA49" t="n">
        <v>13</v>
      </c>
      <c r="AB49" t="n">
        <v>13</v>
      </c>
      <c r="AC49" t="n">
        <v>13</v>
      </c>
      <c r="AD49" t="n">
        <v>15</v>
      </c>
      <c r="AE49" t="n">
        <v>17</v>
      </c>
      <c r="AF49" t="n">
        <v>30</v>
      </c>
    </row>
    <row r="50">
      <c r="A50" t="s">
        <v>9</v>
      </c>
      <c r="B50" t="s">
        <v>370</v>
      </c>
      <c r="C50" t="s">
        <v>236</v>
      </c>
      <c r="D50" t="s">
        <v>371</v>
      </c>
      <c r="E50" t="s">
        <v>237</v>
      </c>
      <c r="F50" t="n">
        <v>6</v>
      </c>
      <c r="G50" t="n">
        <v>7</v>
      </c>
      <c r="H50" t="n">
        <v>7</v>
      </c>
      <c r="I50" t="n">
        <v>10</v>
      </c>
      <c r="J50" t="n">
        <v>9</v>
      </c>
      <c r="K50" t="n">
        <v>10</v>
      </c>
      <c r="L50" t="n">
        <v>11</v>
      </c>
      <c r="M50" t="n">
        <v>13</v>
      </c>
      <c r="N50" t="n">
        <v>21</v>
      </c>
      <c r="O50" t="n">
        <v>29</v>
      </c>
      <c r="P50" t="n">
        <v>31</v>
      </c>
      <c r="Q50" t="n">
        <v>33</v>
      </c>
      <c r="R50" t="n">
        <v>45</v>
      </c>
      <c r="S50" t="n">
        <v>38</v>
      </c>
      <c r="T50" t="n">
        <v>36</v>
      </c>
      <c r="U50" t="n">
        <v>43</v>
      </c>
      <c r="V50" t="n">
        <v>42</v>
      </c>
      <c r="W50" t="n">
        <v>38</v>
      </c>
      <c r="X50" t="n">
        <v>35</v>
      </c>
      <c r="Y50" t="n">
        <v>30</v>
      </c>
      <c r="Z50" t="n">
        <v>33</v>
      </c>
      <c r="AA50" t="n">
        <v>28</v>
      </c>
      <c r="AB50" t="n">
        <v>23</v>
      </c>
      <c r="AC50" t="n">
        <v>28</v>
      </c>
      <c r="AD50" t="n">
        <v>33</v>
      </c>
      <c r="AE50" t="n">
        <v>27</v>
      </c>
      <c r="AF50" t="n">
        <v>42</v>
      </c>
    </row>
    <row r="51">
      <c r="A51" t="s">
        <v>9</v>
      </c>
      <c r="B51" t="s">
        <v>372</v>
      </c>
      <c r="C51" t="s">
        <v>236</v>
      </c>
      <c r="D51" t="s">
        <v>373</v>
      </c>
      <c r="E51" t="s">
        <v>237</v>
      </c>
      <c r="F51" t="n">
        <v>5</v>
      </c>
      <c r="G51" t="n">
        <v>5</v>
      </c>
      <c r="H51" t="n">
        <v>6</v>
      </c>
      <c r="I51" t="n">
        <v>7</v>
      </c>
      <c r="J51" t="n">
        <v>7</v>
      </c>
      <c r="K51" t="n">
        <v>7</v>
      </c>
      <c r="L51" t="n">
        <v>7</v>
      </c>
      <c r="M51" t="n">
        <v>8</v>
      </c>
      <c r="N51" t="n">
        <v>14</v>
      </c>
      <c r="O51" t="n">
        <v>19</v>
      </c>
      <c r="P51" t="n">
        <v>20</v>
      </c>
      <c r="Q51" t="n">
        <v>20</v>
      </c>
      <c r="R51" t="n">
        <v>28</v>
      </c>
      <c r="S51" t="n">
        <v>24</v>
      </c>
      <c r="T51" t="n">
        <v>25</v>
      </c>
      <c r="U51" t="n">
        <v>29</v>
      </c>
      <c r="V51" t="n">
        <v>28</v>
      </c>
      <c r="W51" t="n">
        <v>24</v>
      </c>
      <c r="X51" t="n">
        <v>24</v>
      </c>
      <c r="Y51" t="n">
        <v>20</v>
      </c>
      <c r="Z51" t="n">
        <v>22</v>
      </c>
      <c r="AA51" t="n">
        <v>18</v>
      </c>
      <c r="AB51" t="n">
        <v>18</v>
      </c>
      <c r="AC51" t="n">
        <v>17</v>
      </c>
      <c r="AD51" t="n">
        <v>20</v>
      </c>
      <c r="AE51" t="n">
        <v>18</v>
      </c>
      <c r="AF51" t="n">
        <v>19</v>
      </c>
    </row>
    <row r="52">
      <c r="A52" t="s">
        <v>9</v>
      </c>
      <c r="B52" t="s">
        <v>374</v>
      </c>
      <c r="C52" t="s">
        <v>236</v>
      </c>
      <c r="D52" t="s">
        <v>375</v>
      </c>
      <c r="E52" t="s">
        <v>237</v>
      </c>
      <c r="F52" t="n">
        <v>1</v>
      </c>
      <c r="G52" t="n">
        <v>2</v>
      </c>
      <c r="H52" t="n">
        <v>1</v>
      </c>
      <c r="I52" t="n">
        <v>3</v>
      </c>
      <c r="J52" t="n">
        <v>2</v>
      </c>
      <c r="K52" t="n">
        <v>3</v>
      </c>
      <c r="L52" t="n">
        <v>4</v>
      </c>
      <c r="M52" t="n">
        <v>5</v>
      </c>
      <c r="N52" t="n">
        <v>7</v>
      </c>
      <c r="O52" t="n">
        <v>10</v>
      </c>
      <c r="P52" t="n">
        <v>11</v>
      </c>
      <c r="Q52" t="n">
        <v>13</v>
      </c>
      <c r="R52" t="n">
        <v>17</v>
      </c>
      <c r="S52" t="n">
        <v>14</v>
      </c>
      <c r="T52" t="n">
        <v>11</v>
      </c>
      <c r="U52" t="n">
        <v>14</v>
      </c>
      <c r="V52" t="n">
        <v>14</v>
      </c>
      <c r="W52" t="n">
        <v>14</v>
      </c>
      <c r="X52" t="n">
        <v>11</v>
      </c>
      <c r="Y52" t="n">
        <v>10</v>
      </c>
      <c r="Z52" t="n">
        <v>11</v>
      </c>
      <c r="AA52" t="n">
        <v>10</v>
      </c>
      <c r="AB52" t="n">
        <v>5</v>
      </c>
      <c r="AC52" t="n">
        <v>11</v>
      </c>
      <c r="AD52" t="n">
        <v>13</v>
      </c>
      <c r="AE52" t="n">
        <v>9</v>
      </c>
      <c r="AF52" t="n">
        <v>23</v>
      </c>
    </row>
    <row r="53">
      <c r="A53" t="s">
        <v>9</v>
      </c>
      <c r="B53" t="s">
        <v>376</v>
      </c>
      <c r="C53" t="s">
        <v>236</v>
      </c>
      <c r="D53" t="s">
        <v>377</v>
      </c>
      <c r="E53" t="s">
        <v>237</v>
      </c>
      <c r="F53" t="n">
        <v>4</v>
      </c>
      <c r="G53" t="n">
        <v>9</v>
      </c>
      <c r="H53" t="n">
        <v>10</v>
      </c>
      <c r="I53" t="n">
        <v>12</v>
      </c>
      <c r="J53" t="n">
        <v>13</v>
      </c>
      <c r="K53" t="n">
        <v>13</v>
      </c>
      <c r="L53" t="n">
        <v>13</v>
      </c>
      <c r="M53" t="n">
        <v>13</v>
      </c>
      <c r="N53" t="n">
        <v>21</v>
      </c>
      <c r="O53" t="n">
        <v>25</v>
      </c>
      <c r="P53" t="n">
        <v>28</v>
      </c>
      <c r="Q53" t="n">
        <v>28</v>
      </c>
      <c r="R53" t="n">
        <v>38</v>
      </c>
      <c r="S53" t="n">
        <v>28</v>
      </c>
      <c r="T53" t="n">
        <v>29</v>
      </c>
      <c r="U53" t="n">
        <v>19</v>
      </c>
      <c r="V53" t="n">
        <v>27</v>
      </c>
      <c r="W53" t="n">
        <v>26</v>
      </c>
      <c r="X53" t="n">
        <v>24</v>
      </c>
      <c r="Y53" t="n">
        <v>20</v>
      </c>
      <c r="Z53" t="n">
        <v>19</v>
      </c>
      <c r="AA53" t="n">
        <v>22</v>
      </c>
      <c r="AB53" t="n">
        <v>20</v>
      </c>
      <c r="AC53" t="n">
        <v>18</v>
      </c>
      <c r="AD53" t="n">
        <v>16</v>
      </c>
      <c r="AE53" t="n">
        <v>16</v>
      </c>
      <c r="AF53" t="n">
        <v>17</v>
      </c>
    </row>
    <row r="54">
      <c r="A54" t="s">
        <v>9</v>
      </c>
      <c r="B54" t="s">
        <v>378</v>
      </c>
      <c r="C54" t="s">
        <v>236</v>
      </c>
      <c r="D54" t="s">
        <v>379</v>
      </c>
      <c r="E54" t="s">
        <v>237</v>
      </c>
      <c r="F54" t="n">
        <v>13</v>
      </c>
      <c r="G54" t="n">
        <v>17</v>
      </c>
      <c r="H54" t="n">
        <v>18</v>
      </c>
      <c r="I54" t="n">
        <v>23</v>
      </c>
      <c r="J54" t="n">
        <v>25</v>
      </c>
      <c r="K54" t="n">
        <v>25</v>
      </c>
      <c r="L54" t="n">
        <v>26</v>
      </c>
      <c r="M54" t="n">
        <v>28</v>
      </c>
      <c r="N54" t="n">
        <v>34</v>
      </c>
      <c r="O54" t="n">
        <v>42</v>
      </c>
      <c r="P54" t="n">
        <v>47</v>
      </c>
      <c r="Q54" t="n">
        <v>42</v>
      </c>
      <c r="R54" t="n">
        <v>54</v>
      </c>
      <c r="S54" t="n">
        <v>43</v>
      </c>
      <c r="T54" t="n">
        <v>45</v>
      </c>
      <c r="U54" t="n">
        <v>35</v>
      </c>
      <c r="V54" t="n">
        <v>37</v>
      </c>
      <c r="W54" t="n">
        <v>35</v>
      </c>
      <c r="X54" t="n">
        <v>27</v>
      </c>
      <c r="Y54" t="n">
        <v>23</v>
      </c>
      <c r="Z54" t="n">
        <v>25</v>
      </c>
      <c r="AA54" t="n">
        <v>27</v>
      </c>
      <c r="AB54" t="n">
        <v>24</v>
      </c>
      <c r="AC54" t="n">
        <v>25</v>
      </c>
      <c r="AD54" t="n">
        <v>29</v>
      </c>
      <c r="AE54" t="n">
        <v>27</v>
      </c>
      <c r="AF54" t="n">
        <v>30</v>
      </c>
    </row>
    <row r="55">
      <c r="A55" t="s">
        <v>9</v>
      </c>
      <c r="B55" t="s">
        <v>380</v>
      </c>
      <c r="C55" t="s">
        <v>236</v>
      </c>
      <c r="D55" t="s">
        <v>381</v>
      </c>
      <c r="E55" t="s">
        <v>237</v>
      </c>
      <c r="F55" t="n">
        <v>9</v>
      </c>
      <c r="G55" t="n">
        <v>8</v>
      </c>
      <c r="H55" t="n">
        <v>8</v>
      </c>
      <c r="I55" t="n">
        <v>11</v>
      </c>
      <c r="J55" t="n">
        <v>12</v>
      </c>
      <c r="K55" t="n">
        <v>12</v>
      </c>
      <c r="L55" t="n">
        <v>13</v>
      </c>
      <c r="M55" t="n">
        <v>15</v>
      </c>
      <c r="N55" t="n">
        <v>13</v>
      </c>
      <c r="O55" t="n">
        <v>17</v>
      </c>
      <c r="P55" t="n">
        <v>19</v>
      </c>
      <c r="Q55" t="n">
        <v>14</v>
      </c>
      <c r="R55" t="n">
        <v>16</v>
      </c>
      <c r="S55" t="n">
        <v>15</v>
      </c>
      <c r="T55" t="n">
        <v>16</v>
      </c>
      <c r="U55" t="n">
        <v>16</v>
      </c>
      <c r="V55" t="n">
        <v>10</v>
      </c>
      <c r="W55" t="n">
        <v>9</v>
      </c>
      <c r="X55" t="n">
        <v>3</v>
      </c>
      <c r="Y55" t="n">
        <v>3</v>
      </c>
      <c r="Z55" t="n">
        <v>6</v>
      </c>
      <c r="AA55" t="n">
        <v>5</v>
      </c>
      <c r="AB55" t="n">
        <v>4</v>
      </c>
      <c r="AC55" t="n">
        <v>7</v>
      </c>
      <c r="AD55" t="n">
        <v>13</v>
      </c>
      <c r="AE55" t="n">
        <v>11</v>
      </c>
      <c r="AF55" t="n">
        <v>13</v>
      </c>
    </row>
    <row r="56">
      <c r="A56" t="s">
        <v>9</v>
      </c>
      <c r="B56" t="s">
        <v>382</v>
      </c>
      <c r="C56" t="s">
        <v>236</v>
      </c>
      <c r="D56" t="s">
        <v>383</v>
      </c>
      <c r="E56" t="s">
        <v>237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9</v>
      </c>
      <c r="B57" t="s">
        <v>384</v>
      </c>
      <c r="C57" t="s">
        <v>236</v>
      </c>
      <c r="D57" t="s">
        <v>385</v>
      </c>
      <c r="E57" t="s">
        <v>237</v>
      </c>
      <c r="F57" t="n">
        <v>1162</v>
      </c>
      <c r="G57" t="n">
        <v>1181</v>
      </c>
      <c r="H57" t="n">
        <v>1555</v>
      </c>
      <c r="I57" t="n">
        <v>1737</v>
      </c>
      <c r="J57" t="n">
        <v>1838</v>
      </c>
      <c r="K57" t="n">
        <v>1767</v>
      </c>
      <c r="L57" t="n">
        <v>2006</v>
      </c>
      <c r="M57" t="n">
        <v>1732</v>
      </c>
      <c r="N57" t="n">
        <v>1687</v>
      </c>
      <c r="O57" t="n">
        <v>2269</v>
      </c>
      <c r="P57" t="n">
        <v>2225</v>
      </c>
      <c r="Q57" t="n">
        <v>2440</v>
      </c>
      <c r="R57" t="n">
        <v>2488</v>
      </c>
      <c r="S57" t="n">
        <v>2291</v>
      </c>
      <c r="T57" t="n">
        <v>2253</v>
      </c>
      <c r="U57" t="n">
        <v>2177</v>
      </c>
      <c r="V57" t="n">
        <v>2146</v>
      </c>
      <c r="W57" t="n">
        <v>2316</v>
      </c>
      <c r="X57" t="n">
        <v>2130</v>
      </c>
      <c r="Y57" t="n">
        <v>1782</v>
      </c>
      <c r="Z57" t="n">
        <v>2091</v>
      </c>
      <c r="AA57" t="n">
        <v>2523</v>
      </c>
      <c r="AB57" t="n">
        <v>2435</v>
      </c>
      <c r="AC57" t="n">
        <v>2384</v>
      </c>
      <c r="AD57" t="n">
        <v>2584</v>
      </c>
      <c r="AE57" t="n">
        <v>2290</v>
      </c>
      <c r="AF57" t="n">
        <v>2249</v>
      </c>
    </row>
    <row r="58">
      <c r="A58" t="s">
        <v>9</v>
      </c>
      <c r="B58" t="s">
        <v>386</v>
      </c>
      <c r="C58" t="s">
        <v>236</v>
      </c>
      <c r="D58" t="s">
        <v>387</v>
      </c>
      <c r="E58" t="s">
        <v>237</v>
      </c>
      <c r="F58" t="n">
        <v>1162</v>
      </c>
      <c r="G58" t="n">
        <v>1181</v>
      </c>
      <c r="H58" t="n">
        <v>1555</v>
      </c>
      <c r="I58" t="n">
        <v>1737</v>
      </c>
      <c r="J58" t="n">
        <v>1838</v>
      </c>
      <c r="K58" t="n">
        <v>1767</v>
      </c>
      <c r="L58" t="n">
        <v>2006</v>
      </c>
      <c r="M58" t="n">
        <v>1732</v>
      </c>
      <c r="N58" t="n">
        <v>1687</v>
      </c>
      <c r="O58" t="n">
        <v>2269</v>
      </c>
      <c r="P58" t="n">
        <v>2225</v>
      </c>
      <c r="Q58" t="n">
        <v>2440</v>
      </c>
      <c r="R58" t="n">
        <v>2488</v>
      </c>
      <c r="S58" t="n">
        <v>2291</v>
      </c>
      <c r="T58" t="n">
        <v>2253</v>
      </c>
      <c r="U58" t="n">
        <v>2177</v>
      </c>
      <c r="V58" t="n">
        <v>2146</v>
      </c>
      <c r="W58" t="n">
        <v>2316</v>
      </c>
      <c r="X58" t="n">
        <v>2130</v>
      </c>
      <c r="Y58" t="n">
        <v>1782</v>
      </c>
      <c r="Z58" t="n">
        <v>2091</v>
      </c>
      <c r="AA58" t="n">
        <v>2523</v>
      </c>
      <c r="AB58" t="n">
        <v>2435</v>
      </c>
      <c r="AC58" t="n">
        <v>2384</v>
      </c>
      <c r="AD58" t="n">
        <v>2584</v>
      </c>
      <c r="AE58" t="n">
        <v>2290</v>
      </c>
      <c r="AF58" t="n">
        <v>2249</v>
      </c>
    </row>
    <row r="59">
      <c r="A59" t="s">
        <v>9</v>
      </c>
      <c r="B59" t="s">
        <v>388</v>
      </c>
      <c r="C59" t="s">
        <v>236</v>
      </c>
      <c r="D59" t="s">
        <v>389</v>
      </c>
      <c r="E59" t="s">
        <v>237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11</v>
      </c>
      <c r="B2" t="s">
        <v>197</v>
      </c>
      <c r="C2" t="s">
        <v>236</v>
      </c>
      <c r="D2" t="s">
        <v>199</v>
      </c>
      <c r="E2" t="s">
        <v>237</v>
      </c>
      <c r="F2" t="n">
        <v>263</v>
      </c>
      <c r="G2" t="n">
        <v>229</v>
      </c>
      <c r="H2" t="n">
        <v>310</v>
      </c>
      <c r="I2" t="n">
        <v>309</v>
      </c>
      <c r="J2" t="n">
        <v>325</v>
      </c>
      <c r="K2" t="n">
        <v>303</v>
      </c>
      <c r="L2" t="n">
        <v>320</v>
      </c>
      <c r="M2" t="n">
        <v>350</v>
      </c>
      <c r="N2" t="n">
        <v>365</v>
      </c>
      <c r="O2" t="n">
        <v>361</v>
      </c>
      <c r="P2" t="n">
        <v>348</v>
      </c>
      <c r="Q2" t="n">
        <v>381</v>
      </c>
      <c r="R2" t="n">
        <v>437</v>
      </c>
      <c r="S2" t="n">
        <v>379</v>
      </c>
      <c r="T2" t="n">
        <v>376</v>
      </c>
      <c r="U2" t="n">
        <v>345</v>
      </c>
      <c r="V2" t="n">
        <v>394</v>
      </c>
      <c r="W2" t="n">
        <v>362</v>
      </c>
      <c r="X2" t="n">
        <v>375</v>
      </c>
      <c r="Y2" t="n">
        <v>345</v>
      </c>
      <c r="Z2" t="n">
        <v>302</v>
      </c>
      <c r="AA2" t="n">
        <v>220</v>
      </c>
      <c r="AB2" t="n">
        <v>258</v>
      </c>
      <c r="AC2" t="n">
        <v>412</v>
      </c>
      <c r="AD2" t="n">
        <v>422</v>
      </c>
      <c r="AE2" t="n">
        <v>385</v>
      </c>
      <c r="AF2" t="n">
        <v>397</v>
      </c>
    </row>
    <row r="3">
      <c r="A3" t="s">
        <v>11</v>
      </c>
      <c r="B3" t="s">
        <v>276</v>
      </c>
      <c r="C3" t="s">
        <v>236</v>
      </c>
      <c r="D3" t="s">
        <v>277</v>
      </c>
      <c r="E3" t="s">
        <v>237</v>
      </c>
      <c r="F3" t="n">
        <v>37</v>
      </c>
      <c r="G3" t="n">
        <v>38</v>
      </c>
      <c r="H3" t="n">
        <v>22</v>
      </c>
      <c r="I3" t="n">
        <v>40</v>
      </c>
      <c r="J3" t="n">
        <v>43</v>
      </c>
      <c r="K3" t="n">
        <v>32</v>
      </c>
      <c r="L3" t="n">
        <v>57</v>
      </c>
      <c r="M3" t="n">
        <v>53</v>
      </c>
      <c r="N3" t="n">
        <v>87</v>
      </c>
      <c r="O3" t="n">
        <v>51</v>
      </c>
      <c r="P3" t="n">
        <v>57</v>
      </c>
      <c r="Q3" t="n">
        <v>74</v>
      </c>
      <c r="R3" t="n">
        <v>69</v>
      </c>
      <c r="S3" t="n">
        <v>366</v>
      </c>
      <c r="T3" t="n">
        <v>147</v>
      </c>
      <c r="U3" t="n">
        <v>106</v>
      </c>
      <c r="V3" t="n">
        <v>182</v>
      </c>
      <c r="W3" t="n">
        <v>163</v>
      </c>
      <c r="X3" t="n">
        <v>153</v>
      </c>
      <c r="Y3" t="n">
        <v>133</v>
      </c>
      <c r="Z3" t="n">
        <v>132</v>
      </c>
      <c r="AA3" t="n">
        <v>102</v>
      </c>
      <c r="AB3" t="n">
        <v>103</v>
      </c>
      <c r="AC3" t="n">
        <v>120</v>
      </c>
      <c r="AD3" t="n">
        <v>91</v>
      </c>
      <c r="AE3" t="n">
        <v>215</v>
      </c>
      <c r="AF3" t="n">
        <v>273</v>
      </c>
    </row>
    <row r="4">
      <c r="A4" t="s">
        <v>11</v>
      </c>
      <c r="B4" t="s">
        <v>278</v>
      </c>
      <c r="C4" t="s">
        <v>236</v>
      </c>
      <c r="D4" t="s">
        <v>279</v>
      </c>
      <c r="E4" t="s">
        <v>237</v>
      </c>
      <c r="F4" t="n">
        <v>2034</v>
      </c>
      <c r="G4" t="n">
        <v>2544</v>
      </c>
      <c r="H4" t="n">
        <v>2599</v>
      </c>
      <c r="I4" t="n">
        <v>2734</v>
      </c>
      <c r="J4" t="n">
        <v>2343</v>
      </c>
      <c r="K4" t="n">
        <v>2438</v>
      </c>
      <c r="L4" t="n">
        <v>3170</v>
      </c>
      <c r="M4" t="n">
        <v>2456</v>
      </c>
      <c r="N4" t="n">
        <v>2334</v>
      </c>
      <c r="O4" t="n">
        <v>2151</v>
      </c>
      <c r="P4" t="n">
        <v>2180</v>
      </c>
      <c r="Q4" t="n">
        <v>1902</v>
      </c>
      <c r="R4" t="n">
        <v>2553</v>
      </c>
      <c r="S4" t="n">
        <v>2238</v>
      </c>
      <c r="T4" t="n">
        <v>1718</v>
      </c>
      <c r="U4" t="n">
        <v>1359</v>
      </c>
      <c r="V4" t="n">
        <v>1458</v>
      </c>
      <c r="W4" t="n">
        <v>1745</v>
      </c>
      <c r="X4" t="n">
        <v>1574</v>
      </c>
      <c r="Y4" t="n">
        <v>1463</v>
      </c>
      <c r="Z4" t="n">
        <v>1835</v>
      </c>
      <c r="AA4" t="n">
        <v>2088</v>
      </c>
      <c r="AB4" t="n">
        <v>2943</v>
      </c>
      <c r="AC4" t="n">
        <v>2248</v>
      </c>
      <c r="AD4" t="n">
        <v>2143</v>
      </c>
      <c r="AE4" t="n">
        <v>1950</v>
      </c>
      <c r="AF4" t="n">
        <v>2829</v>
      </c>
    </row>
    <row r="5">
      <c r="A5" t="s">
        <v>11</v>
      </c>
      <c r="B5" t="s">
        <v>280</v>
      </c>
      <c r="C5" t="s">
        <v>236</v>
      </c>
      <c r="D5" t="s">
        <v>281</v>
      </c>
      <c r="E5" t="s">
        <v>237</v>
      </c>
      <c r="F5" t="n">
        <v>179</v>
      </c>
      <c r="G5" t="n">
        <v>192</v>
      </c>
      <c r="H5" t="n">
        <v>183</v>
      </c>
      <c r="I5" t="n">
        <v>219</v>
      </c>
      <c r="J5" t="n">
        <v>201</v>
      </c>
      <c r="K5" t="n">
        <v>188</v>
      </c>
      <c r="L5" t="n">
        <v>233</v>
      </c>
      <c r="M5" t="n">
        <v>256</v>
      </c>
      <c r="N5" t="n">
        <v>263</v>
      </c>
      <c r="O5" t="n">
        <v>196</v>
      </c>
      <c r="P5" t="n">
        <v>208</v>
      </c>
      <c r="Q5" t="n">
        <v>185</v>
      </c>
      <c r="R5" t="n">
        <v>232</v>
      </c>
      <c r="S5" t="n">
        <v>243</v>
      </c>
      <c r="T5" t="n">
        <v>220</v>
      </c>
      <c r="U5" t="n">
        <v>168</v>
      </c>
      <c r="V5" t="n">
        <v>164</v>
      </c>
      <c r="W5" t="n">
        <v>165</v>
      </c>
      <c r="X5" t="n">
        <v>203</v>
      </c>
      <c r="Y5" t="n">
        <v>216</v>
      </c>
      <c r="Z5" t="n">
        <v>209</v>
      </c>
      <c r="AA5" t="n">
        <v>200</v>
      </c>
      <c r="AB5" t="n">
        <v>350</v>
      </c>
      <c r="AC5" t="n">
        <v>243</v>
      </c>
      <c r="AD5" t="n">
        <v>208</v>
      </c>
      <c r="AE5" t="n">
        <v>213</v>
      </c>
      <c r="AF5" t="n">
        <v>227</v>
      </c>
    </row>
    <row r="6">
      <c r="A6" t="s">
        <v>11</v>
      </c>
      <c r="B6" t="s">
        <v>282</v>
      </c>
      <c r="C6" t="s">
        <v>236</v>
      </c>
      <c r="D6" t="s">
        <v>283</v>
      </c>
      <c r="E6" t="s">
        <v>237</v>
      </c>
      <c r="F6" t="n">
        <v>35</v>
      </c>
      <c r="G6" t="n">
        <v>27</v>
      </c>
      <c r="H6" t="n">
        <v>38</v>
      </c>
      <c r="I6" t="n">
        <v>35</v>
      </c>
      <c r="J6" t="n">
        <v>25</v>
      </c>
      <c r="K6" t="n">
        <v>29</v>
      </c>
      <c r="L6" t="n">
        <v>37</v>
      </c>
      <c r="M6" t="n">
        <v>36</v>
      </c>
      <c r="N6" t="n">
        <v>26</v>
      </c>
      <c r="O6" t="n">
        <v>24</v>
      </c>
      <c r="P6" t="n">
        <v>28</v>
      </c>
      <c r="Q6" t="n">
        <v>24</v>
      </c>
      <c r="R6" t="n">
        <v>30</v>
      </c>
      <c r="S6" t="n">
        <v>16</v>
      </c>
      <c r="T6" t="n">
        <v>11</v>
      </c>
      <c r="U6" t="n">
        <v>13</v>
      </c>
      <c r="V6" t="n">
        <v>15</v>
      </c>
      <c r="W6" t="n">
        <v>11</v>
      </c>
      <c r="X6" t="n">
        <v>7</v>
      </c>
      <c r="Y6" t="n">
        <v>11</v>
      </c>
      <c r="Z6" t="n">
        <v>16</v>
      </c>
      <c r="AA6" t="n">
        <v>34</v>
      </c>
      <c r="AB6" t="n">
        <v>23</v>
      </c>
      <c r="AC6" t="n">
        <v>21</v>
      </c>
      <c r="AD6" t="n">
        <v>31</v>
      </c>
      <c r="AE6" t="n">
        <v>37</v>
      </c>
      <c r="AF6" t="n">
        <v>24</v>
      </c>
    </row>
    <row r="7">
      <c r="A7" t="s">
        <v>11</v>
      </c>
      <c r="B7" t="s">
        <v>284</v>
      </c>
      <c r="C7" t="s">
        <v>236</v>
      </c>
      <c r="D7" t="s">
        <v>285</v>
      </c>
      <c r="E7" t="s">
        <v>237</v>
      </c>
      <c r="F7" t="n">
        <v>632</v>
      </c>
      <c r="G7" t="n">
        <v>1257</v>
      </c>
      <c r="H7" t="n">
        <v>904</v>
      </c>
      <c r="I7" t="n">
        <v>1051</v>
      </c>
      <c r="J7" t="n">
        <v>774</v>
      </c>
      <c r="K7" t="n">
        <v>758</v>
      </c>
      <c r="L7" t="n">
        <v>1369</v>
      </c>
      <c r="M7" t="n">
        <v>654</v>
      </c>
      <c r="N7" t="n">
        <v>848</v>
      </c>
      <c r="O7" t="n">
        <v>610</v>
      </c>
      <c r="P7" t="n">
        <v>642</v>
      </c>
      <c r="Q7" t="n">
        <v>588</v>
      </c>
      <c r="R7" t="n">
        <v>550</v>
      </c>
      <c r="S7" t="n">
        <v>731</v>
      </c>
      <c r="T7" t="n">
        <v>251</v>
      </c>
      <c r="U7" t="n">
        <v>285</v>
      </c>
      <c r="V7" t="n">
        <v>354</v>
      </c>
      <c r="W7" t="n">
        <v>376</v>
      </c>
      <c r="X7" t="n">
        <v>458</v>
      </c>
      <c r="Y7" t="n">
        <v>326</v>
      </c>
      <c r="Z7" t="n">
        <v>405</v>
      </c>
      <c r="AA7" t="n">
        <v>738</v>
      </c>
      <c r="AB7" t="n">
        <v>922</v>
      </c>
      <c r="AC7" t="n">
        <v>501</v>
      </c>
      <c r="AD7" t="n">
        <v>530</v>
      </c>
      <c r="AE7" t="n">
        <v>458</v>
      </c>
      <c r="AF7" t="n">
        <v>834</v>
      </c>
    </row>
    <row r="8">
      <c r="A8" t="s">
        <v>11</v>
      </c>
      <c r="B8" t="s">
        <v>286</v>
      </c>
      <c r="C8" t="s">
        <v>236</v>
      </c>
      <c r="D8" t="s">
        <v>287</v>
      </c>
      <c r="E8" t="s">
        <v>237</v>
      </c>
      <c r="F8" t="n">
        <v>26</v>
      </c>
      <c r="G8" t="n">
        <v>26</v>
      </c>
      <c r="H8" t="n">
        <v>107</v>
      </c>
      <c r="I8" t="n">
        <v>19</v>
      </c>
      <c r="J8" t="n">
        <v>45</v>
      </c>
      <c r="K8" t="n">
        <v>24</v>
      </c>
      <c r="L8" t="n">
        <v>86</v>
      </c>
      <c r="M8" t="n">
        <v>14</v>
      </c>
      <c r="N8" t="n">
        <v>53</v>
      </c>
      <c r="O8" t="n">
        <v>24</v>
      </c>
      <c r="P8" t="n">
        <v>134</v>
      </c>
      <c r="Q8" t="n">
        <v>169</v>
      </c>
      <c r="R8" t="n">
        <v>569</v>
      </c>
      <c r="S8" t="n">
        <v>36</v>
      </c>
      <c r="T8" t="n">
        <v>28</v>
      </c>
      <c r="U8" t="n">
        <v>80</v>
      </c>
      <c r="V8" t="n">
        <v>30</v>
      </c>
      <c r="W8" t="n">
        <v>69</v>
      </c>
      <c r="X8" t="n">
        <v>55</v>
      </c>
      <c r="Y8" t="n">
        <v>61</v>
      </c>
      <c r="Z8" t="n">
        <v>194</v>
      </c>
      <c r="AA8" t="n">
        <v>65</v>
      </c>
      <c r="AB8" t="n">
        <v>469</v>
      </c>
      <c r="AC8" t="n">
        <v>134</v>
      </c>
      <c r="AD8" t="n">
        <v>49</v>
      </c>
      <c r="AE8" t="n">
        <v>60</v>
      </c>
      <c r="AF8" t="n">
        <v>368</v>
      </c>
    </row>
    <row r="9">
      <c r="A9" t="s">
        <v>11</v>
      </c>
      <c r="B9" t="s">
        <v>288</v>
      </c>
      <c r="C9" t="s">
        <v>236</v>
      </c>
      <c r="D9" t="s">
        <v>289</v>
      </c>
      <c r="E9" t="s">
        <v>237</v>
      </c>
      <c r="F9" t="n">
        <v>219</v>
      </c>
      <c r="G9" t="n">
        <v>120</v>
      </c>
      <c r="H9" t="n">
        <v>208</v>
      </c>
      <c r="I9" t="n">
        <v>172</v>
      </c>
      <c r="J9" t="n">
        <v>180</v>
      </c>
      <c r="K9" t="n">
        <v>126</v>
      </c>
      <c r="L9" t="n">
        <v>155</v>
      </c>
      <c r="M9" t="n">
        <v>237</v>
      </c>
      <c r="N9" t="n">
        <v>149</v>
      </c>
      <c r="O9" t="n">
        <v>154</v>
      </c>
      <c r="P9" t="n">
        <v>134</v>
      </c>
      <c r="Q9" t="n">
        <v>123</v>
      </c>
      <c r="R9" t="n">
        <v>237</v>
      </c>
      <c r="S9" t="n">
        <v>188</v>
      </c>
      <c r="T9" t="n">
        <v>188</v>
      </c>
      <c r="U9" t="n">
        <v>72</v>
      </c>
      <c r="V9" t="n">
        <v>118</v>
      </c>
      <c r="W9" t="n">
        <v>141</v>
      </c>
      <c r="X9" t="n">
        <v>179</v>
      </c>
      <c r="Y9" t="n">
        <v>120</v>
      </c>
      <c r="Z9" t="n">
        <v>152</v>
      </c>
      <c r="AA9" t="n">
        <v>176</v>
      </c>
      <c r="AB9" t="n">
        <v>239</v>
      </c>
      <c r="AC9" t="n">
        <v>201</v>
      </c>
      <c r="AD9" t="n">
        <v>172</v>
      </c>
      <c r="AE9" t="n">
        <v>160</v>
      </c>
      <c r="AF9" t="n">
        <v>273</v>
      </c>
    </row>
    <row r="10">
      <c r="A10" t="s">
        <v>11</v>
      </c>
      <c r="B10" t="s">
        <v>290</v>
      </c>
      <c r="C10" t="s">
        <v>236</v>
      </c>
      <c r="D10" t="s">
        <v>291</v>
      </c>
      <c r="E10" t="s">
        <v>237</v>
      </c>
      <c r="F10" t="n">
        <v>240</v>
      </c>
      <c r="G10" t="n">
        <v>136</v>
      </c>
      <c r="H10" t="n">
        <v>225</v>
      </c>
      <c r="I10" t="n">
        <v>196</v>
      </c>
      <c r="J10" t="n">
        <v>198</v>
      </c>
      <c r="K10" t="n">
        <v>149</v>
      </c>
      <c r="L10" t="n">
        <v>165</v>
      </c>
      <c r="M10" t="n">
        <v>275</v>
      </c>
      <c r="N10" t="n">
        <v>167</v>
      </c>
      <c r="O10" t="n">
        <v>169</v>
      </c>
      <c r="P10" t="n">
        <v>148</v>
      </c>
      <c r="Q10" t="n">
        <v>136</v>
      </c>
      <c r="R10" t="n">
        <v>255</v>
      </c>
      <c r="S10" t="n">
        <v>203</v>
      </c>
      <c r="T10" t="n">
        <v>219</v>
      </c>
      <c r="U10" t="n">
        <v>96</v>
      </c>
      <c r="V10" t="n">
        <v>137</v>
      </c>
      <c r="W10" t="n">
        <v>167</v>
      </c>
      <c r="X10" t="n">
        <v>216</v>
      </c>
      <c r="Y10" t="n">
        <v>147</v>
      </c>
      <c r="Z10" t="n">
        <v>175</v>
      </c>
      <c r="AA10" t="n">
        <v>197</v>
      </c>
      <c r="AB10" t="n">
        <v>257</v>
      </c>
      <c r="AC10" t="n">
        <v>228</v>
      </c>
      <c r="AD10" t="n">
        <v>199</v>
      </c>
      <c r="AE10" t="n">
        <v>175</v>
      </c>
      <c r="AF10" t="n">
        <v>298</v>
      </c>
    </row>
    <row r="11">
      <c r="A11" t="s">
        <v>11</v>
      </c>
      <c r="B11" t="s">
        <v>292</v>
      </c>
      <c r="C11" t="s">
        <v>236</v>
      </c>
      <c r="D11" t="s">
        <v>293</v>
      </c>
      <c r="E11" t="s">
        <v>237</v>
      </c>
      <c r="F11" t="n">
        <v>21</v>
      </c>
      <c r="G11" t="n">
        <v>16</v>
      </c>
      <c r="H11" t="n">
        <v>17</v>
      </c>
      <c r="I11" t="n">
        <v>24</v>
      </c>
      <c r="J11" t="n">
        <v>18</v>
      </c>
      <c r="K11" t="n">
        <v>23</v>
      </c>
      <c r="L11" t="n">
        <v>10</v>
      </c>
      <c r="M11" t="n">
        <v>38</v>
      </c>
      <c r="N11" t="n">
        <v>18</v>
      </c>
      <c r="O11" t="n">
        <v>15</v>
      </c>
      <c r="P11" t="n">
        <v>14</v>
      </c>
      <c r="Q11" t="n">
        <v>13</v>
      </c>
      <c r="R11" t="n">
        <v>18</v>
      </c>
      <c r="S11" t="n">
        <v>15</v>
      </c>
      <c r="T11" t="n">
        <v>31</v>
      </c>
      <c r="U11" t="n">
        <v>24</v>
      </c>
      <c r="V11" t="n">
        <v>19</v>
      </c>
      <c r="W11" t="n">
        <v>26</v>
      </c>
      <c r="X11" t="n">
        <v>37</v>
      </c>
      <c r="Y11" t="n">
        <v>27</v>
      </c>
      <c r="Z11" t="n">
        <v>23</v>
      </c>
      <c r="AA11" t="n">
        <v>21</v>
      </c>
      <c r="AB11" t="n">
        <v>18</v>
      </c>
      <c r="AC11" t="n">
        <v>27</v>
      </c>
      <c r="AD11" t="n">
        <v>27</v>
      </c>
      <c r="AE11" t="n">
        <v>15</v>
      </c>
      <c r="AF11" t="n">
        <v>25</v>
      </c>
    </row>
    <row r="12">
      <c r="A12" t="s">
        <v>11</v>
      </c>
      <c r="B12" t="s">
        <v>294</v>
      </c>
      <c r="C12" t="s">
        <v>236</v>
      </c>
      <c r="D12" t="s">
        <v>295</v>
      </c>
      <c r="E12" t="s">
        <v>237</v>
      </c>
      <c r="F12" t="n">
        <v>111</v>
      </c>
      <c r="G12" t="n">
        <v>111</v>
      </c>
      <c r="H12" t="n">
        <v>134</v>
      </c>
      <c r="I12" t="n">
        <v>190</v>
      </c>
      <c r="J12" t="n">
        <v>179</v>
      </c>
      <c r="K12" t="n">
        <v>198</v>
      </c>
      <c r="L12" t="n">
        <v>176</v>
      </c>
      <c r="M12" t="n">
        <v>167</v>
      </c>
      <c r="N12" t="n">
        <v>174</v>
      </c>
      <c r="O12" t="n">
        <v>154</v>
      </c>
      <c r="P12" t="n">
        <v>180</v>
      </c>
      <c r="Q12" t="n">
        <v>153</v>
      </c>
      <c r="R12" t="n">
        <v>163</v>
      </c>
      <c r="S12" t="n">
        <v>166</v>
      </c>
      <c r="T12" t="n">
        <v>149</v>
      </c>
      <c r="U12" t="n">
        <v>93</v>
      </c>
      <c r="V12" t="n">
        <v>126</v>
      </c>
      <c r="W12" t="n">
        <v>98</v>
      </c>
      <c r="X12" t="n">
        <v>108</v>
      </c>
      <c r="Y12" t="n">
        <v>116</v>
      </c>
      <c r="Z12" t="n">
        <v>168</v>
      </c>
      <c r="AA12" t="n">
        <v>192</v>
      </c>
      <c r="AB12" t="n">
        <v>191</v>
      </c>
      <c r="AC12" t="n">
        <v>238</v>
      </c>
      <c r="AD12" t="n">
        <v>231</v>
      </c>
      <c r="AE12" t="n">
        <v>247</v>
      </c>
      <c r="AF12" t="n">
        <v>226</v>
      </c>
    </row>
    <row r="13">
      <c r="A13" t="s">
        <v>11</v>
      </c>
      <c r="B13" t="s">
        <v>296</v>
      </c>
      <c r="C13" t="s">
        <v>236</v>
      </c>
      <c r="D13" t="s">
        <v>297</v>
      </c>
      <c r="E13" t="s">
        <v>237</v>
      </c>
      <c r="F13" t="n">
        <v>328</v>
      </c>
      <c r="G13" t="n">
        <v>327</v>
      </c>
      <c r="H13" t="n">
        <v>460</v>
      </c>
      <c r="I13" t="n">
        <v>407</v>
      </c>
      <c r="J13" t="n">
        <v>261</v>
      </c>
      <c r="K13" t="n">
        <v>388</v>
      </c>
      <c r="L13" t="n">
        <v>354</v>
      </c>
      <c r="M13" t="n">
        <v>525</v>
      </c>
      <c r="N13" t="n">
        <v>316</v>
      </c>
      <c r="O13" t="n">
        <v>557</v>
      </c>
      <c r="P13" t="n">
        <v>292</v>
      </c>
      <c r="Q13" t="n">
        <v>235</v>
      </c>
      <c r="R13" t="n">
        <v>325</v>
      </c>
      <c r="S13" t="n">
        <v>408</v>
      </c>
      <c r="T13" t="n">
        <v>425</v>
      </c>
      <c r="U13" t="n">
        <v>313</v>
      </c>
      <c r="V13" t="n">
        <v>253</v>
      </c>
      <c r="W13" t="n">
        <v>527</v>
      </c>
      <c r="X13" t="n">
        <v>213</v>
      </c>
      <c r="Y13" t="n">
        <v>268</v>
      </c>
      <c r="Z13" t="n">
        <v>312</v>
      </c>
      <c r="AA13" t="n">
        <v>269</v>
      </c>
      <c r="AB13" t="n">
        <v>299</v>
      </c>
      <c r="AC13" t="n">
        <v>374</v>
      </c>
      <c r="AD13" t="n">
        <v>425</v>
      </c>
      <c r="AE13" t="n">
        <v>315</v>
      </c>
      <c r="AF13" t="n">
        <v>287</v>
      </c>
    </row>
    <row r="14">
      <c r="A14" t="s">
        <v>11</v>
      </c>
      <c r="B14" t="s">
        <v>298</v>
      </c>
      <c r="C14" t="s">
        <v>236</v>
      </c>
      <c r="D14" t="s">
        <v>299</v>
      </c>
      <c r="E14" t="s">
        <v>237</v>
      </c>
      <c r="F14" t="n">
        <v>219</v>
      </c>
      <c r="G14" t="n">
        <v>143</v>
      </c>
      <c r="H14" t="n">
        <v>209</v>
      </c>
      <c r="I14" t="n">
        <v>267</v>
      </c>
      <c r="J14" t="n">
        <v>356</v>
      </c>
      <c r="K14" t="n">
        <v>400</v>
      </c>
      <c r="L14" t="n">
        <v>421</v>
      </c>
      <c r="M14" t="n">
        <v>238</v>
      </c>
      <c r="N14" t="n">
        <v>193</v>
      </c>
      <c r="O14" t="n">
        <v>202</v>
      </c>
      <c r="P14" t="n">
        <v>278</v>
      </c>
      <c r="Q14" t="n">
        <v>147</v>
      </c>
      <c r="R14" t="n">
        <v>141</v>
      </c>
      <c r="S14" t="n">
        <v>68</v>
      </c>
      <c r="T14" t="n">
        <v>75</v>
      </c>
      <c r="U14" t="n">
        <v>102</v>
      </c>
      <c r="V14" t="n">
        <v>99</v>
      </c>
      <c r="W14" t="n">
        <v>88</v>
      </c>
      <c r="X14" t="n">
        <v>50</v>
      </c>
      <c r="Y14" t="n">
        <v>89</v>
      </c>
      <c r="Z14" t="n">
        <v>120</v>
      </c>
      <c r="AA14" t="n">
        <v>101</v>
      </c>
      <c r="AB14" t="n">
        <v>114</v>
      </c>
      <c r="AC14" t="n">
        <v>110</v>
      </c>
      <c r="AD14" t="n">
        <v>106</v>
      </c>
      <c r="AE14" t="n">
        <v>136</v>
      </c>
      <c r="AF14" t="n">
        <v>140</v>
      </c>
    </row>
    <row r="15">
      <c r="A15" t="s">
        <v>11</v>
      </c>
      <c r="B15" t="s">
        <v>300</v>
      </c>
      <c r="C15" t="s">
        <v>236</v>
      </c>
      <c r="D15" t="s">
        <v>301</v>
      </c>
      <c r="E15" t="s">
        <v>237</v>
      </c>
      <c r="F15" t="n">
        <v>265</v>
      </c>
      <c r="G15" t="n">
        <v>198</v>
      </c>
      <c r="H15" t="n">
        <v>271</v>
      </c>
      <c r="I15" t="n">
        <v>339</v>
      </c>
      <c r="J15" t="n">
        <v>405</v>
      </c>
      <c r="K15" t="n">
        <v>451</v>
      </c>
      <c r="L15" t="n">
        <v>475</v>
      </c>
      <c r="M15" t="n">
        <v>278</v>
      </c>
      <c r="N15" t="n">
        <v>241</v>
      </c>
      <c r="O15" t="n">
        <v>236</v>
      </c>
      <c r="P15" t="n">
        <v>330</v>
      </c>
      <c r="Q15" t="n">
        <v>180</v>
      </c>
      <c r="R15" t="n">
        <v>186</v>
      </c>
      <c r="S15" t="n">
        <v>126</v>
      </c>
      <c r="T15" t="n">
        <v>121</v>
      </c>
      <c r="U15" t="n">
        <v>146</v>
      </c>
      <c r="V15" t="n">
        <v>139</v>
      </c>
      <c r="W15" t="n">
        <v>126</v>
      </c>
      <c r="X15" t="n">
        <v>91</v>
      </c>
      <c r="Y15" t="n">
        <v>114</v>
      </c>
      <c r="Z15" t="n">
        <v>176</v>
      </c>
      <c r="AA15" t="n">
        <v>188</v>
      </c>
      <c r="AB15" t="n">
        <v>168</v>
      </c>
      <c r="AC15" t="n">
        <v>161</v>
      </c>
      <c r="AD15" t="n">
        <v>164</v>
      </c>
      <c r="AE15" t="n">
        <v>176</v>
      </c>
      <c r="AF15" t="n">
        <v>200</v>
      </c>
    </row>
    <row r="16">
      <c r="A16" t="s">
        <v>11</v>
      </c>
      <c r="B16" t="s">
        <v>302</v>
      </c>
      <c r="C16" t="s">
        <v>236</v>
      </c>
      <c r="D16" t="s">
        <v>303</v>
      </c>
      <c r="E16" t="s">
        <v>237</v>
      </c>
      <c r="F16" t="n">
        <v>46</v>
      </c>
      <c r="G16" t="n">
        <v>55</v>
      </c>
      <c r="H16" t="n">
        <v>62</v>
      </c>
      <c r="I16" t="n">
        <v>72</v>
      </c>
      <c r="J16" t="n">
        <v>49</v>
      </c>
      <c r="K16" t="n">
        <v>51</v>
      </c>
      <c r="L16" t="n">
        <v>54</v>
      </c>
      <c r="M16" t="n">
        <v>40</v>
      </c>
      <c r="N16" t="n">
        <v>48</v>
      </c>
      <c r="O16" t="n">
        <v>34</v>
      </c>
      <c r="P16" t="n">
        <v>52</v>
      </c>
      <c r="Q16" t="n">
        <v>33</v>
      </c>
      <c r="R16" t="n">
        <v>45</v>
      </c>
      <c r="S16" t="n">
        <v>58</v>
      </c>
      <c r="T16" t="n">
        <v>46</v>
      </c>
      <c r="U16" t="n">
        <v>44</v>
      </c>
      <c r="V16" t="n">
        <v>40</v>
      </c>
      <c r="W16" t="n">
        <v>38</v>
      </c>
      <c r="X16" t="n">
        <v>41</v>
      </c>
      <c r="Y16" t="n">
        <v>25</v>
      </c>
      <c r="Z16" t="n">
        <v>56</v>
      </c>
      <c r="AA16" t="n">
        <v>87</v>
      </c>
      <c r="AB16" t="n">
        <v>54</v>
      </c>
      <c r="AC16" t="n">
        <v>51</v>
      </c>
      <c r="AD16" t="n">
        <v>58</v>
      </c>
      <c r="AE16" t="n">
        <v>40</v>
      </c>
      <c r="AF16" t="n">
        <v>60</v>
      </c>
    </row>
    <row r="17">
      <c r="A17" t="s">
        <v>11</v>
      </c>
      <c r="B17" t="s">
        <v>304</v>
      </c>
      <c r="C17" t="s">
        <v>236</v>
      </c>
      <c r="D17" t="s">
        <v>305</v>
      </c>
      <c r="E17" t="s">
        <v>237</v>
      </c>
      <c r="F17" t="n">
        <v>108</v>
      </c>
      <c r="G17" t="n">
        <v>152</v>
      </c>
      <c r="H17" t="n">
        <v>135</v>
      </c>
      <c r="I17" t="n">
        <v>130</v>
      </c>
      <c r="J17" t="n">
        <v>110</v>
      </c>
      <c r="K17" t="n">
        <v>122</v>
      </c>
      <c r="L17" t="n">
        <v>115</v>
      </c>
      <c r="M17" t="n">
        <v>92</v>
      </c>
      <c r="N17" t="n">
        <v>130</v>
      </c>
      <c r="O17" t="n">
        <v>77</v>
      </c>
      <c r="P17" t="n">
        <v>93</v>
      </c>
      <c r="Q17" t="n">
        <v>111</v>
      </c>
      <c r="R17" t="n">
        <v>123</v>
      </c>
      <c r="S17" t="n">
        <v>182</v>
      </c>
      <c r="T17" t="n">
        <v>205</v>
      </c>
      <c r="U17" t="n">
        <v>75</v>
      </c>
      <c r="V17" t="n">
        <v>117</v>
      </c>
      <c r="W17" t="n">
        <v>120</v>
      </c>
      <c r="X17" t="n">
        <v>88</v>
      </c>
      <c r="Y17" t="n">
        <v>129</v>
      </c>
      <c r="Z17" t="n">
        <v>103</v>
      </c>
      <c r="AA17" t="n">
        <v>92</v>
      </c>
      <c r="AB17" t="n">
        <v>75</v>
      </c>
      <c r="AC17" t="n">
        <v>114</v>
      </c>
      <c r="AD17" t="n">
        <v>151</v>
      </c>
      <c r="AE17" t="n">
        <v>112</v>
      </c>
      <c r="AF17" t="n">
        <v>112</v>
      </c>
    </row>
    <row r="18">
      <c r="A18" t="s">
        <v>11</v>
      </c>
      <c r="B18" t="s">
        <v>306</v>
      </c>
      <c r="C18" t="s">
        <v>236</v>
      </c>
      <c r="D18" t="s">
        <v>307</v>
      </c>
      <c r="E18" t="s">
        <v>237</v>
      </c>
      <c r="F18" t="n">
        <v>34</v>
      </c>
      <c r="G18" t="n">
        <v>40</v>
      </c>
      <c r="H18" t="n">
        <v>39</v>
      </c>
      <c r="I18" t="n">
        <v>40</v>
      </c>
      <c r="J18" t="n">
        <v>36</v>
      </c>
      <c r="K18" t="n">
        <v>27</v>
      </c>
      <c r="L18" t="n">
        <v>49</v>
      </c>
      <c r="M18" t="n">
        <v>37</v>
      </c>
      <c r="N18" t="n">
        <v>37</v>
      </c>
      <c r="O18" t="n">
        <v>37</v>
      </c>
      <c r="P18" t="n">
        <v>43</v>
      </c>
      <c r="Q18" t="n">
        <v>38</v>
      </c>
      <c r="R18" t="n">
        <v>36</v>
      </c>
      <c r="S18" t="n">
        <v>44</v>
      </c>
      <c r="T18" t="n">
        <v>45</v>
      </c>
      <c r="U18" t="n">
        <v>43</v>
      </c>
      <c r="V18" t="n">
        <v>62</v>
      </c>
      <c r="W18" t="n">
        <v>45</v>
      </c>
      <c r="X18" t="n">
        <v>112</v>
      </c>
      <c r="Y18" t="n">
        <v>40</v>
      </c>
      <c r="Z18" t="n">
        <v>33</v>
      </c>
      <c r="AA18" t="n">
        <v>49</v>
      </c>
      <c r="AB18" t="n">
        <v>114</v>
      </c>
      <c r="AC18" t="n">
        <v>151</v>
      </c>
      <c r="AD18" t="n">
        <v>74</v>
      </c>
      <c r="AE18" t="n">
        <v>73</v>
      </c>
      <c r="AF18" t="n">
        <v>105</v>
      </c>
    </row>
    <row r="19">
      <c r="A19" t="s">
        <v>11</v>
      </c>
      <c r="B19" t="s">
        <v>308</v>
      </c>
      <c r="C19" t="s">
        <v>236</v>
      </c>
      <c r="D19" t="s">
        <v>309</v>
      </c>
      <c r="E19" t="s">
        <v>237</v>
      </c>
      <c r="F19" t="n">
        <v>76</v>
      </c>
      <c r="G19" t="n">
        <v>78</v>
      </c>
      <c r="H19" t="n">
        <v>103</v>
      </c>
      <c r="I19" t="n">
        <v>108</v>
      </c>
      <c r="J19" t="n">
        <v>109</v>
      </c>
      <c r="K19" t="n">
        <v>104</v>
      </c>
      <c r="L19" t="n">
        <v>111</v>
      </c>
      <c r="M19" t="n">
        <v>122</v>
      </c>
      <c r="N19" t="n">
        <v>79</v>
      </c>
      <c r="O19" t="n">
        <v>67</v>
      </c>
      <c r="P19" t="n">
        <v>82</v>
      </c>
      <c r="Q19" t="n">
        <v>83</v>
      </c>
      <c r="R19" t="n">
        <v>84</v>
      </c>
      <c r="S19" t="n">
        <v>83</v>
      </c>
      <c r="T19" t="n">
        <v>44</v>
      </c>
      <c r="U19" t="n">
        <v>47</v>
      </c>
      <c r="V19" t="n">
        <v>61</v>
      </c>
      <c r="W19" t="n">
        <v>41</v>
      </c>
      <c r="X19" t="n">
        <v>23</v>
      </c>
      <c r="Y19" t="n">
        <v>35</v>
      </c>
      <c r="Z19" t="n">
        <v>44</v>
      </c>
      <c r="AA19" t="n">
        <v>64</v>
      </c>
      <c r="AB19" t="n">
        <v>75</v>
      </c>
      <c r="AC19" t="n">
        <v>83</v>
      </c>
      <c r="AD19" t="n">
        <v>81</v>
      </c>
      <c r="AE19" t="n">
        <v>84</v>
      </c>
      <c r="AF19" t="n">
        <v>148</v>
      </c>
    </row>
    <row r="20">
      <c r="A20" t="s">
        <v>11</v>
      </c>
      <c r="B20" t="s">
        <v>310</v>
      </c>
      <c r="C20" t="s">
        <v>236</v>
      </c>
      <c r="D20" t="s">
        <v>311</v>
      </c>
      <c r="E20" t="s">
        <v>237</v>
      </c>
      <c r="F20" t="n">
        <v>199</v>
      </c>
      <c r="G20" t="n">
        <v>194</v>
      </c>
      <c r="H20" t="n">
        <v>295</v>
      </c>
      <c r="I20" t="n">
        <v>181</v>
      </c>
      <c r="J20" t="n">
        <v>170</v>
      </c>
      <c r="K20" t="n">
        <v>255</v>
      </c>
      <c r="L20" t="n">
        <v>233</v>
      </c>
      <c r="M20" t="n">
        <v>314</v>
      </c>
      <c r="N20" t="n">
        <v>246</v>
      </c>
      <c r="O20" t="n">
        <v>308</v>
      </c>
      <c r="P20" t="n">
        <v>323</v>
      </c>
      <c r="Q20" t="n">
        <v>282</v>
      </c>
      <c r="R20" t="n">
        <v>326</v>
      </c>
      <c r="S20" t="n">
        <v>496</v>
      </c>
      <c r="T20" t="n">
        <v>776</v>
      </c>
      <c r="U20" t="n">
        <v>593</v>
      </c>
      <c r="V20" t="n">
        <v>519</v>
      </c>
      <c r="W20" t="n">
        <v>614</v>
      </c>
      <c r="X20" t="n">
        <v>701</v>
      </c>
      <c r="Y20" t="n">
        <v>950</v>
      </c>
      <c r="Z20" t="n">
        <v>1135</v>
      </c>
      <c r="AA20" t="n">
        <v>1145</v>
      </c>
      <c r="AB20" t="n">
        <v>1180</v>
      </c>
      <c r="AC20" t="n">
        <v>796</v>
      </c>
      <c r="AD20" t="n">
        <v>614</v>
      </c>
      <c r="AE20" t="n">
        <v>1178</v>
      </c>
      <c r="AF20" t="n">
        <v>927</v>
      </c>
    </row>
    <row r="21">
      <c r="A21" t="s">
        <v>11</v>
      </c>
      <c r="B21" t="s">
        <v>312</v>
      </c>
      <c r="C21" t="s">
        <v>236</v>
      </c>
      <c r="D21" t="s">
        <v>313</v>
      </c>
      <c r="E21" t="s">
        <v>237</v>
      </c>
      <c r="F21" t="n">
        <v>232</v>
      </c>
      <c r="G21" t="n">
        <v>234</v>
      </c>
      <c r="H21" t="n">
        <v>336</v>
      </c>
      <c r="I21" t="n">
        <v>217</v>
      </c>
      <c r="J21" t="n">
        <v>216</v>
      </c>
      <c r="K21" t="n">
        <v>295</v>
      </c>
      <c r="L21" t="n">
        <v>270</v>
      </c>
      <c r="M21" t="n">
        <v>369</v>
      </c>
      <c r="N21" t="n">
        <v>298</v>
      </c>
      <c r="O21" t="n">
        <v>343</v>
      </c>
      <c r="P21" t="n">
        <v>373</v>
      </c>
      <c r="Q21" t="n">
        <v>335</v>
      </c>
      <c r="R21" t="n">
        <v>423</v>
      </c>
      <c r="S21" t="n">
        <v>572</v>
      </c>
      <c r="T21" t="n">
        <v>881</v>
      </c>
      <c r="U21" t="n">
        <v>662</v>
      </c>
      <c r="V21" t="n">
        <v>615</v>
      </c>
      <c r="W21" t="n">
        <v>774</v>
      </c>
      <c r="X21" t="n">
        <v>806</v>
      </c>
      <c r="Y21" t="n">
        <v>1033</v>
      </c>
      <c r="Z21" t="n">
        <v>1229</v>
      </c>
      <c r="AA21" t="n">
        <v>1257</v>
      </c>
      <c r="AB21" t="n">
        <v>1307</v>
      </c>
      <c r="AC21" t="n">
        <v>913</v>
      </c>
      <c r="AD21" t="n">
        <v>717</v>
      </c>
      <c r="AE21" t="n">
        <v>1319</v>
      </c>
      <c r="AF21" t="n">
        <v>1191</v>
      </c>
    </row>
    <row r="22">
      <c r="A22" t="s">
        <v>11</v>
      </c>
      <c r="B22" t="s">
        <v>314</v>
      </c>
      <c r="C22" t="s">
        <v>236</v>
      </c>
      <c r="D22" t="s">
        <v>315</v>
      </c>
      <c r="E22" t="s">
        <v>237</v>
      </c>
      <c r="F22" t="n">
        <v>33</v>
      </c>
      <c r="G22" t="n">
        <v>40</v>
      </c>
      <c r="H22" t="n">
        <v>41</v>
      </c>
      <c r="I22" t="n">
        <v>36</v>
      </c>
      <c r="J22" t="n">
        <v>46</v>
      </c>
      <c r="K22" t="n">
        <v>40</v>
      </c>
      <c r="L22" t="n">
        <v>37</v>
      </c>
      <c r="M22" t="n">
        <v>55</v>
      </c>
      <c r="N22" t="n">
        <v>52</v>
      </c>
      <c r="O22" t="n">
        <v>35</v>
      </c>
      <c r="P22" t="n">
        <v>50</v>
      </c>
      <c r="Q22" t="n">
        <v>53</v>
      </c>
      <c r="R22" t="n">
        <v>97</v>
      </c>
      <c r="S22" t="n">
        <v>76</v>
      </c>
      <c r="T22" t="n">
        <v>105</v>
      </c>
      <c r="U22" t="n">
        <v>69</v>
      </c>
      <c r="V22" t="n">
        <v>96</v>
      </c>
      <c r="W22" t="n">
        <v>160</v>
      </c>
      <c r="X22" t="n">
        <v>105</v>
      </c>
      <c r="Y22" t="n">
        <v>83</v>
      </c>
      <c r="Z22" t="n">
        <v>94</v>
      </c>
      <c r="AA22" t="n">
        <v>112</v>
      </c>
      <c r="AB22" t="n">
        <v>127</v>
      </c>
      <c r="AC22" t="n">
        <v>117</v>
      </c>
      <c r="AD22" t="n">
        <v>103</v>
      </c>
      <c r="AE22" t="n">
        <v>141</v>
      </c>
      <c r="AF22" t="n">
        <v>264</v>
      </c>
    </row>
    <row r="23">
      <c r="A23" t="s">
        <v>11</v>
      </c>
      <c r="B23" t="s">
        <v>316</v>
      </c>
      <c r="C23" t="s">
        <v>236</v>
      </c>
      <c r="D23" t="s">
        <v>317</v>
      </c>
      <c r="E23" t="s">
        <v>237</v>
      </c>
      <c r="F23" t="n">
        <v>135</v>
      </c>
      <c r="G23" t="n">
        <v>164</v>
      </c>
      <c r="H23" t="n">
        <v>196</v>
      </c>
      <c r="I23" t="n">
        <v>171</v>
      </c>
      <c r="J23" t="n">
        <v>251</v>
      </c>
      <c r="K23" t="n">
        <v>297</v>
      </c>
      <c r="L23" t="n">
        <v>278</v>
      </c>
      <c r="M23" t="n">
        <v>280</v>
      </c>
      <c r="N23" t="n">
        <v>338</v>
      </c>
      <c r="O23" t="n">
        <v>335</v>
      </c>
      <c r="P23" t="n">
        <v>397</v>
      </c>
      <c r="Q23" t="n">
        <v>428</v>
      </c>
      <c r="R23" t="n">
        <v>498</v>
      </c>
      <c r="S23" t="n">
        <v>555</v>
      </c>
      <c r="T23" t="n">
        <v>377</v>
      </c>
      <c r="U23" t="n">
        <v>312</v>
      </c>
      <c r="V23" t="n">
        <v>465</v>
      </c>
      <c r="W23" t="n">
        <v>484</v>
      </c>
      <c r="X23" t="n">
        <v>467</v>
      </c>
      <c r="Y23" t="n">
        <v>451</v>
      </c>
      <c r="Z23" t="n">
        <v>441</v>
      </c>
      <c r="AA23" t="n">
        <v>564</v>
      </c>
      <c r="AB23" t="n">
        <v>616</v>
      </c>
      <c r="AC23" t="n">
        <v>719</v>
      </c>
      <c r="AD23" t="n">
        <v>800</v>
      </c>
      <c r="AE23" t="n">
        <v>782</v>
      </c>
      <c r="AF23" t="n">
        <v>879</v>
      </c>
    </row>
    <row r="24">
      <c r="A24" t="s">
        <v>11</v>
      </c>
      <c r="B24" t="s">
        <v>318</v>
      </c>
      <c r="C24" t="s">
        <v>236</v>
      </c>
      <c r="D24" t="s">
        <v>319</v>
      </c>
      <c r="E24" t="s">
        <v>237</v>
      </c>
      <c r="F24" t="n">
        <v>229</v>
      </c>
      <c r="G24" t="n">
        <v>287</v>
      </c>
      <c r="H24" t="n">
        <v>449</v>
      </c>
      <c r="I24" t="n">
        <v>440</v>
      </c>
      <c r="J24" t="n">
        <v>438</v>
      </c>
      <c r="K24" t="n">
        <v>429</v>
      </c>
      <c r="L24" t="n">
        <v>437</v>
      </c>
      <c r="M24" t="n">
        <v>431</v>
      </c>
      <c r="N24" t="n">
        <v>433</v>
      </c>
      <c r="O24" t="n">
        <v>335</v>
      </c>
      <c r="P24" t="n">
        <v>362</v>
      </c>
      <c r="Q24" t="n">
        <v>316</v>
      </c>
      <c r="R24" t="n">
        <v>451</v>
      </c>
      <c r="S24" t="n">
        <v>491</v>
      </c>
      <c r="T24" t="n">
        <v>471</v>
      </c>
      <c r="U24" t="n">
        <v>375</v>
      </c>
      <c r="V24" t="n">
        <v>563</v>
      </c>
      <c r="W24" t="n">
        <v>686</v>
      </c>
      <c r="X24" t="n">
        <v>537</v>
      </c>
      <c r="Y24" t="n">
        <v>625</v>
      </c>
      <c r="Z24" t="n">
        <v>496</v>
      </c>
      <c r="AA24" t="n">
        <v>768</v>
      </c>
      <c r="AB24" t="n">
        <v>807</v>
      </c>
      <c r="AC24" t="n">
        <v>902</v>
      </c>
      <c r="AD24" t="n">
        <v>855</v>
      </c>
      <c r="AE24" t="n">
        <v>826</v>
      </c>
      <c r="AF24" t="n">
        <v>898</v>
      </c>
    </row>
    <row r="25">
      <c r="A25" t="s">
        <v>11</v>
      </c>
      <c r="B25" t="s">
        <v>320</v>
      </c>
      <c r="C25" t="s">
        <v>236</v>
      </c>
      <c r="D25" t="s">
        <v>321</v>
      </c>
      <c r="E25" t="s">
        <v>237</v>
      </c>
      <c r="F25" t="n">
        <v>32</v>
      </c>
      <c r="G25" t="n">
        <v>37</v>
      </c>
      <c r="H25" t="n">
        <v>60</v>
      </c>
      <c r="I25" t="n">
        <v>69</v>
      </c>
      <c r="J25" t="n">
        <v>64</v>
      </c>
      <c r="K25" t="n">
        <v>60</v>
      </c>
      <c r="L25" t="n">
        <v>61</v>
      </c>
      <c r="M25" t="n">
        <v>60</v>
      </c>
      <c r="N25" t="n">
        <v>58</v>
      </c>
      <c r="O25" t="n">
        <v>54</v>
      </c>
      <c r="P25" t="n">
        <v>43</v>
      </c>
      <c r="Q25" t="n">
        <v>58</v>
      </c>
      <c r="R25" t="n">
        <v>43</v>
      </c>
      <c r="S25" t="n">
        <v>39</v>
      </c>
      <c r="T25" t="n">
        <v>61</v>
      </c>
      <c r="U25" t="n">
        <v>67</v>
      </c>
      <c r="V25" t="n">
        <v>117</v>
      </c>
      <c r="W25" t="n">
        <v>87</v>
      </c>
      <c r="X25" t="n">
        <v>66</v>
      </c>
      <c r="Y25" t="n">
        <v>88</v>
      </c>
      <c r="Z25" t="n">
        <v>66</v>
      </c>
      <c r="AA25" t="n">
        <v>120</v>
      </c>
      <c r="AB25" t="n">
        <v>94</v>
      </c>
      <c r="AC25" t="n">
        <v>113</v>
      </c>
      <c r="AD25" t="n">
        <v>129</v>
      </c>
      <c r="AE25" t="n">
        <v>133</v>
      </c>
      <c r="AF25" t="n">
        <v>142</v>
      </c>
    </row>
    <row r="26">
      <c r="A26" t="s">
        <v>11</v>
      </c>
      <c r="B26" t="s">
        <v>322</v>
      </c>
      <c r="C26" t="s">
        <v>236</v>
      </c>
      <c r="D26" t="s">
        <v>323</v>
      </c>
      <c r="E26" t="s">
        <v>237</v>
      </c>
      <c r="F26" t="n">
        <v>82</v>
      </c>
      <c r="G26" t="n">
        <v>120</v>
      </c>
      <c r="H26" t="n">
        <v>217</v>
      </c>
      <c r="I26" t="n">
        <v>180</v>
      </c>
      <c r="J26" t="n">
        <v>162</v>
      </c>
      <c r="K26" t="n">
        <v>175</v>
      </c>
      <c r="L26" t="n">
        <v>178</v>
      </c>
      <c r="M26" t="n">
        <v>180</v>
      </c>
      <c r="N26" t="n">
        <v>160</v>
      </c>
      <c r="O26" t="n">
        <v>119</v>
      </c>
      <c r="P26" t="n">
        <v>131</v>
      </c>
      <c r="Q26" t="n">
        <v>92</v>
      </c>
      <c r="R26" t="n">
        <v>222</v>
      </c>
      <c r="S26" t="n">
        <v>259</v>
      </c>
      <c r="T26" t="n">
        <v>209</v>
      </c>
      <c r="U26" t="n">
        <v>154</v>
      </c>
      <c r="V26" t="n">
        <v>242</v>
      </c>
      <c r="W26" t="n">
        <v>302</v>
      </c>
      <c r="X26" t="n">
        <v>244</v>
      </c>
      <c r="Y26" t="n">
        <v>292</v>
      </c>
      <c r="Z26" t="n">
        <v>204</v>
      </c>
      <c r="AA26" t="n">
        <v>356</v>
      </c>
      <c r="AB26" t="n">
        <v>436</v>
      </c>
      <c r="AC26" t="n">
        <v>467</v>
      </c>
      <c r="AD26" t="n">
        <v>412</v>
      </c>
      <c r="AE26" t="n">
        <v>365</v>
      </c>
      <c r="AF26" t="n">
        <v>346</v>
      </c>
    </row>
    <row r="27">
      <c r="A27" t="s">
        <v>11</v>
      </c>
      <c r="B27" t="s">
        <v>324</v>
      </c>
      <c r="C27" t="s">
        <v>236</v>
      </c>
      <c r="D27" t="s">
        <v>325</v>
      </c>
      <c r="E27" t="s">
        <v>237</v>
      </c>
      <c r="F27" t="n">
        <v>115</v>
      </c>
      <c r="G27" t="n">
        <v>130</v>
      </c>
      <c r="H27" t="n">
        <v>172</v>
      </c>
      <c r="I27" t="n">
        <v>191</v>
      </c>
      <c r="J27" t="n">
        <v>212</v>
      </c>
      <c r="K27" t="n">
        <v>194</v>
      </c>
      <c r="L27" t="n">
        <v>198</v>
      </c>
      <c r="M27" t="n">
        <v>191</v>
      </c>
      <c r="N27" t="n">
        <v>215</v>
      </c>
      <c r="O27" t="n">
        <v>162</v>
      </c>
      <c r="P27" t="n">
        <v>188</v>
      </c>
      <c r="Q27" t="n">
        <v>166</v>
      </c>
      <c r="R27" t="n">
        <v>186</v>
      </c>
      <c r="S27" t="n">
        <v>193</v>
      </c>
      <c r="T27" t="n">
        <v>201</v>
      </c>
      <c r="U27" t="n">
        <v>154</v>
      </c>
      <c r="V27" t="n">
        <v>204</v>
      </c>
      <c r="W27" t="n">
        <v>297</v>
      </c>
      <c r="X27" t="n">
        <v>227</v>
      </c>
      <c r="Y27" t="n">
        <v>245</v>
      </c>
      <c r="Z27" t="n">
        <v>226</v>
      </c>
      <c r="AA27" t="n">
        <v>292</v>
      </c>
      <c r="AB27" t="n">
        <v>277</v>
      </c>
      <c r="AC27" t="n">
        <v>322</v>
      </c>
      <c r="AD27" t="n">
        <v>314</v>
      </c>
      <c r="AE27" t="n">
        <v>328</v>
      </c>
      <c r="AF27" t="n">
        <v>410</v>
      </c>
    </row>
    <row r="28">
      <c r="A28" t="s">
        <v>11</v>
      </c>
      <c r="B28" t="s">
        <v>326</v>
      </c>
      <c r="C28" t="s">
        <v>236</v>
      </c>
      <c r="D28" t="s">
        <v>327</v>
      </c>
      <c r="E28" t="s">
        <v>237</v>
      </c>
      <c r="F28" t="n">
        <v>155</v>
      </c>
      <c r="G28" t="n">
        <v>169</v>
      </c>
      <c r="H28" t="n">
        <v>190</v>
      </c>
      <c r="I28" t="n">
        <v>241</v>
      </c>
      <c r="J28" t="n">
        <v>196</v>
      </c>
      <c r="K28" t="n">
        <v>203</v>
      </c>
      <c r="L28" t="n">
        <v>205</v>
      </c>
      <c r="M28" t="n">
        <v>229</v>
      </c>
      <c r="N28" t="n">
        <v>267</v>
      </c>
      <c r="O28" t="n">
        <v>223</v>
      </c>
      <c r="P28" t="n">
        <v>205</v>
      </c>
      <c r="Q28" t="n">
        <v>170</v>
      </c>
      <c r="R28" t="n">
        <v>184</v>
      </c>
      <c r="S28" t="n">
        <v>184</v>
      </c>
      <c r="T28" t="n">
        <v>242</v>
      </c>
      <c r="U28" t="n">
        <v>205</v>
      </c>
      <c r="V28" t="n">
        <v>270</v>
      </c>
      <c r="W28" t="n">
        <v>195</v>
      </c>
      <c r="X28" t="n">
        <v>158</v>
      </c>
      <c r="Y28" t="n">
        <v>254</v>
      </c>
      <c r="Z28" t="n">
        <v>187</v>
      </c>
      <c r="AA28" t="n">
        <v>268</v>
      </c>
      <c r="AB28" t="n">
        <v>216</v>
      </c>
      <c r="AC28" t="n">
        <v>248</v>
      </c>
      <c r="AD28" t="n">
        <v>346</v>
      </c>
      <c r="AE28" t="n">
        <v>270</v>
      </c>
      <c r="AF28" t="n">
        <v>337</v>
      </c>
    </row>
    <row r="29">
      <c r="A29" t="s">
        <v>11</v>
      </c>
      <c r="B29" t="s">
        <v>328</v>
      </c>
      <c r="C29" t="s">
        <v>236</v>
      </c>
      <c r="D29" t="s">
        <v>329</v>
      </c>
      <c r="E29" t="s">
        <v>237</v>
      </c>
      <c r="F29" t="n">
        <v>91</v>
      </c>
      <c r="G29" t="n">
        <v>95</v>
      </c>
      <c r="H29" t="n">
        <v>110</v>
      </c>
      <c r="I29" t="n">
        <v>148</v>
      </c>
      <c r="J29" t="n">
        <v>94</v>
      </c>
      <c r="K29" t="n">
        <v>104</v>
      </c>
      <c r="L29" t="n">
        <v>106</v>
      </c>
      <c r="M29" t="n">
        <v>125</v>
      </c>
      <c r="N29" t="n">
        <v>153</v>
      </c>
      <c r="O29" t="n">
        <v>137</v>
      </c>
      <c r="P29" t="n">
        <v>118</v>
      </c>
      <c r="Q29" t="n">
        <v>83</v>
      </c>
      <c r="R29" t="n">
        <v>75</v>
      </c>
      <c r="S29" t="n">
        <v>98</v>
      </c>
      <c r="T29" t="n">
        <v>85</v>
      </c>
      <c r="U29" t="n">
        <v>81</v>
      </c>
      <c r="V29" t="n">
        <v>111</v>
      </c>
      <c r="W29" t="n">
        <v>76</v>
      </c>
      <c r="X29" t="n">
        <v>65</v>
      </c>
      <c r="Y29" t="n">
        <v>95</v>
      </c>
      <c r="Z29" t="n">
        <v>32</v>
      </c>
      <c r="AA29" t="n">
        <v>70</v>
      </c>
      <c r="AB29" t="n">
        <v>73</v>
      </c>
      <c r="AC29" t="n">
        <v>72</v>
      </c>
      <c r="AD29" t="n">
        <v>131</v>
      </c>
      <c r="AE29" t="n">
        <v>78</v>
      </c>
      <c r="AF29" t="n">
        <v>76</v>
      </c>
    </row>
    <row r="30">
      <c r="A30" t="s">
        <v>11</v>
      </c>
      <c r="B30" t="s">
        <v>330</v>
      </c>
      <c r="C30" t="s">
        <v>236</v>
      </c>
      <c r="D30" t="s">
        <v>331</v>
      </c>
      <c r="E30" t="s">
        <v>237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</v>
      </c>
      <c r="M30" t="n">
        <v>7</v>
      </c>
      <c r="N30" t="n">
        <v>7</v>
      </c>
      <c r="O30" t="n">
        <v>8</v>
      </c>
      <c r="P30" t="n">
        <v>10</v>
      </c>
      <c r="Q30" t="n">
        <v>20</v>
      </c>
      <c r="R30" t="n">
        <v>19</v>
      </c>
      <c r="S30" t="n">
        <v>16</v>
      </c>
      <c r="T30" t="n">
        <v>7</v>
      </c>
      <c r="U30" t="n">
        <v>4</v>
      </c>
      <c r="V30" t="n">
        <v>27</v>
      </c>
      <c r="W30" t="n">
        <v>30</v>
      </c>
      <c r="X30" t="n">
        <v>24</v>
      </c>
      <c r="Y30" t="n">
        <v>10</v>
      </c>
      <c r="Z30" t="n">
        <v>18</v>
      </c>
      <c r="AA30" t="n">
        <v>21</v>
      </c>
      <c r="AB30" t="n">
        <v>8</v>
      </c>
      <c r="AC30" t="n">
        <v>23</v>
      </c>
      <c r="AD30" t="n">
        <v>24</v>
      </c>
      <c r="AE30" t="n">
        <v>13</v>
      </c>
      <c r="AF30" t="n">
        <v>17</v>
      </c>
    </row>
    <row r="31">
      <c r="A31" t="s">
        <v>11</v>
      </c>
      <c r="B31" t="s">
        <v>332</v>
      </c>
      <c r="C31" t="s">
        <v>236</v>
      </c>
      <c r="D31" t="s">
        <v>333</v>
      </c>
      <c r="E31" t="s">
        <v>237</v>
      </c>
      <c r="F31" t="n">
        <v>7</v>
      </c>
      <c r="G31" t="n">
        <v>10</v>
      </c>
      <c r="H31" t="n">
        <v>10</v>
      </c>
      <c r="I31" t="n">
        <v>16</v>
      </c>
      <c r="J31" t="n">
        <v>14</v>
      </c>
      <c r="K31" t="n">
        <v>7</v>
      </c>
      <c r="L31" t="n">
        <v>13</v>
      </c>
      <c r="M31" t="n">
        <v>5</v>
      </c>
      <c r="N31" t="n">
        <v>5</v>
      </c>
      <c r="O31" t="n">
        <v>6</v>
      </c>
      <c r="P31" t="n">
        <v>8</v>
      </c>
      <c r="Q31" t="n">
        <v>11</v>
      </c>
      <c r="R31" t="n">
        <v>12</v>
      </c>
      <c r="S31" t="n">
        <v>12</v>
      </c>
      <c r="T31" t="n">
        <v>14</v>
      </c>
      <c r="U31" t="n">
        <v>1</v>
      </c>
      <c r="V31" t="n">
        <v>1</v>
      </c>
      <c r="W31" t="n">
        <v>0</v>
      </c>
      <c r="X31" t="n">
        <v>1</v>
      </c>
      <c r="Y31" t="n">
        <v>1</v>
      </c>
      <c r="Z31" t="n">
        <v>1</v>
      </c>
      <c r="AA31" t="n">
        <v>2</v>
      </c>
      <c r="AB31" t="n">
        <v>4</v>
      </c>
      <c r="AC31" t="n">
        <v>4</v>
      </c>
      <c r="AD31" t="n">
        <v>5</v>
      </c>
      <c r="AE31" t="n">
        <v>4</v>
      </c>
      <c r="AF31" t="n">
        <v>3</v>
      </c>
    </row>
    <row r="32">
      <c r="A32" t="s">
        <v>11</v>
      </c>
      <c r="B32" t="s">
        <v>334</v>
      </c>
      <c r="C32" t="s">
        <v>236</v>
      </c>
      <c r="D32" t="s">
        <v>335</v>
      </c>
      <c r="E32" t="s">
        <v>237</v>
      </c>
      <c r="F32" t="n">
        <v>51</v>
      </c>
      <c r="G32" t="n">
        <v>55</v>
      </c>
      <c r="H32" t="n">
        <v>52</v>
      </c>
      <c r="I32" t="n">
        <v>58</v>
      </c>
      <c r="J32" t="n">
        <v>63</v>
      </c>
      <c r="K32" t="n">
        <v>66</v>
      </c>
      <c r="L32" t="n">
        <v>55</v>
      </c>
      <c r="M32" t="n">
        <v>65</v>
      </c>
      <c r="N32" t="n">
        <v>84</v>
      </c>
      <c r="O32" t="n">
        <v>68</v>
      </c>
      <c r="P32" t="n">
        <v>68</v>
      </c>
      <c r="Q32" t="n">
        <v>55</v>
      </c>
      <c r="R32" t="n">
        <v>76</v>
      </c>
      <c r="S32" t="n">
        <v>56</v>
      </c>
      <c r="T32" t="n">
        <v>132</v>
      </c>
      <c r="U32" t="n">
        <v>114</v>
      </c>
      <c r="V32" t="n">
        <v>129</v>
      </c>
      <c r="W32" t="n">
        <v>87</v>
      </c>
      <c r="X32" t="n">
        <v>63</v>
      </c>
      <c r="Y32" t="n">
        <v>141</v>
      </c>
      <c r="Z32" t="n">
        <v>127</v>
      </c>
      <c r="AA32" t="n">
        <v>164</v>
      </c>
      <c r="AB32" t="n">
        <v>121</v>
      </c>
      <c r="AC32" t="n">
        <v>137</v>
      </c>
      <c r="AD32" t="n">
        <v>176</v>
      </c>
      <c r="AE32" t="n">
        <v>164</v>
      </c>
      <c r="AF32" t="n">
        <v>232</v>
      </c>
    </row>
    <row r="33">
      <c r="A33" t="s">
        <v>11</v>
      </c>
      <c r="B33" t="s">
        <v>336</v>
      </c>
      <c r="C33" t="s">
        <v>236</v>
      </c>
      <c r="D33" t="s">
        <v>337</v>
      </c>
      <c r="E33" t="s">
        <v>237</v>
      </c>
      <c r="F33" t="n">
        <v>6</v>
      </c>
      <c r="G33" t="n">
        <v>9</v>
      </c>
      <c r="H33" t="n">
        <v>18</v>
      </c>
      <c r="I33" t="n">
        <v>19</v>
      </c>
      <c r="J33" t="n">
        <v>25</v>
      </c>
      <c r="K33" t="n">
        <v>26</v>
      </c>
      <c r="L33" t="n">
        <v>24</v>
      </c>
      <c r="M33" t="n">
        <v>27</v>
      </c>
      <c r="N33" t="n">
        <v>18</v>
      </c>
      <c r="O33" t="n">
        <v>4</v>
      </c>
      <c r="P33" t="n">
        <v>1</v>
      </c>
      <c r="Q33" t="n">
        <v>1</v>
      </c>
      <c r="R33" t="n">
        <v>2</v>
      </c>
      <c r="S33" t="n">
        <v>2</v>
      </c>
      <c r="T33" t="n">
        <v>4</v>
      </c>
      <c r="U33" t="n">
        <v>5</v>
      </c>
      <c r="V33" t="n">
        <v>2</v>
      </c>
      <c r="W33" t="n">
        <v>2</v>
      </c>
      <c r="X33" t="n">
        <v>5</v>
      </c>
      <c r="Y33" t="n">
        <v>7</v>
      </c>
      <c r="Z33" t="n">
        <v>9</v>
      </c>
      <c r="AA33" t="n">
        <v>11</v>
      </c>
      <c r="AB33" t="n">
        <v>10</v>
      </c>
      <c r="AC33" t="n">
        <v>12</v>
      </c>
      <c r="AD33" t="n">
        <v>10</v>
      </c>
      <c r="AE33" t="n">
        <v>11</v>
      </c>
      <c r="AF33" t="n">
        <v>9</v>
      </c>
    </row>
    <row r="34">
      <c r="A34" t="s">
        <v>11</v>
      </c>
      <c r="B34" t="s">
        <v>338</v>
      </c>
      <c r="C34" t="s">
        <v>236</v>
      </c>
      <c r="D34" t="s">
        <v>339</v>
      </c>
      <c r="E34" t="s">
        <v>237</v>
      </c>
      <c r="F34" t="n">
        <v>34</v>
      </c>
      <c r="G34" t="n">
        <v>47</v>
      </c>
      <c r="H34" t="n">
        <v>68</v>
      </c>
      <c r="I34" t="n">
        <v>85</v>
      </c>
      <c r="J34" t="n">
        <v>68</v>
      </c>
      <c r="K34" t="n">
        <v>70</v>
      </c>
      <c r="L34" t="n">
        <v>66</v>
      </c>
      <c r="M34" t="n">
        <v>66</v>
      </c>
      <c r="N34" t="n">
        <v>75</v>
      </c>
      <c r="O34" t="n">
        <v>63</v>
      </c>
      <c r="P34" t="n">
        <v>75</v>
      </c>
      <c r="Q34" t="n">
        <v>92</v>
      </c>
      <c r="R34" t="n">
        <v>89</v>
      </c>
      <c r="S34" t="n">
        <v>100</v>
      </c>
      <c r="T34" t="n">
        <v>80</v>
      </c>
      <c r="U34" t="n">
        <v>60</v>
      </c>
      <c r="V34" t="n">
        <v>87</v>
      </c>
      <c r="W34" t="n">
        <v>99</v>
      </c>
      <c r="X34" t="n">
        <v>83</v>
      </c>
      <c r="Y34" t="n">
        <v>92</v>
      </c>
      <c r="Z34" t="n">
        <v>99</v>
      </c>
      <c r="AA34" t="n">
        <v>131</v>
      </c>
      <c r="AB34" t="n">
        <v>117</v>
      </c>
      <c r="AC34" t="n">
        <v>157</v>
      </c>
      <c r="AD34" t="n">
        <v>156</v>
      </c>
      <c r="AE34" t="n">
        <v>139</v>
      </c>
      <c r="AF34" t="n">
        <v>158</v>
      </c>
    </row>
    <row r="35">
      <c r="A35" t="s">
        <v>11</v>
      </c>
      <c r="B35" t="s">
        <v>340</v>
      </c>
      <c r="C35" t="s">
        <v>236</v>
      </c>
      <c r="D35" t="s">
        <v>341</v>
      </c>
      <c r="E35" t="s">
        <v>237</v>
      </c>
      <c r="F35" t="n">
        <v>126</v>
      </c>
      <c r="G35" t="n">
        <v>192</v>
      </c>
      <c r="H35" t="n">
        <v>266</v>
      </c>
      <c r="I35" t="n">
        <v>254</v>
      </c>
      <c r="J35" t="n">
        <v>241</v>
      </c>
      <c r="K35" t="n">
        <v>353</v>
      </c>
      <c r="L35" t="n">
        <v>410</v>
      </c>
      <c r="M35" t="n">
        <v>369</v>
      </c>
      <c r="N35" t="n">
        <v>204</v>
      </c>
      <c r="O35" t="n">
        <v>211</v>
      </c>
      <c r="P35" t="n">
        <v>199</v>
      </c>
      <c r="Q35" t="n">
        <v>169</v>
      </c>
      <c r="R35" t="n">
        <v>171</v>
      </c>
      <c r="S35" t="n">
        <v>218</v>
      </c>
      <c r="T35" t="n">
        <v>196</v>
      </c>
      <c r="U35" t="n">
        <v>228</v>
      </c>
      <c r="V35" t="n">
        <v>269</v>
      </c>
      <c r="W35" t="n">
        <v>325</v>
      </c>
      <c r="X35" t="n">
        <v>282</v>
      </c>
      <c r="Y35" t="n">
        <v>271</v>
      </c>
      <c r="Z35" t="n">
        <v>283</v>
      </c>
      <c r="AA35" t="n">
        <v>310</v>
      </c>
      <c r="AB35" t="n">
        <v>279</v>
      </c>
      <c r="AC35" t="n">
        <v>312</v>
      </c>
      <c r="AD35" t="n">
        <v>290</v>
      </c>
      <c r="AE35" t="n">
        <v>378</v>
      </c>
      <c r="AF35" t="n">
        <v>479</v>
      </c>
    </row>
    <row r="36">
      <c r="A36" t="s">
        <v>11</v>
      </c>
      <c r="B36" t="s">
        <v>342</v>
      </c>
      <c r="C36" t="s">
        <v>236</v>
      </c>
      <c r="D36" t="s">
        <v>343</v>
      </c>
      <c r="E36" t="s">
        <v>237</v>
      </c>
      <c r="F36" t="n">
        <v>30</v>
      </c>
      <c r="G36" t="n">
        <v>43</v>
      </c>
      <c r="H36" t="n">
        <v>77</v>
      </c>
      <c r="I36" t="n">
        <v>62</v>
      </c>
      <c r="J36" t="n">
        <v>14</v>
      </c>
      <c r="K36" t="n">
        <v>57</v>
      </c>
      <c r="L36" t="n">
        <v>56</v>
      </c>
      <c r="M36" t="n">
        <v>44</v>
      </c>
      <c r="N36" t="n">
        <v>38</v>
      </c>
      <c r="O36" t="n">
        <v>29</v>
      </c>
      <c r="P36" t="n">
        <v>39</v>
      </c>
      <c r="Q36" t="n">
        <v>27</v>
      </c>
      <c r="R36" t="n">
        <v>24</v>
      </c>
      <c r="S36" t="n">
        <v>24</v>
      </c>
      <c r="T36" t="n">
        <v>28</v>
      </c>
      <c r="U36" t="n">
        <v>45</v>
      </c>
      <c r="V36" t="n">
        <v>39</v>
      </c>
      <c r="W36" t="n">
        <v>56</v>
      </c>
      <c r="X36" t="n">
        <v>40</v>
      </c>
      <c r="Y36" t="n">
        <v>39</v>
      </c>
      <c r="Z36" t="n">
        <v>46</v>
      </c>
      <c r="AA36" t="n">
        <v>48</v>
      </c>
      <c r="AB36" t="n">
        <v>49</v>
      </c>
      <c r="AC36" t="n">
        <v>32</v>
      </c>
      <c r="AD36" t="n">
        <v>22</v>
      </c>
      <c r="AE36" t="n">
        <v>19</v>
      </c>
      <c r="AF36" t="n">
        <v>44</v>
      </c>
    </row>
    <row r="37">
      <c r="A37" t="s">
        <v>11</v>
      </c>
      <c r="B37" t="s">
        <v>344</v>
      </c>
      <c r="C37" t="s">
        <v>236</v>
      </c>
      <c r="D37" t="s">
        <v>345</v>
      </c>
      <c r="E37" t="s">
        <v>237</v>
      </c>
      <c r="F37" t="n">
        <v>69</v>
      </c>
      <c r="G37" t="n">
        <v>123</v>
      </c>
      <c r="H37" t="n">
        <v>145</v>
      </c>
      <c r="I37" t="n">
        <v>132</v>
      </c>
      <c r="J37" t="n">
        <v>150</v>
      </c>
      <c r="K37" t="n">
        <v>204</v>
      </c>
      <c r="L37" t="n">
        <v>215</v>
      </c>
      <c r="M37" t="n">
        <v>233</v>
      </c>
      <c r="N37" t="n">
        <v>87</v>
      </c>
      <c r="O37" t="n">
        <v>119</v>
      </c>
      <c r="P37" t="n">
        <v>87</v>
      </c>
      <c r="Q37" t="n">
        <v>78</v>
      </c>
      <c r="R37" t="n">
        <v>81</v>
      </c>
      <c r="S37" t="n">
        <v>144</v>
      </c>
      <c r="T37" t="n">
        <v>143</v>
      </c>
      <c r="U37" t="n">
        <v>136</v>
      </c>
      <c r="V37" t="n">
        <v>174</v>
      </c>
      <c r="W37" t="n">
        <v>165</v>
      </c>
      <c r="X37" t="n">
        <v>152</v>
      </c>
      <c r="Y37" t="n">
        <v>154</v>
      </c>
      <c r="Z37" t="n">
        <v>144</v>
      </c>
      <c r="AA37" t="n">
        <v>185</v>
      </c>
      <c r="AB37" t="n">
        <v>180</v>
      </c>
      <c r="AC37" t="n">
        <v>185</v>
      </c>
      <c r="AD37" t="n">
        <v>193</v>
      </c>
      <c r="AE37" t="n">
        <v>272</v>
      </c>
      <c r="AF37" t="n">
        <v>311</v>
      </c>
    </row>
    <row r="38">
      <c r="A38" t="s">
        <v>11</v>
      </c>
      <c r="B38" t="s">
        <v>346</v>
      </c>
      <c r="C38" t="s">
        <v>236</v>
      </c>
      <c r="D38" t="s">
        <v>347</v>
      </c>
      <c r="E38" t="s">
        <v>237</v>
      </c>
      <c r="F38" t="n">
        <v>27</v>
      </c>
      <c r="G38" t="n">
        <v>26</v>
      </c>
      <c r="H38" t="n">
        <v>44</v>
      </c>
      <c r="I38" t="n">
        <v>60</v>
      </c>
      <c r="J38" t="n">
        <v>77</v>
      </c>
      <c r="K38" t="n">
        <v>92</v>
      </c>
      <c r="L38" t="n">
        <v>139</v>
      </c>
      <c r="M38" t="n">
        <v>92</v>
      </c>
      <c r="N38" t="n">
        <v>79</v>
      </c>
      <c r="O38" t="n">
        <v>63</v>
      </c>
      <c r="P38" t="n">
        <v>73</v>
      </c>
      <c r="Q38" t="n">
        <v>64</v>
      </c>
      <c r="R38" t="n">
        <v>66</v>
      </c>
      <c r="S38" t="n">
        <v>50</v>
      </c>
      <c r="T38" t="n">
        <v>25</v>
      </c>
      <c r="U38" t="n">
        <v>47</v>
      </c>
      <c r="V38" t="n">
        <v>56</v>
      </c>
      <c r="W38" t="n">
        <v>104</v>
      </c>
      <c r="X38" t="n">
        <v>90</v>
      </c>
      <c r="Y38" t="n">
        <v>78</v>
      </c>
      <c r="Z38" t="n">
        <v>93</v>
      </c>
      <c r="AA38" t="n">
        <v>77</v>
      </c>
      <c r="AB38" t="n">
        <v>50</v>
      </c>
      <c r="AC38" t="n">
        <v>95</v>
      </c>
      <c r="AD38" t="n">
        <v>75</v>
      </c>
      <c r="AE38" t="n">
        <v>87</v>
      </c>
      <c r="AF38" t="n">
        <v>124</v>
      </c>
    </row>
    <row r="39">
      <c r="A39" t="s">
        <v>11</v>
      </c>
      <c r="B39" t="s">
        <v>348</v>
      </c>
      <c r="C39" t="s">
        <v>236</v>
      </c>
      <c r="D39" t="s">
        <v>349</v>
      </c>
      <c r="E39" t="s">
        <v>237</v>
      </c>
      <c r="F39" t="n">
        <v>10</v>
      </c>
      <c r="G39" t="n">
        <v>38</v>
      </c>
      <c r="H39" t="n">
        <v>5</v>
      </c>
      <c r="I39" t="n">
        <v>11</v>
      </c>
      <c r="J39" t="n">
        <v>14</v>
      </c>
      <c r="K39" t="n">
        <v>10</v>
      </c>
      <c r="L39" t="n">
        <v>6</v>
      </c>
      <c r="M39" t="n">
        <v>114</v>
      </c>
      <c r="N39" t="n">
        <v>10</v>
      </c>
      <c r="O39" t="n">
        <v>4</v>
      </c>
      <c r="P39" t="n">
        <v>9</v>
      </c>
      <c r="Q39" t="n">
        <v>60</v>
      </c>
      <c r="R39" t="n">
        <v>33</v>
      </c>
      <c r="S39" t="n">
        <v>42</v>
      </c>
      <c r="T39" t="n">
        <v>26</v>
      </c>
      <c r="U39" t="n">
        <v>-55</v>
      </c>
      <c r="V39" t="n">
        <v>-33</v>
      </c>
      <c r="W39" t="n">
        <v>23</v>
      </c>
      <c r="X39" t="n">
        <v>19</v>
      </c>
      <c r="Y39" t="n">
        <v>10</v>
      </c>
      <c r="Z39" t="n">
        <v>9</v>
      </c>
      <c r="AA39" t="n">
        <v>9</v>
      </c>
      <c r="AB39" t="n">
        <v>57</v>
      </c>
      <c r="AC39" t="n">
        <v>34</v>
      </c>
      <c r="AD39" t="n">
        <v>53</v>
      </c>
      <c r="AE39" t="n">
        <v>42</v>
      </c>
      <c r="AF39" t="n">
        <v>39</v>
      </c>
    </row>
    <row r="40">
      <c r="A40" t="s">
        <v>11</v>
      </c>
      <c r="B40" t="s">
        <v>350</v>
      </c>
      <c r="C40" t="s">
        <v>236</v>
      </c>
      <c r="D40" t="s">
        <v>351</v>
      </c>
      <c r="E40" t="s">
        <v>237</v>
      </c>
      <c r="F40" t="n">
        <v>23</v>
      </c>
      <c r="G40" t="n">
        <v>28</v>
      </c>
      <c r="H40" t="n">
        <v>33</v>
      </c>
      <c r="I40" t="n">
        <v>19</v>
      </c>
      <c r="J40" t="n">
        <v>22</v>
      </c>
      <c r="K40" t="n">
        <v>54</v>
      </c>
      <c r="L40" t="n">
        <v>40</v>
      </c>
      <c r="M40" t="n">
        <v>64</v>
      </c>
      <c r="N40" t="n">
        <v>102</v>
      </c>
      <c r="O40" t="n">
        <v>78</v>
      </c>
      <c r="P40" t="n">
        <v>114</v>
      </c>
      <c r="Q40" t="n">
        <v>114</v>
      </c>
      <c r="R40" t="n">
        <v>86</v>
      </c>
      <c r="S40" t="n">
        <v>159</v>
      </c>
      <c r="T40" t="n">
        <v>152</v>
      </c>
      <c r="U40" t="n">
        <v>80</v>
      </c>
      <c r="V40" t="n">
        <v>78</v>
      </c>
      <c r="W40" t="n">
        <v>84</v>
      </c>
      <c r="X40" t="n">
        <v>96</v>
      </c>
      <c r="Y40" t="n">
        <v>103</v>
      </c>
      <c r="Z40" t="n">
        <v>119</v>
      </c>
      <c r="AA40" t="n">
        <v>132</v>
      </c>
      <c r="AB40" t="n">
        <v>161</v>
      </c>
      <c r="AC40" t="n">
        <v>288</v>
      </c>
      <c r="AD40" t="n">
        <v>252</v>
      </c>
      <c r="AE40" t="n">
        <v>232</v>
      </c>
      <c r="AF40" t="n">
        <v>259</v>
      </c>
    </row>
    <row r="41">
      <c r="A41" t="s">
        <v>11</v>
      </c>
      <c r="B41" t="s">
        <v>352</v>
      </c>
      <c r="C41" t="s">
        <v>236</v>
      </c>
      <c r="D41" t="s">
        <v>353</v>
      </c>
      <c r="E41" t="s">
        <v>237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/>
      <c r="AD41"/>
      <c r="AE41"/>
      <c r="AF41"/>
    </row>
    <row r="42">
      <c r="A42" t="s">
        <v>11</v>
      </c>
      <c r="B42" t="s">
        <v>354</v>
      </c>
      <c r="C42" t="s">
        <v>236</v>
      </c>
      <c r="D42" t="s">
        <v>355</v>
      </c>
      <c r="E42" t="s">
        <v>237</v>
      </c>
      <c r="F42" t="n">
        <v>96</v>
      </c>
      <c r="G42" t="n">
        <v>114</v>
      </c>
      <c r="H42" t="n">
        <v>136</v>
      </c>
      <c r="I42" t="n">
        <v>147</v>
      </c>
      <c r="J42" t="n">
        <v>149</v>
      </c>
      <c r="K42" t="n">
        <v>156</v>
      </c>
      <c r="L42" t="n">
        <v>155</v>
      </c>
      <c r="M42" t="n">
        <v>178</v>
      </c>
      <c r="N42" t="n">
        <v>160</v>
      </c>
      <c r="O42" t="n">
        <v>168</v>
      </c>
      <c r="P42" t="n">
        <v>154</v>
      </c>
      <c r="Q42" t="n">
        <v>125</v>
      </c>
      <c r="R42" t="n">
        <v>213</v>
      </c>
      <c r="S42" t="n">
        <v>159</v>
      </c>
      <c r="T42" t="n">
        <v>104</v>
      </c>
      <c r="U42" t="n">
        <v>155</v>
      </c>
      <c r="V42" t="n">
        <v>186</v>
      </c>
      <c r="W42" t="n">
        <v>211</v>
      </c>
      <c r="X42" t="n">
        <v>179</v>
      </c>
      <c r="Y42" t="n">
        <v>198</v>
      </c>
      <c r="Z42" t="n">
        <v>183</v>
      </c>
      <c r="AA42" t="n">
        <v>182</v>
      </c>
      <c r="AB42" t="n">
        <v>193</v>
      </c>
      <c r="AC42" t="n">
        <v>222</v>
      </c>
      <c r="AD42" t="n">
        <v>253</v>
      </c>
      <c r="AE42" t="n">
        <v>253</v>
      </c>
      <c r="AF42" t="n">
        <v>330</v>
      </c>
    </row>
    <row r="43">
      <c r="A43" t="s">
        <v>11</v>
      </c>
      <c r="B43" t="s">
        <v>356</v>
      </c>
      <c r="C43" t="s">
        <v>236</v>
      </c>
      <c r="D43" t="s">
        <v>357</v>
      </c>
      <c r="E43" t="s">
        <v>237</v>
      </c>
      <c r="F43" t="n">
        <v>178</v>
      </c>
      <c r="G43" t="n">
        <v>266</v>
      </c>
      <c r="H43" t="n">
        <v>252</v>
      </c>
      <c r="I43" t="n">
        <v>286</v>
      </c>
      <c r="J43" t="n">
        <v>297</v>
      </c>
      <c r="K43" t="n">
        <v>332</v>
      </c>
      <c r="L43" t="n">
        <v>284</v>
      </c>
      <c r="M43" t="n">
        <v>367</v>
      </c>
      <c r="N43" t="n">
        <v>364</v>
      </c>
      <c r="O43" t="n">
        <v>352</v>
      </c>
      <c r="P43" t="n">
        <v>360</v>
      </c>
      <c r="Q43" t="n">
        <v>318</v>
      </c>
      <c r="R43" t="n">
        <v>426</v>
      </c>
      <c r="S43" t="n">
        <v>462</v>
      </c>
      <c r="T43" t="n">
        <v>290</v>
      </c>
      <c r="U43" t="n">
        <v>314</v>
      </c>
      <c r="V43" t="n">
        <v>408</v>
      </c>
      <c r="W43" t="n">
        <v>448</v>
      </c>
      <c r="X43" t="n">
        <v>405</v>
      </c>
      <c r="Y43" t="n">
        <v>479</v>
      </c>
      <c r="Z43" t="n">
        <v>373</v>
      </c>
      <c r="AA43" t="n">
        <v>436</v>
      </c>
      <c r="AB43" t="n">
        <v>440</v>
      </c>
      <c r="AC43" t="n">
        <v>539</v>
      </c>
      <c r="AD43" t="n">
        <v>588</v>
      </c>
      <c r="AE43" t="n">
        <v>549</v>
      </c>
      <c r="AF43" t="n">
        <v>659</v>
      </c>
    </row>
    <row r="44">
      <c r="A44" t="s">
        <v>11</v>
      </c>
      <c r="B44" t="s">
        <v>358</v>
      </c>
      <c r="C44" t="s">
        <v>236</v>
      </c>
      <c r="D44" t="s">
        <v>359</v>
      </c>
      <c r="E44" t="s">
        <v>237</v>
      </c>
      <c r="F44" t="n">
        <v>3492</v>
      </c>
      <c r="G44" t="n">
        <v>4297</v>
      </c>
      <c r="H44" t="n">
        <v>4819</v>
      </c>
      <c r="I44" t="n">
        <v>4899</v>
      </c>
      <c r="J44" t="n">
        <v>4472</v>
      </c>
      <c r="K44" t="n">
        <v>4873</v>
      </c>
      <c r="L44" t="n">
        <v>5616</v>
      </c>
      <c r="M44" t="n">
        <v>5188</v>
      </c>
      <c r="N44" t="n">
        <v>4895</v>
      </c>
      <c r="O44" t="n">
        <v>4537</v>
      </c>
      <c r="P44" t="n">
        <v>4675</v>
      </c>
      <c r="Q44" t="n">
        <v>4363</v>
      </c>
      <c r="R44" t="n">
        <v>5473</v>
      </c>
      <c r="S44" t="n">
        <v>5749</v>
      </c>
      <c r="T44" t="n">
        <v>4947</v>
      </c>
      <c r="U44" t="n">
        <v>4031</v>
      </c>
      <c r="V44" t="n">
        <v>4831</v>
      </c>
      <c r="W44" t="n">
        <v>5449</v>
      </c>
      <c r="X44" t="n">
        <v>4999</v>
      </c>
      <c r="Y44" t="n">
        <v>5304</v>
      </c>
      <c r="Z44" t="n">
        <v>5560</v>
      </c>
      <c r="AA44" t="n">
        <v>6358</v>
      </c>
      <c r="AB44" t="n">
        <v>7340</v>
      </c>
      <c r="AC44" t="n">
        <v>6816</v>
      </c>
      <c r="AD44" t="n">
        <v>6683</v>
      </c>
      <c r="AE44" t="n">
        <v>7075</v>
      </c>
      <c r="AF44" t="n">
        <v>8351</v>
      </c>
    </row>
    <row r="45">
      <c r="A45" t="s">
        <v>11</v>
      </c>
      <c r="B45" t="s">
        <v>360</v>
      </c>
      <c r="C45" t="s">
        <v>236</v>
      </c>
      <c r="D45" t="s">
        <v>361</v>
      </c>
      <c r="E45" t="s">
        <v>237</v>
      </c>
      <c r="F45" t="n">
        <v>3229</v>
      </c>
      <c r="G45" t="n">
        <v>4068</v>
      </c>
      <c r="H45" t="n">
        <v>4509</v>
      </c>
      <c r="I45" t="n">
        <v>4590</v>
      </c>
      <c r="J45" t="n">
        <v>4147</v>
      </c>
      <c r="K45" t="n">
        <v>4570</v>
      </c>
      <c r="L45" t="n">
        <v>5296</v>
      </c>
      <c r="M45" t="n">
        <v>4838</v>
      </c>
      <c r="N45" t="n">
        <v>4530</v>
      </c>
      <c r="O45" t="n">
        <v>4176</v>
      </c>
      <c r="P45" t="n">
        <v>4327</v>
      </c>
      <c r="Q45" t="n">
        <v>3982</v>
      </c>
      <c r="R45" t="n">
        <v>5036</v>
      </c>
      <c r="S45" t="n">
        <v>5370</v>
      </c>
      <c r="T45" t="n">
        <v>4571</v>
      </c>
      <c r="U45" t="n">
        <v>3686</v>
      </c>
      <c r="V45" t="n">
        <v>4437</v>
      </c>
      <c r="W45" t="n">
        <v>5087</v>
      </c>
      <c r="X45" t="n">
        <v>4624</v>
      </c>
      <c r="Y45" t="n">
        <v>4959</v>
      </c>
      <c r="Z45" t="n">
        <v>5258</v>
      </c>
      <c r="AA45" t="n">
        <v>6138</v>
      </c>
      <c r="AB45" t="n">
        <v>7082</v>
      </c>
      <c r="AC45" t="n">
        <v>6404</v>
      </c>
      <c r="AD45" t="n">
        <v>6261</v>
      </c>
      <c r="AE45" t="n">
        <v>6690</v>
      </c>
      <c r="AF45" t="n">
        <v>7954</v>
      </c>
    </row>
    <row r="46">
      <c r="A46" t="s">
        <v>11</v>
      </c>
      <c r="B46" t="s">
        <v>362</v>
      </c>
      <c r="C46" t="s">
        <v>236</v>
      </c>
      <c r="D46" t="s">
        <v>363</v>
      </c>
      <c r="E46" t="s">
        <v>237</v>
      </c>
      <c r="F46" t="n">
        <v>82</v>
      </c>
      <c r="G46" t="n">
        <v>152</v>
      </c>
      <c r="H46" t="n">
        <v>116</v>
      </c>
      <c r="I46" t="n">
        <v>139</v>
      </c>
      <c r="J46" t="n">
        <v>148</v>
      </c>
      <c r="K46" t="n">
        <v>176</v>
      </c>
      <c r="L46" t="n">
        <v>129</v>
      </c>
      <c r="M46" t="n">
        <v>189</v>
      </c>
      <c r="N46" t="n">
        <v>204</v>
      </c>
      <c r="O46" t="n">
        <v>184</v>
      </c>
      <c r="P46" t="n">
        <v>206</v>
      </c>
      <c r="Q46" t="n">
        <v>193</v>
      </c>
      <c r="R46" t="n">
        <v>213</v>
      </c>
      <c r="S46" t="n">
        <v>303</v>
      </c>
      <c r="T46" t="n">
        <v>186</v>
      </c>
      <c r="U46" t="n">
        <v>159</v>
      </c>
      <c r="V46" t="n">
        <v>222</v>
      </c>
      <c r="W46" t="n">
        <v>237</v>
      </c>
      <c r="X46" t="n">
        <v>226</v>
      </c>
      <c r="Y46" t="n">
        <v>281</v>
      </c>
      <c r="Z46" t="n">
        <v>190</v>
      </c>
      <c r="AA46" t="n">
        <v>254</v>
      </c>
      <c r="AB46" t="n">
        <v>247</v>
      </c>
      <c r="AC46" t="n">
        <v>317</v>
      </c>
      <c r="AD46" t="n">
        <v>335</v>
      </c>
      <c r="AE46" t="n">
        <v>296</v>
      </c>
      <c r="AF46" t="n">
        <v>329</v>
      </c>
    </row>
    <row r="47">
      <c r="A47" t="s">
        <v>11</v>
      </c>
      <c r="B47" t="s">
        <v>364</v>
      </c>
      <c r="C47" t="s">
        <v>236</v>
      </c>
      <c r="D47" t="s">
        <v>365</v>
      </c>
      <c r="E47" t="s">
        <v>237</v>
      </c>
      <c r="F47" t="n">
        <v>555</v>
      </c>
      <c r="G47" t="n">
        <v>660</v>
      </c>
      <c r="H47" t="n">
        <v>725</v>
      </c>
      <c r="I47" t="n">
        <v>879</v>
      </c>
      <c r="J47" t="n">
        <v>760</v>
      </c>
      <c r="K47" t="n">
        <v>719</v>
      </c>
      <c r="L47" t="n">
        <v>523</v>
      </c>
      <c r="M47" t="n">
        <v>576</v>
      </c>
      <c r="N47" t="n">
        <v>634</v>
      </c>
      <c r="O47" t="n">
        <v>686</v>
      </c>
      <c r="P47" t="n">
        <v>772</v>
      </c>
      <c r="Q47" t="n">
        <v>538</v>
      </c>
      <c r="R47" t="n">
        <v>592</v>
      </c>
      <c r="S47" t="n">
        <v>750</v>
      </c>
      <c r="T47" t="n">
        <v>631</v>
      </c>
      <c r="U47" t="n">
        <v>619</v>
      </c>
      <c r="V47" t="n">
        <v>609</v>
      </c>
      <c r="W47" t="n">
        <v>824</v>
      </c>
      <c r="X47" t="n">
        <v>812</v>
      </c>
      <c r="Y47" t="n">
        <v>739</v>
      </c>
      <c r="Z47" t="n">
        <v>571</v>
      </c>
      <c r="AA47" t="n">
        <v>629</v>
      </c>
      <c r="AB47" t="n">
        <v>799</v>
      </c>
      <c r="AC47" t="n">
        <v>923</v>
      </c>
      <c r="AD47" t="n">
        <v>1015</v>
      </c>
      <c r="AE47" t="n">
        <v>1253</v>
      </c>
      <c r="AF47" t="n">
        <v>924</v>
      </c>
    </row>
    <row r="48">
      <c r="A48" t="s">
        <v>11</v>
      </c>
      <c r="B48" t="s">
        <v>366</v>
      </c>
      <c r="C48" t="s">
        <v>236</v>
      </c>
      <c r="D48" t="s">
        <v>367</v>
      </c>
      <c r="E48" t="s">
        <v>237</v>
      </c>
      <c r="F48" t="n">
        <v>742</v>
      </c>
      <c r="G48" t="n">
        <v>876</v>
      </c>
      <c r="H48" t="n">
        <v>979</v>
      </c>
      <c r="I48" t="n">
        <v>1127</v>
      </c>
      <c r="J48" t="n">
        <v>1013</v>
      </c>
      <c r="K48" t="n">
        <v>1023</v>
      </c>
      <c r="L48" t="n">
        <v>859</v>
      </c>
      <c r="M48" t="n">
        <v>957</v>
      </c>
      <c r="N48" t="n">
        <v>985</v>
      </c>
      <c r="O48" t="n">
        <v>1008</v>
      </c>
      <c r="P48" t="n">
        <v>1102</v>
      </c>
      <c r="Q48" t="n">
        <v>898</v>
      </c>
      <c r="R48" t="n">
        <v>974</v>
      </c>
      <c r="S48" t="n">
        <v>1105</v>
      </c>
      <c r="T48" t="n">
        <v>1005</v>
      </c>
      <c r="U48" t="n">
        <v>977</v>
      </c>
      <c r="V48" t="n">
        <v>1033</v>
      </c>
      <c r="W48" t="n">
        <v>1281</v>
      </c>
      <c r="X48" t="n">
        <v>1255</v>
      </c>
      <c r="Y48" t="n">
        <v>1165</v>
      </c>
      <c r="Z48" t="n">
        <v>1040</v>
      </c>
      <c r="AA48" t="n">
        <v>1099</v>
      </c>
      <c r="AB48" t="n">
        <v>1281</v>
      </c>
      <c r="AC48" t="n">
        <v>1411</v>
      </c>
      <c r="AD48" t="n">
        <v>1554</v>
      </c>
      <c r="AE48" t="n">
        <v>1797</v>
      </c>
      <c r="AF48" t="n">
        <v>1480</v>
      </c>
    </row>
    <row r="49">
      <c r="A49" t="s">
        <v>11</v>
      </c>
      <c r="B49" t="s">
        <v>368</v>
      </c>
      <c r="C49" t="s">
        <v>236</v>
      </c>
      <c r="D49" t="s">
        <v>369</v>
      </c>
      <c r="E49" t="s">
        <v>237</v>
      </c>
      <c r="F49" t="n">
        <v>128</v>
      </c>
      <c r="G49" t="n">
        <v>128</v>
      </c>
      <c r="H49" t="n">
        <v>148</v>
      </c>
      <c r="I49" t="n">
        <v>144</v>
      </c>
      <c r="J49" t="n">
        <v>148</v>
      </c>
      <c r="K49" t="n">
        <v>166</v>
      </c>
      <c r="L49" t="n">
        <v>186</v>
      </c>
      <c r="M49" t="n">
        <v>207</v>
      </c>
      <c r="N49" t="n">
        <v>191</v>
      </c>
      <c r="O49" t="n">
        <v>175</v>
      </c>
      <c r="P49" t="n">
        <v>149</v>
      </c>
      <c r="Q49" t="n">
        <v>139</v>
      </c>
      <c r="R49" t="n">
        <v>139</v>
      </c>
      <c r="S49" t="n">
        <v>127</v>
      </c>
      <c r="T49" t="n">
        <v>156</v>
      </c>
      <c r="U49" t="n">
        <v>128</v>
      </c>
      <c r="V49" t="n">
        <v>171</v>
      </c>
      <c r="W49" t="n">
        <v>161</v>
      </c>
      <c r="X49" t="n">
        <v>151</v>
      </c>
      <c r="Y49" t="n">
        <v>150</v>
      </c>
      <c r="Z49" t="n">
        <v>153</v>
      </c>
      <c r="AA49" t="n">
        <v>164</v>
      </c>
      <c r="AB49" t="n">
        <v>179</v>
      </c>
      <c r="AC49" t="n">
        <v>157</v>
      </c>
      <c r="AD49" t="n">
        <v>200</v>
      </c>
      <c r="AE49" t="n">
        <v>191</v>
      </c>
      <c r="AF49" t="n">
        <v>203</v>
      </c>
    </row>
    <row r="50">
      <c r="A50" t="s">
        <v>11</v>
      </c>
      <c r="B50" t="s">
        <v>370</v>
      </c>
      <c r="C50" t="s">
        <v>236</v>
      </c>
      <c r="D50" t="s">
        <v>371</v>
      </c>
      <c r="E50" t="s">
        <v>237</v>
      </c>
      <c r="F50" t="n">
        <v>59</v>
      </c>
      <c r="G50" t="n">
        <v>88</v>
      </c>
      <c r="H50" t="n">
        <v>106</v>
      </c>
      <c r="I50" t="n">
        <v>104</v>
      </c>
      <c r="J50" t="n">
        <v>105</v>
      </c>
      <c r="K50" t="n">
        <v>138</v>
      </c>
      <c r="L50" t="n">
        <v>150</v>
      </c>
      <c r="M50" t="n">
        <v>174</v>
      </c>
      <c r="N50" t="n">
        <v>160</v>
      </c>
      <c r="O50" t="n">
        <v>147</v>
      </c>
      <c r="P50" t="n">
        <v>181</v>
      </c>
      <c r="Q50" t="n">
        <v>221</v>
      </c>
      <c r="R50" t="n">
        <v>243</v>
      </c>
      <c r="S50" t="n">
        <v>228</v>
      </c>
      <c r="T50" t="n">
        <v>218</v>
      </c>
      <c r="U50" t="n">
        <v>230</v>
      </c>
      <c r="V50" t="n">
        <v>253</v>
      </c>
      <c r="W50" t="n">
        <v>296</v>
      </c>
      <c r="X50" t="n">
        <v>292</v>
      </c>
      <c r="Y50" t="n">
        <v>276</v>
      </c>
      <c r="Z50" t="n">
        <v>316</v>
      </c>
      <c r="AA50" t="n">
        <v>306</v>
      </c>
      <c r="AB50" t="n">
        <v>303</v>
      </c>
      <c r="AC50" t="n">
        <v>331</v>
      </c>
      <c r="AD50" t="n">
        <v>339</v>
      </c>
      <c r="AE50" t="n">
        <v>353</v>
      </c>
      <c r="AF50" t="n">
        <v>353</v>
      </c>
    </row>
    <row r="51">
      <c r="A51" t="s">
        <v>11</v>
      </c>
      <c r="B51" t="s">
        <v>372</v>
      </c>
      <c r="C51" t="s">
        <v>236</v>
      </c>
      <c r="D51" t="s">
        <v>373</v>
      </c>
      <c r="E51" t="s">
        <v>237</v>
      </c>
      <c r="F51" t="n">
        <v>47</v>
      </c>
      <c r="G51" t="n">
        <v>72</v>
      </c>
      <c r="H51" t="n">
        <v>91</v>
      </c>
      <c r="I51" t="n">
        <v>91</v>
      </c>
      <c r="J51" t="n">
        <v>92</v>
      </c>
      <c r="K51" t="n">
        <v>120</v>
      </c>
      <c r="L51" t="n">
        <v>125</v>
      </c>
      <c r="M51" t="n">
        <v>150</v>
      </c>
      <c r="N51" t="n">
        <v>138</v>
      </c>
      <c r="O51" t="n">
        <v>124</v>
      </c>
      <c r="P51" t="n">
        <v>157</v>
      </c>
      <c r="Q51" t="n">
        <v>188</v>
      </c>
      <c r="R51" t="n">
        <v>207</v>
      </c>
      <c r="S51" t="n">
        <v>192</v>
      </c>
      <c r="T51" t="n">
        <v>179</v>
      </c>
      <c r="U51" t="n">
        <v>193</v>
      </c>
      <c r="V51" t="n">
        <v>213</v>
      </c>
      <c r="W51" t="n">
        <v>250</v>
      </c>
      <c r="X51" t="n">
        <v>245</v>
      </c>
      <c r="Y51" t="n">
        <v>223</v>
      </c>
      <c r="Z51" t="n">
        <v>262</v>
      </c>
      <c r="AA51" t="n">
        <v>243</v>
      </c>
      <c r="AB51" t="n">
        <v>264</v>
      </c>
      <c r="AC51" t="n">
        <v>278</v>
      </c>
      <c r="AD51" t="n">
        <v>269</v>
      </c>
      <c r="AE51" t="n">
        <v>293</v>
      </c>
      <c r="AF51" t="n">
        <v>302</v>
      </c>
    </row>
    <row r="52">
      <c r="A52" t="s">
        <v>11</v>
      </c>
      <c r="B52" t="s">
        <v>374</v>
      </c>
      <c r="C52" t="s">
        <v>236</v>
      </c>
      <c r="D52" t="s">
        <v>375</v>
      </c>
      <c r="E52" t="s">
        <v>237</v>
      </c>
      <c r="F52" t="n">
        <v>12</v>
      </c>
      <c r="G52" t="n">
        <v>16</v>
      </c>
      <c r="H52" t="n">
        <v>15</v>
      </c>
      <c r="I52" t="n">
        <v>13</v>
      </c>
      <c r="J52" t="n">
        <v>13</v>
      </c>
      <c r="K52" t="n">
        <v>18</v>
      </c>
      <c r="L52" t="n">
        <v>25</v>
      </c>
      <c r="M52" t="n">
        <v>24</v>
      </c>
      <c r="N52" t="n">
        <v>22</v>
      </c>
      <c r="O52" t="n">
        <v>23</v>
      </c>
      <c r="P52" t="n">
        <v>24</v>
      </c>
      <c r="Q52" t="n">
        <v>33</v>
      </c>
      <c r="R52" t="n">
        <v>36</v>
      </c>
      <c r="S52" t="n">
        <v>36</v>
      </c>
      <c r="T52" t="n">
        <v>39</v>
      </c>
      <c r="U52" t="n">
        <v>37</v>
      </c>
      <c r="V52" t="n">
        <v>40</v>
      </c>
      <c r="W52" t="n">
        <v>46</v>
      </c>
      <c r="X52" t="n">
        <v>47</v>
      </c>
      <c r="Y52" t="n">
        <v>53</v>
      </c>
      <c r="Z52" t="n">
        <v>54</v>
      </c>
      <c r="AA52" t="n">
        <v>63</v>
      </c>
      <c r="AB52" t="n">
        <v>39</v>
      </c>
      <c r="AC52" t="n">
        <v>53</v>
      </c>
      <c r="AD52" t="n">
        <v>70</v>
      </c>
      <c r="AE52" t="n">
        <v>60</v>
      </c>
      <c r="AF52" t="n">
        <v>51</v>
      </c>
    </row>
    <row r="53">
      <c r="A53" t="s">
        <v>11</v>
      </c>
      <c r="B53" t="s">
        <v>376</v>
      </c>
      <c r="C53" t="s">
        <v>236</v>
      </c>
      <c r="D53" t="s">
        <v>377</v>
      </c>
      <c r="E53" t="s">
        <v>237</v>
      </c>
      <c r="F53" t="n">
        <v>22</v>
      </c>
      <c r="G53" t="n">
        <v>46</v>
      </c>
      <c r="H53" t="n">
        <v>71</v>
      </c>
      <c r="I53" t="n">
        <v>57</v>
      </c>
      <c r="J53" t="n">
        <v>-12</v>
      </c>
      <c r="K53" t="n">
        <v>57</v>
      </c>
      <c r="L53" t="n">
        <v>58</v>
      </c>
      <c r="M53" t="n">
        <v>50</v>
      </c>
      <c r="N53" t="n">
        <v>53</v>
      </c>
      <c r="O53" t="n">
        <v>54</v>
      </c>
      <c r="P53" t="n">
        <v>54</v>
      </c>
      <c r="Q53" t="n">
        <v>59</v>
      </c>
      <c r="R53" t="n">
        <v>63</v>
      </c>
      <c r="S53" t="n">
        <v>57</v>
      </c>
      <c r="T53" t="n">
        <v>59</v>
      </c>
      <c r="U53" t="n">
        <v>51</v>
      </c>
      <c r="V53" t="n">
        <v>66</v>
      </c>
      <c r="W53" t="n">
        <v>80</v>
      </c>
      <c r="X53" t="n">
        <v>79</v>
      </c>
      <c r="Y53" t="n">
        <v>84</v>
      </c>
      <c r="Z53" t="n">
        <v>85</v>
      </c>
      <c r="AA53" t="n">
        <v>120</v>
      </c>
      <c r="AB53" t="n">
        <v>113</v>
      </c>
      <c r="AC53" t="n">
        <v>134</v>
      </c>
      <c r="AD53" t="n">
        <v>132</v>
      </c>
      <c r="AE53" t="n">
        <v>125</v>
      </c>
      <c r="AF53" t="n">
        <v>112</v>
      </c>
    </row>
    <row r="54">
      <c r="A54" t="s">
        <v>11</v>
      </c>
      <c r="B54" t="s">
        <v>378</v>
      </c>
      <c r="C54" t="s">
        <v>236</v>
      </c>
      <c r="D54" t="s">
        <v>379</v>
      </c>
      <c r="E54" t="s">
        <v>237</v>
      </c>
      <c r="F54" t="n">
        <v>59</v>
      </c>
      <c r="G54" t="n">
        <v>89</v>
      </c>
      <c r="H54" t="n">
        <v>126</v>
      </c>
      <c r="I54" t="n">
        <v>111</v>
      </c>
      <c r="J54" t="n">
        <v>40</v>
      </c>
      <c r="K54" t="n">
        <v>111</v>
      </c>
      <c r="L54" t="n">
        <v>113</v>
      </c>
      <c r="M54" t="n">
        <v>104</v>
      </c>
      <c r="N54" t="n">
        <v>120</v>
      </c>
      <c r="O54" t="n">
        <v>108</v>
      </c>
      <c r="P54" t="n">
        <v>110</v>
      </c>
      <c r="Q54" t="n">
        <v>118</v>
      </c>
      <c r="R54" t="n">
        <v>139</v>
      </c>
      <c r="S54" t="n">
        <v>142</v>
      </c>
      <c r="T54" t="n">
        <v>143</v>
      </c>
      <c r="U54" t="n">
        <v>120</v>
      </c>
      <c r="V54" t="n">
        <v>153</v>
      </c>
      <c r="W54" t="n">
        <v>145</v>
      </c>
      <c r="X54" t="n">
        <v>140</v>
      </c>
      <c r="Y54" t="n">
        <v>148</v>
      </c>
      <c r="Z54" t="n">
        <v>174</v>
      </c>
      <c r="AA54" t="n">
        <v>205</v>
      </c>
      <c r="AB54" t="n">
        <v>197</v>
      </c>
      <c r="AC54" t="n">
        <v>212</v>
      </c>
      <c r="AD54" t="n">
        <v>222</v>
      </c>
      <c r="AE54" t="n">
        <v>220</v>
      </c>
      <c r="AF54" t="n">
        <v>212</v>
      </c>
    </row>
    <row r="55">
      <c r="A55" t="s">
        <v>11</v>
      </c>
      <c r="B55" t="s">
        <v>380</v>
      </c>
      <c r="C55" t="s">
        <v>236</v>
      </c>
      <c r="D55" t="s">
        <v>381</v>
      </c>
      <c r="E55" t="s">
        <v>237</v>
      </c>
      <c r="F55" t="n">
        <v>37</v>
      </c>
      <c r="G55" t="n">
        <v>43</v>
      </c>
      <c r="H55" t="n">
        <v>55</v>
      </c>
      <c r="I55" t="n">
        <v>54</v>
      </c>
      <c r="J55" t="n">
        <v>52</v>
      </c>
      <c r="K55" t="n">
        <v>54</v>
      </c>
      <c r="L55" t="n">
        <v>55</v>
      </c>
      <c r="M55" t="n">
        <v>54</v>
      </c>
      <c r="N55" t="n">
        <v>67</v>
      </c>
      <c r="O55" t="n">
        <v>54</v>
      </c>
      <c r="P55" t="n">
        <v>56</v>
      </c>
      <c r="Q55" t="n">
        <v>59</v>
      </c>
      <c r="R55" t="n">
        <v>76</v>
      </c>
      <c r="S55" t="n">
        <v>85</v>
      </c>
      <c r="T55" t="n">
        <v>84</v>
      </c>
      <c r="U55" t="n">
        <v>69</v>
      </c>
      <c r="V55" t="n">
        <v>87</v>
      </c>
      <c r="W55" t="n">
        <v>65</v>
      </c>
      <c r="X55" t="n">
        <v>61</v>
      </c>
      <c r="Y55" t="n">
        <v>64</v>
      </c>
      <c r="Z55" t="n">
        <v>89</v>
      </c>
      <c r="AA55" t="n">
        <v>85</v>
      </c>
      <c r="AB55" t="n">
        <v>84</v>
      </c>
      <c r="AC55" t="n">
        <v>78</v>
      </c>
      <c r="AD55" t="n">
        <v>90</v>
      </c>
      <c r="AE55" t="n">
        <v>95</v>
      </c>
      <c r="AF55" t="n">
        <v>100</v>
      </c>
    </row>
    <row r="56">
      <c r="A56" t="s">
        <v>11</v>
      </c>
      <c r="B56" t="s">
        <v>382</v>
      </c>
      <c r="C56" t="s">
        <v>236</v>
      </c>
      <c r="D56" t="s">
        <v>383</v>
      </c>
      <c r="E56" t="s">
        <v>237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11</v>
      </c>
      <c r="B57" t="s">
        <v>384</v>
      </c>
      <c r="C57" t="s">
        <v>236</v>
      </c>
      <c r="D57" t="s">
        <v>385</v>
      </c>
      <c r="E57" t="s">
        <v>237</v>
      </c>
      <c r="F57" t="n">
        <v>4257</v>
      </c>
      <c r="G57" t="n">
        <v>5201</v>
      </c>
      <c r="H57" t="n">
        <v>5831</v>
      </c>
      <c r="I57" t="n">
        <v>6045</v>
      </c>
      <c r="J57" t="n">
        <v>5507</v>
      </c>
      <c r="K57" t="n">
        <v>5950</v>
      </c>
      <c r="L57" t="n">
        <v>6515</v>
      </c>
      <c r="M57" t="n">
        <v>6209</v>
      </c>
      <c r="N57" t="n">
        <v>5982</v>
      </c>
      <c r="O57" t="n">
        <v>5623</v>
      </c>
      <c r="P57" t="n">
        <v>5891</v>
      </c>
      <c r="Q57" t="n">
        <v>5375</v>
      </c>
      <c r="R57" t="n">
        <v>6533</v>
      </c>
      <c r="S57" t="n">
        <v>7013</v>
      </c>
      <c r="T57" t="n">
        <v>6104</v>
      </c>
      <c r="U57" t="n">
        <v>5088</v>
      </c>
      <c r="V57" t="n">
        <v>5942</v>
      </c>
      <c r="W57" t="n">
        <v>6814</v>
      </c>
      <c r="X57" t="n">
        <v>6350</v>
      </c>
      <c r="Y57" t="n">
        <v>6572</v>
      </c>
      <c r="Z57" t="n">
        <v>6719</v>
      </c>
      <c r="AA57" t="n">
        <v>7589</v>
      </c>
      <c r="AB57" t="n">
        <v>8782</v>
      </c>
      <c r="AC57" t="n">
        <v>8515</v>
      </c>
      <c r="AD57" t="n">
        <v>8489</v>
      </c>
      <c r="AE57" t="n">
        <v>9104</v>
      </c>
      <c r="AF57" t="n">
        <v>10090</v>
      </c>
    </row>
    <row r="58">
      <c r="A58" t="s">
        <v>11</v>
      </c>
      <c r="B58" t="s">
        <v>386</v>
      </c>
      <c r="C58" t="s">
        <v>236</v>
      </c>
      <c r="D58" t="s">
        <v>387</v>
      </c>
      <c r="E58" t="s">
        <v>237</v>
      </c>
      <c r="F58" t="n">
        <v>4257</v>
      </c>
      <c r="G58" t="n">
        <v>5201</v>
      </c>
      <c r="H58" t="n">
        <v>5831</v>
      </c>
      <c r="I58" t="n">
        <v>6045</v>
      </c>
      <c r="J58" t="n">
        <v>5507</v>
      </c>
      <c r="K58" t="n">
        <v>5950</v>
      </c>
      <c r="L58" t="n">
        <v>6515</v>
      </c>
      <c r="M58" t="n">
        <v>6209</v>
      </c>
      <c r="N58" t="n">
        <v>5982</v>
      </c>
      <c r="O58" t="n">
        <v>5623</v>
      </c>
      <c r="P58" t="n">
        <v>5891</v>
      </c>
      <c r="Q58" t="n">
        <v>5375</v>
      </c>
      <c r="R58" t="n">
        <v>6533</v>
      </c>
      <c r="S58" t="n">
        <v>7013</v>
      </c>
      <c r="T58" t="n">
        <v>6104</v>
      </c>
      <c r="U58" t="n">
        <v>5088</v>
      </c>
      <c r="V58" t="n">
        <v>5942</v>
      </c>
      <c r="W58" t="n">
        <v>6814</v>
      </c>
      <c r="X58" t="n">
        <v>6350</v>
      </c>
      <c r="Y58" t="n">
        <v>6572</v>
      </c>
      <c r="Z58" t="n">
        <v>6719</v>
      </c>
      <c r="AA58" t="n">
        <v>7589</v>
      </c>
      <c r="AB58" t="n">
        <v>8782</v>
      </c>
      <c r="AC58" t="n">
        <v>8515</v>
      </c>
      <c r="AD58" t="n">
        <v>8489</v>
      </c>
      <c r="AE58" t="n">
        <v>9104</v>
      </c>
      <c r="AF58" t="n">
        <v>10090</v>
      </c>
    </row>
    <row r="59">
      <c r="A59" t="s">
        <v>11</v>
      </c>
      <c r="B59" t="s">
        <v>388</v>
      </c>
      <c r="C59" t="s">
        <v>236</v>
      </c>
      <c r="D59" t="s">
        <v>389</v>
      </c>
      <c r="E59" t="s">
        <v>237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13</v>
      </c>
      <c r="B2" t="s">
        <v>197</v>
      </c>
      <c r="C2" t="s">
        <v>236</v>
      </c>
      <c r="D2" t="s">
        <v>199</v>
      </c>
      <c r="E2" t="s">
        <v>237</v>
      </c>
      <c r="F2" t="n">
        <v>392</v>
      </c>
      <c r="G2" t="n">
        <v>460</v>
      </c>
      <c r="H2" t="n">
        <v>600</v>
      </c>
      <c r="I2" t="n">
        <v>676</v>
      </c>
      <c r="J2" t="n">
        <v>692</v>
      </c>
      <c r="K2" t="n">
        <v>692</v>
      </c>
      <c r="L2" t="n">
        <v>755</v>
      </c>
      <c r="M2" t="n">
        <v>752</v>
      </c>
      <c r="N2" t="n">
        <v>719</v>
      </c>
      <c r="O2" t="n">
        <v>662</v>
      </c>
      <c r="P2" t="n">
        <v>768</v>
      </c>
      <c r="Q2" t="n">
        <v>815</v>
      </c>
      <c r="R2" t="n">
        <v>960</v>
      </c>
      <c r="S2" t="n">
        <v>935</v>
      </c>
      <c r="T2" t="n">
        <v>919</v>
      </c>
      <c r="U2" t="n">
        <v>860</v>
      </c>
      <c r="V2" t="n">
        <v>878</v>
      </c>
      <c r="W2" t="n">
        <v>1161</v>
      </c>
      <c r="X2" t="n">
        <v>1348</v>
      </c>
      <c r="Y2" t="n">
        <v>1174</v>
      </c>
      <c r="Z2" t="n">
        <v>773</v>
      </c>
      <c r="AA2" t="n">
        <v>955</v>
      </c>
      <c r="AB2" t="n">
        <v>980</v>
      </c>
      <c r="AC2" t="n">
        <v>871</v>
      </c>
      <c r="AD2" t="n">
        <v>881</v>
      </c>
      <c r="AE2" t="n">
        <v>905</v>
      </c>
      <c r="AF2" t="n">
        <v>864</v>
      </c>
    </row>
    <row r="3">
      <c r="A3" t="s">
        <v>13</v>
      </c>
      <c r="B3" t="s">
        <v>276</v>
      </c>
      <c r="C3" t="s">
        <v>236</v>
      </c>
      <c r="D3" t="s">
        <v>277</v>
      </c>
      <c r="E3" t="s">
        <v>237</v>
      </c>
      <c r="F3" t="n">
        <v>11</v>
      </c>
      <c r="G3" t="n">
        <v>12</v>
      </c>
      <c r="H3" t="n">
        <v>11</v>
      </c>
      <c r="I3" t="n">
        <v>12</v>
      </c>
      <c r="J3" t="n">
        <v>25</v>
      </c>
      <c r="K3" t="n">
        <v>47</v>
      </c>
      <c r="L3" t="n">
        <v>35</v>
      </c>
      <c r="M3" t="n">
        <v>21</v>
      </c>
      <c r="N3" t="n">
        <v>37</v>
      </c>
      <c r="O3" t="n">
        <v>21</v>
      </c>
      <c r="P3" t="n">
        <v>30</v>
      </c>
      <c r="Q3" t="n">
        <v>37</v>
      </c>
      <c r="R3" t="n">
        <v>233</v>
      </c>
      <c r="S3" t="n">
        <v>273</v>
      </c>
      <c r="T3" t="n">
        <v>135</v>
      </c>
      <c r="U3" t="n">
        <v>126</v>
      </c>
      <c r="V3" t="n">
        <v>197</v>
      </c>
      <c r="W3" t="n">
        <v>151</v>
      </c>
      <c r="X3" t="n">
        <v>83</v>
      </c>
      <c r="Y3" t="n">
        <v>93</v>
      </c>
      <c r="Z3" t="n">
        <v>182</v>
      </c>
      <c r="AA3" t="n">
        <v>99</v>
      </c>
      <c r="AB3" t="n">
        <v>132</v>
      </c>
      <c r="AC3" t="n">
        <v>153</v>
      </c>
      <c r="AD3" t="n">
        <v>174</v>
      </c>
      <c r="AE3" t="n">
        <v>161</v>
      </c>
      <c r="AF3" t="n">
        <v>112</v>
      </c>
    </row>
    <row r="4">
      <c r="A4" t="s">
        <v>13</v>
      </c>
      <c r="B4" t="s">
        <v>278</v>
      </c>
      <c r="C4" t="s">
        <v>236</v>
      </c>
      <c r="D4" t="s">
        <v>279</v>
      </c>
      <c r="E4" t="s">
        <v>237</v>
      </c>
      <c r="F4" t="n">
        <v>756</v>
      </c>
      <c r="G4" t="n">
        <v>632</v>
      </c>
      <c r="H4" t="n">
        <v>646</v>
      </c>
      <c r="I4" t="n">
        <v>653</v>
      </c>
      <c r="J4" t="n">
        <v>621</v>
      </c>
      <c r="K4" t="n">
        <v>616</v>
      </c>
      <c r="L4" t="n">
        <v>650</v>
      </c>
      <c r="M4" t="n">
        <v>751</v>
      </c>
      <c r="N4" t="n">
        <v>563</v>
      </c>
      <c r="O4" t="n">
        <v>492</v>
      </c>
      <c r="P4" t="n">
        <v>548</v>
      </c>
      <c r="Q4" t="n">
        <v>666</v>
      </c>
      <c r="R4" t="n">
        <v>759</v>
      </c>
      <c r="S4" t="n">
        <v>691</v>
      </c>
      <c r="T4" t="n">
        <v>567</v>
      </c>
      <c r="U4" t="n">
        <v>397</v>
      </c>
      <c r="V4" t="n">
        <v>462</v>
      </c>
      <c r="W4" t="n">
        <v>400</v>
      </c>
      <c r="X4" t="n">
        <v>396</v>
      </c>
      <c r="Y4" t="n">
        <v>520</v>
      </c>
      <c r="Z4" t="n">
        <v>595</v>
      </c>
      <c r="AA4" t="n">
        <v>780</v>
      </c>
      <c r="AB4" t="n">
        <v>790</v>
      </c>
      <c r="AC4" t="n">
        <v>827</v>
      </c>
      <c r="AD4" t="n">
        <v>742</v>
      </c>
      <c r="AE4" t="n">
        <v>772</v>
      </c>
      <c r="AF4" t="n">
        <v>940</v>
      </c>
    </row>
    <row r="5">
      <c r="A5" t="s">
        <v>13</v>
      </c>
      <c r="B5" t="s">
        <v>280</v>
      </c>
      <c r="C5" t="s">
        <v>236</v>
      </c>
      <c r="D5" t="s">
        <v>281</v>
      </c>
      <c r="E5" t="s">
        <v>237</v>
      </c>
      <c r="F5" t="n">
        <v>74</v>
      </c>
      <c r="G5" t="n">
        <v>96</v>
      </c>
      <c r="H5" t="n">
        <v>87</v>
      </c>
      <c r="I5" t="n">
        <v>65</v>
      </c>
      <c r="J5" t="n">
        <v>62</v>
      </c>
      <c r="K5" t="n">
        <v>90</v>
      </c>
      <c r="L5" t="n">
        <v>115</v>
      </c>
      <c r="M5" t="n">
        <v>134</v>
      </c>
      <c r="N5" t="n">
        <v>80</v>
      </c>
      <c r="O5" t="n">
        <v>58</v>
      </c>
      <c r="P5" t="n">
        <v>117</v>
      </c>
      <c r="Q5" t="n">
        <v>103</v>
      </c>
      <c r="R5" t="n">
        <v>127</v>
      </c>
      <c r="S5" t="n">
        <v>106</v>
      </c>
      <c r="T5" t="n">
        <v>57</v>
      </c>
      <c r="U5" t="n">
        <v>53</v>
      </c>
      <c r="V5" t="n">
        <v>90</v>
      </c>
      <c r="W5" t="n">
        <v>141</v>
      </c>
      <c r="X5" t="n">
        <v>110</v>
      </c>
      <c r="Y5" t="n">
        <v>163</v>
      </c>
      <c r="Z5" t="n">
        <v>123</v>
      </c>
      <c r="AA5" t="n">
        <v>226</v>
      </c>
      <c r="AB5" t="n">
        <v>97</v>
      </c>
      <c r="AC5" t="n">
        <v>93</v>
      </c>
      <c r="AD5" t="n">
        <v>120</v>
      </c>
      <c r="AE5" t="n">
        <v>149</v>
      </c>
      <c r="AF5" t="n">
        <v>172</v>
      </c>
    </row>
    <row r="6">
      <c r="A6" t="s">
        <v>13</v>
      </c>
      <c r="B6" t="s">
        <v>282</v>
      </c>
      <c r="C6" t="s">
        <v>236</v>
      </c>
      <c r="D6" t="s">
        <v>283</v>
      </c>
      <c r="E6" t="s">
        <v>237</v>
      </c>
      <c r="F6" t="n">
        <v>12</v>
      </c>
      <c r="G6" t="n">
        <v>2</v>
      </c>
      <c r="H6" t="n">
        <v>9</v>
      </c>
      <c r="I6" t="n">
        <v>10</v>
      </c>
      <c r="J6" t="n">
        <v>7</v>
      </c>
      <c r="K6" t="n">
        <v>5</v>
      </c>
      <c r="L6" t="n">
        <v>7</v>
      </c>
      <c r="M6" t="n">
        <v>5</v>
      </c>
      <c r="N6" t="n">
        <v>5</v>
      </c>
      <c r="O6" t="n">
        <v>0</v>
      </c>
      <c r="P6" t="n">
        <v>2</v>
      </c>
      <c r="Q6" t="n">
        <v>8</v>
      </c>
      <c r="R6" t="n">
        <v>2</v>
      </c>
      <c r="S6" t="n">
        <v>4</v>
      </c>
      <c r="T6" t="n">
        <v>-7</v>
      </c>
      <c r="U6" t="n">
        <v>-2</v>
      </c>
      <c r="V6" t="n">
        <v>3</v>
      </c>
      <c r="W6" t="n">
        <v>14</v>
      </c>
      <c r="X6" t="n">
        <v>1</v>
      </c>
      <c r="Y6" t="n">
        <v>5</v>
      </c>
      <c r="Z6" t="n">
        <v>6</v>
      </c>
      <c r="AA6" t="n">
        <v>0</v>
      </c>
      <c r="AB6" t="n">
        <v>4</v>
      </c>
      <c r="AC6" t="n">
        <v>7</v>
      </c>
      <c r="AD6" t="n">
        <v>6</v>
      </c>
      <c r="AE6" t="n">
        <v>-2</v>
      </c>
      <c r="AF6" t="n">
        <v>9</v>
      </c>
    </row>
    <row r="7">
      <c r="A7" t="s">
        <v>13</v>
      </c>
      <c r="B7" t="s">
        <v>284</v>
      </c>
      <c r="C7" t="s">
        <v>236</v>
      </c>
      <c r="D7" t="s">
        <v>285</v>
      </c>
      <c r="E7" t="s">
        <v>237</v>
      </c>
      <c r="F7" t="n">
        <v>275</v>
      </c>
      <c r="G7" t="n">
        <v>181</v>
      </c>
      <c r="H7" t="n">
        <v>179</v>
      </c>
      <c r="I7" t="n">
        <v>148</v>
      </c>
      <c r="J7" t="n">
        <v>147</v>
      </c>
      <c r="K7" t="n">
        <v>192</v>
      </c>
      <c r="L7" t="n">
        <v>174</v>
      </c>
      <c r="M7" t="n">
        <v>143</v>
      </c>
      <c r="N7" t="n">
        <v>97</v>
      </c>
      <c r="O7" t="n">
        <v>126</v>
      </c>
      <c r="P7" t="n">
        <v>144</v>
      </c>
      <c r="Q7" t="n">
        <v>113</v>
      </c>
      <c r="R7" t="n">
        <v>194</v>
      </c>
      <c r="S7" t="n">
        <v>125</v>
      </c>
      <c r="T7" t="n">
        <v>32</v>
      </c>
      <c r="U7" t="n">
        <v>19</v>
      </c>
      <c r="V7" t="n">
        <v>53</v>
      </c>
      <c r="W7" t="n">
        <v>65</v>
      </c>
      <c r="X7" t="n">
        <v>75</v>
      </c>
      <c r="Y7" t="n">
        <v>43</v>
      </c>
      <c r="Z7" t="n">
        <v>71</v>
      </c>
      <c r="AA7" t="n">
        <v>235</v>
      </c>
      <c r="AB7" t="n">
        <v>160</v>
      </c>
      <c r="AC7" t="n">
        <v>198</v>
      </c>
      <c r="AD7" t="n">
        <v>155</v>
      </c>
      <c r="AE7" t="n">
        <v>134</v>
      </c>
      <c r="AF7" t="n">
        <v>231</v>
      </c>
    </row>
    <row r="8">
      <c r="A8" t="s">
        <v>13</v>
      </c>
      <c r="B8" t="s">
        <v>286</v>
      </c>
      <c r="C8" t="s">
        <v>236</v>
      </c>
      <c r="D8" t="s">
        <v>287</v>
      </c>
      <c r="E8" t="s">
        <v>237</v>
      </c>
      <c r="F8" t="n">
        <v>8</v>
      </c>
      <c r="G8" t="n">
        <v>11</v>
      </c>
      <c r="H8" t="n">
        <v>20</v>
      </c>
      <c r="I8" t="n">
        <v>14</v>
      </c>
      <c r="J8" t="n">
        <v>39</v>
      </c>
      <c r="K8" t="n">
        <v>25</v>
      </c>
      <c r="L8" t="n">
        <v>15</v>
      </c>
      <c r="M8" t="n">
        <v>24</v>
      </c>
      <c r="N8" t="n">
        <v>36</v>
      </c>
      <c r="O8" t="n">
        <v>37</v>
      </c>
      <c r="P8" t="n">
        <v>68</v>
      </c>
      <c r="Q8" t="n">
        <v>61</v>
      </c>
      <c r="R8" t="n">
        <v>174</v>
      </c>
      <c r="S8" t="n">
        <v>57</v>
      </c>
      <c r="T8" t="n">
        <v>136</v>
      </c>
      <c r="U8" t="n">
        <v>52</v>
      </c>
      <c r="V8" t="n">
        <v>32</v>
      </c>
      <c r="W8" t="n">
        <v>46</v>
      </c>
      <c r="X8" t="n">
        <v>61</v>
      </c>
      <c r="Y8" t="n">
        <v>57</v>
      </c>
      <c r="Z8" t="n">
        <v>79</v>
      </c>
      <c r="AA8" t="n">
        <v>-7</v>
      </c>
      <c r="AB8" t="n">
        <v>55</v>
      </c>
      <c r="AC8" t="n">
        <v>50</v>
      </c>
      <c r="AD8" t="n">
        <v>45</v>
      </c>
      <c r="AE8" t="n">
        <v>14</v>
      </c>
      <c r="AF8" t="n">
        <v>94</v>
      </c>
    </row>
    <row r="9">
      <c r="A9" t="s">
        <v>13</v>
      </c>
      <c r="B9" t="s">
        <v>288</v>
      </c>
      <c r="C9" t="s">
        <v>236</v>
      </c>
      <c r="D9" t="s">
        <v>289</v>
      </c>
      <c r="E9" t="s">
        <v>237</v>
      </c>
      <c r="F9" t="n">
        <v>83</v>
      </c>
      <c r="G9" t="n">
        <v>34</v>
      </c>
      <c r="H9" t="n">
        <v>49</v>
      </c>
      <c r="I9" t="n">
        <v>57</v>
      </c>
      <c r="J9" t="n">
        <v>42</v>
      </c>
      <c r="K9" t="n">
        <v>30</v>
      </c>
      <c r="L9" t="n">
        <v>43</v>
      </c>
      <c r="M9" t="n">
        <v>69</v>
      </c>
      <c r="N9" t="n">
        <v>37</v>
      </c>
      <c r="O9" t="n">
        <v>57</v>
      </c>
      <c r="P9" t="n">
        <v>8</v>
      </c>
      <c r="Q9" t="n">
        <v>52</v>
      </c>
      <c r="R9" t="n">
        <v>20</v>
      </c>
      <c r="S9" t="n">
        <v>54</v>
      </c>
      <c r="T9" t="n">
        <v>133</v>
      </c>
      <c r="U9" t="n">
        <v>43</v>
      </c>
      <c r="V9" t="n">
        <v>29</v>
      </c>
      <c r="W9" t="n">
        <v>38</v>
      </c>
      <c r="X9" t="n">
        <v>35</v>
      </c>
      <c r="Y9" t="n">
        <v>41</v>
      </c>
      <c r="Z9" t="n">
        <v>69</v>
      </c>
      <c r="AA9" t="n">
        <v>76</v>
      </c>
      <c r="AB9" t="n">
        <v>178</v>
      </c>
      <c r="AC9" t="n">
        <v>94</v>
      </c>
      <c r="AD9" t="n">
        <v>82</v>
      </c>
      <c r="AE9" t="n">
        <v>57</v>
      </c>
      <c r="AF9" t="n">
        <v>45</v>
      </c>
    </row>
    <row r="10">
      <c r="A10" t="s">
        <v>13</v>
      </c>
      <c r="B10" t="s">
        <v>290</v>
      </c>
      <c r="C10" t="s">
        <v>236</v>
      </c>
      <c r="D10" t="s">
        <v>291</v>
      </c>
      <c r="E10" t="s">
        <v>237</v>
      </c>
      <c r="F10" t="n">
        <v>88</v>
      </c>
      <c r="G10" t="n">
        <v>37</v>
      </c>
      <c r="H10" t="n">
        <v>53</v>
      </c>
      <c r="I10" t="n">
        <v>63</v>
      </c>
      <c r="J10" t="n">
        <v>50</v>
      </c>
      <c r="K10" t="n">
        <v>39</v>
      </c>
      <c r="L10" t="n">
        <v>46</v>
      </c>
      <c r="M10" t="n">
        <v>86</v>
      </c>
      <c r="N10" t="n">
        <v>47</v>
      </c>
      <c r="O10" t="n">
        <v>68</v>
      </c>
      <c r="P10" t="n">
        <v>8</v>
      </c>
      <c r="Q10" t="n">
        <v>62</v>
      </c>
      <c r="R10" t="n">
        <v>24</v>
      </c>
      <c r="S10" t="n">
        <v>60</v>
      </c>
      <c r="T10" t="n">
        <v>142</v>
      </c>
      <c r="U10" t="n">
        <v>49</v>
      </c>
      <c r="V10" t="n">
        <v>34</v>
      </c>
      <c r="W10" t="n">
        <v>62</v>
      </c>
      <c r="X10" t="n">
        <v>104</v>
      </c>
      <c r="Y10" t="n">
        <v>62</v>
      </c>
      <c r="Z10" t="n">
        <v>85</v>
      </c>
      <c r="AA10" t="n">
        <v>87</v>
      </c>
      <c r="AB10" t="n">
        <v>196</v>
      </c>
      <c r="AC10" t="n">
        <v>116</v>
      </c>
      <c r="AD10" t="n">
        <v>103</v>
      </c>
      <c r="AE10" t="n">
        <v>87</v>
      </c>
      <c r="AF10" t="n">
        <v>144</v>
      </c>
    </row>
    <row r="11">
      <c r="A11" t="s">
        <v>13</v>
      </c>
      <c r="B11" t="s">
        <v>292</v>
      </c>
      <c r="C11" t="s">
        <v>236</v>
      </c>
      <c r="D11" t="s">
        <v>293</v>
      </c>
      <c r="E11" t="s">
        <v>237</v>
      </c>
      <c r="F11" t="n">
        <v>5</v>
      </c>
      <c r="G11" t="n">
        <v>3</v>
      </c>
      <c r="H11" t="n">
        <v>4</v>
      </c>
      <c r="I11" t="n">
        <v>6</v>
      </c>
      <c r="J11" t="n">
        <v>8</v>
      </c>
      <c r="K11" t="n">
        <v>9</v>
      </c>
      <c r="L11" t="n">
        <v>3</v>
      </c>
      <c r="M11" t="n">
        <v>17</v>
      </c>
      <c r="N11" t="n">
        <v>10</v>
      </c>
      <c r="O11" t="n">
        <v>11</v>
      </c>
      <c r="P11" t="n">
        <v>0</v>
      </c>
      <c r="Q11" t="n">
        <v>10</v>
      </c>
      <c r="R11" t="n">
        <v>4</v>
      </c>
      <c r="S11" t="n">
        <v>6</v>
      </c>
      <c r="T11" t="n">
        <v>9</v>
      </c>
      <c r="U11" t="n">
        <v>6</v>
      </c>
      <c r="V11" t="n">
        <v>5</v>
      </c>
      <c r="W11" t="n">
        <v>24</v>
      </c>
      <c r="X11" t="n">
        <v>69</v>
      </c>
      <c r="Y11" t="n">
        <v>21</v>
      </c>
      <c r="Z11" t="n">
        <v>16</v>
      </c>
      <c r="AA11" t="n">
        <v>11</v>
      </c>
      <c r="AB11" t="n">
        <v>18</v>
      </c>
      <c r="AC11" t="n">
        <v>22</v>
      </c>
      <c r="AD11" t="n">
        <v>21</v>
      </c>
      <c r="AE11" t="n">
        <v>30</v>
      </c>
      <c r="AF11" t="n">
        <v>99</v>
      </c>
    </row>
    <row r="12">
      <c r="A12" t="s">
        <v>13</v>
      </c>
      <c r="B12" t="s">
        <v>294</v>
      </c>
      <c r="C12" t="s">
        <v>236</v>
      </c>
      <c r="D12" t="s">
        <v>295</v>
      </c>
      <c r="E12" t="s">
        <v>237</v>
      </c>
      <c r="F12" t="n">
        <v>34</v>
      </c>
      <c r="G12" t="n">
        <v>18</v>
      </c>
      <c r="H12" t="n">
        <v>37</v>
      </c>
      <c r="I12" t="n">
        <v>64</v>
      </c>
      <c r="J12" t="n">
        <v>64</v>
      </c>
      <c r="K12" t="n">
        <v>19</v>
      </c>
      <c r="L12" t="n">
        <v>35</v>
      </c>
      <c r="M12" t="n">
        <v>37</v>
      </c>
      <c r="N12" t="n">
        <v>40</v>
      </c>
      <c r="O12" t="n">
        <v>44</v>
      </c>
      <c r="P12" t="n">
        <v>54</v>
      </c>
      <c r="Q12" t="n">
        <v>67</v>
      </c>
      <c r="R12" t="n">
        <v>18</v>
      </c>
      <c r="S12" t="n">
        <v>41</v>
      </c>
      <c r="T12" t="n">
        <v>29</v>
      </c>
      <c r="U12" t="n">
        <v>33</v>
      </c>
      <c r="V12" t="n">
        <v>42</v>
      </c>
      <c r="W12" t="n">
        <v>36</v>
      </c>
      <c r="X12" t="n">
        <v>26</v>
      </c>
      <c r="Y12" t="n">
        <v>23</v>
      </c>
      <c r="Z12" t="n">
        <v>38</v>
      </c>
      <c r="AA12" t="n">
        <v>49</v>
      </c>
      <c r="AB12" t="n">
        <v>37</v>
      </c>
      <c r="AC12" t="n">
        <v>58</v>
      </c>
      <c r="AD12" t="n">
        <v>54</v>
      </c>
      <c r="AE12" t="n">
        <v>76</v>
      </c>
      <c r="AF12" t="n">
        <v>55</v>
      </c>
    </row>
    <row r="13">
      <c r="A13" t="s">
        <v>13</v>
      </c>
      <c r="B13" t="s">
        <v>296</v>
      </c>
      <c r="C13" t="s">
        <v>236</v>
      </c>
      <c r="D13" t="s">
        <v>297</v>
      </c>
      <c r="E13" t="s">
        <v>237</v>
      </c>
      <c r="F13" t="n">
        <v>91</v>
      </c>
      <c r="G13" t="n">
        <v>135</v>
      </c>
      <c r="H13" t="n">
        <v>125</v>
      </c>
      <c r="I13" t="n">
        <v>100</v>
      </c>
      <c r="J13" t="n">
        <v>89</v>
      </c>
      <c r="K13" t="n">
        <v>76</v>
      </c>
      <c r="L13" t="n">
        <v>99</v>
      </c>
      <c r="M13" t="n">
        <v>227</v>
      </c>
      <c r="N13" t="n">
        <v>157</v>
      </c>
      <c r="O13" t="n">
        <v>104</v>
      </c>
      <c r="P13" t="n">
        <v>69</v>
      </c>
      <c r="Q13" t="n">
        <v>84</v>
      </c>
      <c r="R13" t="n">
        <v>99</v>
      </c>
      <c r="S13" t="n">
        <v>181</v>
      </c>
      <c r="T13" t="n">
        <v>123</v>
      </c>
      <c r="U13" t="n">
        <v>82</v>
      </c>
      <c r="V13" t="n">
        <v>158</v>
      </c>
      <c r="W13" t="n">
        <v>139</v>
      </c>
      <c r="X13" t="n">
        <v>56</v>
      </c>
      <c r="Y13" t="n">
        <v>87</v>
      </c>
      <c r="Z13" t="n">
        <v>79</v>
      </c>
      <c r="AA13" t="n">
        <v>68</v>
      </c>
      <c r="AB13" t="n">
        <v>96</v>
      </c>
      <c r="AC13" t="n">
        <v>116</v>
      </c>
      <c r="AD13" t="n">
        <v>111</v>
      </c>
      <c r="AE13" t="n">
        <v>98</v>
      </c>
      <c r="AF13" t="n">
        <v>105</v>
      </c>
    </row>
    <row r="14">
      <c r="A14" t="s">
        <v>13</v>
      </c>
      <c r="B14" t="s">
        <v>298</v>
      </c>
      <c r="C14" t="s">
        <v>236</v>
      </c>
      <c r="D14" t="s">
        <v>299</v>
      </c>
      <c r="E14" t="s">
        <v>237</v>
      </c>
      <c r="F14" t="n">
        <v>49</v>
      </c>
      <c r="G14" t="n">
        <v>90</v>
      </c>
      <c r="H14" t="n">
        <v>25</v>
      </c>
      <c r="I14" t="n">
        <v>67</v>
      </c>
      <c r="J14" t="n">
        <v>79</v>
      </c>
      <c r="K14" t="n">
        <v>67</v>
      </c>
      <c r="L14" t="n">
        <v>74</v>
      </c>
      <c r="M14" t="n">
        <v>10</v>
      </c>
      <c r="N14" t="n">
        <v>16</v>
      </c>
      <c r="O14" t="n">
        <v>10</v>
      </c>
      <c r="P14" t="n">
        <v>21</v>
      </c>
      <c r="Q14" t="n">
        <v>73</v>
      </c>
      <c r="R14" t="n">
        <v>5</v>
      </c>
      <c r="S14" t="n">
        <v>23</v>
      </c>
      <c r="T14" t="n">
        <v>-23</v>
      </c>
      <c r="U14" t="n">
        <v>43</v>
      </c>
      <c r="V14" t="n">
        <v>7</v>
      </c>
      <c r="W14" t="n">
        <v>-197</v>
      </c>
      <c r="X14" t="n">
        <v>-58</v>
      </c>
      <c r="Y14" t="n">
        <v>7</v>
      </c>
      <c r="Z14" t="n">
        <v>10</v>
      </c>
      <c r="AA14" t="n">
        <v>-2</v>
      </c>
      <c r="AB14" t="n">
        <v>13</v>
      </c>
      <c r="AC14" t="n">
        <v>18</v>
      </c>
      <c r="AD14" t="n">
        <v>25</v>
      </c>
      <c r="AE14" t="n">
        <v>58</v>
      </c>
      <c r="AF14" t="n">
        <v>22</v>
      </c>
    </row>
    <row r="15">
      <c r="A15" t="s">
        <v>13</v>
      </c>
      <c r="B15" t="s">
        <v>300</v>
      </c>
      <c r="C15" t="s">
        <v>236</v>
      </c>
      <c r="D15" t="s">
        <v>301</v>
      </c>
      <c r="E15" t="s">
        <v>237</v>
      </c>
      <c r="F15" t="n">
        <v>68</v>
      </c>
      <c r="G15" t="n">
        <v>101</v>
      </c>
      <c r="H15" t="n">
        <v>41</v>
      </c>
      <c r="I15" t="n">
        <v>75</v>
      </c>
      <c r="J15" t="n">
        <v>91</v>
      </c>
      <c r="K15" t="n">
        <v>74</v>
      </c>
      <c r="L15" t="n">
        <v>90</v>
      </c>
      <c r="M15" t="n">
        <v>25</v>
      </c>
      <c r="N15" t="n">
        <v>24</v>
      </c>
      <c r="O15" t="n">
        <v>20</v>
      </c>
      <c r="P15" t="n">
        <v>18</v>
      </c>
      <c r="Q15" t="n">
        <v>91</v>
      </c>
      <c r="R15" t="n">
        <v>45</v>
      </c>
      <c r="S15" t="n">
        <v>49</v>
      </c>
      <c r="T15" t="n">
        <v>-8</v>
      </c>
      <c r="U15" t="n">
        <v>64</v>
      </c>
      <c r="V15" t="n">
        <v>13</v>
      </c>
      <c r="W15" t="n">
        <v>-186</v>
      </c>
      <c r="X15" t="n">
        <v>-54</v>
      </c>
      <c r="Y15" t="n">
        <v>22</v>
      </c>
      <c r="Z15" t="n">
        <v>49</v>
      </c>
      <c r="AA15" t="n">
        <v>8</v>
      </c>
      <c r="AB15" t="n">
        <v>16</v>
      </c>
      <c r="AC15" t="n">
        <v>52</v>
      </c>
      <c r="AD15" t="n">
        <v>76</v>
      </c>
      <c r="AE15" t="n">
        <v>92</v>
      </c>
      <c r="AF15" t="n">
        <v>45</v>
      </c>
    </row>
    <row r="16">
      <c r="A16" t="s">
        <v>13</v>
      </c>
      <c r="B16" t="s">
        <v>302</v>
      </c>
      <c r="C16" t="s">
        <v>236</v>
      </c>
      <c r="D16" t="s">
        <v>303</v>
      </c>
      <c r="E16" t="s">
        <v>237</v>
      </c>
      <c r="F16" t="n">
        <v>19</v>
      </c>
      <c r="G16" t="n">
        <v>11</v>
      </c>
      <c r="H16" t="n">
        <v>16</v>
      </c>
      <c r="I16" t="n">
        <v>8</v>
      </c>
      <c r="J16" t="n">
        <v>12</v>
      </c>
      <c r="K16" t="n">
        <v>7</v>
      </c>
      <c r="L16" t="n">
        <v>16</v>
      </c>
      <c r="M16" t="n">
        <v>15</v>
      </c>
      <c r="N16" t="n">
        <v>8</v>
      </c>
      <c r="O16" t="n">
        <v>10</v>
      </c>
      <c r="P16" t="n">
        <v>-3</v>
      </c>
      <c r="Q16" t="n">
        <v>18</v>
      </c>
      <c r="R16" t="n">
        <v>40</v>
      </c>
      <c r="S16" t="n">
        <v>26</v>
      </c>
      <c r="T16" t="n">
        <v>15</v>
      </c>
      <c r="U16" t="n">
        <v>21</v>
      </c>
      <c r="V16" t="n">
        <v>6</v>
      </c>
      <c r="W16" t="n">
        <v>11</v>
      </c>
      <c r="X16" t="n">
        <v>4</v>
      </c>
      <c r="Y16" t="n">
        <v>15</v>
      </c>
      <c r="Z16" t="n">
        <v>39</v>
      </c>
      <c r="AA16" t="n">
        <v>10</v>
      </c>
      <c r="AB16" t="n">
        <v>3</v>
      </c>
      <c r="AC16" t="n">
        <v>34</v>
      </c>
      <c r="AD16" t="n">
        <v>51</v>
      </c>
      <c r="AE16" t="n">
        <v>34</v>
      </c>
      <c r="AF16" t="n">
        <v>23</v>
      </c>
    </row>
    <row r="17">
      <c r="A17" t="s">
        <v>13</v>
      </c>
      <c r="B17" t="s">
        <v>304</v>
      </c>
      <c r="C17" t="s">
        <v>236</v>
      </c>
      <c r="D17" t="s">
        <v>305</v>
      </c>
      <c r="E17" t="s">
        <v>237</v>
      </c>
      <c r="F17" t="n">
        <v>62</v>
      </c>
      <c r="G17" t="n">
        <v>27</v>
      </c>
      <c r="H17" t="n">
        <v>53</v>
      </c>
      <c r="I17" t="n">
        <v>47</v>
      </c>
      <c r="J17" t="n">
        <v>28</v>
      </c>
      <c r="K17" t="n">
        <v>31</v>
      </c>
      <c r="L17" t="n">
        <v>42</v>
      </c>
      <c r="M17" t="n">
        <v>51</v>
      </c>
      <c r="N17" t="n">
        <v>58</v>
      </c>
      <c r="O17" t="n">
        <v>13</v>
      </c>
      <c r="P17" t="n">
        <v>28</v>
      </c>
      <c r="Q17" t="n">
        <v>38</v>
      </c>
      <c r="R17" t="n">
        <v>38</v>
      </c>
      <c r="S17" t="n">
        <v>26</v>
      </c>
      <c r="T17" t="n">
        <v>37</v>
      </c>
      <c r="U17" t="n">
        <v>33</v>
      </c>
      <c r="V17" t="n">
        <v>38</v>
      </c>
      <c r="W17" t="n">
        <v>44</v>
      </c>
      <c r="X17" t="n">
        <v>23</v>
      </c>
      <c r="Y17" t="n">
        <v>49</v>
      </c>
      <c r="Z17" t="n">
        <v>46</v>
      </c>
      <c r="AA17" t="n">
        <v>51</v>
      </c>
      <c r="AB17" t="n">
        <v>88</v>
      </c>
      <c r="AC17" t="n">
        <v>87</v>
      </c>
      <c r="AD17" t="n">
        <v>68</v>
      </c>
      <c r="AE17" t="n">
        <v>64</v>
      </c>
      <c r="AF17" t="n">
        <v>36</v>
      </c>
    </row>
    <row r="18">
      <c r="A18" t="s">
        <v>13</v>
      </c>
      <c r="B18" t="s">
        <v>306</v>
      </c>
      <c r="C18" t="s">
        <v>236</v>
      </c>
      <c r="D18" t="s">
        <v>307</v>
      </c>
      <c r="E18" t="s">
        <v>237</v>
      </c>
      <c r="F18" t="n">
        <v>25</v>
      </c>
      <c r="G18" t="n">
        <v>12</v>
      </c>
      <c r="H18" t="n">
        <v>6</v>
      </c>
      <c r="I18" t="n">
        <v>26</v>
      </c>
      <c r="J18" t="n">
        <v>14</v>
      </c>
      <c r="K18" t="n">
        <v>13</v>
      </c>
      <c r="L18" t="n">
        <v>15</v>
      </c>
      <c r="M18" t="n">
        <v>17</v>
      </c>
      <c r="N18" t="n">
        <v>7</v>
      </c>
      <c r="O18" t="n">
        <v>13</v>
      </c>
      <c r="P18" t="n">
        <v>21</v>
      </c>
      <c r="Q18" t="n">
        <v>39</v>
      </c>
      <c r="R18" t="n">
        <v>23</v>
      </c>
      <c r="S18" t="n">
        <v>24</v>
      </c>
      <c r="T18" t="n">
        <v>13</v>
      </c>
      <c r="U18" t="n">
        <v>4</v>
      </c>
      <c r="V18" t="n">
        <v>-6</v>
      </c>
      <c r="W18" t="n">
        <v>22</v>
      </c>
      <c r="X18" t="n">
        <v>-18</v>
      </c>
      <c r="Y18" t="n">
        <v>3</v>
      </c>
      <c r="Z18" t="n">
        <v>10</v>
      </c>
      <c r="AA18" t="n">
        <v>15</v>
      </c>
      <c r="AB18" t="n">
        <v>34</v>
      </c>
      <c r="AC18" t="n">
        <v>36</v>
      </c>
      <c r="AD18" t="n">
        <v>3</v>
      </c>
      <c r="AE18" t="n">
        <v>28</v>
      </c>
      <c r="AF18" t="n">
        <v>20</v>
      </c>
    </row>
    <row r="19">
      <c r="A19" t="s">
        <v>13</v>
      </c>
      <c r="B19" t="s">
        <v>308</v>
      </c>
      <c r="C19" t="s">
        <v>236</v>
      </c>
      <c r="D19" t="s">
        <v>309</v>
      </c>
      <c r="E19" t="s">
        <v>237</v>
      </c>
      <c r="F19" t="n">
        <v>19</v>
      </c>
      <c r="G19" t="n">
        <v>12</v>
      </c>
      <c r="H19" t="n">
        <v>36</v>
      </c>
      <c r="I19" t="n">
        <v>41</v>
      </c>
      <c r="J19" t="n">
        <v>30</v>
      </c>
      <c r="K19" t="n">
        <v>52</v>
      </c>
      <c r="L19" t="n">
        <v>12</v>
      </c>
      <c r="M19" t="n">
        <v>2</v>
      </c>
      <c r="N19" t="n">
        <v>12</v>
      </c>
      <c r="O19" t="n">
        <v>9</v>
      </c>
      <c r="P19" t="n">
        <v>19</v>
      </c>
      <c r="Q19" t="n">
        <v>0</v>
      </c>
      <c r="R19" t="n">
        <v>15</v>
      </c>
      <c r="S19" t="n">
        <v>18</v>
      </c>
      <c r="T19" t="n">
        <v>13</v>
      </c>
      <c r="U19" t="n">
        <v>10</v>
      </c>
      <c r="V19" t="n">
        <v>5</v>
      </c>
      <c r="W19" t="n">
        <v>17</v>
      </c>
      <c r="X19" t="n">
        <v>12</v>
      </c>
      <c r="Y19" t="n">
        <v>6</v>
      </c>
      <c r="Z19" t="n">
        <v>9</v>
      </c>
      <c r="AA19" t="n">
        <v>48</v>
      </c>
      <c r="AB19" t="n">
        <v>7</v>
      </c>
      <c r="AC19" t="n">
        <v>14</v>
      </c>
      <c r="AD19" t="n">
        <v>1</v>
      </c>
      <c r="AE19" t="n">
        <v>32</v>
      </c>
      <c r="AF19" t="n">
        <v>29</v>
      </c>
    </row>
    <row r="20">
      <c r="A20" t="s">
        <v>13</v>
      </c>
      <c r="B20" t="s">
        <v>310</v>
      </c>
      <c r="C20" t="s">
        <v>236</v>
      </c>
      <c r="D20" t="s">
        <v>311</v>
      </c>
      <c r="E20" t="s">
        <v>237</v>
      </c>
      <c r="F20" t="n">
        <v>354</v>
      </c>
      <c r="G20" t="n">
        <v>368</v>
      </c>
      <c r="H20" t="n">
        <v>402</v>
      </c>
      <c r="I20" t="n">
        <v>371</v>
      </c>
      <c r="J20" t="n">
        <v>307</v>
      </c>
      <c r="K20" t="n">
        <v>368</v>
      </c>
      <c r="L20" t="n">
        <v>498</v>
      </c>
      <c r="M20" t="n">
        <v>414</v>
      </c>
      <c r="N20" t="n">
        <v>404</v>
      </c>
      <c r="O20" t="n">
        <v>665</v>
      </c>
      <c r="P20" t="n">
        <v>561</v>
      </c>
      <c r="Q20" t="n">
        <v>587</v>
      </c>
      <c r="R20" t="n">
        <v>657</v>
      </c>
      <c r="S20" t="n">
        <v>876</v>
      </c>
      <c r="T20" t="n">
        <v>763</v>
      </c>
      <c r="U20" t="n">
        <v>1601</v>
      </c>
      <c r="V20" t="n">
        <v>1424</v>
      </c>
      <c r="W20" t="n">
        <v>1000</v>
      </c>
      <c r="X20" t="n">
        <v>1178</v>
      </c>
      <c r="Y20" t="n">
        <v>1335</v>
      </c>
      <c r="Z20" t="n">
        <v>1246</v>
      </c>
      <c r="AA20" t="n">
        <v>1743</v>
      </c>
      <c r="AB20" t="n">
        <v>2130</v>
      </c>
      <c r="AC20" t="n">
        <v>1954</v>
      </c>
      <c r="AD20" t="n">
        <v>1322</v>
      </c>
      <c r="AE20" t="n">
        <v>982</v>
      </c>
      <c r="AF20" t="n">
        <v>1581</v>
      </c>
    </row>
    <row r="21">
      <c r="A21" t="s">
        <v>13</v>
      </c>
      <c r="B21" t="s">
        <v>312</v>
      </c>
      <c r="C21" t="s">
        <v>236</v>
      </c>
      <c r="D21" t="s">
        <v>313</v>
      </c>
      <c r="E21" t="s">
        <v>237</v>
      </c>
      <c r="F21" t="n">
        <v>556</v>
      </c>
      <c r="G21" t="n">
        <v>579</v>
      </c>
      <c r="H21" t="n">
        <v>640</v>
      </c>
      <c r="I21" t="n">
        <v>603</v>
      </c>
      <c r="J21" t="n">
        <v>552</v>
      </c>
      <c r="K21" t="n">
        <v>641</v>
      </c>
      <c r="L21" t="n">
        <v>725</v>
      </c>
      <c r="M21" t="n">
        <v>721</v>
      </c>
      <c r="N21" t="n">
        <v>740</v>
      </c>
      <c r="O21" t="n">
        <v>985</v>
      </c>
      <c r="P21" t="n">
        <v>907</v>
      </c>
      <c r="Q21" t="n">
        <v>1023</v>
      </c>
      <c r="R21" t="n">
        <v>1080</v>
      </c>
      <c r="S21" t="n">
        <v>1375</v>
      </c>
      <c r="T21" t="n">
        <v>1228</v>
      </c>
      <c r="U21" t="n">
        <v>2157</v>
      </c>
      <c r="V21" t="n">
        <v>1887</v>
      </c>
      <c r="W21" t="n">
        <v>1363</v>
      </c>
      <c r="X21" t="n">
        <v>1595</v>
      </c>
      <c r="Y21" t="n">
        <v>1778</v>
      </c>
      <c r="Z21" t="n">
        <v>1620</v>
      </c>
      <c r="AA21" t="n">
        <v>2218</v>
      </c>
      <c r="AB21" t="n">
        <v>2563</v>
      </c>
      <c r="AC21" t="n">
        <v>2549</v>
      </c>
      <c r="AD21" t="n">
        <v>1814</v>
      </c>
      <c r="AE21" t="n">
        <v>1771</v>
      </c>
      <c r="AF21" t="n">
        <v>2354</v>
      </c>
    </row>
    <row r="22">
      <c r="A22" t="s">
        <v>13</v>
      </c>
      <c r="B22" t="s">
        <v>314</v>
      </c>
      <c r="C22" t="s">
        <v>236</v>
      </c>
      <c r="D22" t="s">
        <v>315</v>
      </c>
      <c r="E22" t="s">
        <v>237</v>
      </c>
      <c r="F22" t="n">
        <v>202</v>
      </c>
      <c r="G22" t="n">
        <v>211</v>
      </c>
      <c r="H22" t="n">
        <v>238</v>
      </c>
      <c r="I22" t="n">
        <v>232</v>
      </c>
      <c r="J22" t="n">
        <v>245</v>
      </c>
      <c r="K22" t="n">
        <v>273</v>
      </c>
      <c r="L22" t="n">
        <v>227</v>
      </c>
      <c r="M22" t="n">
        <v>307</v>
      </c>
      <c r="N22" t="n">
        <v>336</v>
      </c>
      <c r="O22" t="n">
        <v>320</v>
      </c>
      <c r="P22" t="n">
        <v>346</v>
      </c>
      <c r="Q22" t="n">
        <v>436</v>
      </c>
      <c r="R22" t="n">
        <v>423</v>
      </c>
      <c r="S22" t="n">
        <v>499</v>
      </c>
      <c r="T22" t="n">
        <v>465</v>
      </c>
      <c r="U22" t="n">
        <v>556</v>
      </c>
      <c r="V22" t="n">
        <v>463</v>
      </c>
      <c r="W22" t="n">
        <v>363</v>
      </c>
      <c r="X22" t="n">
        <v>417</v>
      </c>
      <c r="Y22" t="n">
        <v>443</v>
      </c>
      <c r="Z22" t="n">
        <v>374</v>
      </c>
      <c r="AA22" t="n">
        <v>475</v>
      </c>
      <c r="AB22" t="n">
        <v>433</v>
      </c>
      <c r="AC22" t="n">
        <v>595</v>
      </c>
      <c r="AD22" t="n">
        <v>492</v>
      </c>
      <c r="AE22" t="n">
        <v>789</v>
      </c>
      <c r="AF22" t="n">
        <v>773</v>
      </c>
    </row>
    <row r="23">
      <c r="A23" t="s">
        <v>13</v>
      </c>
      <c r="B23" t="s">
        <v>316</v>
      </c>
      <c r="C23" t="s">
        <v>236</v>
      </c>
      <c r="D23" t="s">
        <v>317</v>
      </c>
      <c r="E23" t="s">
        <v>237</v>
      </c>
      <c r="F23" t="n">
        <v>22</v>
      </c>
      <c r="G23" t="n">
        <v>18</v>
      </c>
      <c r="H23" t="n">
        <v>38</v>
      </c>
      <c r="I23" t="n">
        <v>36</v>
      </c>
      <c r="J23" t="n">
        <v>48</v>
      </c>
      <c r="K23" t="n">
        <v>54</v>
      </c>
      <c r="L23" t="n">
        <v>47</v>
      </c>
      <c r="M23" t="n">
        <v>54</v>
      </c>
      <c r="N23" t="n">
        <v>54</v>
      </c>
      <c r="O23" t="n">
        <v>66</v>
      </c>
      <c r="P23" t="n">
        <v>64</v>
      </c>
      <c r="Q23" t="n">
        <v>80</v>
      </c>
      <c r="R23" t="n">
        <v>107</v>
      </c>
      <c r="S23" t="n">
        <v>123</v>
      </c>
      <c r="T23" t="n">
        <v>113</v>
      </c>
      <c r="U23" t="n">
        <v>135</v>
      </c>
      <c r="V23" t="n">
        <v>102</v>
      </c>
      <c r="W23" t="n">
        <v>138</v>
      </c>
      <c r="X23" t="n">
        <v>91</v>
      </c>
      <c r="Y23" t="n">
        <v>135</v>
      </c>
      <c r="Z23" t="n">
        <v>125</v>
      </c>
      <c r="AA23" t="n">
        <v>114</v>
      </c>
      <c r="AB23" t="n">
        <v>134</v>
      </c>
      <c r="AC23" t="n">
        <v>144</v>
      </c>
      <c r="AD23" t="n">
        <v>164</v>
      </c>
      <c r="AE23" t="n">
        <v>240</v>
      </c>
      <c r="AF23" t="n">
        <v>200</v>
      </c>
    </row>
    <row r="24">
      <c r="A24" t="s">
        <v>13</v>
      </c>
      <c r="B24" t="s">
        <v>318</v>
      </c>
      <c r="C24" t="s">
        <v>236</v>
      </c>
      <c r="D24" t="s">
        <v>319</v>
      </c>
      <c r="E24" t="s">
        <v>237</v>
      </c>
      <c r="F24" t="n">
        <v>168</v>
      </c>
      <c r="G24" t="n">
        <v>274</v>
      </c>
      <c r="H24" t="n">
        <v>264</v>
      </c>
      <c r="I24" t="n">
        <v>243</v>
      </c>
      <c r="J24" t="n">
        <v>283</v>
      </c>
      <c r="K24" t="n">
        <v>293</v>
      </c>
      <c r="L24" t="n">
        <v>200</v>
      </c>
      <c r="M24" t="n">
        <v>237</v>
      </c>
      <c r="N24" t="n">
        <v>305</v>
      </c>
      <c r="O24" t="n">
        <v>366</v>
      </c>
      <c r="P24" t="n">
        <v>264</v>
      </c>
      <c r="Q24" t="n">
        <v>108</v>
      </c>
      <c r="R24" t="n">
        <v>372</v>
      </c>
      <c r="S24" t="n">
        <v>339</v>
      </c>
      <c r="T24" t="n">
        <v>308</v>
      </c>
      <c r="U24" t="n">
        <v>262</v>
      </c>
      <c r="V24" t="n">
        <v>248</v>
      </c>
      <c r="W24" t="n">
        <v>387</v>
      </c>
      <c r="X24" t="n">
        <v>349</v>
      </c>
      <c r="Y24" t="n">
        <v>264</v>
      </c>
      <c r="Z24" t="n">
        <v>119</v>
      </c>
      <c r="AA24" t="n">
        <v>405</v>
      </c>
      <c r="AB24" t="n">
        <v>500</v>
      </c>
      <c r="AC24" t="n">
        <v>521</v>
      </c>
      <c r="AD24" t="n">
        <v>416</v>
      </c>
      <c r="AE24" t="n">
        <v>380</v>
      </c>
      <c r="AF24" t="n">
        <v>502</v>
      </c>
    </row>
    <row r="25">
      <c r="A25" t="s">
        <v>13</v>
      </c>
      <c r="B25" t="s">
        <v>320</v>
      </c>
      <c r="C25" t="s">
        <v>236</v>
      </c>
      <c r="D25" t="s">
        <v>321</v>
      </c>
      <c r="E25" t="s">
        <v>237</v>
      </c>
      <c r="F25" t="n">
        <v>15</v>
      </c>
      <c r="G25" t="n">
        <v>16</v>
      </c>
      <c r="H25" t="n">
        <v>28</v>
      </c>
      <c r="I25" t="n">
        <v>26</v>
      </c>
      <c r="J25" t="n">
        <v>43</v>
      </c>
      <c r="K25" t="n">
        <v>20</v>
      </c>
      <c r="L25" t="n">
        <v>22</v>
      </c>
      <c r="M25" t="n">
        <v>22</v>
      </c>
      <c r="N25" t="n">
        <v>32</v>
      </c>
      <c r="O25" t="n">
        <v>52</v>
      </c>
      <c r="P25" t="n">
        <v>54</v>
      </c>
      <c r="Q25" t="n">
        <v>57</v>
      </c>
      <c r="R25" t="n">
        <v>45</v>
      </c>
      <c r="S25" t="n">
        <v>61</v>
      </c>
      <c r="T25" t="n">
        <v>44</v>
      </c>
      <c r="U25" t="n">
        <v>49</v>
      </c>
      <c r="V25" t="n">
        <v>2</v>
      </c>
      <c r="W25" t="n">
        <v>43</v>
      </c>
      <c r="X25" t="n">
        <v>37</v>
      </c>
      <c r="Y25" t="n">
        <v>20</v>
      </c>
      <c r="Z25" t="n">
        <v>25</v>
      </c>
      <c r="AA25" t="n">
        <v>41</v>
      </c>
      <c r="AB25" t="n">
        <v>29</v>
      </c>
      <c r="AC25" t="n">
        <v>61</v>
      </c>
      <c r="AD25" t="n">
        <v>73</v>
      </c>
      <c r="AE25" t="n">
        <v>40</v>
      </c>
      <c r="AF25" t="n">
        <v>71</v>
      </c>
    </row>
    <row r="26">
      <c r="A26" t="s">
        <v>13</v>
      </c>
      <c r="B26" t="s">
        <v>322</v>
      </c>
      <c r="C26" t="s">
        <v>236</v>
      </c>
      <c r="D26" t="s">
        <v>323</v>
      </c>
      <c r="E26" t="s">
        <v>237</v>
      </c>
      <c r="F26" t="n">
        <v>25</v>
      </c>
      <c r="G26" t="n">
        <v>176</v>
      </c>
      <c r="H26" t="n">
        <v>119</v>
      </c>
      <c r="I26" t="n">
        <v>109</v>
      </c>
      <c r="J26" t="n">
        <v>116</v>
      </c>
      <c r="K26" t="n">
        <v>115</v>
      </c>
      <c r="L26" t="n">
        <v>71</v>
      </c>
      <c r="M26" t="n">
        <v>80</v>
      </c>
      <c r="N26" t="n">
        <v>70</v>
      </c>
      <c r="O26" t="n">
        <v>70</v>
      </c>
      <c r="P26" t="n">
        <v>101</v>
      </c>
      <c r="Q26" t="n">
        <v>-19</v>
      </c>
      <c r="R26" t="n">
        <v>164</v>
      </c>
      <c r="S26" t="n">
        <v>127</v>
      </c>
      <c r="T26" t="n">
        <v>46</v>
      </c>
      <c r="U26" t="n">
        <v>31</v>
      </c>
      <c r="V26" t="n">
        <v>129</v>
      </c>
      <c r="W26" t="n">
        <v>161</v>
      </c>
      <c r="X26" t="n">
        <v>112</v>
      </c>
      <c r="Y26" t="n">
        <v>144</v>
      </c>
      <c r="Z26" t="n">
        <v>-78</v>
      </c>
      <c r="AA26" t="n">
        <v>185</v>
      </c>
      <c r="AB26" t="n">
        <v>225</v>
      </c>
      <c r="AC26" t="n">
        <v>253</v>
      </c>
      <c r="AD26" t="n">
        <v>134</v>
      </c>
      <c r="AE26" t="n">
        <v>93</v>
      </c>
      <c r="AF26" t="n">
        <v>82</v>
      </c>
    </row>
    <row r="27">
      <c r="A27" t="s">
        <v>13</v>
      </c>
      <c r="B27" t="s">
        <v>324</v>
      </c>
      <c r="C27" t="s">
        <v>236</v>
      </c>
      <c r="D27" t="s">
        <v>325</v>
      </c>
      <c r="E27" t="s">
        <v>237</v>
      </c>
      <c r="F27" t="n">
        <v>128</v>
      </c>
      <c r="G27" t="n">
        <v>82</v>
      </c>
      <c r="H27" t="n">
        <v>117</v>
      </c>
      <c r="I27" t="n">
        <v>108</v>
      </c>
      <c r="J27" t="n">
        <v>124</v>
      </c>
      <c r="K27" t="n">
        <v>158</v>
      </c>
      <c r="L27" t="n">
        <v>107</v>
      </c>
      <c r="M27" t="n">
        <v>135</v>
      </c>
      <c r="N27" t="n">
        <v>203</v>
      </c>
      <c r="O27" t="n">
        <v>244</v>
      </c>
      <c r="P27" t="n">
        <v>109</v>
      </c>
      <c r="Q27" t="n">
        <v>70</v>
      </c>
      <c r="R27" t="n">
        <v>163</v>
      </c>
      <c r="S27" t="n">
        <v>151</v>
      </c>
      <c r="T27" t="n">
        <v>218</v>
      </c>
      <c r="U27" t="n">
        <v>182</v>
      </c>
      <c r="V27" t="n">
        <v>117</v>
      </c>
      <c r="W27" t="n">
        <v>183</v>
      </c>
      <c r="X27" t="n">
        <v>200</v>
      </c>
      <c r="Y27" t="n">
        <v>100</v>
      </c>
      <c r="Z27" t="n">
        <v>172</v>
      </c>
      <c r="AA27" t="n">
        <v>179</v>
      </c>
      <c r="AB27" t="n">
        <v>246</v>
      </c>
      <c r="AC27" t="n">
        <v>207</v>
      </c>
      <c r="AD27" t="n">
        <v>209</v>
      </c>
      <c r="AE27" t="n">
        <v>247</v>
      </c>
      <c r="AF27" t="n">
        <v>349</v>
      </c>
    </row>
    <row r="28">
      <c r="A28" t="s">
        <v>13</v>
      </c>
      <c r="B28" t="s">
        <v>326</v>
      </c>
      <c r="C28" t="s">
        <v>236</v>
      </c>
      <c r="D28" t="s">
        <v>327</v>
      </c>
      <c r="E28" t="s">
        <v>237</v>
      </c>
      <c r="F28" t="n">
        <v>187</v>
      </c>
      <c r="G28" t="n">
        <v>238</v>
      </c>
      <c r="H28" t="n">
        <v>223</v>
      </c>
      <c r="I28" t="n">
        <v>341</v>
      </c>
      <c r="J28" t="n">
        <v>252</v>
      </c>
      <c r="K28" t="n">
        <v>222</v>
      </c>
      <c r="L28" t="n">
        <v>198</v>
      </c>
      <c r="M28" t="n">
        <v>198</v>
      </c>
      <c r="N28" t="n">
        <v>247</v>
      </c>
      <c r="O28" t="n">
        <v>233</v>
      </c>
      <c r="P28" t="n">
        <v>141</v>
      </c>
      <c r="Q28" t="n">
        <v>279</v>
      </c>
      <c r="R28" t="n">
        <v>307</v>
      </c>
      <c r="S28" t="n">
        <v>455</v>
      </c>
      <c r="T28" t="n">
        <v>299</v>
      </c>
      <c r="U28" t="n">
        <v>268</v>
      </c>
      <c r="V28" t="n">
        <v>279</v>
      </c>
      <c r="W28" t="n">
        <v>253</v>
      </c>
      <c r="X28" t="n">
        <v>256</v>
      </c>
      <c r="Y28" t="n">
        <v>224</v>
      </c>
      <c r="Z28" t="n">
        <v>262</v>
      </c>
      <c r="AA28" t="n">
        <v>336</v>
      </c>
      <c r="AB28" t="n">
        <v>453</v>
      </c>
      <c r="AC28" t="n">
        <v>553</v>
      </c>
      <c r="AD28" t="n">
        <v>516</v>
      </c>
      <c r="AE28" t="n">
        <v>524</v>
      </c>
      <c r="AF28" t="n">
        <v>523</v>
      </c>
    </row>
    <row r="29">
      <c r="A29" t="s">
        <v>13</v>
      </c>
      <c r="B29" t="s">
        <v>328</v>
      </c>
      <c r="C29" t="s">
        <v>236</v>
      </c>
      <c r="D29" t="s">
        <v>329</v>
      </c>
      <c r="E29" t="s">
        <v>237</v>
      </c>
      <c r="F29" t="n">
        <v>25</v>
      </c>
      <c r="G29" t="n">
        <v>85</v>
      </c>
      <c r="H29" t="n">
        <v>70</v>
      </c>
      <c r="I29" t="n">
        <v>54</v>
      </c>
      <c r="J29" t="n">
        <v>68</v>
      </c>
      <c r="K29" t="n">
        <v>59</v>
      </c>
      <c r="L29" t="n">
        <v>55</v>
      </c>
      <c r="M29" t="n">
        <v>49</v>
      </c>
      <c r="N29" t="n">
        <v>46</v>
      </c>
      <c r="O29" t="n">
        <v>42</v>
      </c>
      <c r="P29" t="n">
        <v>66</v>
      </c>
      <c r="Q29" t="n">
        <v>90</v>
      </c>
      <c r="R29" t="n">
        <v>65</v>
      </c>
      <c r="S29" t="n">
        <v>117</v>
      </c>
      <c r="T29" t="n">
        <v>110</v>
      </c>
      <c r="U29" t="n">
        <v>74</v>
      </c>
      <c r="V29" t="n">
        <v>123</v>
      </c>
      <c r="W29" t="n">
        <v>52</v>
      </c>
      <c r="X29" t="n">
        <v>98</v>
      </c>
      <c r="Y29" t="n">
        <v>53</v>
      </c>
      <c r="Z29" t="n">
        <v>104</v>
      </c>
      <c r="AA29" t="n">
        <v>67</v>
      </c>
      <c r="AB29" t="n">
        <v>42</v>
      </c>
      <c r="AC29" t="n">
        <v>89</v>
      </c>
      <c r="AD29" t="n">
        <v>137</v>
      </c>
      <c r="AE29" t="n">
        <v>166</v>
      </c>
      <c r="AF29" t="n">
        <v>157</v>
      </c>
    </row>
    <row r="30">
      <c r="A30" t="s">
        <v>13</v>
      </c>
      <c r="B30" t="s">
        <v>330</v>
      </c>
      <c r="C30" t="s">
        <v>236</v>
      </c>
      <c r="D30" t="s">
        <v>331</v>
      </c>
      <c r="E30" t="s">
        <v>237</v>
      </c>
      <c r="F30" t="n">
        <v>2</v>
      </c>
      <c r="G30" t="n">
        <v>-6</v>
      </c>
      <c r="H30" t="n">
        <v>-7</v>
      </c>
      <c r="I30" t="n">
        <v>6</v>
      </c>
      <c r="J30" t="n">
        <v>2</v>
      </c>
      <c r="K30" t="n">
        <v>1</v>
      </c>
      <c r="L30" t="n">
        <v>3</v>
      </c>
      <c r="M30" t="n">
        <v>4</v>
      </c>
      <c r="N30" t="n">
        <v>-6</v>
      </c>
      <c r="O30" t="n">
        <v>2</v>
      </c>
      <c r="P30" t="n">
        <v>0</v>
      </c>
      <c r="Q30" t="n">
        <v>3</v>
      </c>
      <c r="R30" t="n">
        <v>3</v>
      </c>
      <c r="S30" t="n">
        <v>1</v>
      </c>
      <c r="T30" t="n">
        <v>3</v>
      </c>
      <c r="U30" t="n">
        <v>10</v>
      </c>
      <c r="V30" t="n">
        <v>5</v>
      </c>
      <c r="W30" t="n">
        <v>1</v>
      </c>
      <c r="X30" t="n">
        <v>3</v>
      </c>
      <c r="Y30" t="n">
        <v>1</v>
      </c>
      <c r="Z30" t="n">
        <v>1</v>
      </c>
      <c r="AA30" t="n">
        <v>1</v>
      </c>
      <c r="AB30" t="n">
        <v>1</v>
      </c>
      <c r="AC30" t="n">
        <v>16</v>
      </c>
      <c r="AD30" t="n">
        <v>3</v>
      </c>
      <c r="AE30" t="n">
        <v>3</v>
      </c>
      <c r="AF30" t="n">
        <v>-18</v>
      </c>
    </row>
    <row r="31">
      <c r="A31" t="s">
        <v>13</v>
      </c>
      <c r="B31" t="s">
        <v>332</v>
      </c>
      <c r="C31" t="s">
        <v>236</v>
      </c>
      <c r="D31" t="s">
        <v>333</v>
      </c>
      <c r="E31" t="s">
        <v>237</v>
      </c>
      <c r="F31" t="n">
        <v>4</v>
      </c>
      <c r="G31" t="n">
        <v>11</v>
      </c>
      <c r="H31" t="n">
        <v>10</v>
      </c>
      <c r="I31" t="n">
        <v>16</v>
      </c>
      <c r="J31" t="n">
        <v>21</v>
      </c>
      <c r="K31" t="n">
        <v>4</v>
      </c>
      <c r="L31" t="n">
        <v>-2</v>
      </c>
      <c r="M31" t="n">
        <v>-1</v>
      </c>
      <c r="N31" t="n">
        <v>0</v>
      </c>
      <c r="O31" t="n">
        <v>0</v>
      </c>
      <c r="P31" t="n">
        <v>0</v>
      </c>
      <c r="Q31" t="n">
        <v>2</v>
      </c>
      <c r="R31" t="n">
        <v>-3</v>
      </c>
      <c r="S31" t="n">
        <v>17</v>
      </c>
      <c r="T31" t="n">
        <v>-42</v>
      </c>
      <c r="U31" t="n">
        <v>2</v>
      </c>
      <c r="V31" t="n">
        <v>1</v>
      </c>
      <c r="W31" t="n">
        <v>1</v>
      </c>
      <c r="X31" t="n">
        <v>0</v>
      </c>
      <c r="Y31" t="n">
        <v>1</v>
      </c>
      <c r="Z31" t="n">
        <v>-12</v>
      </c>
      <c r="AA31" t="n">
        <v>24</v>
      </c>
      <c r="AB31" t="n">
        <v>7</v>
      </c>
      <c r="AC31" t="n">
        <v>10</v>
      </c>
      <c r="AD31" t="n">
        <v>9</v>
      </c>
      <c r="AE31" t="n">
        <v>0</v>
      </c>
      <c r="AF31" t="n">
        <v>1</v>
      </c>
    </row>
    <row r="32">
      <c r="A32" t="s">
        <v>13</v>
      </c>
      <c r="B32" t="s">
        <v>334</v>
      </c>
      <c r="C32" t="s">
        <v>236</v>
      </c>
      <c r="D32" t="s">
        <v>335</v>
      </c>
      <c r="E32" t="s">
        <v>237</v>
      </c>
      <c r="F32" t="n">
        <v>149</v>
      </c>
      <c r="G32" t="n">
        <v>134</v>
      </c>
      <c r="H32" t="n">
        <v>129</v>
      </c>
      <c r="I32" t="n">
        <v>229</v>
      </c>
      <c r="J32" t="n">
        <v>147</v>
      </c>
      <c r="K32" t="n">
        <v>140</v>
      </c>
      <c r="L32" t="n">
        <v>132</v>
      </c>
      <c r="M32" t="n">
        <v>142</v>
      </c>
      <c r="N32" t="n">
        <v>200</v>
      </c>
      <c r="O32" t="n">
        <v>183</v>
      </c>
      <c r="P32" t="n">
        <v>70</v>
      </c>
      <c r="Q32" t="n">
        <v>183</v>
      </c>
      <c r="R32" t="n">
        <v>246</v>
      </c>
      <c r="S32" t="n">
        <v>279</v>
      </c>
      <c r="T32" t="n">
        <v>190</v>
      </c>
      <c r="U32" t="n">
        <v>176</v>
      </c>
      <c r="V32" t="n">
        <v>144</v>
      </c>
      <c r="W32" t="n">
        <v>161</v>
      </c>
      <c r="X32" t="n">
        <v>154</v>
      </c>
      <c r="Y32" t="n">
        <v>155</v>
      </c>
      <c r="Z32" t="n">
        <v>238</v>
      </c>
      <c r="AA32" t="n">
        <v>279</v>
      </c>
      <c r="AB32" t="n">
        <v>403</v>
      </c>
      <c r="AC32" t="n">
        <v>438</v>
      </c>
      <c r="AD32" t="n">
        <v>367</v>
      </c>
      <c r="AE32" t="n">
        <v>355</v>
      </c>
      <c r="AF32" t="n">
        <v>383</v>
      </c>
    </row>
    <row r="33">
      <c r="A33" t="s">
        <v>13</v>
      </c>
      <c r="B33" t="s">
        <v>336</v>
      </c>
      <c r="C33" t="s">
        <v>236</v>
      </c>
      <c r="D33" t="s">
        <v>337</v>
      </c>
      <c r="E33" t="s">
        <v>237</v>
      </c>
      <c r="F33" t="n">
        <v>7</v>
      </c>
      <c r="G33" t="n">
        <v>14</v>
      </c>
      <c r="H33" t="n">
        <v>21</v>
      </c>
      <c r="I33" t="n">
        <v>36</v>
      </c>
      <c r="J33" t="n">
        <v>14</v>
      </c>
      <c r="K33" t="n">
        <v>18</v>
      </c>
      <c r="L33" t="n">
        <v>10</v>
      </c>
      <c r="M33" t="n">
        <v>4</v>
      </c>
      <c r="N33" t="n">
        <v>7</v>
      </c>
      <c r="O33" t="n">
        <v>6</v>
      </c>
      <c r="P33" t="n">
        <v>5</v>
      </c>
      <c r="Q33" t="n">
        <v>1</v>
      </c>
      <c r="R33" t="n">
        <v>-4</v>
      </c>
      <c r="S33" t="n">
        <v>41</v>
      </c>
      <c r="T33" t="n">
        <v>38</v>
      </c>
      <c r="U33" t="n">
        <v>6</v>
      </c>
      <c r="V33" t="n">
        <v>6</v>
      </c>
      <c r="W33" t="n">
        <v>38</v>
      </c>
      <c r="X33" t="n">
        <v>1</v>
      </c>
      <c r="Y33" t="n">
        <v>14</v>
      </c>
      <c r="Z33" t="n">
        <v>-69</v>
      </c>
      <c r="AA33" t="n">
        <v>-35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13</v>
      </c>
      <c r="B34" t="s">
        <v>338</v>
      </c>
      <c r="C34" t="s">
        <v>236</v>
      </c>
      <c r="D34" t="s">
        <v>339</v>
      </c>
      <c r="E34" t="s">
        <v>237</v>
      </c>
      <c r="F34" t="n">
        <v>29</v>
      </c>
      <c r="G34" t="n">
        <v>33</v>
      </c>
      <c r="H34" t="n">
        <v>41</v>
      </c>
      <c r="I34" t="n">
        <v>28</v>
      </c>
      <c r="J34" t="n">
        <v>38</v>
      </c>
      <c r="K34" t="n">
        <v>32</v>
      </c>
      <c r="L34" t="n">
        <v>18</v>
      </c>
      <c r="M34" t="n">
        <v>51</v>
      </c>
      <c r="N34" t="n">
        <v>19</v>
      </c>
      <c r="O34" t="n">
        <v>40</v>
      </c>
      <c r="P34" t="n">
        <v>42</v>
      </c>
      <c r="Q34" t="n">
        <v>71</v>
      </c>
      <c r="R34" t="n">
        <v>73</v>
      </c>
      <c r="S34" t="n">
        <v>74</v>
      </c>
      <c r="T34" t="n">
        <v>78</v>
      </c>
      <c r="U34" t="n">
        <v>89</v>
      </c>
      <c r="V34" t="n">
        <v>53</v>
      </c>
      <c r="W34" t="n">
        <v>64</v>
      </c>
      <c r="X34" t="n">
        <v>39</v>
      </c>
      <c r="Y34" t="n">
        <v>49</v>
      </c>
      <c r="Z34" t="n">
        <v>58</v>
      </c>
      <c r="AA34" t="n">
        <v>78</v>
      </c>
      <c r="AB34" t="n">
        <v>103</v>
      </c>
      <c r="AC34" t="n">
        <v>104</v>
      </c>
      <c r="AD34" t="n">
        <v>93</v>
      </c>
      <c r="AE34" t="n">
        <v>125</v>
      </c>
      <c r="AF34" t="n">
        <v>94</v>
      </c>
    </row>
    <row r="35">
      <c r="A35" t="s">
        <v>13</v>
      </c>
      <c r="B35" t="s">
        <v>340</v>
      </c>
      <c r="C35" t="s">
        <v>236</v>
      </c>
      <c r="D35" t="s">
        <v>341</v>
      </c>
      <c r="E35" t="s">
        <v>237</v>
      </c>
      <c r="F35" t="n">
        <v>341</v>
      </c>
      <c r="G35" t="n">
        <v>373</v>
      </c>
      <c r="H35" t="n">
        <v>388</v>
      </c>
      <c r="I35" t="n">
        <v>379</v>
      </c>
      <c r="J35" t="n">
        <v>495</v>
      </c>
      <c r="K35" t="n">
        <v>512</v>
      </c>
      <c r="L35" t="n">
        <v>523</v>
      </c>
      <c r="M35" t="n">
        <v>421</v>
      </c>
      <c r="N35" t="n">
        <v>334</v>
      </c>
      <c r="O35" t="n">
        <v>113</v>
      </c>
      <c r="P35" t="n">
        <v>98</v>
      </c>
      <c r="Q35" t="n">
        <v>150</v>
      </c>
      <c r="R35" t="n">
        <v>149</v>
      </c>
      <c r="S35" t="n">
        <v>155</v>
      </c>
      <c r="T35" t="n">
        <v>155</v>
      </c>
      <c r="U35" t="n">
        <v>180</v>
      </c>
      <c r="V35" t="n">
        <v>189</v>
      </c>
      <c r="W35" t="n">
        <v>148</v>
      </c>
      <c r="X35" t="n">
        <v>226</v>
      </c>
      <c r="Y35" t="n">
        <v>437</v>
      </c>
      <c r="Z35" t="n">
        <v>400</v>
      </c>
      <c r="AA35" t="n">
        <v>229</v>
      </c>
      <c r="AB35" t="n">
        <v>272</v>
      </c>
      <c r="AC35" t="n">
        <v>330</v>
      </c>
      <c r="AD35" t="n">
        <v>334</v>
      </c>
      <c r="AE35" t="n">
        <v>618</v>
      </c>
      <c r="AF35" t="n">
        <v>357</v>
      </c>
    </row>
    <row r="36">
      <c r="A36" t="s">
        <v>13</v>
      </c>
      <c r="B36" t="s">
        <v>342</v>
      </c>
      <c r="C36" t="s">
        <v>236</v>
      </c>
      <c r="D36" t="s">
        <v>343</v>
      </c>
      <c r="E36" t="s">
        <v>237</v>
      </c>
      <c r="F36" t="n">
        <v>12</v>
      </c>
      <c r="G36" t="n">
        <v>8</v>
      </c>
      <c r="H36" t="n">
        <v>32</v>
      </c>
      <c r="I36" t="n">
        <v>33</v>
      </c>
      <c r="J36" t="n">
        <v>21</v>
      </c>
      <c r="K36" t="n">
        <v>13</v>
      </c>
      <c r="L36" t="n">
        <v>4</v>
      </c>
      <c r="M36" t="n">
        <v>11</v>
      </c>
      <c r="N36" t="n">
        <v>14</v>
      </c>
      <c r="O36" t="n">
        <v>14</v>
      </c>
      <c r="P36" t="n">
        <v>14</v>
      </c>
      <c r="Q36" t="n">
        <v>9</v>
      </c>
      <c r="R36" t="n">
        <v>15</v>
      </c>
      <c r="S36" t="n">
        <v>-5</v>
      </c>
      <c r="T36" t="n">
        <v>13</v>
      </c>
      <c r="U36" t="n">
        <v>13</v>
      </c>
      <c r="V36" t="n">
        <v>18</v>
      </c>
      <c r="W36" t="n">
        <v>-6</v>
      </c>
      <c r="X36" t="n">
        <v>28</v>
      </c>
      <c r="Y36" t="n">
        <v>-107</v>
      </c>
      <c r="Z36" t="n">
        <v>9</v>
      </c>
      <c r="AA36" t="n">
        <v>-2</v>
      </c>
      <c r="AB36" t="n">
        <v>29</v>
      </c>
      <c r="AC36" t="n">
        <v>26</v>
      </c>
      <c r="AD36" t="n">
        <v>23</v>
      </c>
      <c r="AE36" t="n">
        <v>2</v>
      </c>
      <c r="AF36" t="n">
        <v>15</v>
      </c>
    </row>
    <row r="37">
      <c r="A37" t="s">
        <v>13</v>
      </c>
      <c r="B37" t="s">
        <v>344</v>
      </c>
      <c r="C37" t="s">
        <v>236</v>
      </c>
      <c r="D37" t="s">
        <v>345</v>
      </c>
      <c r="E37" t="s">
        <v>237</v>
      </c>
      <c r="F37" t="n">
        <v>328</v>
      </c>
      <c r="G37" t="n">
        <v>361</v>
      </c>
      <c r="H37" t="n">
        <v>354</v>
      </c>
      <c r="I37" t="n">
        <v>341</v>
      </c>
      <c r="J37" t="n">
        <v>472</v>
      </c>
      <c r="K37" t="n">
        <v>492</v>
      </c>
      <c r="L37" t="n">
        <v>516</v>
      </c>
      <c r="M37" t="n">
        <v>409</v>
      </c>
      <c r="N37" t="n">
        <v>320</v>
      </c>
      <c r="O37" t="n">
        <v>150</v>
      </c>
      <c r="P37" t="n">
        <v>83</v>
      </c>
      <c r="Q37" t="n">
        <v>137</v>
      </c>
      <c r="R37" t="n">
        <v>131</v>
      </c>
      <c r="S37" t="n">
        <v>158</v>
      </c>
      <c r="T37" t="n">
        <v>139</v>
      </c>
      <c r="U37" t="n">
        <v>164</v>
      </c>
      <c r="V37" t="n">
        <v>145</v>
      </c>
      <c r="W37" t="n">
        <v>136</v>
      </c>
      <c r="X37" t="n">
        <v>186</v>
      </c>
      <c r="Y37" t="n">
        <v>140</v>
      </c>
      <c r="Z37" t="n">
        <v>201</v>
      </c>
      <c r="AA37" t="n">
        <v>215</v>
      </c>
      <c r="AB37" t="n">
        <v>224</v>
      </c>
      <c r="AC37" t="n">
        <v>200</v>
      </c>
      <c r="AD37" t="n">
        <v>127</v>
      </c>
      <c r="AE37" t="n">
        <v>207</v>
      </c>
      <c r="AF37" t="n">
        <v>209</v>
      </c>
    </row>
    <row r="38">
      <c r="A38" t="s">
        <v>13</v>
      </c>
      <c r="B38" t="s">
        <v>346</v>
      </c>
      <c r="C38" t="s">
        <v>236</v>
      </c>
      <c r="D38" t="s">
        <v>347</v>
      </c>
      <c r="E38" t="s">
        <v>237</v>
      </c>
      <c r="F38" t="n">
        <v>1</v>
      </c>
      <c r="G38" t="n">
        <v>4</v>
      </c>
      <c r="H38" t="n">
        <v>2</v>
      </c>
      <c r="I38" t="n">
        <v>5</v>
      </c>
      <c r="J38" t="n">
        <v>2</v>
      </c>
      <c r="K38" t="n">
        <v>7</v>
      </c>
      <c r="L38" t="n">
        <v>3</v>
      </c>
      <c r="M38" t="n">
        <v>1</v>
      </c>
      <c r="N38" t="n">
        <v>0</v>
      </c>
      <c r="O38" t="n">
        <v>-51</v>
      </c>
      <c r="P38" t="n">
        <v>1</v>
      </c>
      <c r="Q38" t="n">
        <v>4</v>
      </c>
      <c r="R38" t="n">
        <v>3</v>
      </c>
      <c r="S38" t="n">
        <v>2</v>
      </c>
      <c r="T38" t="n">
        <v>3</v>
      </c>
      <c r="U38" t="n">
        <v>3</v>
      </c>
      <c r="V38" t="n">
        <v>26</v>
      </c>
      <c r="W38" t="n">
        <v>18</v>
      </c>
      <c r="X38" t="n">
        <v>12</v>
      </c>
      <c r="Y38" t="n">
        <v>404</v>
      </c>
      <c r="Z38" t="n">
        <v>190</v>
      </c>
      <c r="AA38" t="n">
        <v>16</v>
      </c>
      <c r="AB38" t="n">
        <v>19</v>
      </c>
      <c r="AC38" t="n">
        <v>104</v>
      </c>
      <c r="AD38" t="n">
        <v>184</v>
      </c>
      <c r="AE38" t="n">
        <v>409</v>
      </c>
      <c r="AF38" t="n">
        <v>133</v>
      </c>
    </row>
    <row r="39">
      <c r="A39" t="s">
        <v>13</v>
      </c>
      <c r="B39" t="s">
        <v>348</v>
      </c>
      <c r="C39" t="s">
        <v>236</v>
      </c>
      <c r="D39" t="s">
        <v>349</v>
      </c>
      <c r="E39" t="s">
        <v>237</v>
      </c>
      <c r="F39" t="n">
        <v>-203</v>
      </c>
      <c r="G39" t="n">
        <v>-154</v>
      </c>
      <c r="H39" t="n">
        <v>-225</v>
      </c>
      <c r="I39" t="n">
        <v>-51</v>
      </c>
      <c r="J39" t="n">
        <v>-46</v>
      </c>
      <c r="K39" t="n">
        <v>15</v>
      </c>
      <c r="L39" t="n">
        <v>-48</v>
      </c>
      <c r="M39" t="n">
        <v>-37</v>
      </c>
      <c r="N39" t="n">
        <v>-62</v>
      </c>
      <c r="O39" t="n">
        <v>-103</v>
      </c>
      <c r="P39" t="n">
        <v>-20</v>
      </c>
      <c r="Q39" t="n">
        <v>-23</v>
      </c>
      <c r="R39" t="n">
        <v>54</v>
      </c>
      <c r="S39" t="n">
        <v>57</v>
      </c>
      <c r="T39" t="n">
        <v>96</v>
      </c>
      <c r="U39" t="n">
        <v>1</v>
      </c>
      <c r="V39" t="n">
        <v>13</v>
      </c>
      <c r="W39" t="n">
        <v>18</v>
      </c>
      <c r="X39" t="n">
        <v>14</v>
      </c>
      <c r="Y39" t="n">
        <v>31</v>
      </c>
      <c r="Z39" t="n">
        <v>23</v>
      </c>
      <c r="AA39" t="n">
        <v>126</v>
      </c>
      <c r="AB39" t="n">
        <v>2</v>
      </c>
      <c r="AC39" t="n">
        <v>-6</v>
      </c>
      <c r="AD39" t="n">
        <v>7</v>
      </c>
      <c r="AE39" t="n">
        <v>-1</v>
      </c>
      <c r="AF39" t="n">
        <v>-8</v>
      </c>
    </row>
    <row r="40">
      <c r="A40" t="s">
        <v>13</v>
      </c>
      <c r="B40" t="s">
        <v>350</v>
      </c>
      <c r="C40" t="s">
        <v>236</v>
      </c>
      <c r="D40" t="s">
        <v>351</v>
      </c>
      <c r="E40" t="s">
        <v>237</v>
      </c>
      <c r="F40" t="n">
        <v>413</v>
      </c>
      <c r="G40" t="n">
        <v>871</v>
      </c>
      <c r="H40" t="n">
        <v>690</v>
      </c>
      <c r="I40" t="n">
        <v>1301</v>
      </c>
      <c r="J40" t="n">
        <v>1680</v>
      </c>
      <c r="K40" t="n">
        <v>2585</v>
      </c>
      <c r="L40" t="n">
        <v>3479</v>
      </c>
      <c r="M40" t="n">
        <v>2973</v>
      </c>
      <c r="N40" t="n">
        <v>2561</v>
      </c>
      <c r="O40" t="n">
        <v>2985</v>
      </c>
      <c r="P40" t="n">
        <v>3772</v>
      </c>
      <c r="Q40" t="n">
        <v>3943</v>
      </c>
      <c r="R40" t="n">
        <v>5731</v>
      </c>
      <c r="S40" t="n">
        <v>6538</v>
      </c>
      <c r="T40" t="n">
        <v>4529</v>
      </c>
      <c r="U40" t="n">
        <v>3855</v>
      </c>
      <c r="V40" t="n">
        <v>4512</v>
      </c>
      <c r="W40" t="n">
        <v>4784</v>
      </c>
      <c r="X40" t="n">
        <v>4414</v>
      </c>
      <c r="Y40" t="n">
        <v>3700</v>
      </c>
      <c r="Z40" t="n">
        <v>4397</v>
      </c>
      <c r="AA40" t="n">
        <v>4436</v>
      </c>
      <c r="AB40" t="n">
        <v>4964</v>
      </c>
      <c r="AC40" t="n">
        <v>5727</v>
      </c>
      <c r="AD40" t="n">
        <v>6492</v>
      </c>
      <c r="AE40" t="n">
        <v>5985</v>
      </c>
      <c r="AF40" t="n">
        <v>5375</v>
      </c>
    </row>
    <row r="41">
      <c r="A41" t="s">
        <v>13</v>
      </c>
      <c r="B41" t="s">
        <v>352</v>
      </c>
      <c r="C41" t="s">
        <v>236</v>
      </c>
      <c r="D41" t="s">
        <v>353</v>
      </c>
      <c r="E41" t="s">
        <v>237</v>
      </c>
      <c r="F41" t="n">
        <v>62</v>
      </c>
      <c r="G41" t="n">
        <v>57</v>
      </c>
      <c r="H41" t="n">
        <v>76</v>
      </c>
      <c r="I41" t="n">
        <v>86</v>
      </c>
      <c r="J41" t="n">
        <v>93</v>
      </c>
      <c r="K41" t="n">
        <v>123</v>
      </c>
      <c r="L41" t="n">
        <v>117</v>
      </c>
      <c r="M41" t="n">
        <v>130</v>
      </c>
      <c r="N41" t="n">
        <v>162</v>
      </c>
      <c r="O41" t="n">
        <v>165</v>
      </c>
      <c r="P41" t="n">
        <v>235</v>
      </c>
      <c r="Q41" t="n">
        <v>255</v>
      </c>
      <c r="R41" t="n">
        <v>241</v>
      </c>
      <c r="S41" t="n">
        <v>227</v>
      </c>
      <c r="T41" t="n">
        <v>176</v>
      </c>
      <c r="U41" t="n">
        <v>252</v>
      </c>
      <c r="V41" t="n">
        <v>298</v>
      </c>
      <c r="W41" t="n">
        <v>284</v>
      </c>
      <c r="X41" t="n">
        <v>307</v>
      </c>
      <c r="Y41" t="n">
        <v>386</v>
      </c>
      <c r="Z41" t="n">
        <v>423</v>
      </c>
      <c r="AA41" t="n">
        <v>428</v>
      </c>
      <c r="AB41" t="n">
        <v>418</v>
      </c>
      <c r="AC41" t="n">
        <v>411</v>
      </c>
      <c r="AD41" t="n">
        <v>411</v>
      </c>
      <c r="AE41" t="n">
        <v>382</v>
      </c>
      <c r="AF41" t="n">
        <v>411</v>
      </c>
    </row>
    <row r="42">
      <c r="A42" t="s">
        <v>13</v>
      </c>
      <c r="B42" t="s">
        <v>354</v>
      </c>
      <c r="C42" t="s">
        <v>236</v>
      </c>
      <c r="D42" t="s">
        <v>355</v>
      </c>
      <c r="E42" t="s">
        <v>237</v>
      </c>
      <c r="F42" t="n">
        <v>6</v>
      </c>
      <c r="G42" t="n">
        <v>14</v>
      </c>
      <c r="H42" t="n">
        <v>28</v>
      </c>
      <c r="I42" t="n">
        <v>33</v>
      </c>
      <c r="J42" t="n">
        <v>34</v>
      </c>
      <c r="K42" t="n">
        <v>42</v>
      </c>
      <c r="L42" t="n">
        <v>26</v>
      </c>
      <c r="M42" t="n">
        <v>32</v>
      </c>
      <c r="N42" t="n">
        <v>27</v>
      </c>
      <c r="O42" t="n">
        <v>24</v>
      </c>
      <c r="P42" t="n">
        <v>44</v>
      </c>
      <c r="Q42" t="n">
        <v>40</v>
      </c>
      <c r="R42" t="n">
        <v>83</v>
      </c>
      <c r="S42" t="n">
        <v>58</v>
      </c>
      <c r="T42" t="n">
        <v>50</v>
      </c>
      <c r="U42" t="n">
        <v>112</v>
      </c>
      <c r="V42" t="n">
        <v>113</v>
      </c>
      <c r="W42" t="n">
        <v>39</v>
      </c>
      <c r="X42" t="n">
        <v>-9</v>
      </c>
      <c r="Y42" t="n">
        <v>42</v>
      </c>
      <c r="Z42" t="n">
        <v>76</v>
      </c>
      <c r="AA42" t="n">
        <v>37</v>
      </c>
      <c r="AB42" t="n">
        <v>73</v>
      </c>
      <c r="AC42" t="n">
        <v>95</v>
      </c>
      <c r="AD42" t="n">
        <v>133</v>
      </c>
      <c r="AE42" t="n">
        <v>98</v>
      </c>
      <c r="AF42" t="n">
        <v>159</v>
      </c>
    </row>
    <row r="43">
      <c r="A43" t="s">
        <v>13</v>
      </c>
      <c r="B43" t="s">
        <v>356</v>
      </c>
      <c r="C43" t="s">
        <v>236</v>
      </c>
      <c r="D43" t="s">
        <v>357</v>
      </c>
      <c r="E43" t="s">
        <v>237</v>
      </c>
      <c r="F43" t="n">
        <v>47</v>
      </c>
      <c r="G43" t="n">
        <v>75</v>
      </c>
      <c r="H43" t="n">
        <v>48</v>
      </c>
      <c r="I43" t="n">
        <v>78</v>
      </c>
      <c r="J43" t="n">
        <v>77</v>
      </c>
      <c r="K43" t="n">
        <v>106</v>
      </c>
      <c r="L43" t="n">
        <v>102</v>
      </c>
      <c r="M43" t="n">
        <v>107</v>
      </c>
      <c r="N43" t="n">
        <v>101</v>
      </c>
      <c r="O43" t="n">
        <v>92</v>
      </c>
      <c r="P43" t="n">
        <v>88</v>
      </c>
      <c r="Q43" t="n">
        <v>81</v>
      </c>
      <c r="R43" t="n">
        <v>137</v>
      </c>
      <c r="S43" t="n">
        <v>135</v>
      </c>
      <c r="T43" t="n">
        <v>123</v>
      </c>
      <c r="U43" t="n">
        <v>228</v>
      </c>
      <c r="V43" t="n">
        <v>186</v>
      </c>
      <c r="W43" t="n">
        <v>73</v>
      </c>
      <c r="X43" t="n">
        <v>51</v>
      </c>
      <c r="Y43" t="n">
        <v>49</v>
      </c>
      <c r="Z43" t="n">
        <v>141</v>
      </c>
      <c r="AA43" t="n">
        <v>91</v>
      </c>
      <c r="AB43" t="n">
        <v>124</v>
      </c>
      <c r="AC43" t="n">
        <v>204</v>
      </c>
      <c r="AD43" t="n">
        <v>223</v>
      </c>
      <c r="AE43" t="n">
        <v>189</v>
      </c>
      <c r="AF43" t="n">
        <v>679</v>
      </c>
    </row>
    <row r="44">
      <c r="A44" t="s">
        <v>13</v>
      </c>
      <c r="B44" t="s">
        <v>358</v>
      </c>
      <c r="C44" t="s">
        <v>236</v>
      </c>
      <c r="D44" t="s">
        <v>359</v>
      </c>
      <c r="E44" t="s">
        <v>237</v>
      </c>
      <c r="F44" t="n">
        <v>2549</v>
      </c>
      <c r="G44" t="n">
        <v>2830</v>
      </c>
      <c r="H44" t="n">
        <v>3009</v>
      </c>
      <c r="I44" t="n">
        <v>3336</v>
      </c>
      <c r="J44" t="n">
        <v>3388</v>
      </c>
      <c r="K44" t="n">
        <v>3557</v>
      </c>
      <c r="L44" t="n">
        <v>3529</v>
      </c>
      <c r="M44" t="n">
        <v>3612</v>
      </c>
      <c r="N44" t="n">
        <v>3468</v>
      </c>
      <c r="O44" t="n">
        <v>3369</v>
      </c>
      <c r="P44" t="n">
        <v>3298</v>
      </c>
      <c r="Q44" t="n">
        <v>3676</v>
      </c>
      <c r="R44" t="n">
        <v>4684</v>
      </c>
      <c r="S44" t="n">
        <v>5084</v>
      </c>
      <c r="T44" t="n">
        <v>4473</v>
      </c>
      <c r="U44" t="n">
        <v>5160</v>
      </c>
      <c r="V44" t="n">
        <v>4918</v>
      </c>
      <c r="W44" t="n">
        <v>4658</v>
      </c>
      <c r="X44" t="n">
        <v>4930</v>
      </c>
      <c r="Y44" t="n">
        <v>5200</v>
      </c>
      <c r="Z44" t="n">
        <v>4830</v>
      </c>
      <c r="AA44" t="n">
        <v>5990</v>
      </c>
      <c r="AB44" t="n">
        <v>6666</v>
      </c>
      <c r="AC44" t="n">
        <v>7010</v>
      </c>
      <c r="AD44" t="n">
        <v>6126</v>
      </c>
      <c r="AE44" t="n">
        <v>6399</v>
      </c>
      <c r="AF44" t="n">
        <v>7314</v>
      </c>
    </row>
    <row r="45">
      <c r="A45" t="s">
        <v>13</v>
      </c>
      <c r="B45" t="s">
        <v>360</v>
      </c>
      <c r="C45" t="s">
        <v>236</v>
      </c>
      <c r="D45" t="s">
        <v>361</v>
      </c>
      <c r="E45" t="s">
        <v>237</v>
      </c>
      <c r="F45" t="n">
        <v>2157</v>
      </c>
      <c r="G45" t="n">
        <v>2370</v>
      </c>
      <c r="H45" t="n">
        <v>2409</v>
      </c>
      <c r="I45" t="n">
        <v>2660</v>
      </c>
      <c r="J45" t="n">
        <v>2696</v>
      </c>
      <c r="K45" t="n">
        <v>2865</v>
      </c>
      <c r="L45" t="n">
        <v>2774</v>
      </c>
      <c r="M45" t="n">
        <v>2860</v>
      </c>
      <c r="N45" t="n">
        <v>2749</v>
      </c>
      <c r="O45" t="n">
        <v>2707</v>
      </c>
      <c r="P45" t="n">
        <v>2530</v>
      </c>
      <c r="Q45" t="n">
        <v>2861</v>
      </c>
      <c r="R45" t="n">
        <v>3724</v>
      </c>
      <c r="S45" t="n">
        <v>4149</v>
      </c>
      <c r="T45" t="n">
        <v>3554</v>
      </c>
      <c r="U45" t="n">
        <v>4300</v>
      </c>
      <c r="V45" t="n">
        <v>4040</v>
      </c>
      <c r="W45" t="n">
        <v>3497</v>
      </c>
      <c r="X45" t="n">
        <v>3582</v>
      </c>
      <c r="Y45" t="n">
        <v>4026</v>
      </c>
      <c r="Z45" t="n">
        <v>4057</v>
      </c>
      <c r="AA45" t="n">
        <v>5035</v>
      </c>
      <c r="AB45" t="n">
        <v>5686</v>
      </c>
      <c r="AC45" t="n">
        <v>6139</v>
      </c>
      <c r="AD45" t="n">
        <v>5245</v>
      </c>
      <c r="AE45" t="n">
        <v>5494</v>
      </c>
      <c r="AF45" t="n">
        <v>6450</v>
      </c>
    </row>
    <row r="46">
      <c r="A46" t="s">
        <v>13</v>
      </c>
      <c r="B46" t="s">
        <v>362</v>
      </c>
      <c r="C46" t="s">
        <v>236</v>
      </c>
      <c r="D46" t="s">
        <v>363</v>
      </c>
      <c r="E46" t="s">
        <v>237</v>
      </c>
      <c r="F46" t="n">
        <v>41</v>
      </c>
      <c r="G46" t="n">
        <v>61</v>
      </c>
      <c r="H46" t="n">
        <v>20</v>
      </c>
      <c r="I46" t="n">
        <v>45</v>
      </c>
      <c r="J46" t="n">
        <v>43</v>
      </c>
      <c r="K46" t="n">
        <v>64</v>
      </c>
      <c r="L46" t="n">
        <v>76</v>
      </c>
      <c r="M46" t="n">
        <v>75</v>
      </c>
      <c r="N46" t="n">
        <v>74</v>
      </c>
      <c r="O46" t="n">
        <v>68</v>
      </c>
      <c r="P46" t="n">
        <v>44</v>
      </c>
      <c r="Q46" t="n">
        <v>41</v>
      </c>
      <c r="R46" t="n">
        <v>54</v>
      </c>
      <c r="S46" t="n">
        <v>77</v>
      </c>
      <c r="T46" t="n">
        <v>73</v>
      </c>
      <c r="U46" t="n">
        <v>116</v>
      </c>
      <c r="V46" t="n">
        <v>73</v>
      </c>
      <c r="W46" t="n">
        <v>34</v>
      </c>
      <c r="X46" t="n">
        <v>60</v>
      </c>
      <c r="Y46" t="n">
        <v>7</v>
      </c>
      <c r="Z46" t="n">
        <v>65</v>
      </c>
      <c r="AA46" t="n">
        <v>54</v>
      </c>
      <c r="AB46" t="n">
        <v>51</v>
      </c>
      <c r="AC46" t="n">
        <v>109</v>
      </c>
      <c r="AD46" t="n">
        <v>90</v>
      </c>
      <c r="AE46" t="n">
        <v>91</v>
      </c>
      <c r="AF46" t="n">
        <v>520</v>
      </c>
    </row>
    <row r="47">
      <c r="A47" t="s">
        <v>13</v>
      </c>
      <c r="B47" t="s">
        <v>364</v>
      </c>
      <c r="C47" t="s">
        <v>236</v>
      </c>
      <c r="D47" t="s">
        <v>365</v>
      </c>
      <c r="E47" t="s">
        <v>237</v>
      </c>
      <c r="F47" t="n">
        <v>1144</v>
      </c>
      <c r="G47" t="n">
        <v>1159</v>
      </c>
      <c r="H47" t="n">
        <v>1340</v>
      </c>
      <c r="I47" t="n">
        <v>1439</v>
      </c>
      <c r="J47" t="n">
        <v>1503</v>
      </c>
      <c r="K47" t="n">
        <v>1484</v>
      </c>
      <c r="L47" t="n">
        <v>1496</v>
      </c>
      <c r="M47" t="n">
        <v>1629</v>
      </c>
      <c r="N47" t="n">
        <v>1736</v>
      </c>
      <c r="O47" t="n">
        <v>1873</v>
      </c>
      <c r="P47" t="n">
        <v>1941</v>
      </c>
      <c r="Q47" t="n">
        <v>1928</v>
      </c>
      <c r="R47" t="n">
        <v>1875</v>
      </c>
      <c r="S47" t="n">
        <v>2235</v>
      </c>
      <c r="T47" t="n">
        <v>2260</v>
      </c>
      <c r="U47" t="n">
        <v>2235</v>
      </c>
      <c r="V47" t="n">
        <v>2179</v>
      </c>
      <c r="W47" t="n">
        <v>2451</v>
      </c>
      <c r="X47" t="n">
        <v>2540</v>
      </c>
      <c r="Y47" t="n">
        <v>2871</v>
      </c>
      <c r="Z47" t="n">
        <v>2428</v>
      </c>
      <c r="AA47" t="n">
        <v>2529</v>
      </c>
      <c r="AB47" t="n">
        <v>2561</v>
      </c>
      <c r="AC47" t="n">
        <v>2746</v>
      </c>
      <c r="AD47" t="n">
        <v>2685</v>
      </c>
      <c r="AE47" t="n">
        <v>3045</v>
      </c>
      <c r="AF47" t="n">
        <v>2735</v>
      </c>
    </row>
    <row r="48">
      <c r="A48" t="s">
        <v>13</v>
      </c>
      <c r="B48" t="s">
        <v>366</v>
      </c>
      <c r="C48" t="s">
        <v>236</v>
      </c>
      <c r="D48" t="s">
        <v>367</v>
      </c>
      <c r="E48" t="s">
        <v>237</v>
      </c>
      <c r="F48" t="n">
        <v>1781</v>
      </c>
      <c r="G48" t="n">
        <v>1867</v>
      </c>
      <c r="H48" t="n">
        <v>2119</v>
      </c>
      <c r="I48" t="n">
        <v>2202</v>
      </c>
      <c r="J48" t="n">
        <v>2237</v>
      </c>
      <c r="K48" t="n">
        <v>2267</v>
      </c>
      <c r="L48" t="n">
        <v>2459</v>
      </c>
      <c r="M48" t="n">
        <v>2718</v>
      </c>
      <c r="N48" t="n">
        <v>2894</v>
      </c>
      <c r="O48" t="n">
        <v>3017</v>
      </c>
      <c r="P48" t="n">
        <v>2979</v>
      </c>
      <c r="Q48" t="n">
        <v>3106</v>
      </c>
      <c r="R48" t="n">
        <v>3181</v>
      </c>
      <c r="S48" t="n">
        <v>3717</v>
      </c>
      <c r="T48" t="n">
        <v>3719</v>
      </c>
      <c r="U48" t="n">
        <v>3665</v>
      </c>
      <c r="V48" t="n">
        <v>3692</v>
      </c>
      <c r="W48" t="n">
        <v>3947</v>
      </c>
      <c r="X48" t="n">
        <v>4160</v>
      </c>
      <c r="Y48" t="n">
        <v>4517</v>
      </c>
      <c r="Z48" t="n">
        <v>4107</v>
      </c>
      <c r="AA48" t="n">
        <v>4486</v>
      </c>
      <c r="AB48" t="n">
        <v>4670</v>
      </c>
      <c r="AC48" t="n">
        <v>4890</v>
      </c>
      <c r="AD48" t="n">
        <v>5186</v>
      </c>
      <c r="AE48" t="n">
        <v>5764</v>
      </c>
      <c r="AF48" t="n">
        <v>5406</v>
      </c>
    </row>
    <row r="49">
      <c r="A49" t="s">
        <v>13</v>
      </c>
      <c r="B49" t="s">
        <v>368</v>
      </c>
      <c r="C49" t="s">
        <v>236</v>
      </c>
      <c r="D49" t="s">
        <v>369</v>
      </c>
      <c r="E49" t="s">
        <v>237</v>
      </c>
      <c r="F49" t="n">
        <v>347</v>
      </c>
      <c r="G49" t="n">
        <v>379</v>
      </c>
      <c r="H49" t="n">
        <v>442</v>
      </c>
      <c r="I49" t="n">
        <v>456</v>
      </c>
      <c r="J49" t="n">
        <v>399</v>
      </c>
      <c r="K49" t="n">
        <v>401</v>
      </c>
      <c r="L49" t="n">
        <v>493</v>
      </c>
      <c r="M49" t="n">
        <v>565</v>
      </c>
      <c r="N49" t="n">
        <v>635</v>
      </c>
      <c r="O49" t="n">
        <v>636</v>
      </c>
      <c r="P49" t="n">
        <v>540</v>
      </c>
      <c r="Q49" t="n">
        <v>556</v>
      </c>
      <c r="R49" t="n">
        <v>610</v>
      </c>
      <c r="S49" t="n">
        <v>687</v>
      </c>
      <c r="T49" t="n">
        <v>590</v>
      </c>
      <c r="U49" t="n">
        <v>689</v>
      </c>
      <c r="V49" t="n">
        <v>742</v>
      </c>
      <c r="W49" t="n">
        <v>577</v>
      </c>
      <c r="X49" t="n">
        <v>635</v>
      </c>
      <c r="Y49" t="n">
        <v>671</v>
      </c>
      <c r="Z49" t="n">
        <v>894</v>
      </c>
      <c r="AA49" t="n">
        <v>916</v>
      </c>
      <c r="AB49" t="n">
        <v>863</v>
      </c>
      <c r="AC49" t="n">
        <v>921</v>
      </c>
      <c r="AD49" t="n">
        <v>1156</v>
      </c>
      <c r="AE49" t="n">
        <v>1311</v>
      </c>
      <c r="AF49" t="n">
        <v>1299</v>
      </c>
    </row>
    <row r="50">
      <c r="A50" t="s">
        <v>13</v>
      </c>
      <c r="B50" t="s">
        <v>370</v>
      </c>
      <c r="C50" t="s">
        <v>236</v>
      </c>
      <c r="D50" t="s">
        <v>371</v>
      </c>
      <c r="E50" t="s">
        <v>237</v>
      </c>
      <c r="F50" t="n">
        <v>290</v>
      </c>
      <c r="G50" t="n">
        <v>329</v>
      </c>
      <c r="H50" t="n">
        <v>337</v>
      </c>
      <c r="I50" t="n">
        <v>307</v>
      </c>
      <c r="J50" t="n">
        <v>335</v>
      </c>
      <c r="K50" t="n">
        <v>382</v>
      </c>
      <c r="L50" t="n">
        <v>470</v>
      </c>
      <c r="M50" t="n">
        <v>524</v>
      </c>
      <c r="N50" t="n">
        <v>523</v>
      </c>
      <c r="O50" t="n">
        <v>508</v>
      </c>
      <c r="P50" t="n">
        <v>498</v>
      </c>
      <c r="Q50" t="n">
        <v>622</v>
      </c>
      <c r="R50" t="n">
        <v>696</v>
      </c>
      <c r="S50" t="n">
        <v>795</v>
      </c>
      <c r="T50" t="n">
        <v>869</v>
      </c>
      <c r="U50" t="n">
        <v>741</v>
      </c>
      <c r="V50" t="n">
        <v>771</v>
      </c>
      <c r="W50" t="n">
        <v>919</v>
      </c>
      <c r="X50" t="n">
        <v>985</v>
      </c>
      <c r="Y50" t="n">
        <v>975</v>
      </c>
      <c r="Z50" t="n">
        <v>785</v>
      </c>
      <c r="AA50" t="n">
        <v>1041</v>
      </c>
      <c r="AB50" t="n">
        <v>1246</v>
      </c>
      <c r="AC50" t="n">
        <v>1223</v>
      </c>
      <c r="AD50" t="n">
        <v>1345</v>
      </c>
      <c r="AE50" t="n">
        <v>1408</v>
      </c>
      <c r="AF50" t="n">
        <v>1372</v>
      </c>
    </row>
    <row r="51">
      <c r="A51" t="s">
        <v>13</v>
      </c>
      <c r="B51" t="s">
        <v>372</v>
      </c>
      <c r="C51" t="s">
        <v>236</v>
      </c>
      <c r="D51" t="s">
        <v>373</v>
      </c>
      <c r="E51" t="s">
        <v>237</v>
      </c>
      <c r="F51" t="n">
        <v>161</v>
      </c>
      <c r="G51" t="n">
        <v>164</v>
      </c>
      <c r="H51" t="n">
        <v>181</v>
      </c>
      <c r="I51" t="n">
        <v>150</v>
      </c>
      <c r="J51" t="n">
        <v>157</v>
      </c>
      <c r="K51" t="n">
        <v>181</v>
      </c>
      <c r="L51" t="n">
        <v>240</v>
      </c>
      <c r="M51" t="n">
        <v>307</v>
      </c>
      <c r="N51" t="n">
        <v>282</v>
      </c>
      <c r="O51" t="n">
        <v>275</v>
      </c>
      <c r="P51" t="n">
        <v>279</v>
      </c>
      <c r="Q51" t="n">
        <v>379</v>
      </c>
      <c r="R51" t="n">
        <v>357</v>
      </c>
      <c r="S51" t="n">
        <v>404</v>
      </c>
      <c r="T51" t="n">
        <v>494</v>
      </c>
      <c r="U51" t="n">
        <v>413</v>
      </c>
      <c r="V51" t="n">
        <v>438</v>
      </c>
      <c r="W51" t="n">
        <v>543</v>
      </c>
      <c r="X51" t="n">
        <v>596</v>
      </c>
      <c r="Y51" t="n">
        <v>580</v>
      </c>
      <c r="Z51" t="n">
        <v>451</v>
      </c>
      <c r="AA51" t="n">
        <v>644</v>
      </c>
      <c r="AB51" t="n">
        <v>830</v>
      </c>
      <c r="AC51" t="n">
        <v>835</v>
      </c>
      <c r="AD51" t="n">
        <v>923</v>
      </c>
      <c r="AE51" t="n">
        <v>960</v>
      </c>
      <c r="AF51" t="n">
        <v>948</v>
      </c>
    </row>
    <row r="52">
      <c r="A52" t="s">
        <v>13</v>
      </c>
      <c r="B52" t="s">
        <v>374</v>
      </c>
      <c r="C52" t="s">
        <v>236</v>
      </c>
      <c r="D52" t="s">
        <v>375</v>
      </c>
      <c r="E52" t="s">
        <v>237</v>
      </c>
      <c r="F52" t="n">
        <v>129</v>
      </c>
      <c r="G52" t="n">
        <v>165</v>
      </c>
      <c r="H52" t="n">
        <v>156</v>
      </c>
      <c r="I52" t="n">
        <v>157</v>
      </c>
      <c r="J52" t="n">
        <v>178</v>
      </c>
      <c r="K52" t="n">
        <v>201</v>
      </c>
      <c r="L52" t="n">
        <v>230</v>
      </c>
      <c r="M52" t="n">
        <v>217</v>
      </c>
      <c r="N52" t="n">
        <v>241</v>
      </c>
      <c r="O52" t="n">
        <v>233</v>
      </c>
      <c r="P52" t="n">
        <v>219</v>
      </c>
      <c r="Q52" t="n">
        <v>243</v>
      </c>
      <c r="R52" t="n">
        <v>339</v>
      </c>
      <c r="S52" t="n">
        <v>391</v>
      </c>
      <c r="T52" t="n">
        <v>375</v>
      </c>
      <c r="U52" t="n">
        <v>328</v>
      </c>
      <c r="V52" t="n">
        <v>333</v>
      </c>
      <c r="W52" t="n">
        <v>376</v>
      </c>
      <c r="X52" t="n">
        <v>389</v>
      </c>
      <c r="Y52" t="n">
        <v>395</v>
      </c>
      <c r="Z52" t="n">
        <v>334</v>
      </c>
      <c r="AA52" t="n">
        <v>397</v>
      </c>
      <c r="AB52" t="n">
        <v>416</v>
      </c>
      <c r="AC52" t="n">
        <v>388</v>
      </c>
      <c r="AD52" t="n">
        <v>422</v>
      </c>
      <c r="AE52" t="n">
        <v>448</v>
      </c>
      <c r="AF52" t="n">
        <v>424</v>
      </c>
    </row>
    <row r="53">
      <c r="A53" t="s">
        <v>13</v>
      </c>
      <c r="B53" t="s">
        <v>376</v>
      </c>
      <c r="C53" t="s">
        <v>236</v>
      </c>
      <c r="D53" t="s">
        <v>377</v>
      </c>
      <c r="E53" t="s">
        <v>237</v>
      </c>
      <c r="F53" t="n">
        <v>194</v>
      </c>
      <c r="G53" t="n">
        <v>232</v>
      </c>
      <c r="H53" t="n">
        <v>256</v>
      </c>
      <c r="I53" t="n">
        <v>240</v>
      </c>
      <c r="J53" t="n">
        <v>228</v>
      </c>
      <c r="K53" t="n">
        <v>238</v>
      </c>
      <c r="L53" t="n">
        <v>233</v>
      </c>
      <c r="M53" t="n">
        <v>257</v>
      </c>
      <c r="N53" t="n">
        <v>309</v>
      </c>
      <c r="O53" t="n">
        <v>268</v>
      </c>
      <c r="P53" t="n">
        <v>249</v>
      </c>
      <c r="Q53" t="n">
        <v>285</v>
      </c>
      <c r="R53" t="n">
        <v>337</v>
      </c>
      <c r="S53" t="n">
        <v>323</v>
      </c>
      <c r="T53" t="n">
        <v>309</v>
      </c>
      <c r="U53" t="n">
        <v>293</v>
      </c>
      <c r="V53" t="n">
        <v>299</v>
      </c>
      <c r="W53" t="n">
        <v>374</v>
      </c>
      <c r="X53" t="n">
        <v>359</v>
      </c>
      <c r="Y53" t="n">
        <v>325</v>
      </c>
      <c r="Z53" t="n">
        <v>426</v>
      </c>
      <c r="AA53" t="n">
        <v>454</v>
      </c>
      <c r="AB53" t="n">
        <v>515</v>
      </c>
      <c r="AC53" t="n">
        <v>665</v>
      </c>
      <c r="AD53" t="n">
        <v>667</v>
      </c>
      <c r="AE53" t="n">
        <v>607</v>
      </c>
      <c r="AF53" t="n">
        <v>544</v>
      </c>
    </row>
    <row r="54">
      <c r="A54" t="s">
        <v>13</v>
      </c>
      <c r="B54" t="s">
        <v>378</v>
      </c>
      <c r="C54" t="s">
        <v>236</v>
      </c>
      <c r="D54" t="s">
        <v>379</v>
      </c>
      <c r="E54" t="s">
        <v>237</v>
      </c>
      <c r="F54" t="n">
        <v>243</v>
      </c>
      <c r="G54" t="n">
        <v>290</v>
      </c>
      <c r="H54" t="n">
        <v>335</v>
      </c>
      <c r="I54" t="n">
        <v>338</v>
      </c>
      <c r="J54" t="n">
        <v>351</v>
      </c>
      <c r="K54" t="n">
        <v>327</v>
      </c>
      <c r="L54" t="n">
        <v>324</v>
      </c>
      <c r="M54" t="n">
        <v>336</v>
      </c>
      <c r="N54" t="n">
        <v>411</v>
      </c>
      <c r="O54" t="n">
        <v>402</v>
      </c>
      <c r="P54" t="n">
        <v>368</v>
      </c>
      <c r="Q54" t="n">
        <v>389</v>
      </c>
      <c r="R54" t="n">
        <v>453</v>
      </c>
      <c r="S54" t="n">
        <v>472</v>
      </c>
      <c r="T54" t="n">
        <v>452</v>
      </c>
      <c r="U54" t="n">
        <v>457</v>
      </c>
      <c r="V54" t="n">
        <v>424</v>
      </c>
      <c r="W54" t="n">
        <v>502</v>
      </c>
      <c r="X54" t="n">
        <v>482</v>
      </c>
      <c r="Y54" t="n">
        <v>446</v>
      </c>
      <c r="Z54" t="n">
        <v>532</v>
      </c>
      <c r="AA54" t="n">
        <v>559</v>
      </c>
      <c r="AB54" t="n">
        <v>613</v>
      </c>
      <c r="AC54" t="n">
        <v>760</v>
      </c>
      <c r="AD54" t="n">
        <v>762</v>
      </c>
      <c r="AE54" t="n">
        <v>715</v>
      </c>
      <c r="AF54" t="n">
        <v>697</v>
      </c>
    </row>
    <row r="55">
      <c r="A55" t="s">
        <v>13</v>
      </c>
      <c r="B55" t="s">
        <v>380</v>
      </c>
      <c r="C55" t="s">
        <v>236</v>
      </c>
      <c r="D55" t="s">
        <v>381</v>
      </c>
      <c r="E55" t="s">
        <v>237</v>
      </c>
      <c r="F55" t="n">
        <v>49</v>
      </c>
      <c r="G55" t="n">
        <v>58</v>
      </c>
      <c r="H55" t="n">
        <v>79</v>
      </c>
      <c r="I55" t="n">
        <v>98</v>
      </c>
      <c r="J55" t="n">
        <v>123</v>
      </c>
      <c r="K55" t="n">
        <v>89</v>
      </c>
      <c r="L55" t="n">
        <v>91</v>
      </c>
      <c r="M55" t="n">
        <v>79</v>
      </c>
      <c r="N55" t="n">
        <v>102</v>
      </c>
      <c r="O55" t="n">
        <v>134</v>
      </c>
      <c r="P55" t="n">
        <v>119</v>
      </c>
      <c r="Q55" t="n">
        <v>104</v>
      </c>
      <c r="R55" t="n">
        <v>116</v>
      </c>
      <c r="S55" t="n">
        <v>149</v>
      </c>
      <c r="T55" t="n">
        <v>143</v>
      </c>
      <c r="U55" t="n">
        <v>164</v>
      </c>
      <c r="V55" t="n">
        <v>125</v>
      </c>
      <c r="W55" t="n">
        <v>128</v>
      </c>
      <c r="X55" t="n">
        <v>123</v>
      </c>
      <c r="Y55" t="n">
        <v>121</v>
      </c>
      <c r="Z55" t="n">
        <v>106</v>
      </c>
      <c r="AA55" t="n">
        <v>105</v>
      </c>
      <c r="AB55" t="n">
        <v>98</v>
      </c>
      <c r="AC55" t="n">
        <v>95</v>
      </c>
      <c r="AD55" t="n">
        <v>95</v>
      </c>
      <c r="AE55" t="n">
        <v>108</v>
      </c>
      <c r="AF55" t="n">
        <v>153</v>
      </c>
    </row>
    <row r="56">
      <c r="A56" t="s">
        <v>13</v>
      </c>
      <c r="B56" t="s">
        <v>382</v>
      </c>
      <c r="C56" t="s">
        <v>236</v>
      </c>
      <c r="D56" t="s">
        <v>383</v>
      </c>
      <c r="E56" t="s">
        <v>237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13</v>
      </c>
      <c r="B57" t="s">
        <v>384</v>
      </c>
      <c r="C57" t="s">
        <v>236</v>
      </c>
      <c r="D57" t="s">
        <v>385</v>
      </c>
      <c r="E57" t="s">
        <v>237</v>
      </c>
      <c r="F57" t="n">
        <v>4743</v>
      </c>
      <c r="G57" t="n">
        <v>5568</v>
      </c>
      <c r="H57" t="n">
        <v>5818</v>
      </c>
      <c r="I57" t="n">
        <v>6839</v>
      </c>
      <c r="J57" t="n">
        <v>7305</v>
      </c>
      <c r="K57" t="n">
        <v>8409</v>
      </c>
      <c r="L57" t="n">
        <v>9467</v>
      </c>
      <c r="M57" t="n">
        <v>9303</v>
      </c>
      <c r="N57" t="n">
        <v>8923</v>
      </c>
      <c r="O57" t="n">
        <v>9371</v>
      </c>
      <c r="P57" t="n">
        <v>10049</v>
      </c>
      <c r="Q57" t="n">
        <v>10725</v>
      </c>
      <c r="R57" t="n">
        <v>13596</v>
      </c>
      <c r="S57" t="n">
        <v>15339</v>
      </c>
      <c r="T57" t="n">
        <v>12721</v>
      </c>
      <c r="U57" t="n">
        <v>12680</v>
      </c>
      <c r="V57" t="n">
        <v>13122</v>
      </c>
      <c r="W57" t="n">
        <v>13389</v>
      </c>
      <c r="X57" t="n">
        <v>13504</v>
      </c>
      <c r="Y57" t="n">
        <v>13417</v>
      </c>
      <c r="Z57" t="n">
        <v>13334</v>
      </c>
      <c r="AA57" t="n">
        <v>14912</v>
      </c>
      <c r="AB57" t="n">
        <v>16300</v>
      </c>
      <c r="AC57" t="n">
        <v>17627</v>
      </c>
      <c r="AD57" t="n">
        <v>17804</v>
      </c>
      <c r="AE57" t="n">
        <v>18148</v>
      </c>
      <c r="AF57" t="n">
        <v>18095</v>
      </c>
    </row>
    <row r="58">
      <c r="A58" t="s">
        <v>13</v>
      </c>
      <c r="B58" t="s">
        <v>386</v>
      </c>
      <c r="C58" t="s">
        <v>236</v>
      </c>
      <c r="D58" t="s">
        <v>387</v>
      </c>
      <c r="E58" t="s">
        <v>237</v>
      </c>
      <c r="F58" t="n">
        <v>4743</v>
      </c>
      <c r="G58" t="n">
        <v>5568</v>
      </c>
      <c r="H58" t="n">
        <v>5818</v>
      </c>
      <c r="I58" t="n">
        <v>6839</v>
      </c>
      <c r="J58" t="n">
        <v>7305</v>
      </c>
      <c r="K58" t="n">
        <v>8409</v>
      </c>
      <c r="L58" t="n">
        <v>9467</v>
      </c>
      <c r="M58" t="n">
        <v>9303</v>
      </c>
      <c r="N58" t="n">
        <v>8923</v>
      </c>
      <c r="O58" t="n">
        <v>9371</v>
      </c>
      <c r="P58" t="n">
        <v>10049</v>
      </c>
      <c r="Q58" t="n">
        <v>10725</v>
      </c>
      <c r="R58" t="n">
        <v>13596</v>
      </c>
      <c r="S58" t="n">
        <v>15339</v>
      </c>
      <c r="T58" t="n">
        <v>12721</v>
      </c>
      <c r="U58" t="n">
        <v>12680</v>
      </c>
      <c r="V58" t="n">
        <v>13122</v>
      </c>
      <c r="W58" t="n">
        <v>13389</v>
      </c>
      <c r="X58" t="n">
        <v>13504</v>
      </c>
      <c r="Y58" t="n">
        <v>13417</v>
      </c>
      <c r="Z58" t="n">
        <v>13334</v>
      </c>
      <c r="AA58" t="n">
        <v>14912</v>
      </c>
      <c r="AB58" t="n">
        <v>16300</v>
      </c>
      <c r="AC58" t="n">
        <v>17627</v>
      </c>
      <c r="AD58" t="n">
        <v>17804</v>
      </c>
      <c r="AE58" t="n">
        <v>18148</v>
      </c>
      <c r="AF58" t="n">
        <v>18095</v>
      </c>
    </row>
    <row r="59">
      <c r="A59" t="s">
        <v>13</v>
      </c>
      <c r="B59" t="s">
        <v>388</v>
      </c>
      <c r="C59" t="s">
        <v>236</v>
      </c>
      <c r="D59" t="s">
        <v>389</v>
      </c>
      <c r="E59" t="s">
        <v>237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15</v>
      </c>
      <c r="B2" t="s">
        <v>197</v>
      </c>
      <c r="C2" t="s">
        <v>236</v>
      </c>
      <c r="D2" t="s">
        <v>199</v>
      </c>
      <c r="E2" t="s">
        <v>237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15</v>
      </c>
      <c r="B3" t="s">
        <v>276</v>
      </c>
      <c r="C3" t="s">
        <v>236</v>
      </c>
      <c r="D3" t="s">
        <v>277</v>
      </c>
      <c r="E3" t="s">
        <v>237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15</v>
      </c>
      <c r="B4" t="s">
        <v>278</v>
      </c>
      <c r="C4" t="s">
        <v>236</v>
      </c>
      <c r="D4" t="s">
        <v>279</v>
      </c>
      <c r="E4" t="s">
        <v>237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15</v>
      </c>
      <c r="B5" t="s">
        <v>280</v>
      </c>
      <c r="C5" t="s">
        <v>236</v>
      </c>
      <c r="D5" t="s">
        <v>281</v>
      </c>
      <c r="E5" t="s">
        <v>237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15</v>
      </c>
      <c r="B6" t="s">
        <v>282</v>
      </c>
      <c r="C6" t="s">
        <v>236</v>
      </c>
      <c r="D6" t="s">
        <v>283</v>
      </c>
      <c r="E6" t="s">
        <v>237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15</v>
      </c>
      <c r="B7" t="s">
        <v>284</v>
      </c>
      <c r="C7" t="s">
        <v>236</v>
      </c>
      <c r="D7" t="s">
        <v>285</v>
      </c>
      <c r="E7" t="s">
        <v>237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15</v>
      </c>
      <c r="B8" t="s">
        <v>286</v>
      </c>
      <c r="C8" t="s">
        <v>236</v>
      </c>
      <c r="D8" t="s">
        <v>287</v>
      </c>
      <c r="E8" t="s">
        <v>237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15</v>
      </c>
      <c r="B9" t="s">
        <v>288</v>
      </c>
      <c r="C9" t="s">
        <v>236</v>
      </c>
      <c r="D9" t="s">
        <v>289</v>
      </c>
      <c r="E9" t="s">
        <v>237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15</v>
      </c>
      <c r="B10" t="s">
        <v>290</v>
      </c>
      <c r="C10" t="s">
        <v>236</v>
      </c>
      <c r="D10" t="s">
        <v>291</v>
      </c>
      <c r="E10" t="s">
        <v>237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15</v>
      </c>
      <c r="B11" t="s">
        <v>292</v>
      </c>
      <c r="C11" t="s">
        <v>236</v>
      </c>
      <c r="D11" t="s">
        <v>293</v>
      </c>
      <c r="E11" t="s">
        <v>237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15</v>
      </c>
      <c r="B12" t="s">
        <v>294</v>
      </c>
      <c r="C12" t="s">
        <v>236</v>
      </c>
      <c r="D12" t="s">
        <v>295</v>
      </c>
      <c r="E12" t="s">
        <v>237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15</v>
      </c>
      <c r="B13" t="s">
        <v>296</v>
      </c>
      <c r="C13" t="s">
        <v>236</v>
      </c>
      <c r="D13" t="s">
        <v>297</v>
      </c>
      <c r="E13" t="s">
        <v>237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15</v>
      </c>
      <c r="B14" t="s">
        <v>298</v>
      </c>
      <c r="C14" t="s">
        <v>236</v>
      </c>
      <c r="D14" t="s">
        <v>299</v>
      </c>
      <c r="E14" t="s">
        <v>237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15</v>
      </c>
      <c r="B15" t="s">
        <v>300</v>
      </c>
      <c r="C15" t="s">
        <v>236</v>
      </c>
      <c r="D15" t="s">
        <v>301</v>
      </c>
      <c r="E15" t="s">
        <v>237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15</v>
      </c>
      <c r="B16" t="s">
        <v>302</v>
      </c>
      <c r="C16" t="s">
        <v>236</v>
      </c>
      <c r="D16" t="s">
        <v>303</v>
      </c>
      <c r="E16" t="s">
        <v>237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15</v>
      </c>
      <c r="B17" t="s">
        <v>304</v>
      </c>
      <c r="C17" t="s">
        <v>236</v>
      </c>
      <c r="D17" t="s">
        <v>305</v>
      </c>
      <c r="E17" t="s">
        <v>237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15</v>
      </c>
      <c r="B18" t="s">
        <v>306</v>
      </c>
      <c r="C18" t="s">
        <v>236</v>
      </c>
      <c r="D18" t="s">
        <v>307</v>
      </c>
      <c r="E18" t="s">
        <v>237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15</v>
      </c>
      <c r="B19" t="s">
        <v>308</v>
      </c>
      <c r="C19" t="s">
        <v>236</v>
      </c>
      <c r="D19" t="s">
        <v>309</v>
      </c>
      <c r="E19" t="s">
        <v>237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15</v>
      </c>
      <c r="B20" t="s">
        <v>310</v>
      </c>
      <c r="C20" t="s">
        <v>236</v>
      </c>
      <c r="D20" t="s">
        <v>311</v>
      </c>
      <c r="E20" t="s">
        <v>237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15</v>
      </c>
      <c r="B21" t="s">
        <v>312</v>
      </c>
      <c r="C21" t="s">
        <v>236</v>
      </c>
      <c r="D21" t="s">
        <v>313</v>
      </c>
      <c r="E21" t="s">
        <v>237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15</v>
      </c>
      <c r="B22" t="s">
        <v>314</v>
      </c>
      <c r="C22" t="s">
        <v>236</v>
      </c>
      <c r="D22" t="s">
        <v>315</v>
      </c>
      <c r="E22" t="s">
        <v>237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15</v>
      </c>
      <c r="B23" t="s">
        <v>316</v>
      </c>
      <c r="C23" t="s">
        <v>236</v>
      </c>
      <c r="D23" t="s">
        <v>317</v>
      </c>
      <c r="E23" t="s">
        <v>237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15</v>
      </c>
      <c r="B24" t="s">
        <v>318</v>
      </c>
      <c r="C24" t="s">
        <v>236</v>
      </c>
      <c r="D24" t="s">
        <v>319</v>
      </c>
      <c r="E24" t="s">
        <v>237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15</v>
      </c>
      <c r="B25" t="s">
        <v>320</v>
      </c>
      <c r="C25" t="s">
        <v>236</v>
      </c>
      <c r="D25" t="s">
        <v>321</v>
      </c>
      <c r="E25" t="s">
        <v>237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15</v>
      </c>
      <c r="B26" t="s">
        <v>322</v>
      </c>
      <c r="C26" t="s">
        <v>236</v>
      </c>
      <c r="D26" t="s">
        <v>323</v>
      </c>
      <c r="E26" t="s">
        <v>237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15</v>
      </c>
      <c r="B27" t="s">
        <v>324</v>
      </c>
      <c r="C27" t="s">
        <v>236</v>
      </c>
      <c r="D27" t="s">
        <v>325</v>
      </c>
      <c r="E27" t="s">
        <v>237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15</v>
      </c>
      <c r="B28" t="s">
        <v>326</v>
      </c>
      <c r="C28" t="s">
        <v>236</v>
      </c>
      <c r="D28" t="s">
        <v>327</v>
      </c>
      <c r="E28" t="s">
        <v>237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15</v>
      </c>
      <c r="B29" t="s">
        <v>328</v>
      </c>
      <c r="C29" t="s">
        <v>236</v>
      </c>
      <c r="D29" t="s">
        <v>329</v>
      </c>
      <c r="E29" t="s">
        <v>237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15</v>
      </c>
      <c r="B30" t="s">
        <v>330</v>
      </c>
      <c r="C30" t="s">
        <v>236</v>
      </c>
      <c r="D30" t="s">
        <v>331</v>
      </c>
      <c r="E30" t="s">
        <v>237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15</v>
      </c>
      <c r="B31" t="s">
        <v>332</v>
      </c>
      <c r="C31" t="s">
        <v>236</v>
      </c>
      <c r="D31" t="s">
        <v>333</v>
      </c>
      <c r="E31" t="s">
        <v>237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15</v>
      </c>
      <c r="B32" t="s">
        <v>334</v>
      </c>
      <c r="C32" t="s">
        <v>236</v>
      </c>
      <c r="D32" t="s">
        <v>335</v>
      </c>
      <c r="E32" t="s">
        <v>237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15</v>
      </c>
      <c r="B33" t="s">
        <v>336</v>
      </c>
      <c r="C33" t="s">
        <v>236</v>
      </c>
      <c r="D33" t="s">
        <v>337</v>
      </c>
      <c r="E33" t="s">
        <v>237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15</v>
      </c>
      <c r="B34" t="s">
        <v>338</v>
      </c>
      <c r="C34" t="s">
        <v>236</v>
      </c>
      <c r="D34" t="s">
        <v>339</v>
      </c>
      <c r="E34" t="s">
        <v>237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15</v>
      </c>
      <c r="B35" t="s">
        <v>340</v>
      </c>
      <c r="C35" t="s">
        <v>236</v>
      </c>
      <c r="D35" t="s">
        <v>341</v>
      </c>
      <c r="E35" t="s">
        <v>237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15</v>
      </c>
      <c r="B36" t="s">
        <v>342</v>
      </c>
      <c r="C36" t="s">
        <v>236</v>
      </c>
      <c r="D36" t="s">
        <v>343</v>
      </c>
      <c r="E36" t="s">
        <v>237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15</v>
      </c>
      <c r="B37" t="s">
        <v>344</v>
      </c>
      <c r="C37" t="s">
        <v>236</v>
      </c>
      <c r="D37" t="s">
        <v>345</v>
      </c>
      <c r="E37" t="s">
        <v>237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15</v>
      </c>
      <c r="B38" t="s">
        <v>346</v>
      </c>
      <c r="C38" t="s">
        <v>236</v>
      </c>
      <c r="D38" t="s">
        <v>347</v>
      </c>
      <c r="E38" t="s">
        <v>237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15</v>
      </c>
      <c r="B39" t="s">
        <v>348</v>
      </c>
      <c r="C39" t="s">
        <v>236</v>
      </c>
      <c r="D39" t="s">
        <v>349</v>
      </c>
      <c r="E39" t="s">
        <v>237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15</v>
      </c>
      <c r="B40" t="s">
        <v>350</v>
      </c>
      <c r="C40" t="s">
        <v>236</v>
      </c>
      <c r="D40" t="s">
        <v>351</v>
      </c>
      <c r="E40" t="s">
        <v>237</v>
      </c>
      <c r="F40" t="n">
        <v>4466</v>
      </c>
      <c r="G40" t="n">
        <v>4571</v>
      </c>
      <c r="H40" t="n">
        <v>5426</v>
      </c>
      <c r="I40" t="n">
        <v>6411</v>
      </c>
      <c r="J40" t="n">
        <v>7252</v>
      </c>
      <c r="K40" t="n">
        <v>8253</v>
      </c>
      <c r="L40" t="n">
        <v>7709</v>
      </c>
      <c r="M40" t="n">
        <v>7516</v>
      </c>
      <c r="N40" t="n">
        <v>8373</v>
      </c>
      <c r="O40" t="n">
        <v>9543</v>
      </c>
      <c r="P40" t="n">
        <v>10547</v>
      </c>
      <c r="Q40" t="n">
        <v>11398</v>
      </c>
      <c r="R40" t="n">
        <v>12217</v>
      </c>
      <c r="S40" t="n">
        <v>11598</v>
      </c>
      <c r="T40" t="n">
        <v>9844</v>
      </c>
      <c r="U40" t="n">
        <v>11911</v>
      </c>
      <c r="V40" t="n">
        <v>13053</v>
      </c>
      <c r="W40" t="n">
        <v>13523</v>
      </c>
      <c r="X40" t="n">
        <v>13004</v>
      </c>
      <c r="Y40" t="n">
        <v>12387</v>
      </c>
      <c r="Z40" t="n">
        <v>12644</v>
      </c>
      <c r="AA40" t="n">
        <v>14342</v>
      </c>
      <c r="AB40" t="n">
        <v>15050</v>
      </c>
      <c r="AC40" t="n">
        <v>16540</v>
      </c>
      <c r="AD40" t="n">
        <v>16741</v>
      </c>
      <c r="AE40" t="n">
        <v>16466</v>
      </c>
      <c r="AF40" t="n">
        <v>17106</v>
      </c>
    </row>
    <row r="41">
      <c r="A41" t="s">
        <v>15</v>
      </c>
      <c r="B41" t="s">
        <v>352</v>
      </c>
      <c r="C41" t="s">
        <v>236</v>
      </c>
      <c r="D41" t="s">
        <v>353</v>
      </c>
      <c r="E41" t="s">
        <v>237</v>
      </c>
      <c r="F41" t="n">
        <v>3119</v>
      </c>
      <c r="G41" t="n">
        <v>3153</v>
      </c>
      <c r="H41" t="n">
        <v>3698</v>
      </c>
      <c r="I41" t="n">
        <v>4564</v>
      </c>
      <c r="J41" t="n">
        <v>5368</v>
      </c>
      <c r="K41" t="n">
        <v>5989</v>
      </c>
      <c r="L41" t="n">
        <v>5552</v>
      </c>
      <c r="M41" t="n">
        <v>5516</v>
      </c>
      <c r="N41" t="n">
        <v>6290</v>
      </c>
      <c r="O41" t="n">
        <v>7311</v>
      </c>
      <c r="P41" t="n">
        <v>8156</v>
      </c>
      <c r="Q41" t="n">
        <v>8932</v>
      </c>
      <c r="R41" t="n">
        <v>9634</v>
      </c>
      <c r="S41" t="n">
        <v>9114</v>
      </c>
      <c r="T41" t="n">
        <v>7830</v>
      </c>
      <c r="U41" t="n">
        <v>9484</v>
      </c>
      <c r="V41" t="n">
        <v>10393</v>
      </c>
      <c r="W41" t="n">
        <v>10683</v>
      </c>
      <c r="X41" t="n">
        <v>10288</v>
      </c>
      <c r="Y41" t="n">
        <v>9680</v>
      </c>
      <c r="Z41" t="n">
        <v>9679</v>
      </c>
      <c r="AA41" t="n">
        <v>10936</v>
      </c>
      <c r="AB41" t="n">
        <v>11428</v>
      </c>
      <c r="AC41" t="n">
        <v>12478</v>
      </c>
      <c r="AD41" t="n">
        <v>12776</v>
      </c>
      <c r="AE41" t="n">
        <v>12435</v>
      </c>
      <c r="AF41" t="n">
        <v>12839</v>
      </c>
    </row>
    <row r="42">
      <c r="A42" t="s">
        <v>15</v>
      </c>
      <c r="B42" t="s">
        <v>354</v>
      </c>
      <c r="C42" t="s">
        <v>236</v>
      </c>
      <c r="D42" t="s">
        <v>355</v>
      </c>
      <c r="E42" t="s">
        <v>237</v>
      </c>
      <c r="F42" t="n">
        <v>0</v>
      </c>
      <c r="G42" t="n">
        <v>0</v>
      </c>
      <c r="H42" t="n">
        <v>0</v>
      </c>
      <c r="I42" t="n">
        <v>0</v>
      </c>
      <c r="J42" t="n">
        <v>-1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15</v>
      </c>
      <c r="B43" t="s">
        <v>356</v>
      </c>
      <c r="C43" t="s">
        <v>236</v>
      </c>
      <c r="D43" t="s">
        <v>357</v>
      </c>
      <c r="E43" t="s">
        <v>237</v>
      </c>
      <c r="F43" t="n">
        <v>0</v>
      </c>
      <c r="G43" t="n">
        <v>0</v>
      </c>
      <c r="H43" t="n">
        <v>0</v>
      </c>
      <c r="I43" t="n">
        <v>0</v>
      </c>
      <c r="J43" t="n">
        <v>-1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15</v>
      </c>
      <c r="B44" t="s">
        <v>358</v>
      </c>
      <c r="C44" t="s">
        <v>236</v>
      </c>
      <c r="D44" t="s">
        <v>359</v>
      </c>
      <c r="E44" t="s">
        <v>237</v>
      </c>
      <c r="F44" t="n">
        <v>0</v>
      </c>
      <c r="G44" t="n">
        <v>0</v>
      </c>
      <c r="H44" t="n">
        <v>0</v>
      </c>
      <c r="I44" t="n">
        <v>-1</v>
      </c>
      <c r="J44" t="n">
        <v>-2</v>
      </c>
      <c r="K44" t="n">
        <v>-1</v>
      </c>
      <c r="L44" t="n">
        <v>-1</v>
      </c>
      <c r="M44" t="n">
        <v>0</v>
      </c>
      <c r="N44" t="n">
        <v>2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1</v>
      </c>
      <c r="AB44" t="n">
        <v>1</v>
      </c>
      <c r="AC44" t="n">
        <v>2</v>
      </c>
      <c r="AD44" t="n">
        <v>1</v>
      </c>
      <c r="AE44" t="n">
        <v>0</v>
      </c>
      <c r="AF44" t="n">
        <v>1</v>
      </c>
    </row>
    <row r="45">
      <c r="A45" t="s">
        <v>15</v>
      </c>
      <c r="B45" t="s">
        <v>360</v>
      </c>
      <c r="C45" t="s">
        <v>236</v>
      </c>
      <c r="D45" t="s">
        <v>361</v>
      </c>
      <c r="E45" t="s">
        <v>237</v>
      </c>
      <c r="F45" t="n">
        <v>0</v>
      </c>
      <c r="G45" t="n">
        <v>0</v>
      </c>
      <c r="H45" t="n">
        <v>0</v>
      </c>
      <c r="I45" t="n">
        <v>-1</v>
      </c>
      <c r="J45" t="n">
        <v>-2</v>
      </c>
      <c r="K45" t="n">
        <v>-1</v>
      </c>
      <c r="L45" t="n">
        <v>-1</v>
      </c>
      <c r="M45" t="n">
        <v>0</v>
      </c>
      <c r="N45" t="n">
        <v>2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1</v>
      </c>
      <c r="AB45" t="n">
        <v>1</v>
      </c>
      <c r="AC45" t="n">
        <v>2</v>
      </c>
      <c r="AD45" t="n">
        <v>1</v>
      </c>
      <c r="AE45" t="n">
        <v>0</v>
      </c>
      <c r="AF45" t="n">
        <v>1</v>
      </c>
    </row>
    <row r="46">
      <c r="A46" t="s">
        <v>15</v>
      </c>
      <c r="B46" t="s">
        <v>362</v>
      </c>
      <c r="C46" t="s">
        <v>236</v>
      </c>
      <c r="D46" t="s">
        <v>363</v>
      </c>
      <c r="E46" t="s">
        <v>237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15</v>
      </c>
      <c r="B47" t="s">
        <v>364</v>
      </c>
      <c r="C47" t="s">
        <v>236</v>
      </c>
      <c r="D47" t="s">
        <v>365</v>
      </c>
      <c r="E47" t="s">
        <v>237</v>
      </c>
      <c r="F47" t="n">
        <v>-21</v>
      </c>
      <c r="G47" t="n">
        <v>-48</v>
      </c>
      <c r="H47" t="n">
        <v>30</v>
      </c>
      <c r="I47" t="n">
        <v>-5</v>
      </c>
      <c r="J47" t="n">
        <v>-1</v>
      </c>
      <c r="K47" t="n">
        <v>-4</v>
      </c>
      <c r="L47" t="n">
        <v>13</v>
      </c>
      <c r="M47" t="n">
        <v>2</v>
      </c>
      <c r="N47" t="n">
        <v>4</v>
      </c>
      <c r="O47" t="n">
        <v>-2</v>
      </c>
      <c r="P47" t="n">
        <v>3</v>
      </c>
      <c r="Q47" t="n">
        <v>-27</v>
      </c>
      <c r="R47" t="n">
        <v>-28</v>
      </c>
      <c r="S47" t="n">
        <v>-18</v>
      </c>
      <c r="T47" t="n">
        <v>-16</v>
      </c>
      <c r="U47" t="n">
        <v>-10</v>
      </c>
      <c r="V47" t="n">
        <v>-13</v>
      </c>
      <c r="W47" t="n">
        <v>-35</v>
      </c>
      <c r="X47" t="n">
        <v>-22</v>
      </c>
      <c r="Y47" t="n">
        <v>-17</v>
      </c>
      <c r="Z47" t="n">
        <v>-11</v>
      </c>
      <c r="AA47" t="n">
        <v>-17</v>
      </c>
      <c r="AB47" t="n">
        <v>-4</v>
      </c>
      <c r="AC47" t="n">
        <v>-9</v>
      </c>
      <c r="AD47" t="n">
        <v>2</v>
      </c>
      <c r="AE47" t="n">
        <v>14</v>
      </c>
      <c r="AF47" t="n">
        <v>2</v>
      </c>
    </row>
    <row r="48">
      <c r="A48" t="s">
        <v>15</v>
      </c>
      <c r="B48" t="s">
        <v>366</v>
      </c>
      <c r="C48" t="s">
        <v>236</v>
      </c>
      <c r="D48" t="s">
        <v>367</v>
      </c>
      <c r="E48" t="s">
        <v>237</v>
      </c>
      <c r="F48" t="n">
        <v>-5</v>
      </c>
      <c r="G48" t="n">
        <v>-30</v>
      </c>
      <c r="H48" t="n">
        <v>41</v>
      </c>
      <c r="I48" t="n">
        <v>0</v>
      </c>
      <c r="J48" t="n">
        <v>7</v>
      </c>
      <c r="K48" t="n">
        <v>2</v>
      </c>
      <c r="L48" t="n">
        <v>10</v>
      </c>
      <c r="M48" t="n">
        <v>6</v>
      </c>
      <c r="N48" t="n">
        <v>5</v>
      </c>
      <c r="O48" t="n">
        <v>6</v>
      </c>
      <c r="P48" t="n">
        <v>6</v>
      </c>
      <c r="Q48" t="n">
        <v>-23</v>
      </c>
      <c r="R48" t="n">
        <v>-22</v>
      </c>
      <c r="S48" t="n">
        <v>-6</v>
      </c>
      <c r="T48" t="n">
        <v>-14</v>
      </c>
      <c r="U48" t="n">
        <v>-1</v>
      </c>
      <c r="V48" t="n">
        <v>-9</v>
      </c>
      <c r="W48" t="n">
        <v>-26</v>
      </c>
      <c r="X48" t="n">
        <v>-15</v>
      </c>
      <c r="Y48" t="n">
        <v>-13</v>
      </c>
      <c r="Z48" t="n">
        <v>6</v>
      </c>
      <c r="AA48" t="n">
        <v>0</v>
      </c>
      <c r="AB48" t="n">
        <v>5</v>
      </c>
      <c r="AC48" t="n">
        <v>-3</v>
      </c>
      <c r="AD48" t="n">
        <v>11</v>
      </c>
      <c r="AE48" t="n">
        <v>23</v>
      </c>
      <c r="AF48" t="n">
        <v>13</v>
      </c>
    </row>
    <row r="49">
      <c r="A49" t="s">
        <v>15</v>
      </c>
      <c r="B49" t="s">
        <v>368</v>
      </c>
      <c r="C49" t="s">
        <v>236</v>
      </c>
      <c r="D49" t="s">
        <v>369</v>
      </c>
      <c r="E49" t="s">
        <v>237</v>
      </c>
      <c r="F49" t="n">
        <v>2</v>
      </c>
      <c r="G49" t="n">
        <v>3</v>
      </c>
      <c r="H49" t="n">
        <v>1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1</v>
      </c>
      <c r="P49" t="n">
        <v>0</v>
      </c>
      <c r="Q49" t="n">
        <v>3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5</v>
      </c>
      <c r="AA49" t="n">
        <v>2</v>
      </c>
      <c r="AB49" t="n">
        <v>1</v>
      </c>
      <c r="AC49" t="n">
        <v>-1</v>
      </c>
      <c r="AD49" t="n">
        <v>1</v>
      </c>
      <c r="AE49" t="n">
        <v>1</v>
      </c>
      <c r="AF49" t="n">
        <v>1</v>
      </c>
    </row>
    <row r="50">
      <c r="A50" t="s">
        <v>15</v>
      </c>
      <c r="B50" t="s">
        <v>370</v>
      </c>
      <c r="C50" t="s">
        <v>236</v>
      </c>
      <c r="D50" t="s">
        <v>371</v>
      </c>
      <c r="E50" t="s">
        <v>237</v>
      </c>
      <c r="F50" t="n">
        <v>14</v>
      </c>
      <c r="G50" t="n">
        <v>15</v>
      </c>
      <c r="H50" t="n">
        <v>10</v>
      </c>
      <c r="I50" t="n">
        <v>4</v>
      </c>
      <c r="J50" t="n">
        <v>8</v>
      </c>
      <c r="K50" t="n">
        <v>6</v>
      </c>
      <c r="L50" t="n">
        <v>-3</v>
      </c>
      <c r="M50" t="n">
        <v>4</v>
      </c>
      <c r="N50" t="n">
        <v>0</v>
      </c>
      <c r="O50" t="n">
        <v>7</v>
      </c>
      <c r="P50" t="n">
        <v>3</v>
      </c>
      <c r="Q50" t="n">
        <v>1</v>
      </c>
      <c r="R50" t="n">
        <v>6</v>
      </c>
      <c r="S50" t="n">
        <v>12</v>
      </c>
      <c r="T50" t="n">
        <v>2</v>
      </c>
      <c r="U50" t="n">
        <v>9</v>
      </c>
      <c r="V50" t="n">
        <v>4</v>
      </c>
      <c r="W50" t="n">
        <v>9</v>
      </c>
      <c r="X50" t="n">
        <v>7</v>
      </c>
      <c r="Y50" t="n">
        <v>4</v>
      </c>
      <c r="Z50" t="n">
        <v>12</v>
      </c>
      <c r="AA50" t="n">
        <v>15</v>
      </c>
      <c r="AB50" t="n">
        <v>8</v>
      </c>
      <c r="AC50" t="n">
        <v>6</v>
      </c>
      <c r="AD50" t="n">
        <v>8</v>
      </c>
      <c r="AE50" t="n">
        <v>8</v>
      </c>
      <c r="AF50" t="n">
        <v>10</v>
      </c>
    </row>
    <row r="51">
      <c r="A51" t="s">
        <v>15</v>
      </c>
      <c r="B51" t="s">
        <v>372</v>
      </c>
      <c r="C51" t="s">
        <v>236</v>
      </c>
      <c r="D51" t="s">
        <v>373</v>
      </c>
      <c r="E51" t="s">
        <v>237</v>
      </c>
      <c r="F51" t="n">
        <v>2</v>
      </c>
      <c r="G51" t="n">
        <v>-1</v>
      </c>
      <c r="H51" t="n">
        <v>-1</v>
      </c>
      <c r="I51" t="n">
        <v>-1</v>
      </c>
      <c r="J51" t="n">
        <v>0</v>
      </c>
      <c r="K51" t="n">
        <v>-1</v>
      </c>
      <c r="L51" t="n">
        <v>-8</v>
      </c>
      <c r="M51" t="n">
        <v>-5</v>
      </c>
      <c r="N51" t="n">
        <v>-4</v>
      </c>
      <c r="O51" t="n">
        <v>0</v>
      </c>
      <c r="P51" t="n">
        <v>-2</v>
      </c>
      <c r="Q51" t="n">
        <v>-4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</v>
      </c>
      <c r="X51" t="n">
        <v>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-2</v>
      </c>
      <c r="AE51" t="n">
        <v>0</v>
      </c>
      <c r="AF51" t="n">
        <v>-2</v>
      </c>
    </row>
    <row r="52">
      <c r="A52" t="s">
        <v>15</v>
      </c>
      <c r="B52" t="s">
        <v>374</v>
      </c>
      <c r="C52" t="s">
        <v>236</v>
      </c>
      <c r="D52" t="s">
        <v>375</v>
      </c>
      <c r="E52" t="s">
        <v>237</v>
      </c>
      <c r="F52" t="n">
        <v>12</v>
      </c>
      <c r="G52" t="n">
        <v>16</v>
      </c>
      <c r="H52" t="n">
        <v>11</v>
      </c>
      <c r="I52" t="n">
        <v>5</v>
      </c>
      <c r="J52" t="n">
        <v>8</v>
      </c>
      <c r="K52" t="n">
        <v>7</v>
      </c>
      <c r="L52" t="n">
        <v>5</v>
      </c>
      <c r="M52" t="n">
        <v>9</v>
      </c>
      <c r="N52" t="n">
        <v>4</v>
      </c>
      <c r="O52" t="n">
        <v>7</v>
      </c>
      <c r="P52" t="n">
        <v>5</v>
      </c>
      <c r="Q52" t="n">
        <v>5</v>
      </c>
      <c r="R52" t="n">
        <v>6</v>
      </c>
      <c r="S52" t="n">
        <v>12</v>
      </c>
      <c r="T52" t="n">
        <v>2</v>
      </c>
      <c r="U52" t="n">
        <v>9</v>
      </c>
      <c r="V52" t="n">
        <v>4</v>
      </c>
      <c r="W52" t="n">
        <v>8</v>
      </c>
      <c r="X52" t="n">
        <v>6</v>
      </c>
      <c r="Y52" t="n">
        <v>4</v>
      </c>
      <c r="Z52" t="n">
        <v>12</v>
      </c>
      <c r="AA52" t="n">
        <v>15</v>
      </c>
      <c r="AB52" t="n">
        <v>8</v>
      </c>
      <c r="AC52" t="n">
        <v>6</v>
      </c>
      <c r="AD52" t="n">
        <v>10</v>
      </c>
      <c r="AE52" t="n">
        <v>8</v>
      </c>
      <c r="AF52" t="n">
        <v>12</v>
      </c>
    </row>
    <row r="53">
      <c r="A53" t="s">
        <v>15</v>
      </c>
      <c r="B53" t="s">
        <v>376</v>
      </c>
      <c r="C53" t="s">
        <v>236</v>
      </c>
      <c r="D53" t="s">
        <v>377</v>
      </c>
      <c r="E53" t="s">
        <v>237</v>
      </c>
      <c r="F53" t="n">
        <v>0</v>
      </c>
      <c r="G53" t="n">
        <v>0</v>
      </c>
      <c r="H53" t="n">
        <v>0</v>
      </c>
      <c r="I53" t="n">
        <v>-1</v>
      </c>
      <c r="J53" t="n">
        <v>-1</v>
      </c>
      <c r="K53" t="n">
        <v>-1</v>
      </c>
      <c r="L53" t="n">
        <v>-1</v>
      </c>
      <c r="M53" t="n">
        <v>0</v>
      </c>
      <c r="N53" t="n">
        <v>2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1</v>
      </c>
      <c r="AB53" t="n">
        <v>1</v>
      </c>
      <c r="AC53" t="n">
        <v>2</v>
      </c>
      <c r="AD53" t="n">
        <v>1</v>
      </c>
      <c r="AE53" t="n">
        <v>0</v>
      </c>
      <c r="AF53" t="n">
        <v>1</v>
      </c>
    </row>
    <row r="54">
      <c r="A54" t="s">
        <v>15</v>
      </c>
      <c r="B54" t="s">
        <v>378</v>
      </c>
      <c r="C54" t="s">
        <v>236</v>
      </c>
      <c r="D54" t="s">
        <v>379</v>
      </c>
      <c r="E54" t="s">
        <v>237</v>
      </c>
      <c r="F54" t="n">
        <v>0</v>
      </c>
      <c r="G54" t="n">
        <v>0</v>
      </c>
      <c r="H54" t="n">
        <v>0</v>
      </c>
      <c r="I54" t="n">
        <v>-1</v>
      </c>
      <c r="J54" t="n">
        <v>-1</v>
      </c>
      <c r="K54" t="n">
        <v>-1</v>
      </c>
      <c r="L54" t="n">
        <v>-1</v>
      </c>
      <c r="M54" t="n">
        <v>0</v>
      </c>
      <c r="N54" t="n">
        <v>2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1</v>
      </c>
      <c r="AB54" t="n">
        <v>1</v>
      </c>
      <c r="AC54" t="n">
        <v>2</v>
      </c>
      <c r="AD54" t="n">
        <v>1</v>
      </c>
      <c r="AE54" t="n">
        <v>0</v>
      </c>
      <c r="AF54" t="n">
        <v>1</v>
      </c>
    </row>
    <row r="55">
      <c r="A55" t="s">
        <v>15</v>
      </c>
      <c r="B55" t="s">
        <v>380</v>
      </c>
      <c r="C55" t="s">
        <v>236</v>
      </c>
      <c r="D55" t="s">
        <v>381</v>
      </c>
      <c r="E55" t="s">
        <v>237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15</v>
      </c>
      <c r="B56" t="s">
        <v>382</v>
      </c>
      <c r="C56" t="s">
        <v>236</v>
      </c>
      <c r="D56" t="s">
        <v>383</v>
      </c>
      <c r="E56" t="s">
        <v>237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15</v>
      </c>
      <c r="B57" t="s">
        <v>384</v>
      </c>
      <c r="C57" t="s">
        <v>236</v>
      </c>
      <c r="D57" t="s">
        <v>385</v>
      </c>
      <c r="E57" t="s">
        <v>237</v>
      </c>
      <c r="F57" t="n">
        <v>4461</v>
      </c>
      <c r="G57" t="n">
        <v>4541</v>
      </c>
      <c r="H57" t="n">
        <v>5467</v>
      </c>
      <c r="I57" t="n">
        <v>6410</v>
      </c>
      <c r="J57" t="n">
        <v>7257</v>
      </c>
      <c r="K57" t="n">
        <v>8254</v>
      </c>
      <c r="L57" t="n">
        <v>7718</v>
      </c>
      <c r="M57" t="n">
        <v>7522</v>
      </c>
      <c r="N57" t="n">
        <v>8380</v>
      </c>
      <c r="O57" t="n">
        <v>9549</v>
      </c>
      <c r="P57" t="n">
        <v>10553</v>
      </c>
      <c r="Q57" t="n">
        <v>11375</v>
      </c>
      <c r="R57" t="n">
        <v>12195</v>
      </c>
      <c r="S57" t="n">
        <v>11592</v>
      </c>
      <c r="T57" t="n">
        <v>9830</v>
      </c>
      <c r="U57" t="n">
        <v>11910</v>
      </c>
      <c r="V57" t="n">
        <v>13044</v>
      </c>
      <c r="W57" t="n">
        <v>13497</v>
      </c>
      <c r="X57" t="n">
        <v>12989</v>
      </c>
      <c r="Y57" t="n">
        <v>12374</v>
      </c>
      <c r="Z57" t="n">
        <v>12650</v>
      </c>
      <c r="AA57" t="n">
        <v>14343</v>
      </c>
      <c r="AB57" t="n">
        <v>15056</v>
      </c>
      <c r="AC57" t="n">
        <v>16538</v>
      </c>
      <c r="AD57" t="n">
        <v>16753</v>
      </c>
      <c r="AE57" t="n">
        <v>16489</v>
      </c>
      <c r="AF57" t="n">
        <v>17120</v>
      </c>
    </row>
    <row r="58">
      <c r="A58" t="s">
        <v>15</v>
      </c>
      <c r="B58" t="s">
        <v>386</v>
      </c>
      <c r="C58" t="s">
        <v>236</v>
      </c>
      <c r="D58" t="s">
        <v>387</v>
      </c>
      <c r="E58" t="s">
        <v>237</v>
      </c>
      <c r="F58" t="n">
        <v>4461</v>
      </c>
      <c r="G58" t="n">
        <v>4541</v>
      </c>
      <c r="H58" t="n">
        <v>5467</v>
      </c>
      <c r="I58" t="n">
        <v>6410</v>
      </c>
      <c r="J58" t="n">
        <v>7257</v>
      </c>
      <c r="K58" t="n">
        <v>8254</v>
      </c>
      <c r="L58" t="n">
        <v>7718</v>
      </c>
      <c r="M58" t="n">
        <v>7522</v>
      </c>
      <c r="N58" t="n">
        <v>8380</v>
      </c>
      <c r="O58" t="n">
        <v>9549</v>
      </c>
      <c r="P58" t="n">
        <v>10553</v>
      </c>
      <c r="Q58" t="n">
        <v>11375</v>
      </c>
      <c r="R58" t="n">
        <v>12195</v>
      </c>
      <c r="S58" t="n">
        <v>11592</v>
      </c>
      <c r="T58" t="n">
        <v>9830</v>
      </c>
      <c r="U58" t="n">
        <v>11910</v>
      </c>
      <c r="V58" t="n">
        <v>13044</v>
      </c>
      <c r="W58" t="n">
        <v>13497</v>
      </c>
      <c r="X58" t="n">
        <v>12989</v>
      </c>
      <c r="Y58" t="n">
        <v>12374</v>
      </c>
      <c r="Z58" t="n">
        <v>12650</v>
      </c>
      <c r="AA58" t="n">
        <v>14343</v>
      </c>
      <c r="AB58" t="n">
        <v>15056</v>
      </c>
      <c r="AC58" t="n">
        <v>16538</v>
      </c>
      <c r="AD58" t="n">
        <v>16753</v>
      </c>
      <c r="AE58" t="n">
        <v>16489</v>
      </c>
      <c r="AF58" t="n">
        <v>17120</v>
      </c>
    </row>
    <row r="59">
      <c r="A59" t="s">
        <v>15</v>
      </c>
      <c r="B59" t="s">
        <v>388</v>
      </c>
      <c r="C59" t="s">
        <v>236</v>
      </c>
      <c r="D59" t="s">
        <v>389</v>
      </c>
      <c r="E59" t="s">
        <v>237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17</v>
      </c>
      <c r="B2" t="s">
        <v>197</v>
      </c>
      <c r="C2" t="s">
        <v>236</v>
      </c>
      <c r="D2" t="s">
        <v>199</v>
      </c>
      <c r="E2" t="s">
        <v>237</v>
      </c>
      <c r="F2" t="n">
        <v>67</v>
      </c>
      <c r="G2" t="n">
        <v>40</v>
      </c>
      <c r="H2" t="n">
        <v>46</v>
      </c>
      <c r="I2" t="n">
        <v>44</v>
      </c>
      <c r="J2" t="n">
        <v>46</v>
      </c>
      <c r="K2" t="n">
        <v>42</v>
      </c>
      <c r="L2" t="n">
        <v>50</v>
      </c>
      <c r="M2" t="n">
        <v>63</v>
      </c>
      <c r="N2" t="n">
        <v>53</v>
      </c>
      <c r="O2" t="n">
        <v>51</v>
      </c>
      <c r="P2" t="n">
        <v>56</v>
      </c>
      <c r="Q2" t="n">
        <v>44</v>
      </c>
      <c r="R2" t="n">
        <v>44</v>
      </c>
      <c r="S2" t="n">
        <v>47</v>
      </c>
      <c r="T2" t="n">
        <v>38</v>
      </c>
      <c r="U2" t="n">
        <v>38</v>
      </c>
      <c r="V2" t="n">
        <v>33</v>
      </c>
      <c r="W2" t="n">
        <v>15</v>
      </c>
      <c r="X2" t="n">
        <v>19</v>
      </c>
      <c r="Y2" t="n">
        <v>24</v>
      </c>
      <c r="Z2" t="n">
        <v>24</v>
      </c>
      <c r="AA2" t="n">
        <v>14</v>
      </c>
      <c r="AB2" t="n">
        <v>27</v>
      </c>
      <c r="AC2" t="n">
        <v>19</v>
      </c>
      <c r="AD2" t="n">
        <v>28</v>
      </c>
      <c r="AE2" t="n">
        <v>41</v>
      </c>
      <c r="AF2" t="n">
        <v>15</v>
      </c>
    </row>
    <row r="3">
      <c r="A3" t="s">
        <v>17</v>
      </c>
      <c r="B3" t="s">
        <v>276</v>
      </c>
      <c r="C3" t="s">
        <v>236</v>
      </c>
      <c r="D3" t="s">
        <v>277</v>
      </c>
      <c r="E3" t="s">
        <v>237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17</v>
      </c>
      <c r="B4" t="s">
        <v>278</v>
      </c>
      <c r="C4" t="s">
        <v>236</v>
      </c>
      <c r="D4" t="s">
        <v>279</v>
      </c>
      <c r="E4" t="s">
        <v>237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17</v>
      </c>
      <c r="B5" t="s">
        <v>280</v>
      </c>
      <c r="C5" t="s">
        <v>236</v>
      </c>
      <c r="D5" t="s">
        <v>281</v>
      </c>
      <c r="E5" t="s">
        <v>237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17</v>
      </c>
      <c r="B6" t="s">
        <v>282</v>
      </c>
      <c r="C6" t="s">
        <v>236</v>
      </c>
      <c r="D6" t="s">
        <v>283</v>
      </c>
      <c r="E6" t="s">
        <v>237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17</v>
      </c>
      <c r="B7" t="s">
        <v>284</v>
      </c>
      <c r="C7" t="s">
        <v>236</v>
      </c>
      <c r="D7" t="s">
        <v>285</v>
      </c>
      <c r="E7" t="s">
        <v>237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17</v>
      </c>
      <c r="B8" t="s">
        <v>286</v>
      </c>
      <c r="C8" t="s">
        <v>236</v>
      </c>
      <c r="D8" t="s">
        <v>287</v>
      </c>
      <c r="E8" t="s">
        <v>237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17</v>
      </c>
      <c r="B9" t="s">
        <v>288</v>
      </c>
      <c r="C9" t="s">
        <v>236</v>
      </c>
      <c r="D9" t="s">
        <v>289</v>
      </c>
      <c r="E9" t="s">
        <v>237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17</v>
      </c>
      <c r="B10" t="s">
        <v>290</v>
      </c>
      <c r="C10" t="s">
        <v>236</v>
      </c>
      <c r="D10" t="s">
        <v>291</v>
      </c>
      <c r="E10" t="s">
        <v>237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17</v>
      </c>
      <c r="B11" t="s">
        <v>292</v>
      </c>
      <c r="C11" t="s">
        <v>236</v>
      </c>
      <c r="D11" t="s">
        <v>293</v>
      </c>
      <c r="E11" t="s">
        <v>237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17</v>
      </c>
      <c r="B12" t="s">
        <v>294</v>
      </c>
      <c r="C12" t="s">
        <v>236</v>
      </c>
      <c r="D12" t="s">
        <v>295</v>
      </c>
      <c r="E12" t="s">
        <v>237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17</v>
      </c>
      <c r="B13" t="s">
        <v>296</v>
      </c>
      <c r="C13" t="s">
        <v>236</v>
      </c>
      <c r="D13" t="s">
        <v>297</v>
      </c>
      <c r="E13" t="s">
        <v>237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17</v>
      </c>
      <c r="B14" t="s">
        <v>298</v>
      </c>
      <c r="C14" t="s">
        <v>236</v>
      </c>
      <c r="D14" t="s">
        <v>299</v>
      </c>
      <c r="E14" t="s">
        <v>237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17</v>
      </c>
      <c r="B15" t="s">
        <v>300</v>
      </c>
      <c r="C15" t="s">
        <v>236</v>
      </c>
      <c r="D15" t="s">
        <v>301</v>
      </c>
      <c r="E15" t="s">
        <v>237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17</v>
      </c>
      <c r="B16" t="s">
        <v>302</v>
      </c>
      <c r="C16" t="s">
        <v>236</v>
      </c>
      <c r="D16" t="s">
        <v>303</v>
      </c>
      <c r="E16" t="s">
        <v>237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17</v>
      </c>
      <c r="B17" t="s">
        <v>304</v>
      </c>
      <c r="C17" t="s">
        <v>236</v>
      </c>
      <c r="D17" t="s">
        <v>305</v>
      </c>
      <c r="E17" t="s">
        <v>237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17</v>
      </c>
      <c r="B18" t="s">
        <v>306</v>
      </c>
      <c r="C18" t="s">
        <v>236</v>
      </c>
      <c r="D18" t="s">
        <v>307</v>
      </c>
      <c r="E18" t="s">
        <v>237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17</v>
      </c>
      <c r="B19" t="s">
        <v>308</v>
      </c>
      <c r="C19" t="s">
        <v>236</v>
      </c>
      <c r="D19" t="s">
        <v>309</v>
      </c>
      <c r="E19" t="s">
        <v>237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17</v>
      </c>
      <c r="B20" t="s">
        <v>310</v>
      </c>
      <c r="C20" t="s">
        <v>236</v>
      </c>
      <c r="D20" t="s">
        <v>311</v>
      </c>
      <c r="E20" t="s">
        <v>237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17</v>
      </c>
      <c r="B21" t="s">
        <v>312</v>
      </c>
      <c r="C21" t="s">
        <v>236</v>
      </c>
      <c r="D21" t="s">
        <v>313</v>
      </c>
      <c r="E21" t="s">
        <v>237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17</v>
      </c>
      <c r="B22" t="s">
        <v>314</v>
      </c>
      <c r="C22" t="s">
        <v>236</v>
      </c>
      <c r="D22" t="s">
        <v>315</v>
      </c>
      <c r="E22" t="s">
        <v>237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17</v>
      </c>
      <c r="B23" t="s">
        <v>316</v>
      </c>
      <c r="C23" t="s">
        <v>236</v>
      </c>
      <c r="D23" t="s">
        <v>317</v>
      </c>
      <c r="E23" t="s">
        <v>237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17</v>
      </c>
      <c r="B24" t="s">
        <v>318</v>
      </c>
      <c r="C24" t="s">
        <v>236</v>
      </c>
      <c r="D24" t="s">
        <v>319</v>
      </c>
      <c r="E24" t="s">
        <v>237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17</v>
      </c>
      <c r="B25" t="s">
        <v>320</v>
      </c>
      <c r="C25" t="s">
        <v>236</v>
      </c>
      <c r="D25" t="s">
        <v>321</v>
      </c>
      <c r="E25" t="s">
        <v>237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17</v>
      </c>
      <c r="B26" t="s">
        <v>322</v>
      </c>
      <c r="C26" t="s">
        <v>236</v>
      </c>
      <c r="D26" t="s">
        <v>323</v>
      </c>
      <c r="E26" t="s">
        <v>237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17</v>
      </c>
      <c r="B27" t="s">
        <v>324</v>
      </c>
      <c r="C27" t="s">
        <v>236</v>
      </c>
      <c r="D27" t="s">
        <v>325</v>
      </c>
      <c r="E27" t="s">
        <v>237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17</v>
      </c>
      <c r="B28" t="s">
        <v>326</v>
      </c>
      <c r="C28" t="s">
        <v>236</v>
      </c>
      <c r="D28" t="s">
        <v>327</v>
      </c>
      <c r="E28" t="s">
        <v>237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17</v>
      </c>
      <c r="B29" t="s">
        <v>328</v>
      </c>
      <c r="C29" t="s">
        <v>236</v>
      </c>
      <c r="D29" t="s">
        <v>329</v>
      </c>
      <c r="E29" t="s">
        <v>237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17</v>
      </c>
      <c r="B30" t="s">
        <v>330</v>
      </c>
      <c r="C30" t="s">
        <v>236</v>
      </c>
      <c r="D30" t="s">
        <v>331</v>
      </c>
      <c r="E30" t="s">
        <v>237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17</v>
      </c>
      <c r="B31" t="s">
        <v>332</v>
      </c>
      <c r="C31" t="s">
        <v>236</v>
      </c>
      <c r="D31" t="s">
        <v>333</v>
      </c>
      <c r="E31" t="s">
        <v>237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17</v>
      </c>
      <c r="B32" t="s">
        <v>334</v>
      </c>
      <c r="C32" t="s">
        <v>236</v>
      </c>
      <c r="D32" t="s">
        <v>335</v>
      </c>
      <c r="E32" t="s">
        <v>237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17</v>
      </c>
      <c r="B33" t="s">
        <v>336</v>
      </c>
      <c r="C33" t="s">
        <v>236</v>
      </c>
      <c r="D33" t="s">
        <v>337</v>
      </c>
      <c r="E33" t="s">
        <v>237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17</v>
      </c>
      <c r="B34" t="s">
        <v>338</v>
      </c>
      <c r="C34" t="s">
        <v>236</v>
      </c>
      <c r="D34" t="s">
        <v>339</v>
      </c>
      <c r="E34" t="s">
        <v>237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17</v>
      </c>
      <c r="B35" t="s">
        <v>340</v>
      </c>
      <c r="C35" t="s">
        <v>236</v>
      </c>
      <c r="D35" t="s">
        <v>341</v>
      </c>
      <c r="E35" t="s">
        <v>237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17</v>
      </c>
      <c r="B36" t="s">
        <v>342</v>
      </c>
      <c r="C36" t="s">
        <v>236</v>
      </c>
      <c r="D36" t="s">
        <v>343</v>
      </c>
      <c r="E36" t="s">
        <v>237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17</v>
      </c>
      <c r="B37" t="s">
        <v>344</v>
      </c>
      <c r="C37" t="s">
        <v>236</v>
      </c>
      <c r="D37" t="s">
        <v>345</v>
      </c>
      <c r="E37" t="s">
        <v>237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17</v>
      </c>
      <c r="B38" t="s">
        <v>346</v>
      </c>
      <c r="C38" t="s">
        <v>236</v>
      </c>
      <c r="D38" t="s">
        <v>347</v>
      </c>
      <c r="E38" t="s">
        <v>237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17</v>
      </c>
      <c r="B39" t="s">
        <v>348</v>
      </c>
      <c r="C39" t="s">
        <v>236</v>
      </c>
      <c r="D39" t="s">
        <v>349</v>
      </c>
      <c r="E39" t="s">
        <v>237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17</v>
      </c>
      <c r="B40" t="s">
        <v>350</v>
      </c>
      <c r="C40" t="s">
        <v>236</v>
      </c>
      <c r="D40" t="s">
        <v>351</v>
      </c>
      <c r="E40" t="s">
        <v>237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17</v>
      </c>
      <c r="B41" t="s">
        <v>352</v>
      </c>
      <c r="C41" t="s">
        <v>236</v>
      </c>
      <c r="D41" t="s">
        <v>353</v>
      </c>
      <c r="E41" t="s">
        <v>237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17</v>
      </c>
      <c r="B42" t="s">
        <v>354</v>
      </c>
      <c r="C42" t="s">
        <v>236</v>
      </c>
      <c r="D42" t="s">
        <v>355</v>
      </c>
      <c r="E42" t="s">
        <v>237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17</v>
      </c>
      <c r="B43" t="s">
        <v>356</v>
      </c>
      <c r="C43" t="s">
        <v>236</v>
      </c>
      <c r="D43" t="s">
        <v>357</v>
      </c>
      <c r="E43" t="s">
        <v>237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17</v>
      </c>
      <c r="B44" t="s">
        <v>358</v>
      </c>
      <c r="C44" t="s">
        <v>236</v>
      </c>
      <c r="D44" t="s">
        <v>359</v>
      </c>
      <c r="E44" t="s">
        <v>237</v>
      </c>
      <c r="F44" t="n">
        <v>70</v>
      </c>
      <c r="G44" t="n">
        <v>43</v>
      </c>
      <c r="H44" t="n">
        <v>51</v>
      </c>
      <c r="I44" t="n">
        <v>49</v>
      </c>
      <c r="J44" t="n">
        <v>51</v>
      </c>
      <c r="K44" t="n">
        <v>48</v>
      </c>
      <c r="L44" t="n">
        <v>58</v>
      </c>
      <c r="M44" t="n">
        <v>72</v>
      </c>
      <c r="N44" t="n">
        <v>63</v>
      </c>
      <c r="O44" t="n">
        <v>59</v>
      </c>
      <c r="P44" t="n">
        <v>65</v>
      </c>
      <c r="Q44" t="n">
        <v>54</v>
      </c>
      <c r="R44" t="n">
        <v>56</v>
      </c>
      <c r="S44" t="n">
        <v>60</v>
      </c>
      <c r="T44" t="n">
        <v>51</v>
      </c>
      <c r="U44" t="n">
        <v>51</v>
      </c>
      <c r="V44" t="n">
        <v>45</v>
      </c>
      <c r="W44" t="n">
        <v>26</v>
      </c>
      <c r="X44" t="n">
        <v>30</v>
      </c>
      <c r="Y44" t="n">
        <v>34</v>
      </c>
      <c r="Z44" t="n">
        <v>34</v>
      </c>
      <c r="AA44" t="n">
        <v>23</v>
      </c>
      <c r="AB44" t="n">
        <v>36</v>
      </c>
      <c r="AC44" t="n">
        <v>28</v>
      </c>
      <c r="AD44" t="n">
        <v>37</v>
      </c>
      <c r="AE44" t="n">
        <v>41</v>
      </c>
      <c r="AF44" t="n">
        <v>15</v>
      </c>
    </row>
    <row r="45">
      <c r="A45" t="s">
        <v>17</v>
      </c>
      <c r="B45" t="s">
        <v>360</v>
      </c>
      <c r="C45" t="s">
        <v>236</v>
      </c>
      <c r="D45" t="s">
        <v>361</v>
      </c>
      <c r="E45" t="s">
        <v>237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17</v>
      </c>
      <c r="B46" t="s">
        <v>362</v>
      </c>
      <c r="C46" t="s">
        <v>236</v>
      </c>
      <c r="D46" t="s">
        <v>363</v>
      </c>
      <c r="E46" t="s">
        <v>237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17</v>
      </c>
      <c r="B47" t="s">
        <v>364</v>
      </c>
      <c r="C47" t="s">
        <v>236</v>
      </c>
      <c r="D47" t="s">
        <v>365</v>
      </c>
      <c r="E47" t="s">
        <v>237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17</v>
      </c>
      <c r="B48" t="s">
        <v>366</v>
      </c>
      <c r="C48" t="s">
        <v>236</v>
      </c>
      <c r="D48" t="s">
        <v>367</v>
      </c>
      <c r="E48" t="s">
        <v>237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17</v>
      </c>
      <c r="B49" t="s">
        <v>368</v>
      </c>
      <c r="C49" t="s">
        <v>236</v>
      </c>
      <c r="D49" t="s">
        <v>369</v>
      </c>
      <c r="E49" t="s">
        <v>237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17</v>
      </c>
      <c r="B50" t="s">
        <v>370</v>
      </c>
      <c r="C50" t="s">
        <v>236</v>
      </c>
      <c r="D50" t="s">
        <v>371</v>
      </c>
      <c r="E50" t="s">
        <v>237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17</v>
      </c>
      <c r="B51" t="s">
        <v>372</v>
      </c>
      <c r="C51" t="s">
        <v>236</v>
      </c>
      <c r="D51" t="s">
        <v>373</v>
      </c>
      <c r="E51" t="s">
        <v>237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17</v>
      </c>
      <c r="B52" t="s">
        <v>374</v>
      </c>
      <c r="C52" t="s">
        <v>236</v>
      </c>
      <c r="D52" t="s">
        <v>375</v>
      </c>
      <c r="E52" t="s">
        <v>237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17</v>
      </c>
      <c r="B53" t="s">
        <v>376</v>
      </c>
      <c r="C53" t="s">
        <v>236</v>
      </c>
      <c r="D53" t="s">
        <v>377</v>
      </c>
      <c r="E53" t="s">
        <v>237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17</v>
      </c>
      <c r="B54" t="s">
        <v>378</v>
      </c>
      <c r="C54" t="s">
        <v>236</v>
      </c>
      <c r="D54" t="s">
        <v>379</v>
      </c>
      <c r="E54" t="s">
        <v>237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17</v>
      </c>
      <c r="B55" t="s">
        <v>380</v>
      </c>
      <c r="C55" t="s">
        <v>236</v>
      </c>
      <c r="D55" t="s">
        <v>381</v>
      </c>
      <c r="E55" t="s">
        <v>237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17</v>
      </c>
      <c r="B56" t="s">
        <v>382</v>
      </c>
      <c r="C56" t="s">
        <v>236</v>
      </c>
      <c r="D56" t="s">
        <v>383</v>
      </c>
      <c r="E56" t="s">
        <v>237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17</v>
      </c>
      <c r="B57" t="s">
        <v>384</v>
      </c>
      <c r="C57" t="s">
        <v>236</v>
      </c>
      <c r="D57" t="s">
        <v>385</v>
      </c>
      <c r="E57" t="s">
        <v>237</v>
      </c>
      <c r="F57" t="n">
        <v>70</v>
      </c>
      <c r="G57" t="n">
        <v>43</v>
      </c>
      <c r="H57" t="n">
        <v>51</v>
      </c>
      <c r="I57" t="n">
        <v>49</v>
      </c>
      <c r="J57" t="n">
        <v>51</v>
      </c>
      <c r="K57" t="n">
        <v>48</v>
      </c>
      <c r="L57" t="n">
        <v>58</v>
      </c>
      <c r="M57" t="n">
        <v>72</v>
      </c>
      <c r="N57" t="n">
        <v>63</v>
      </c>
      <c r="O57" t="n">
        <v>59</v>
      </c>
      <c r="P57" t="n">
        <v>65</v>
      </c>
      <c r="Q57" t="n">
        <v>54</v>
      </c>
      <c r="R57" t="n">
        <v>56</v>
      </c>
      <c r="S57" t="n">
        <v>60</v>
      </c>
      <c r="T57" t="n">
        <v>51</v>
      </c>
      <c r="U57" t="n">
        <v>51</v>
      </c>
      <c r="V57" t="n">
        <v>45</v>
      </c>
      <c r="W57" t="n">
        <v>26</v>
      </c>
      <c r="X57" t="n">
        <v>30</v>
      </c>
      <c r="Y57" t="n">
        <v>34</v>
      </c>
      <c r="Z57" t="n">
        <v>34</v>
      </c>
      <c r="AA57" t="n">
        <v>23</v>
      </c>
      <c r="AB57" t="n">
        <v>36</v>
      </c>
      <c r="AC57" t="n">
        <v>28</v>
      </c>
      <c r="AD57" t="n">
        <v>37</v>
      </c>
      <c r="AE57" t="n">
        <v>41</v>
      </c>
      <c r="AF57" t="n">
        <v>15</v>
      </c>
    </row>
    <row r="58">
      <c r="A58" t="s">
        <v>17</v>
      </c>
      <c r="B58" t="s">
        <v>386</v>
      </c>
      <c r="C58" t="s">
        <v>236</v>
      </c>
      <c r="D58" t="s">
        <v>387</v>
      </c>
      <c r="E58" t="s">
        <v>237</v>
      </c>
      <c r="F58" t="n">
        <v>70</v>
      </c>
      <c r="G58" t="n">
        <v>43</v>
      </c>
      <c r="H58" t="n">
        <v>51</v>
      </c>
      <c r="I58" t="n">
        <v>49</v>
      </c>
      <c r="J58" t="n">
        <v>51</v>
      </c>
      <c r="K58" t="n">
        <v>48</v>
      </c>
      <c r="L58" t="n">
        <v>58</v>
      </c>
      <c r="M58" t="n">
        <v>72</v>
      </c>
      <c r="N58" t="n">
        <v>63</v>
      </c>
      <c r="O58" t="n">
        <v>59</v>
      </c>
      <c r="P58" t="n">
        <v>65</v>
      </c>
      <c r="Q58" t="n">
        <v>54</v>
      </c>
      <c r="R58" t="n">
        <v>56</v>
      </c>
      <c r="S58" t="n">
        <v>60</v>
      </c>
      <c r="T58" t="n">
        <v>51</v>
      </c>
      <c r="U58" t="n">
        <v>51</v>
      </c>
      <c r="V58" t="n">
        <v>45</v>
      </c>
      <c r="W58" t="n">
        <v>26</v>
      </c>
      <c r="X58" t="n">
        <v>30</v>
      </c>
      <c r="Y58" t="n">
        <v>34</v>
      </c>
      <c r="Z58" t="n">
        <v>34</v>
      </c>
      <c r="AA58" t="n">
        <v>23</v>
      </c>
      <c r="AB58" t="n">
        <v>36</v>
      </c>
      <c r="AC58" t="n">
        <v>28</v>
      </c>
      <c r="AD58" t="n">
        <v>37</v>
      </c>
      <c r="AE58" t="n">
        <v>41</v>
      </c>
      <c r="AF58" t="n">
        <v>15</v>
      </c>
    </row>
    <row r="59">
      <c r="A59" t="s">
        <v>17</v>
      </c>
      <c r="B59" t="s">
        <v>388</v>
      </c>
      <c r="C59" t="s">
        <v>236</v>
      </c>
      <c r="D59" t="s">
        <v>389</v>
      </c>
      <c r="E59" t="s">
        <v>237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19</v>
      </c>
      <c r="B2" t="s">
        <v>197</v>
      </c>
      <c r="C2" t="s">
        <v>236</v>
      </c>
      <c r="D2" t="s">
        <v>199</v>
      </c>
      <c r="E2" t="s">
        <v>237</v>
      </c>
      <c r="F2" t="n">
        <v>3</v>
      </c>
      <c r="G2" t="n">
        <v>1</v>
      </c>
      <c r="H2" t="n">
        <v>0</v>
      </c>
      <c r="I2" t="n">
        <v>3</v>
      </c>
      <c r="J2" t="n">
        <v>3</v>
      </c>
      <c r="K2" t="n">
        <v>2</v>
      </c>
      <c r="L2" t="n">
        <v>0</v>
      </c>
      <c r="M2" t="n">
        <v>1</v>
      </c>
      <c r="N2" t="n">
        <v>0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3</v>
      </c>
      <c r="V2" t="n">
        <v>6</v>
      </c>
      <c r="W2" t="n">
        <v>2</v>
      </c>
      <c r="X2" t="n">
        <v>1</v>
      </c>
      <c r="Y2" t="n">
        <v>2</v>
      </c>
      <c r="Z2" t="n">
        <v>2</v>
      </c>
      <c r="AA2" t="n">
        <v>2</v>
      </c>
      <c r="AB2" t="n">
        <v>4</v>
      </c>
      <c r="AC2" t="n">
        <v>14</v>
      </c>
      <c r="AD2" t="n">
        <v>16</v>
      </c>
      <c r="AE2" t="n">
        <v>14</v>
      </c>
      <c r="AF2" t="n">
        <v>13</v>
      </c>
    </row>
    <row r="3">
      <c r="A3" t="s">
        <v>19</v>
      </c>
      <c r="B3" t="s">
        <v>276</v>
      </c>
      <c r="C3" t="s">
        <v>236</v>
      </c>
      <c r="D3" t="s">
        <v>277</v>
      </c>
      <c r="E3" t="s">
        <v>237</v>
      </c>
      <c r="F3" t="n">
        <v>6</v>
      </c>
      <c r="G3" t="n">
        <v>6</v>
      </c>
      <c r="H3" t="n">
        <v>5</v>
      </c>
      <c r="I3" t="n">
        <v>8</v>
      </c>
      <c r="J3" t="n">
        <v>10</v>
      </c>
      <c r="K3" t="n">
        <v>11</v>
      </c>
      <c r="L3" t="n">
        <v>4</v>
      </c>
      <c r="M3" t="n">
        <v>4</v>
      </c>
      <c r="N3" t="n">
        <v>6</v>
      </c>
      <c r="O3" t="n">
        <v>5</v>
      </c>
      <c r="P3" t="n">
        <v>4</v>
      </c>
      <c r="Q3" t="n">
        <v>3</v>
      </c>
      <c r="R3" t="n">
        <v>6</v>
      </c>
      <c r="S3" t="n">
        <v>10</v>
      </c>
      <c r="T3" t="n">
        <v>15</v>
      </c>
      <c r="U3" t="n">
        <v>11</v>
      </c>
      <c r="V3" t="n">
        <v>9</v>
      </c>
      <c r="W3" t="n">
        <v>9</v>
      </c>
      <c r="X3" t="n">
        <v>8</v>
      </c>
      <c r="Y3" t="n">
        <v>6</v>
      </c>
      <c r="Z3" t="n">
        <v>7</v>
      </c>
      <c r="AA3" t="n">
        <v>14</v>
      </c>
      <c r="AB3" t="n">
        <v>25</v>
      </c>
      <c r="AC3" t="n">
        <v>18</v>
      </c>
      <c r="AD3" t="n">
        <v>9</v>
      </c>
      <c r="AE3" t="n">
        <v>16</v>
      </c>
      <c r="AF3" t="n">
        <v>18</v>
      </c>
    </row>
    <row r="4">
      <c r="A4" t="s">
        <v>19</v>
      </c>
      <c r="B4" t="s">
        <v>278</v>
      </c>
      <c r="C4" t="s">
        <v>236</v>
      </c>
      <c r="D4" t="s">
        <v>279</v>
      </c>
      <c r="E4" t="s">
        <v>237</v>
      </c>
      <c r="F4" t="n">
        <v>1120</v>
      </c>
      <c r="G4" t="n">
        <v>1323</v>
      </c>
      <c r="H4" t="n">
        <v>1529</v>
      </c>
      <c r="I4" t="n">
        <v>1851</v>
      </c>
      <c r="J4" t="n">
        <v>2297</v>
      </c>
      <c r="K4" t="n">
        <v>2734</v>
      </c>
      <c r="L4" t="n">
        <v>2816</v>
      </c>
      <c r="M4" t="n">
        <v>2862</v>
      </c>
      <c r="N4" t="n">
        <v>3112</v>
      </c>
      <c r="O4" t="n">
        <v>3407</v>
      </c>
      <c r="P4" t="n">
        <v>3534</v>
      </c>
      <c r="Q4" t="n">
        <v>3688</v>
      </c>
      <c r="R4" t="n">
        <v>3973</v>
      </c>
      <c r="S4" t="n">
        <v>4699</v>
      </c>
      <c r="T4" t="n">
        <v>4344</v>
      </c>
      <c r="U4" t="n">
        <v>4339</v>
      </c>
      <c r="V4" t="n">
        <v>4112</v>
      </c>
      <c r="W4" t="n">
        <v>3476</v>
      </c>
      <c r="X4" t="n">
        <v>3341</v>
      </c>
      <c r="Y4" t="n">
        <v>3233</v>
      </c>
      <c r="Z4" t="n">
        <v>2967</v>
      </c>
      <c r="AA4" t="n">
        <v>2738</v>
      </c>
      <c r="AB4" t="n">
        <v>2473</v>
      </c>
      <c r="AC4" t="n">
        <v>3015</v>
      </c>
      <c r="AD4" t="n">
        <v>3651</v>
      </c>
      <c r="AE4" t="n">
        <v>3477</v>
      </c>
      <c r="AF4" t="n">
        <v>3808</v>
      </c>
    </row>
    <row r="5">
      <c r="A5" t="s">
        <v>19</v>
      </c>
      <c r="B5" t="s">
        <v>280</v>
      </c>
      <c r="C5" t="s">
        <v>236</v>
      </c>
      <c r="D5" t="s">
        <v>281</v>
      </c>
      <c r="E5" t="s">
        <v>237</v>
      </c>
      <c r="F5" t="n">
        <v>49</v>
      </c>
      <c r="G5" t="n">
        <v>45</v>
      </c>
      <c r="H5" t="n">
        <v>39</v>
      </c>
      <c r="I5" t="n">
        <v>42</v>
      </c>
      <c r="J5" t="n">
        <v>46</v>
      </c>
      <c r="K5" t="n">
        <v>47</v>
      </c>
      <c r="L5" t="n">
        <v>46</v>
      </c>
      <c r="M5" t="n">
        <v>49</v>
      </c>
      <c r="N5" t="n">
        <v>43</v>
      </c>
      <c r="O5" t="n">
        <v>47</v>
      </c>
      <c r="P5" t="n">
        <v>56</v>
      </c>
      <c r="Q5" t="n">
        <v>56</v>
      </c>
      <c r="R5" t="n">
        <v>51</v>
      </c>
      <c r="S5" t="n">
        <v>59</v>
      </c>
      <c r="T5" t="n">
        <v>58</v>
      </c>
      <c r="U5" t="n">
        <v>64</v>
      </c>
      <c r="V5" t="n">
        <v>64</v>
      </c>
      <c r="W5" t="n">
        <v>63</v>
      </c>
      <c r="X5" t="n">
        <v>70</v>
      </c>
      <c r="Y5" t="n">
        <v>68</v>
      </c>
      <c r="Z5" t="n">
        <v>60</v>
      </c>
      <c r="AA5" t="n">
        <v>54</v>
      </c>
      <c r="AB5" t="n">
        <v>62</v>
      </c>
      <c r="AC5" t="n">
        <v>59</v>
      </c>
      <c r="AD5" t="n">
        <v>60</v>
      </c>
      <c r="AE5" t="n">
        <v>14</v>
      </c>
      <c r="AF5" t="n">
        <v>59</v>
      </c>
    </row>
    <row r="6">
      <c r="A6" t="s">
        <v>19</v>
      </c>
      <c r="B6" t="s">
        <v>282</v>
      </c>
      <c r="C6" t="s">
        <v>236</v>
      </c>
      <c r="D6" t="s">
        <v>283</v>
      </c>
      <c r="E6" t="s">
        <v>237</v>
      </c>
      <c r="F6" t="n">
        <v>7</v>
      </c>
      <c r="G6" t="n">
        <v>7</v>
      </c>
      <c r="H6" t="n">
        <v>8</v>
      </c>
      <c r="I6" t="n">
        <v>10</v>
      </c>
      <c r="J6" t="n">
        <v>13</v>
      </c>
      <c r="K6" t="n">
        <v>14</v>
      </c>
      <c r="L6" t="n">
        <v>17</v>
      </c>
      <c r="M6" t="n">
        <v>11</v>
      </c>
      <c r="N6" t="n">
        <v>11</v>
      </c>
      <c r="O6" t="n">
        <v>11</v>
      </c>
      <c r="P6" t="n">
        <v>7</v>
      </c>
      <c r="Q6" t="n">
        <v>12</v>
      </c>
      <c r="R6" t="n">
        <v>10</v>
      </c>
      <c r="S6" t="n">
        <v>13</v>
      </c>
      <c r="T6" t="n">
        <v>17</v>
      </c>
      <c r="U6" t="n">
        <v>8</v>
      </c>
      <c r="V6" t="n">
        <v>7</v>
      </c>
      <c r="W6" t="n">
        <v>5</v>
      </c>
      <c r="X6" t="n">
        <v>7</v>
      </c>
      <c r="Y6" t="n">
        <v>7</v>
      </c>
      <c r="Z6" t="n">
        <v>11</v>
      </c>
      <c r="AA6" t="n">
        <v>7</v>
      </c>
      <c r="AB6" t="n">
        <v>6</v>
      </c>
      <c r="AC6" t="n">
        <v>5</v>
      </c>
      <c r="AD6" t="n">
        <v>3</v>
      </c>
      <c r="AE6" t="n">
        <v>4</v>
      </c>
      <c r="AF6" t="n">
        <v>7</v>
      </c>
    </row>
    <row r="7">
      <c r="A7" t="s">
        <v>19</v>
      </c>
      <c r="B7" t="s">
        <v>284</v>
      </c>
      <c r="C7" t="s">
        <v>236</v>
      </c>
      <c r="D7" t="s">
        <v>285</v>
      </c>
      <c r="E7" t="s">
        <v>237</v>
      </c>
      <c r="F7" t="n">
        <v>67</v>
      </c>
      <c r="G7" t="n">
        <v>71</v>
      </c>
      <c r="H7" t="n">
        <v>76</v>
      </c>
      <c r="I7" t="n">
        <v>80</v>
      </c>
      <c r="J7" t="n">
        <v>84</v>
      </c>
      <c r="K7" t="n">
        <v>98</v>
      </c>
      <c r="L7" t="n">
        <v>104</v>
      </c>
      <c r="M7" t="n">
        <v>112</v>
      </c>
      <c r="N7" t="n">
        <v>114</v>
      </c>
      <c r="O7" t="n">
        <v>115</v>
      </c>
      <c r="P7" t="n">
        <v>113</v>
      </c>
      <c r="Q7" t="n">
        <v>108</v>
      </c>
      <c r="R7" t="n">
        <v>112</v>
      </c>
      <c r="S7" t="n">
        <v>114</v>
      </c>
      <c r="T7" t="n">
        <v>97</v>
      </c>
      <c r="U7" t="n">
        <v>107</v>
      </c>
      <c r="V7" t="n">
        <v>78</v>
      </c>
      <c r="W7" t="n">
        <v>97</v>
      </c>
      <c r="X7" t="n">
        <v>92</v>
      </c>
      <c r="Y7" t="n">
        <v>84</v>
      </c>
      <c r="Z7" t="n">
        <v>96</v>
      </c>
      <c r="AA7" t="n">
        <v>93</v>
      </c>
      <c r="AB7" t="n">
        <v>104</v>
      </c>
      <c r="AC7" t="n">
        <v>113</v>
      </c>
      <c r="AD7" t="n">
        <v>118</v>
      </c>
      <c r="AE7" t="n">
        <v>117</v>
      </c>
      <c r="AF7" t="n">
        <v>108</v>
      </c>
    </row>
    <row r="8">
      <c r="A8" t="s">
        <v>19</v>
      </c>
      <c r="B8" t="s">
        <v>286</v>
      </c>
      <c r="C8" t="s">
        <v>236</v>
      </c>
      <c r="D8" t="s">
        <v>287</v>
      </c>
      <c r="E8" t="s">
        <v>237</v>
      </c>
      <c r="F8" t="n">
        <v>31</v>
      </c>
      <c r="G8" t="n">
        <v>32</v>
      </c>
      <c r="H8" t="n">
        <v>33</v>
      </c>
      <c r="I8" t="n">
        <v>39</v>
      </c>
      <c r="J8" t="n">
        <v>21</v>
      </c>
      <c r="K8" t="n">
        <v>29</v>
      </c>
      <c r="L8" t="n">
        <v>29</v>
      </c>
      <c r="M8" t="n">
        <v>20</v>
      </c>
      <c r="N8" t="n">
        <v>15</v>
      </c>
      <c r="O8" t="n">
        <v>12</v>
      </c>
      <c r="P8" t="n">
        <v>11</v>
      </c>
      <c r="Q8" t="n">
        <v>12</v>
      </c>
      <c r="R8" t="n">
        <v>24</v>
      </c>
      <c r="S8" t="n">
        <v>45</v>
      </c>
      <c r="T8" t="n">
        <v>43</v>
      </c>
      <c r="U8" t="n">
        <v>40</v>
      </c>
      <c r="V8" t="n">
        <v>41</v>
      </c>
      <c r="W8" t="n">
        <v>43</v>
      </c>
      <c r="X8" t="n">
        <v>38</v>
      </c>
      <c r="Y8" t="n">
        <v>31</v>
      </c>
      <c r="Z8" t="n">
        <v>32</v>
      </c>
      <c r="AA8" t="n">
        <v>35</v>
      </c>
      <c r="AB8" t="n">
        <v>35</v>
      </c>
      <c r="AC8" t="n">
        <v>38</v>
      </c>
      <c r="AD8" t="n">
        <v>41</v>
      </c>
      <c r="AE8" t="n">
        <v>41</v>
      </c>
      <c r="AF8" t="n">
        <v>48</v>
      </c>
    </row>
    <row r="9">
      <c r="A9" t="s">
        <v>19</v>
      </c>
      <c r="B9" t="s">
        <v>288</v>
      </c>
      <c r="C9" t="s">
        <v>236</v>
      </c>
      <c r="D9" t="s">
        <v>289</v>
      </c>
      <c r="E9" t="s">
        <v>237</v>
      </c>
      <c r="F9" t="n">
        <v>73</v>
      </c>
      <c r="G9" t="n">
        <v>74</v>
      </c>
      <c r="H9" t="n">
        <v>79</v>
      </c>
      <c r="I9" t="n">
        <v>81</v>
      </c>
      <c r="J9" t="n">
        <v>97</v>
      </c>
      <c r="K9" t="n">
        <v>100</v>
      </c>
      <c r="L9" t="n">
        <v>101</v>
      </c>
      <c r="M9" t="n">
        <v>106</v>
      </c>
      <c r="N9" t="n">
        <v>97</v>
      </c>
      <c r="O9" t="n">
        <v>114</v>
      </c>
      <c r="P9" t="n">
        <v>115</v>
      </c>
      <c r="Q9" t="n">
        <v>129</v>
      </c>
      <c r="R9" t="n">
        <v>140</v>
      </c>
      <c r="S9" t="n">
        <v>149</v>
      </c>
      <c r="T9" t="n">
        <v>117</v>
      </c>
      <c r="U9" t="n">
        <v>127</v>
      </c>
      <c r="V9" t="n">
        <v>132</v>
      </c>
      <c r="W9" t="n">
        <v>108</v>
      </c>
      <c r="X9" t="n">
        <v>146</v>
      </c>
      <c r="Y9" t="n">
        <v>88</v>
      </c>
      <c r="Z9" t="n">
        <v>120</v>
      </c>
      <c r="AA9" t="n">
        <v>113</v>
      </c>
      <c r="AB9" t="n">
        <v>121</v>
      </c>
      <c r="AC9" t="n">
        <v>120</v>
      </c>
      <c r="AD9" t="n">
        <v>123</v>
      </c>
      <c r="AE9" t="n">
        <v>122</v>
      </c>
      <c r="AF9" t="n">
        <v>121</v>
      </c>
    </row>
    <row r="10">
      <c r="A10" t="s">
        <v>19</v>
      </c>
      <c r="B10" t="s">
        <v>290</v>
      </c>
      <c r="C10" t="s">
        <v>236</v>
      </c>
      <c r="D10" t="s">
        <v>291</v>
      </c>
      <c r="E10" t="s">
        <v>237</v>
      </c>
      <c r="F10" t="n">
        <v>153</v>
      </c>
      <c r="G10" t="n">
        <v>154</v>
      </c>
      <c r="H10" t="n">
        <v>158</v>
      </c>
      <c r="I10" t="n">
        <v>170</v>
      </c>
      <c r="J10" t="n">
        <v>187</v>
      </c>
      <c r="K10" t="n">
        <v>218</v>
      </c>
      <c r="L10" t="n">
        <v>239</v>
      </c>
      <c r="M10" t="n">
        <v>271</v>
      </c>
      <c r="N10" t="n">
        <v>235</v>
      </c>
      <c r="O10" t="n">
        <v>234</v>
      </c>
      <c r="P10" t="n">
        <v>236</v>
      </c>
      <c r="Q10" t="n">
        <v>256</v>
      </c>
      <c r="R10" t="n">
        <v>311</v>
      </c>
      <c r="S10" t="n">
        <v>326</v>
      </c>
      <c r="T10" t="n">
        <v>284</v>
      </c>
      <c r="U10" t="n">
        <v>286</v>
      </c>
      <c r="V10" t="n">
        <v>292</v>
      </c>
      <c r="W10" t="n">
        <v>326</v>
      </c>
      <c r="X10" t="n">
        <v>362</v>
      </c>
      <c r="Y10" t="n">
        <v>330</v>
      </c>
      <c r="Z10" t="n">
        <v>350</v>
      </c>
      <c r="AA10" t="n">
        <v>361</v>
      </c>
      <c r="AB10" t="n">
        <v>386</v>
      </c>
      <c r="AC10" t="n">
        <v>351</v>
      </c>
      <c r="AD10" t="n">
        <v>296</v>
      </c>
      <c r="AE10" t="n">
        <v>350</v>
      </c>
      <c r="AF10" t="n">
        <v>398</v>
      </c>
    </row>
    <row r="11">
      <c r="A11" t="s">
        <v>19</v>
      </c>
      <c r="B11" t="s">
        <v>292</v>
      </c>
      <c r="C11" t="s">
        <v>236</v>
      </c>
      <c r="D11" t="s">
        <v>293</v>
      </c>
      <c r="E11" t="s">
        <v>237</v>
      </c>
      <c r="F11" t="n">
        <v>80</v>
      </c>
      <c r="G11" t="n">
        <v>80</v>
      </c>
      <c r="H11" t="n">
        <v>79</v>
      </c>
      <c r="I11" t="n">
        <v>89</v>
      </c>
      <c r="J11" t="n">
        <v>90</v>
      </c>
      <c r="K11" t="n">
        <v>118</v>
      </c>
      <c r="L11" t="n">
        <v>138</v>
      </c>
      <c r="M11" t="n">
        <v>165</v>
      </c>
      <c r="N11" t="n">
        <v>138</v>
      </c>
      <c r="O11" t="n">
        <v>120</v>
      </c>
      <c r="P11" t="n">
        <v>121</v>
      </c>
      <c r="Q11" t="n">
        <v>127</v>
      </c>
      <c r="R11" t="n">
        <v>171</v>
      </c>
      <c r="S11" t="n">
        <v>177</v>
      </c>
      <c r="T11" t="n">
        <v>167</v>
      </c>
      <c r="U11" t="n">
        <v>159</v>
      </c>
      <c r="V11" t="n">
        <v>160</v>
      </c>
      <c r="W11" t="n">
        <v>218</v>
      </c>
      <c r="X11" t="n">
        <v>216</v>
      </c>
      <c r="Y11" t="n">
        <v>242</v>
      </c>
      <c r="Z11" t="n">
        <v>230</v>
      </c>
      <c r="AA11" t="n">
        <v>248</v>
      </c>
      <c r="AB11" t="n">
        <v>265</v>
      </c>
      <c r="AC11" t="n">
        <v>231</v>
      </c>
      <c r="AD11" t="n">
        <v>173</v>
      </c>
      <c r="AE11" t="n">
        <v>228</v>
      </c>
      <c r="AF11" t="n">
        <v>277</v>
      </c>
    </row>
    <row r="12">
      <c r="A12" t="s">
        <v>19</v>
      </c>
      <c r="B12" t="s">
        <v>294</v>
      </c>
      <c r="C12" t="s">
        <v>236</v>
      </c>
      <c r="D12" t="s">
        <v>295</v>
      </c>
      <c r="E12" t="s">
        <v>237</v>
      </c>
      <c r="F12" t="n">
        <v>29</v>
      </c>
      <c r="G12" t="n">
        <v>29</v>
      </c>
      <c r="H12" t="n">
        <v>27</v>
      </c>
      <c r="I12" t="n">
        <v>29</v>
      </c>
      <c r="J12" t="n">
        <v>44</v>
      </c>
      <c r="K12" t="n">
        <v>48</v>
      </c>
      <c r="L12" t="n">
        <v>48</v>
      </c>
      <c r="M12" t="n">
        <v>57</v>
      </c>
      <c r="N12" t="n">
        <v>54</v>
      </c>
      <c r="O12" t="n">
        <v>56</v>
      </c>
      <c r="P12" t="n">
        <v>48</v>
      </c>
      <c r="Q12" t="n">
        <v>55</v>
      </c>
      <c r="R12" t="n">
        <v>61</v>
      </c>
      <c r="S12" t="n">
        <v>64</v>
      </c>
      <c r="T12" t="n">
        <v>62</v>
      </c>
      <c r="U12" t="n">
        <v>62</v>
      </c>
      <c r="V12" t="n">
        <v>66</v>
      </c>
      <c r="W12" t="n">
        <v>75</v>
      </c>
      <c r="X12" t="n">
        <v>68</v>
      </c>
      <c r="Y12" t="n">
        <v>70</v>
      </c>
      <c r="Z12" t="n">
        <v>80</v>
      </c>
      <c r="AA12" t="n">
        <v>73</v>
      </c>
      <c r="AB12" t="n">
        <v>90</v>
      </c>
      <c r="AC12" t="n">
        <v>82</v>
      </c>
      <c r="AD12" t="n">
        <v>92</v>
      </c>
      <c r="AE12" t="n">
        <v>92</v>
      </c>
      <c r="AF12" t="n">
        <v>95</v>
      </c>
    </row>
    <row r="13">
      <c r="A13" t="s">
        <v>19</v>
      </c>
      <c r="B13" t="s">
        <v>296</v>
      </c>
      <c r="C13" t="s">
        <v>236</v>
      </c>
      <c r="D13" t="s">
        <v>297</v>
      </c>
      <c r="E13" t="s">
        <v>237</v>
      </c>
      <c r="F13" t="n">
        <v>50</v>
      </c>
      <c r="G13" t="n">
        <v>50</v>
      </c>
      <c r="H13" t="n">
        <v>53</v>
      </c>
      <c r="I13" t="n">
        <v>56</v>
      </c>
      <c r="J13" t="n">
        <v>63</v>
      </c>
      <c r="K13" t="n">
        <v>63</v>
      </c>
      <c r="L13" t="n">
        <v>69</v>
      </c>
      <c r="M13" t="n">
        <v>61</v>
      </c>
      <c r="N13" t="n">
        <v>67</v>
      </c>
      <c r="O13" t="n">
        <v>75</v>
      </c>
      <c r="P13" t="n">
        <v>84</v>
      </c>
      <c r="Q13" t="n">
        <v>84</v>
      </c>
      <c r="R13" t="n">
        <v>90</v>
      </c>
      <c r="S13" t="n">
        <v>93</v>
      </c>
      <c r="T13" t="n">
        <v>100</v>
      </c>
      <c r="U13" t="n">
        <v>101</v>
      </c>
      <c r="V13" t="n">
        <v>93</v>
      </c>
      <c r="W13" t="n">
        <v>86</v>
      </c>
      <c r="X13" t="n">
        <v>79</v>
      </c>
      <c r="Y13" t="n">
        <v>67</v>
      </c>
      <c r="Z13" t="n">
        <v>67</v>
      </c>
      <c r="AA13" t="n">
        <v>65</v>
      </c>
      <c r="AB13" t="n">
        <v>73</v>
      </c>
      <c r="AC13" t="n">
        <v>77</v>
      </c>
      <c r="AD13" t="n">
        <v>75</v>
      </c>
      <c r="AE13" t="n">
        <v>85</v>
      </c>
      <c r="AF13" t="n">
        <v>77</v>
      </c>
    </row>
    <row r="14">
      <c r="A14" t="s">
        <v>19</v>
      </c>
      <c r="B14" t="s">
        <v>298</v>
      </c>
      <c r="C14" t="s">
        <v>236</v>
      </c>
      <c r="D14" t="s">
        <v>299</v>
      </c>
      <c r="E14" t="s">
        <v>237</v>
      </c>
      <c r="F14" t="n">
        <v>430</v>
      </c>
      <c r="G14" t="n">
        <v>608</v>
      </c>
      <c r="H14" t="n">
        <v>786</v>
      </c>
      <c r="I14" t="n">
        <v>1034</v>
      </c>
      <c r="J14" t="n">
        <v>1403</v>
      </c>
      <c r="K14" t="n">
        <v>1755</v>
      </c>
      <c r="L14" t="n">
        <v>1747</v>
      </c>
      <c r="M14" t="n">
        <v>1738</v>
      </c>
      <c r="N14" t="n">
        <v>2057</v>
      </c>
      <c r="O14" t="n">
        <v>2339</v>
      </c>
      <c r="P14" t="n">
        <v>2463</v>
      </c>
      <c r="Q14" t="n">
        <v>2539</v>
      </c>
      <c r="R14" t="n">
        <v>2691</v>
      </c>
      <c r="S14" t="n">
        <v>3272</v>
      </c>
      <c r="T14" t="n">
        <v>3026</v>
      </c>
      <c r="U14" t="n">
        <v>2963</v>
      </c>
      <c r="V14" t="n">
        <v>2706</v>
      </c>
      <c r="W14" t="n">
        <v>1881</v>
      </c>
      <c r="X14" t="n">
        <v>1789</v>
      </c>
      <c r="Y14" t="n">
        <v>1706</v>
      </c>
      <c r="Z14" t="n">
        <v>1362</v>
      </c>
      <c r="AA14" t="n">
        <v>1120</v>
      </c>
      <c r="AB14" t="n">
        <v>1085</v>
      </c>
      <c r="AC14" t="n">
        <v>1274</v>
      </c>
      <c r="AD14" t="n">
        <v>1898</v>
      </c>
      <c r="AE14" t="n">
        <v>1692</v>
      </c>
      <c r="AF14" t="n">
        <v>1932</v>
      </c>
    </row>
    <row r="15">
      <c r="A15" t="s">
        <v>19</v>
      </c>
      <c r="B15" t="s">
        <v>300</v>
      </c>
      <c r="C15" t="s">
        <v>236</v>
      </c>
      <c r="D15" t="s">
        <v>301</v>
      </c>
      <c r="E15" t="s">
        <v>237</v>
      </c>
      <c r="F15" t="n">
        <v>499</v>
      </c>
      <c r="G15" t="n">
        <v>676</v>
      </c>
      <c r="H15" t="n">
        <v>852</v>
      </c>
      <c r="I15" t="n">
        <v>1112</v>
      </c>
      <c r="J15" t="n">
        <v>1482</v>
      </c>
      <c r="K15" t="n">
        <v>1839</v>
      </c>
      <c r="L15" t="n">
        <v>1832</v>
      </c>
      <c r="M15" t="n">
        <v>1831</v>
      </c>
      <c r="N15" t="n">
        <v>2163</v>
      </c>
      <c r="O15" t="n">
        <v>2458</v>
      </c>
      <c r="P15" t="n">
        <v>2582</v>
      </c>
      <c r="Q15" t="n">
        <v>2654</v>
      </c>
      <c r="R15" t="n">
        <v>2830</v>
      </c>
      <c r="S15" t="n">
        <v>3488</v>
      </c>
      <c r="T15" t="n">
        <v>3246</v>
      </c>
      <c r="U15" t="n">
        <v>3231</v>
      </c>
      <c r="V15" t="n">
        <v>2967</v>
      </c>
      <c r="W15" t="n">
        <v>2180</v>
      </c>
      <c r="X15" t="n">
        <v>2017</v>
      </c>
      <c r="Y15" t="n">
        <v>2015</v>
      </c>
      <c r="Z15" t="n">
        <v>1658</v>
      </c>
      <c r="AA15" t="n">
        <v>1384</v>
      </c>
      <c r="AB15" t="n">
        <v>1042</v>
      </c>
      <c r="AC15" t="n">
        <v>1496</v>
      </c>
      <c r="AD15" t="n">
        <v>2138</v>
      </c>
      <c r="AE15" t="n">
        <v>1922</v>
      </c>
      <c r="AF15" t="n">
        <v>2151</v>
      </c>
    </row>
    <row r="16">
      <c r="A16" t="s">
        <v>19</v>
      </c>
      <c r="B16" t="s">
        <v>302</v>
      </c>
      <c r="C16" t="s">
        <v>236</v>
      </c>
      <c r="D16" t="s">
        <v>303</v>
      </c>
      <c r="E16" t="s">
        <v>237</v>
      </c>
      <c r="F16" t="n">
        <v>69</v>
      </c>
      <c r="G16" t="n">
        <v>68</v>
      </c>
      <c r="H16" t="n">
        <v>66</v>
      </c>
      <c r="I16" t="n">
        <v>78</v>
      </c>
      <c r="J16" t="n">
        <v>79</v>
      </c>
      <c r="K16" t="n">
        <v>84</v>
      </c>
      <c r="L16" t="n">
        <v>85</v>
      </c>
      <c r="M16" t="n">
        <v>93</v>
      </c>
      <c r="N16" t="n">
        <v>106</v>
      </c>
      <c r="O16" t="n">
        <v>119</v>
      </c>
      <c r="P16" t="n">
        <v>119</v>
      </c>
      <c r="Q16" t="n">
        <v>115</v>
      </c>
      <c r="R16" t="n">
        <v>139</v>
      </c>
      <c r="S16" t="n">
        <v>216</v>
      </c>
      <c r="T16" t="n">
        <v>220</v>
      </c>
      <c r="U16" t="n">
        <v>268</v>
      </c>
      <c r="V16" t="n">
        <v>261</v>
      </c>
      <c r="W16" t="n">
        <v>299</v>
      </c>
      <c r="X16" t="n">
        <v>228</v>
      </c>
      <c r="Y16" t="n">
        <v>309</v>
      </c>
      <c r="Z16" t="n">
        <v>296</v>
      </c>
      <c r="AA16" t="n">
        <v>264</v>
      </c>
      <c r="AB16" t="n">
        <v>-43</v>
      </c>
      <c r="AC16" t="n">
        <v>222</v>
      </c>
      <c r="AD16" t="n">
        <v>240</v>
      </c>
      <c r="AE16" t="n">
        <v>230</v>
      </c>
      <c r="AF16" t="n">
        <v>219</v>
      </c>
    </row>
    <row r="17">
      <c r="A17" t="s">
        <v>19</v>
      </c>
      <c r="B17" t="s">
        <v>304</v>
      </c>
      <c r="C17" t="s">
        <v>236</v>
      </c>
      <c r="D17" t="s">
        <v>305</v>
      </c>
      <c r="E17" t="s">
        <v>237</v>
      </c>
      <c r="F17" t="n">
        <v>128</v>
      </c>
      <c r="G17" t="n">
        <v>140</v>
      </c>
      <c r="H17" t="n">
        <v>151</v>
      </c>
      <c r="I17" t="n">
        <v>168</v>
      </c>
      <c r="J17" t="n">
        <v>188</v>
      </c>
      <c r="K17" t="n">
        <v>184</v>
      </c>
      <c r="L17" t="n">
        <v>218</v>
      </c>
      <c r="M17" t="n">
        <v>218</v>
      </c>
      <c r="N17" t="n">
        <v>190</v>
      </c>
      <c r="O17" t="n">
        <v>187</v>
      </c>
      <c r="P17" t="n">
        <v>203</v>
      </c>
      <c r="Q17" t="n">
        <v>215</v>
      </c>
      <c r="R17" t="n">
        <v>243</v>
      </c>
      <c r="S17" t="n">
        <v>419</v>
      </c>
      <c r="T17" t="n">
        <v>347</v>
      </c>
      <c r="U17" t="n">
        <v>360</v>
      </c>
      <c r="V17" t="n">
        <v>403</v>
      </c>
      <c r="W17" t="n">
        <v>487</v>
      </c>
      <c r="X17" t="n">
        <v>509</v>
      </c>
      <c r="Y17" t="n">
        <v>498</v>
      </c>
      <c r="Z17" t="n">
        <v>528</v>
      </c>
      <c r="AA17" t="n">
        <v>575</v>
      </c>
      <c r="AB17" t="n">
        <v>578</v>
      </c>
      <c r="AC17" t="n">
        <v>671</v>
      </c>
      <c r="AD17" t="n">
        <v>699</v>
      </c>
      <c r="AE17" t="n">
        <v>715</v>
      </c>
      <c r="AF17" t="n">
        <v>693</v>
      </c>
    </row>
    <row r="18">
      <c r="A18" t="s">
        <v>19</v>
      </c>
      <c r="B18" t="s">
        <v>306</v>
      </c>
      <c r="C18" t="s">
        <v>236</v>
      </c>
      <c r="D18" t="s">
        <v>307</v>
      </c>
      <c r="E18" t="s">
        <v>237</v>
      </c>
      <c r="F18" t="n">
        <v>21</v>
      </c>
      <c r="G18" t="n">
        <v>23</v>
      </c>
      <c r="H18" t="n">
        <v>23</v>
      </c>
      <c r="I18" t="n">
        <v>24</v>
      </c>
      <c r="J18" t="n">
        <v>26</v>
      </c>
      <c r="K18" t="n">
        <v>30</v>
      </c>
      <c r="L18" t="n">
        <v>28</v>
      </c>
      <c r="M18" t="n">
        <v>29</v>
      </c>
      <c r="N18" t="n">
        <v>27</v>
      </c>
      <c r="O18" t="n">
        <v>30</v>
      </c>
      <c r="P18" t="n">
        <v>33</v>
      </c>
      <c r="Q18" t="n">
        <v>45</v>
      </c>
      <c r="R18" t="n">
        <v>31</v>
      </c>
      <c r="S18" t="n">
        <v>41</v>
      </c>
      <c r="T18" t="n">
        <v>58</v>
      </c>
      <c r="U18" t="n">
        <v>48</v>
      </c>
      <c r="V18" t="n">
        <v>69</v>
      </c>
      <c r="W18" t="n">
        <v>80</v>
      </c>
      <c r="X18" t="n">
        <v>72</v>
      </c>
      <c r="Y18" t="n">
        <v>40</v>
      </c>
      <c r="Z18" t="n">
        <v>61</v>
      </c>
      <c r="AA18" t="n">
        <v>63</v>
      </c>
      <c r="AB18" t="n">
        <v>76</v>
      </c>
      <c r="AC18" t="n">
        <v>85</v>
      </c>
      <c r="AD18" t="n">
        <v>92</v>
      </c>
      <c r="AE18" t="n">
        <v>96</v>
      </c>
      <c r="AF18" t="n">
        <v>114</v>
      </c>
    </row>
    <row r="19">
      <c r="A19" t="s">
        <v>19</v>
      </c>
      <c r="B19" t="s">
        <v>308</v>
      </c>
      <c r="C19" t="s">
        <v>236</v>
      </c>
      <c r="D19" t="s">
        <v>309</v>
      </c>
      <c r="E19" t="s">
        <v>237</v>
      </c>
      <c r="F19" t="n">
        <v>86</v>
      </c>
      <c r="G19" t="n">
        <v>96</v>
      </c>
      <c r="H19" t="n">
        <v>109</v>
      </c>
      <c r="I19" t="n">
        <v>121</v>
      </c>
      <c r="J19" t="n">
        <v>143</v>
      </c>
      <c r="K19" t="n">
        <v>164</v>
      </c>
      <c r="L19" t="n">
        <v>186</v>
      </c>
      <c r="M19" t="n">
        <v>203</v>
      </c>
      <c r="N19" t="n">
        <v>193</v>
      </c>
      <c r="O19" t="n">
        <v>182</v>
      </c>
      <c r="P19" t="n">
        <v>161</v>
      </c>
      <c r="Q19" t="n">
        <v>191</v>
      </c>
      <c r="R19" t="n">
        <v>210</v>
      </c>
      <c r="S19" t="n">
        <v>37</v>
      </c>
      <c r="T19" t="n">
        <v>32</v>
      </c>
      <c r="U19" t="n">
        <v>32</v>
      </c>
      <c r="V19" t="n">
        <v>32</v>
      </c>
      <c r="W19" t="n">
        <v>34</v>
      </c>
      <c r="X19" t="n">
        <v>27</v>
      </c>
      <c r="Y19" t="n">
        <v>23</v>
      </c>
      <c r="Z19" t="n">
        <v>24</v>
      </c>
      <c r="AA19" t="n">
        <v>28</v>
      </c>
      <c r="AB19" t="n">
        <v>21</v>
      </c>
      <c r="AC19" t="n">
        <v>38</v>
      </c>
      <c r="AD19" t="n">
        <v>37</v>
      </c>
      <c r="AE19" t="n">
        <v>41</v>
      </c>
      <c r="AF19" t="n">
        <v>58</v>
      </c>
    </row>
    <row r="20">
      <c r="A20" t="s">
        <v>19</v>
      </c>
      <c r="B20" t="s">
        <v>310</v>
      </c>
      <c r="C20" t="s">
        <v>236</v>
      </c>
      <c r="D20" t="s">
        <v>311</v>
      </c>
      <c r="E20" t="s">
        <v>237</v>
      </c>
      <c r="F20" t="n">
        <v>14</v>
      </c>
      <c r="G20" t="n">
        <v>23</v>
      </c>
      <c r="H20" t="n">
        <v>34</v>
      </c>
      <c r="I20" t="n">
        <v>36</v>
      </c>
      <c r="J20" t="n">
        <v>29</v>
      </c>
      <c r="K20" t="n">
        <v>22</v>
      </c>
      <c r="L20" t="n">
        <v>32</v>
      </c>
      <c r="M20" t="n">
        <v>15</v>
      </c>
      <c r="N20" t="n">
        <v>9</v>
      </c>
      <c r="O20" t="n">
        <v>7</v>
      </c>
      <c r="P20" t="n">
        <v>13</v>
      </c>
      <c r="Q20" t="n">
        <v>26</v>
      </c>
      <c r="R20" t="n">
        <v>13</v>
      </c>
      <c r="S20" t="n">
        <v>15</v>
      </c>
      <c r="T20" t="n">
        <v>19</v>
      </c>
      <c r="U20" t="n">
        <v>26</v>
      </c>
      <c r="V20" t="n">
        <v>26</v>
      </c>
      <c r="W20" t="n">
        <v>35</v>
      </c>
      <c r="X20" t="n">
        <v>29</v>
      </c>
      <c r="Y20" t="n">
        <v>23</v>
      </c>
      <c r="Z20" t="n">
        <v>24</v>
      </c>
      <c r="AA20" t="n">
        <v>44</v>
      </c>
      <c r="AB20" t="n">
        <v>73</v>
      </c>
      <c r="AC20" t="n">
        <v>61</v>
      </c>
      <c r="AD20" t="n">
        <v>75</v>
      </c>
      <c r="AE20" t="n">
        <v>66</v>
      </c>
      <c r="AF20" t="n">
        <v>64</v>
      </c>
    </row>
    <row r="21">
      <c r="A21" t="s">
        <v>19</v>
      </c>
      <c r="B21" t="s">
        <v>312</v>
      </c>
      <c r="C21" t="s">
        <v>236</v>
      </c>
      <c r="D21" t="s">
        <v>313</v>
      </c>
      <c r="E21" t="s">
        <v>237</v>
      </c>
      <c r="F21" t="n">
        <v>15</v>
      </c>
      <c r="G21" t="n">
        <v>24</v>
      </c>
      <c r="H21" t="n">
        <v>35</v>
      </c>
      <c r="I21" t="n">
        <v>37</v>
      </c>
      <c r="J21" t="n">
        <v>32</v>
      </c>
      <c r="K21" t="n">
        <v>24</v>
      </c>
      <c r="L21" t="n">
        <v>35</v>
      </c>
      <c r="M21" t="n">
        <v>20</v>
      </c>
      <c r="N21" t="n">
        <v>15</v>
      </c>
      <c r="O21" t="n">
        <v>15</v>
      </c>
      <c r="P21" t="n">
        <v>21</v>
      </c>
      <c r="Q21" t="n">
        <v>40</v>
      </c>
      <c r="R21" t="n">
        <v>30</v>
      </c>
      <c r="S21" t="n">
        <v>28</v>
      </c>
      <c r="T21" t="n">
        <v>32</v>
      </c>
      <c r="U21" t="n">
        <v>44</v>
      </c>
      <c r="V21" t="n">
        <v>42</v>
      </c>
      <c r="W21" t="n">
        <v>60</v>
      </c>
      <c r="X21" t="n">
        <v>53</v>
      </c>
      <c r="Y21" t="n">
        <v>42</v>
      </c>
      <c r="Z21" t="n">
        <v>54</v>
      </c>
      <c r="AA21" t="n">
        <v>74</v>
      </c>
      <c r="AB21" t="n">
        <v>91</v>
      </c>
      <c r="AC21" t="n">
        <v>77</v>
      </c>
      <c r="AD21" t="n">
        <v>89</v>
      </c>
      <c r="AE21" t="n">
        <v>72</v>
      </c>
      <c r="AF21" t="n">
        <v>72</v>
      </c>
    </row>
    <row r="22">
      <c r="A22" t="s">
        <v>19</v>
      </c>
      <c r="B22" t="s">
        <v>314</v>
      </c>
      <c r="C22" t="s">
        <v>236</v>
      </c>
      <c r="D22" t="s">
        <v>315</v>
      </c>
      <c r="E22" t="s">
        <v>237</v>
      </c>
      <c r="F22" t="n">
        <v>1</v>
      </c>
      <c r="G22" t="n">
        <v>1</v>
      </c>
      <c r="H22" t="n">
        <v>1</v>
      </c>
      <c r="I22" t="n">
        <v>1</v>
      </c>
      <c r="J22" t="n">
        <v>3</v>
      </c>
      <c r="K22" t="n">
        <v>2</v>
      </c>
      <c r="L22" t="n">
        <v>3</v>
      </c>
      <c r="M22" t="n">
        <v>5</v>
      </c>
      <c r="N22" t="n">
        <v>6</v>
      </c>
      <c r="O22" t="n">
        <v>8</v>
      </c>
      <c r="P22" t="n">
        <v>8</v>
      </c>
      <c r="Q22" t="n">
        <v>14</v>
      </c>
      <c r="R22" t="n">
        <v>17</v>
      </c>
      <c r="S22" t="n">
        <v>13</v>
      </c>
      <c r="T22" t="n">
        <v>13</v>
      </c>
      <c r="U22" t="n">
        <v>18</v>
      </c>
      <c r="V22" t="n">
        <v>16</v>
      </c>
      <c r="W22" t="n">
        <v>25</v>
      </c>
      <c r="X22" t="n">
        <v>24</v>
      </c>
      <c r="Y22" t="n">
        <v>19</v>
      </c>
      <c r="Z22" t="n">
        <v>30</v>
      </c>
      <c r="AA22" t="n">
        <v>30</v>
      </c>
      <c r="AB22" t="n">
        <v>18</v>
      </c>
      <c r="AC22" t="n">
        <v>16</v>
      </c>
      <c r="AD22" t="n">
        <v>14</v>
      </c>
      <c r="AE22" t="n">
        <v>6</v>
      </c>
      <c r="AF22" t="n">
        <v>8</v>
      </c>
    </row>
    <row r="23">
      <c r="A23" t="s">
        <v>19</v>
      </c>
      <c r="B23" t="s">
        <v>316</v>
      </c>
      <c r="C23" t="s">
        <v>236</v>
      </c>
      <c r="D23" t="s">
        <v>317</v>
      </c>
      <c r="E23" t="s">
        <v>237</v>
      </c>
      <c r="F23" t="n">
        <v>11</v>
      </c>
      <c r="G23" t="n">
        <v>10</v>
      </c>
      <c r="H23" t="n">
        <v>10</v>
      </c>
      <c r="I23" t="n">
        <v>11</v>
      </c>
      <c r="J23" t="n">
        <v>20</v>
      </c>
      <c r="K23" t="n">
        <v>33</v>
      </c>
      <c r="L23" t="n">
        <v>26</v>
      </c>
      <c r="M23" t="n">
        <v>32</v>
      </c>
      <c r="N23" t="n">
        <v>36</v>
      </c>
      <c r="O23" t="n">
        <v>21</v>
      </c>
      <c r="P23" t="n">
        <v>20</v>
      </c>
      <c r="Q23" t="n">
        <v>21</v>
      </c>
      <c r="R23" t="n">
        <v>25</v>
      </c>
      <c r="S23" t="n">
        <v>32</v>
      </c>
      <c r="T23" t="n">
        <v>43</v>
      </c>
      <c r="U23" t="n">
        <v>55</v>
      </c>
      <c r="V23" t="n">
        <v>48</v>
      </c>
      <c r="W23" t="n">
        <v>50</v>
      </c>
      <c r="X23" t="n">
        <v>63</v>
      </c>
      <c r="Y23" t="n">
        <v>18</v>
      </c>
      <c r="Z23" t="n">
        <v>31</v>
      </c>
      <c r="AA23" t="n">
        <v>21</v>
      </c>
      <c r="AB23" t="n">
        <v>30</v>
      </c>
      <c r="AC23" t="n">
        <v>27</v>
      </c>
      <c r="AD23" t="n">
        <v>27</v>
      </c>
      <c r="AE23" t="n">
        <v>32</v>
      </c>
      <c r="AF23" t="n">
        <v>37</v>
      </c>
    </row>
    <row r="24">
      <c r="A24" t="s">
        <v>19</v>
      </c>
      <c r="B24" t="s">
        <v>318</v>
      </c>
      <c r="C24" t="s">
        <v>236</v>
      </c>
      <c r="D24" t="s">
        <v>319</v>
      </c>
      <c r="E24" t="s">
        <v>237</v>
      </c>
      <c r="F24" t="n">
        <v>46</v>
      </c>
      <c r="G24" t="n">
        <v>57</v>
      </c>
      <c r="H24" t="n">
        <v>68</v>
      </c>
      <c r="I24" t="n">
        <v>86</v>
      </c>
      <c r="J24" t="n">
        <v>95</v>
      </c>
      <c r="K24" t="n">
        <v>125</v>
      </c>
      <c r="L24" t="n">
        <v>129</v>
      </c>
      <c r="M24" t="n">
        <v>6</v>
      </c>
      <c r="N24" t="n">
        <v>6</v>
      </c>
      <c r="O24" t="n">
        <v>3</v>
      </c>
      <c r="P24" t="n">
        <v>5</v>
      </c>
      <c r="Q24" t="n">
        <v>1</v>
      </c>
      <c r="R24" t="n">
        <v>61</v>
      </c>
      <c r="S24" t="n">
        <v>41</v>
      </c>
      <c r="T24" t="n">
        <v>51</v>
      </c>
      <c r="U24" t="n">
        <v>57</v>
      </c>
      <c r="V24" t="n">
        <v>65</v>
      </c>
      <c r="W24" t="n">
        <v>101</v>
      </c>
      <c r="X24" t="n">
        <v>76</v>
      </c>
      <c r="Y24" t="n">
        <v>69</v>
      </c>
      <c r="Z24" t="n">
        <v>74</v>
      </c>
      <c r="AA24" t="n">
        <v>69</v>
      </c>
      <c r="AB24" t="n">
        <v>50</v>
      </c>
      <c r="AC24" t="n">
        <v>76</v>
      </c>
      <c r="AD24" t="n">
        <v>74</v>
      </c>
      <c r="AE24" t="n">
        <v>66</v>
      </c>
      <c r="AF24" t="n">
        <v>117</v>
      </c>
    </row>
    <row r="25">
      <c r="A25" t="s">
        <v>19</v>
      </c>
      <c r="B25" t="s">
        <v>320</v>
      </c>
      <c r="C25" t="s">
        <v>236</v>
      </c>
      <c r="D25" t="s">
        <v>321</v>
      </c>
      <c r="E25" t="s">
        <v>237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</v>
      </c>
      <c r="T25" t="n">
        <v>0</v>
      </c>
      <c r="U25" t="n">
        <v>0</v>
      </c>
      <c r="V25" t="n">
        <v>0</v>
      </c>
      <c r="W25" t="n">
        <v>1</v>
      </c>
      <c r="X25" t="n">
        <v>2</v>
      </c>
      <c r="Y25" t="n">
        <v>4</v>
      </c>
      <c r="Z25" t="n">
        <v>6</v>
      </c>
      <c r="AA25" t="n">
        <v>5</v>
      </c>
      <c r="AB25" t="n">
        <v>1</v>
      </c>
      <c r="AC25" t="n">
        <v>1</v>
      </c>
      <c r="AD25" t="n">
        <v>4</v>
      </c>
      <c r="AE25" t="n">
        <v>2</v>
      </c>
      <c r="AF25" t="n">
        <v>3</v>
      </c>
    </row>
    <row r="26">
      <c r="A26" t="s">
        <v>19</v>
      </c>
      <c r="B26" t="s">
        <v>322</v>
      </c>
      <c r="C26" t="s">
        <v>236</v>
      </c>
      <c r="D26" t="s">
        <v>323</v>
      </c>
      <c r="E26" t="s">
        <v>237</v>
      </c>
      <c r="F26" t="n">
        <v>46</v>
      </c>
      <c r="G26" t="n">
        <v>57</v>
      </c>
      <c r="H26" t="n">
        <v>68</v>
      </c>
      <c r="I26" t="n">
        <v>85</v>
      </c>
      <c r="J26" t="n">
        <v>94</v>
      </c>
      <c r="K26" t="n">
        <v>123</v>
      </c>
      <c r="L26" t="n">
        <v>126</v>
      </c>
      <c r="M26" t="n">
        <v>6</v>
      </c>
      <c r="N26" t="n">
        <v>6</v>
      </c>
      <c r="O26" t="n">
        <v>3</v>
      </c>
      <c r="P26" t="n">
        <v>5</v>
      </c>
      <c r="Q26" t="n">
        <v>1</v>
      </c>
      <c r="R26" t="n">
        <v>61</v>
      </c>
      <c r="S26" t="n">
        <v>37</v>
      </c>
      <c r="T26" t="n">
        <v>51</v>
      </c>
      <c r="U26" t="n">
        <v>53</v>
      </c>
      <c r="V26" t="n">
        <v>60</v>
      </c>
      <c r="W26" t="n">
        <v>98</v>
      </c>
      <c r="X26" t="n">
        <v>73</v>
      </c>
      <c r="Y26" t="n">
        <v>63</v>
      </c>
      <c r="Z26" t="n">
        <v>68</v>
      </c>
      <c r="AA26" t="n">
        <v>61</v>
      </c>
      <c r="AB26" t="n">
        <v>49</v>
      </c>
      <c r="AC26" t="n">
        <v>75</v>
      </c>
      <c r="AD26" t="n">
        <v>70</v>
      </c>
      <c r="AE26" t="n">
        <v>63</v>
      </c>
      <c r="AF26" t="n">
        <v>113</v>
      </c>
    </row>
    <row r="27">
      <c r="A27" t="s">
        <v>19</v>
      </c>
      <c r="B27" t="s">
        <v>324</v>
      </c>
      <c r="C27" t="s">
        <v>236</v>
      </c>
      <c r="D27" t="s">
        <v>325</v>
      </c>
      <c r="E27" t="s">
        <v>237</v>
      </c>
      <c r="F27" t="n">
        <v>0</v>
      </c>
      <c r="G27" t="n">
        <v>0</v>
      </c>
      <c r="H27" t="n">
        <v>0</v>
      </c>
      <c r="I27" t="n">
        <v>1</v>
      </c>
      <c r="J27" t="n">
        <v>1</v>
      </c>
      <c r="K27" t="n">
        <v>2</v>
      </c>
      <c r="L27" t="n">
        <v>3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</v>
      </c>
      <c r="V27" t="n">
        <v>5</v>
      </c>
      <c r="W27" t="n">
        <v>2</v>
      </c>
      <c r="X27" t="n">
        <v>1</v>
      </c>
      <c r="Y27" t="n">
        <v>2</v>
      </c>
      <c r="Z27" t="n">
        <v>0</v>
      </c>
      <c r="AA27" t="n">
        <v>3</v>
      </c>
      <c r="AB27" t="n">
        <v>0</v>
      </c>
      <c r="AC27" t="n">
        <v>0</v>
      </c>
      <c r="AD27" t="n">
        <v>0</v>
      </c>
      <c r="AE27" t="n">
        <v>1</v>
      </c>
      <c r="AF27" t="n">
        <v>1</v>
      </c>
    </row>
    <row r="28">
      <c r="A28" t="s">
        <v>19</v>
      </c>
      <c r="B28" t="s">
        <v>326</v>
      </c>
      <c r="C28" t="s">
        <v>236</v>
      </c>
      <c r="D28" t="s">
        <v>327</v>
      </c>
      <c r="E28" t="s">
        <v>237</v>
      </c>
      <c r="F28" t="n">
        <v>9</v>
      </c>
      <c r="G28" t="n">
        <v>10</v>
      </c>
      <c r="H28" t="n">
        <v>11</v>
      </c>
      <c r="I28" t="n">
        <v>9</v>
      </c>
      <c r="J28" t="n">
        <v>16</v>
      </c>
      <c r="K28" t="n">
        <v>18</v>
      </c>
      <c r="L28" t="n">
        <v>30</v>
      </c>
      <c r="M28" t="n">
        <v>20</v>
      </c>
      <c r="N28" t="n">
        <v>23</v>
      </c>
      <c r="O28" t="n">
        <v>23</v>
      </c>
      <c r="P28" t="n">
        <v>25</v>
      </c>
      <c r="Q28" t="n">
        <v>29</v>
      </c>
      <c r="R28" t="n">
        <v>23</v>
      </c>
      <c r="S28" t="n">
        <v>20</v>
      </c>
      <c r="T28" t="n">
        <v>17</v>
      </c>
      <c r="U28" t="n">
        <v>10</v>
      </c>
      <c r="V28" t="n">
        <v>15</v>
      </c>
      <c r="W28" t="n">
        <v>12</v>
      </c>
      <c r="X28" t="n">
        <v>13</v>
      </c>
      <c r="Y28" t="n">
        <v>15</v>
      </c>
      <c r="Z28" t="n">
        <v>14</v>
      </c>
      <c r="AA28" t="n">
        <v>14</v>
      </c>
      <c r="AB28" t="n">
        <v>12</v>
      </c>
      <c r="AC28" t="n">
        <v>10</v>
      </c>
      <c r="AD28" t="n">
        <v>12</v>
      </c>
      <c r="AE28" t="n">
        <v>15</v>
      </c>
      <c r="AF28" t="n">
        <v>30</v>
      </c>
    </row>
    <row r="29">
      <c r="A29" t="s">
        <v>19</v>
      </c>
      <c r="B29" t="s">
        <v>328</v>
      </c>
      <c r="C29" t="s">
        <v>236</v>
      </c>
      <c r="D29" t="s">
        <v>329</v>
      </c>
      <c r="E29" t="s">
        <v>237</v>
      </c>
      <c r="F29" t="n">
        <v>4</v>
      </c>
      <c r="G29" t="n">
        <v>4</v>
      </c>
      <c r="H29" t="n">
        <v>4</v>
      </c>
      <c r="I29" t="n">
        <v>3</v>
      </c>
      <c r="J29" t="n">
        <v>7</v>
      </c>
      <c r="K29" t="n">
        <v>6</v>
      </c>
      <c r="L29" t="n">
        <v>10</v>
      </c>
      <c r="M29" t="n">
        <v>2</v>
      </c>
      <c r="N29" t="n">
        <v>4</v>
      </c>
      <c r="O29" t="n">
        <v>4</v>
      </c>
      <c r="P29" t="n">
        <v>2</v>
      </c>
      <c r="Q29" t="n">
        <v>2</v>
      </c>
      <c r="R29" t="n">
        <v>1</v>
      </c>
      <c r="S29" t="n">
        <v>0</v>
      </c>
      <c r="T29" t="n">
        <v>0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2</v>
      </c>
      <c r="AA29" t="n">
        <v>1</v>
      </c>
      <c r="AB29" t="n">
        <v>0</v>
      </c>
      <c r="AC29" t="n">
        <v>2</v>
      </c>
      <c r="AD29" t="n">
        <v>3</v>
      </c>
      <c r="AE29" t="n">
        <v>1</v>
      </c>
      <c r="AF29" t="n">
        <v>1</v>
      </c>
    </row>
    <row r="30">
      <c r="A30" t="s">
        <v>19</v>
      </c>
      <c r="B30" t="s">
        <v>330</v>
      </c>
      <c r="C30" t="s">
        <v>236</v>
      </c>
      <c r="D30" t="s">
        <v>331</v>
      </c>
      <c r="E30" t="s">
        <v>237</v>
      </c>
      <c r="F30" t="n">
        <v>0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2</v>
      </c>
      <c r="M30" t="n">
        <v>1</v>
      </c>
      <c r="N30" t="n">
        <v>1</v>
      </c>
      <c r="O30" t="n">
        <v>1</v>
      </c>
      <c r="P30" t="n">
        <v>1</v>
      </c>
      <c r="Q30" t="n">
        <v>0</v>
      </c>
      <c r="R30" t="n">
        <v>1</v>
      </c>
      <c r="S30" t="n">
        <v>1</v>
      </c>
      <c r="T30" t="n">
        <v>0</v>
      </c>
      <c r="U30" t="n">
        <v>0</v>
      </c>
      <c r="V30" t="n">
        <v>1</v>
      </c>
      <c r="W30" t="n">
        <v>0</v>
      </c>
      <c r="X30" t="n">
        <v>0</v>
      </c>
      <c r="Y30" t="n">
        <v>1</v>
      </c>
      <c r="Z30" t="n">
        <v>0</v>
      </c>
      <c r="AA30" t="n">
        <v>1</v>
      </c>
      <c r="AB30" t="n">
        <v>0</v>
      </c>
      <c r="AC30" t="n">
        <v>0</v>
      </c>
      <c r="AD30" t="n">
        <v>1</v>
      </c>
      <c r="AE30" t="n">
        <v>1</v>
      </c>
      <c r="AF30" t="n">
        <v>2</v>
      </c>
    </row>
    <row r="31">
      <c r="A31" t="s">
        <v>19</v>
      </c>
      <c r="B31" t="s">
        <v>332</v>
      </c>
      <c r="C31" t="s">
        <v>236</v>
      </c>
      <c r="D31" t="s">
        <v>333</v>
      </c>
      <c r="E31" t="s">
        <v>237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19</v>
      </c>
      <c r="B32" t="s">
        <v>334</v>
      </c>
      <c r="C32" t="s">
        <v>236</v>
      </c>
      <c r="D32" t="s">
        <v>335</v>
      </c>
      <c r="E32" t="s">
        <v>237</v>
      </c>
      <c r="F32" t="n">
        <v>0</v>
      </c>
      <c r="G32" t="n">
        <v>0</v>
      </c>
      <c r="H32" t="n">
        <v>0</v>
      </c>
      <c r="I32" t="n">
        <v>0</v>
      </c>
      <c r="J32" t="n">
        <v>3</v>
      </c>
      <c r="K32" t="n">
        <v>0</v>
      </c>
      <c r="L32" t="n">
        <v>0</v>
      </c>
      <c r="M32" t="n">
        <v>1</v>
      </c>
      <c r="N32" t="n">
        <v>1</v>
      </c>
      <c r="O32" t="n">
        <v>2</v>
      </c>
      <c r="P32" t="n">
        <v>3</v>
      </c>
      <c r="Q32" t="n">
        <v>2</v>
      </c>
      <c r="R32" t="n">
        <v>0</v>
      </c>
      <c r="S32" t="n">
        <v>1</v>
      </c>
      <c r="T32" t="n">
        <v>1</v>
      </c>
      <c r="U32" t="n">
        <v>1</v>
      </c>
      <c r="V32" t="n">
        <v>2</v>
      </c>
      <c r="W32" t="n">
        <v>1</v>
      </c>
      <c r="X32" t="n">
        <v>2</v>
      </c>
      <c r="Y32" t="n">
        <v>2</v>
      </c>
      <c r="Z32" t="n">
        <v>1</v>
      </c>
      <c r="AA32" t="n">
        <v>0</v>
      </c>
      <c r="AB32" t="n">
        <v>3</v>
      </c>
      <c r="AC32" t="n">
        <v>2</v>
      </c>
      <c r="AD32" t="n">
        <v>3</v>
      </c>
      <c r="AE32" t="n">
        <v>6</v>
      </c>
      <c r="AF32" t="n">
        <v>8</v>
      </c>
    </row>
    <row r="33">
      <c r="A33" t="s">
        <v>19</v>
      </c>
      <c r="B33" t="s">
        <v>336</v>
      </c>
      <c r="C33" t="s">
        <v>236</v>
      </c>
      <c r="D33" t="s">
        <v>337</v>
      </c>
      <c r="E33" t="s">
        <v>237</v>
      </c>
      <c r="F33" t="n">
        <v>5</v>
      </c>
      <c r="G33" t="n">
        <v>5</v>
      </c>
      <c r="H33" t="n">
        <v>6</v>
      </c>
      <c r="I33" t="n">
        <v>5</v>
      </c>
      <c r="J33" t="n">
        <v>5</v>
      </c>
      <c r="K33" t="n">
        <v>11</v>
      </c>
      <c r="L33" t="n">
        <v>18</v>
      </c>
      <c r="M33" t="n">
        <v>16</v>
      </c>
      <c r="N33" t="n">
        <v>17</v>
      </c>
      <c r="O33" t="n">
        <v>16</v>
      </c>
      <c r="P33" t="n">
        <v>19</v>
      </c>
      <c r="Q33" t="n">
        <v>25</v>
      </c>
      <c r="R33" t="n">
        <v>21</v>
      </c>
      <c r="S33" t="n">
        <v>18</v>
      </c>
      <c r="T33" t="n">
        <v>16</v>
      </c>
      <c r="U33" t="n">
        <v>8</v>
      </c>
      <c r="V33" t="n">
        <v>11</v>
      </c>
      <c r="W33" t="n">
        <v>10</v>
      </c>
      <c r="X33" t="n">
        <v>10</v>
      </c>
      <c r="Y33" t="n">
        <v>11</v>
      </c>
      <c r="Z33" t="n">
        <v>11</v>
      </c>
      <c r="AA33" t="n">
        <v>12</v>
      </c>
      <c r="AB33" t="n">
        <v>9</v>
      </c>
      <c r="AC33" t="n">
        <v>6</v>
      </c>
      <c r="AD33" t="n">
        <v>5</v>
      </c>
      <c r="AE33" t="n">
        <v>7</v>
      </c>
      <c r="AF33" t="n">
        <v>19</v>
      </c>
    </row>
    <row r="34">
      <c r="A34" t="s">
        <v>19</v>
      </c>
      <c r="B34" t="s">
        <v>338</v>
      </c>
      <c r="C34" t="s">
        <v>236</v>
      </c>
      <c r="D34" t="s">
        <v>339</v>
      </c>
      <c r="E34" t="s">
        <v>237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</v>
      </c>
      <c r="W34" t="n">
        <v>1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</v>
      </c>
      <c r="AD34" t="n">
        <v>0</v>
      </c>
      <c r="AE34" t="n">
        <v>2</v>
      </c>
      <c r="AF34" t="n">
        <v>4</v>
      </c>
    </row>
    <row r="35">
      <c r="A35" t="s">
        <v>19</v>
      </c>
      <c r="B35" t="s">
        <v>340</v>
      </c>
      <c r="C35" t="s">
        <v>236</v>
      </c>
      <c r="D35" t="s">
        <v>341</v>
      </c>
      <c r="E35" t="s">
        <v>237</v>
      </c>
      <c r="F35" t="n">
        <v>44</v>
      </c>
      <c r="G35" t="n">
        <v>52</v>
      </c>
      <c r="H35" t="n">
        <v>62</v>
      </c>
      <c r="I35" t="n">
        <v>85</v>
      </c>
      <c r="J35" t="n">
        <v>139</v>
      </c>
      <c r="K35" t="n">
        <v>147</v>
      </c>
      <c r="L35" t="n">
        <v>134</v>
      </c>
      <c r="M35" t="n">
        <v>263</v>
      </c>
      <c r="N35" t="n">
        <v>251</v>
      </c>
      <c r="O35" t="n">
        <v>206</v>
      </c>
      <c r="P35" t="n">
        <v>248</v>
      </c>
      <c r="Q35" t="n">
        <v>162</v>
      </c>
      <c r="R35" t="n">
        <v>351</v>
      </c>
      <c r="S35" t="n">
        <v>287</v>
      </c>
      <c r="T35" t="n">
        <v>234</v>
      </c>
      <c r="U35" t="n">
        <v>265</v>
      </c>
      <c r="V35" t="n">
        <v>277</v>
      </c>
      <c r="W35" t="n">
        <v>342</v>
      </c>
      <c r="X35" t="n">
        <v>441</v>
      </c>
      <c r="Y35" t="n">
        <v>377</v>
      </c>
      <c r="Z35" t="n">
        <v>289</v>
      </c>
      <c r="AA35" t="n">
        <v>289</v>
      </c>
      <c r="AB35" t="n">
        <v>384</v>
      </c>
      <c r="AC35" t="n">
        <v>290</v>
      </c>
      <c r="AD35" t="n">
        <v>275</v>
      </c>
      <c r="AE35" t="n">
        <v>329</v>
      </c>
      <c r="AF35" t="n">
        <v>472</v>
      </c>
    </row>
    <row r="36">
      <c r="A36" t="s">
        <v>19</v>
      </c>
      <c r="B36" t="s">
        <v>342</v>
      </c>
      <c r="C36" t="s">
        <v>236</v>
      </c>
      <c r="D36" t="s">
        <v>343</v>
      </c>
      <c r="E36" t="s">
        <v>237</v>
      </c>
      <c r="F36" t="n">
        <v>4</v>
      </c>
      <c r="G36" t="n">
        <v>4</v>
      </c>
      <c r="H36" t="n">
        <v>5</v>
      </c>
      <c r="I36" t="n">
        <v>5</v>
      </c>
      <c r="J36" t="n">
        <v>5</v>
      </c>
      <c r="K36" t="n">
        <v>3</v>
      </c>
      <c r="L36" t="n">
        <v>5</v>
      </c>
      <c r="M36" t="n">
        <v>6</v>
      </c>
      <c r="N36" t="n">
        <v>7</v>
      </c>
      <c r="O36" t="n">
        <v>5</v>
      </c>
      <c r="P36" t="n">
        <v>4</v>
      </c>
      <c r="Q36" t="n">
        <v>5</v>
      </c>
      <c r="R36" t="n">
        <v>7</v>
      </c>
      <c r="S36" t="n">
        <v>14</v>
      </c>
      <c r="T36" t="n">
        <v>10</v>
      </c>
      <c r="U36" t="n">
        <v>55</v>
      </c>
      <c r="V36" t="n">
        <v>61</v>
      </c>
      <c r="W36" t="n">
        <v>59</v>
      </c>
      <c r="X36" t="n">
        <v>70</v>
      </c>
      <c r="Y36" t="n">
        <v>82</v>
      </c>
      <c r="Z36" t="n">
        <v>76</v>
      </c>
      <c r="AA36" t="n">
        <v>52</v>
      </c>
      <c r="AB36" t="n">
        <v>107</v>
      </c>
      <c r="AC36" t="n">
        <v>127</v>
      </c>
      <c r="AD36" t="n">
        <v>152</v>
      </c>
      <c r="AE36" t="n">
        <v>135</v>
      </c>
      <c r="AF36" t="n">
        <v>210</v>
      </c>
    </row>
    <row r="37">
      <c r="A37" t="s">
        <v>19</v>
      </c>
      <c r="B37" t="s">
        <v>344</v>
      </c>
      <c r="C37" t="s">
        <v>236</v>
      </c>
      <c r="D37" t="s">
        <v>345</v>
      </c>
      <c r="E37" t="s">
        <v>237</v>
      </c>
      <c r="F37" t="n">
        <v>34</v>
      </c>
      <c r="G37" t="n">
        <v>43</v>
      </c>
      <c r="H37" t="n">
        <v>52</v>
      </c>
      <c r="I37" t="n">
        <v>70</v>
      </c>
      <c r="J37" t="n">
        <v>95</v>
      </c>
      <c r="K37" t="n">
        <v>93</v>
      </c>
      <c r="L37" t="n">
        <v>73</v>
      </c>
      <c r="M37" t="n">
        <v>105</v>
      </c>
      <c r="N37" t="n">
        <v>66</v>
      </c>
      <c r="O37" t="n">
        <v>82</v>
      </c>
      <c r="P37" t="n">
        <v>80</v>
      </c>
      <c r="Q37" t="n">
        <v>67</v>
      </c>
      <c r="R37" t="n">
        <v>58</v>
      </c>
      <c r="S37" t="n">
        <v>62</v>
      </c>
      <c r="T37" t="n">
        <v>46</v>
      </c>
      <c r="U37" t="n">
        <v>45</v>
      </c>
      <c r="V37" t="n">
        <v>43</v>
      </c>
      <c r="W37" t="n">
        <v>29</v>
      </c>
      <c r="X37" t="n">
        <v>43</v>
      </c>
      <c r="Y37" t="n">
        <v>42</v>
      </c>
      <c r="Z37" t="n">
        <v>36</v>
      </c>
      <c r="AA37" t="n">
        <v>35</v>
      </c>
      <c r="AB37" t="n">
        <v>32</v>
      </c>
      <c r="AC37" t="n">
        <v>28</v>
      </c>
      <c r="AD37" t="n">
        <v>35</v>
      </c>
      <c r="AE37" t="n">
        <v>28</v>
      </c>
      <c r="AF37" t="n">
        <v>48</v>
      </c>
    </row>
    <row r="38">
      <c r="A38" t="s">
        <v>19</v>
      </c>
      <c r="B38" t="s">
        <v>346</v>
      </c>
      <c r="C38" t="s">
        <v>236</v>
      </c>
      <c r="D38" t="s">
        <v>347</v>
      </c>
      <c r="E38" t="s">
        <v>237</v>
      </c>
      <c r="F38" t="n">
        <v>6</v>
      </c>
      <c r="G38" t="n">
        <v>5</v>
      </c>
      <c r="H38" t="n">
        <v>5</v>
      </c>
      <c r="I38" t="n">
        <v>10</v>
      </c>
      <c r="J38" t="n">
        <v>39</v>
      </c>
      <c r="K38" t="n">
        <v>51</v>
      </c>
      <c r="L38" t="n">
        <v>56</v>
      </c>
      <c r="M38" t="n">
        <v>152</v>
      </c>
      <c r="N38" t="n">
        <v>178</v>
      </c>
      <c r="O38" t="n">
        <v>119</v>
      </c>
      <c r="P38" t="n">
        <v>164</v>
      </c>
      <c r="Q38" t="n">
        <v>90</v>
      </c>
      <c r="R38" t="n">
        <v>286</v>
      </c>
      <c r="S38" t="n">
        <v>211</v>
      </c>
      <c r="T38" t="n">
        <v>178</v>
      </c>
      <c r="U38" t="n">
        <v>165</v>
      </c>
      <c r="V38" t="n">
        <v>173</v>
      </c>
      <c r="W38" t="n">
        <v>254</v>
      </c>
      <c r="X38" t="n">
        <v>328</v>
      </c>
      <c r="Y38" t="n">
        <v>253</v>
      </c>
      <c r="Z38" t="n">
        <v>177</v>
      </c>
      <c r="AA38" t="n">
        <v>202</v>
      </c>
      <c r="AB38" t="n">
        <v>245</v>
      </c>
      <c r="AC38" t="n">
        <v>135</v>
      </c>
      <c r="AD38" t="n">
        <v>88</v>
      </c>
      <c r="AE38" t="n">
        <v>166</v>
      </c>
      <c r="AF38" t="n">
        <v>214</v>
      </c>
    </row>
    <row r="39">
      <c r="A39" t="s">
        <v>19</v>
      </c>
      <c r="B39" t="s">
        <v>348</v>
      </c>
      <c r="C39" t="s">
        <v>236</v>
      </c>
      <c r="D39" t="s">
        <v>349</v>
      </c>
      <c r="E39" t="s">
        <v>237</v>
      </c>
      <c r="F39" t="n">
        <v>0</v>
      </c>
      <c r="G39" t="n">
        <v>8</v>
      </c>
      <c r="H39" t="n">
        <v>16</v>
      </c>
      <c r="I39" t="n">
        <v>4</v>
      </c>
      <c r="J39" t="n">
        <v>4</v>
      </c>
      <c r="K39" t="n">
        <v>10</v>
      </c>
      <c r="L39" t="n">
        <v>54</v>
      </c>
      <c r="M39" t="n">
        <v>1</v>
      </c>
      <c r="N39" t="n">
        <v>0</v>
      </c>
      <c r="O39" t="n">
        <v>0</v>
      </c>
      <c r="P39" t="n">
        <v>0</v>
      </c>
      <c r="Q39" t="n">
        <v>1</v>
      </c>
      <c r="R39" t="n">
        <v>36</v>
      </c>
      <c r="S39" t="n">
        <v>81</v>
      </c>
      <c r="T39" t="n">
        <v>71</v>
      </c>
      <c r="U39" t="n">
        <v>75</v>
      </c>
      <c r="V39" t="n">
        <v>78</v>
      </c>
      <c r="W39" t="n">
        <v>93</v>
      </c>
      <c r="X39" t="n">
        <v>69</v>
      </c>
      <c r="Y39" t="n">
        <v>78</v>
      </c>
      <c r="Z39" t="n">
        <v>89</v>
      </c>
      <c r="AA39" t="n">
        <v>81</v>
      </c>
      <c r="AB39" t="n">
        <v>109</v>
      </c>
      <c r="AC39" t="n">
        <v>104</v>
      </c>
      <c r="AD39" t="n">
        <v>101</v>
      </c>
      <c r="AE39" t="n">
        <v>94</v>
      </c>
      <c r="AF39" t="n">
        <v>93</v>
      </c>
    </row>
    <row r="40">
      <c r="A40" t="s">
        <v>19</v>
      </c>
      <c r="B40" t="s">
        <v>350</v>
      </c>
      <c r="C40" t="s">
        <v>236</v>
      </c>
      <c r="D40" t="s">
        <v>351</v>
      </c>
      <c r="E40" t="s">
        <v>237</v>
      </c>
      <c r="F40" t="n">
        <v>2</v>
      </c>
      <c r="G40" t="n">
        <v>3</v>
      </c>
      <c r="H40" t="n">
        <v>3</v>
      </c>
      <c r="I40" t="n">
        <v>1</v>
      </c>
      <c r="J40" t="n">
        <v>2</v>
      </c>
      <c r="K40" t="n">
        <v>2</v>
      </c>
      <c r="L40" t="n">
        <v>2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</v>
      </c>
      <c r="V40" t="n">
        <v>3</v>
      </c>
      <c r="W40" t="n">
        <v>3</v>
      </c>
      <c r="X40" t="n">
        <v>2</v>
      </c>
      <c r="Y40" t="n">
        <v>3</v>
      </c>
      <c r="Z40" t="n">
        <v>5</v>
      </c>
      <c r="AA40" t="n">
        <v>4</v>
      </c>
      <c r="AB40" t="n">
        <v>4</v>
      </c>
      <c r="AC40" t="n">
        <v>4</v>
      </c>
      <c r="AD40" t="n">
        <v>4</v>
      </c>
      <c r="AE40" t="n">
        <v>4</v>
      </c>
      <c r="AF40" t="n">
        <v>3</v>
      </c>
    </row>
    <row r="41">
      <c r="A41" t="s">
        <v>19</v>
      </c>
      <c r="B41" t="s">
        <v>352</v>
      </c>
      <c r="C41" t="s">
        <v>236</v>
      </c>
      <c r="D41" t="s">
        <v>353</v>
      </c>
      <c r="E41" t="s">
        <v>237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/>
      <c r="AD41"/>
      <c r="AE41"/>
      <c r="AF41"/>
    </row>
    <row r="42">
      <c r="A42" t="s">
        <v>19</v>
      </c>
      <c r="B42" t="s">
        <v>354</v>
      </c>
      <c r="C42" t="s">
        <v>236</v>
      </c>
      <c r="D42" t="s">
        <v>355</v>
      </c>
      <c r="E42" t="s">
        <v>237</v>
      </c>
      <c r="F42" t="n">
        <v>394</v>
      </c>
      <c r="G42" t="n">
        <v>426</v>
      </c>
      <c r="H42" t="n">
        <v>458</v>
      </c>
      <c r="I42" t="n">
        <v>483</v>
      </c>
      <c r="J42" t="n">
        <v>535</v>
      </c>
      <c r="K42" t="n">
        <v>580</v>
      </c>
      <c r="L42" t="n">
        <v>616</v>
      </c>
      <c r="M42" t="n">
        <v>735</v>
      </c>
      <c r="N42" t="n">
        <v>647</v>
      </c>
      <c r="O42" t="n">
        <v>699</v>
      </c>
      <c r="P42" t="n">
        <v>712</v>
      </c>
      <c r="Q42" t="n">
        <v>768</v>
      </c>
      <c r="R42" t="n">
        <v>718</v>
      </c>
      <c r="S42" t="n">
        <v>745</v>
      </c>
      <c r="T42" t="n">
        <v>797</v>
      </c>
      <c r="U42" t="n">
        <v>811</v>
      </c>
      <c r="V42" t="n">
        <v>774</v>
      </c>
      <c r="W42" t="n">
        <v>832</v>
      </c>
      <c r="X42" t="n">
        <v>821</v>
      </c>
      <c r="Y42" t="n">
        <v>745</v>
      </c>
      <c r="Z42" t="n">
        <v>755</v>
      </c>
      <c r="AA42" t="n">
        <v>719</v>
      </c>
      <c r="AB42" t="n">
        <v>672</v>
      </c>
      <c r="AC42" t="n">
        <v>788</v>
      </c>
      <c r="AD42" t="n">
        <v>852</v>
      </c>
      <c r="AE42" t="n">
        <v>821</v>
      </c>
      <c r="AF42" t="n">
        <v>929</v>
      </c>
    </row>
    <row r="43">
      <c r="A43" t="s">
        <v>19</v>
      </c>
      <c r="B43" t="s">
        <v>356</v>
      </c>
      <c r="C43" t="s">
        <v>236</v>
      </c>
      <c r="D43" t="s">
        <v>357</v>
      </c>
      <c r="E43" t="s">
        <v>237</v>
      </c>
      <c r="F43" t="n">
        <v>395</v>
      </c>
      <c r="G43" t="n">
        <v>428</v>
      </c>
      <c r="H43" t="n">
        <v>461</v>
      </c>
      <c r="I43" t="n">
        <v>486</v>
      </c>
      <c r="J43" t="n">
        <v>538</v>
      </c>
      <c r="K43" t="n">
        <v>581</v>
      </c>
      <c r="L43" t="n">
        <v>617</v>
      </c>
      <c r="M43" t="n">
        <v>741</v>
      </c>
      <c r="N43" t="n">
        <v>652</v>
      </c>
      <c r="O43" t="n">
        <v>707</v>
      </c>
      <c r="P43" t="n">
        <v>722</v>
      </c>
      <c r="Q43" t="n">
        <v>778</v>
      </c>
      <c r="R43" t="n">
        <v>726</v>
      </c>
      <c r="S43" t="n">
        <v>745</v>
      </c>
      <c r="T43" t="n">
        <v>797</v>
      </c>
      <c r="U43" t="n">
        <v>814</v>
      </c>
      <c r="V43" t="n">
        <v>778</v>
      </c>
      <c r="W43" t="n">
        <v>837</v>
      </c>
      <c r="X43" t="n">
        <v>824</v>
      </c>
      <c r="Y43" t="n">
        <v>753</v>
      </c>
      <c r="Z43" t="n">
        <v>762</v>
      </c>
      <c r="AA43" t="n">
        <v>734</v>
      </c>
      <c r="AB43" t="n">
        <v>679</v>
      </c>
      <c r="AC43" t="n">
        <v>797</v>
      </c>
      <c r="AD43" t="n">
        <v>855</v>
      </c>
      <c r="AE43" t="n">
        <v>842</v>
      </c>
      <c r="AF43" t="n">
        <v>940</v>
      </c>
    </row>
    <row r="44">
      <c r="A44" t="s">
        <v>19</v>
      </c>
      <c r="B44" t="s">
        <v>358</v>
      </c>
      <c r="C44" t="s">
        <v>236</v>
      </c>
      <c r="D44" t="s">
        <v>359</v>
      </c>
      <c r="E44" t="s">
        <v>237</v>
      </c>
      <c r="F44" t="n">
        <v>1657</v>
      </c>
      <c r="G44" t="n">
        <v>1927</v>
      </c>
      <c r="H44" t="n">
        <v>2203</v>
      </c>
      <c r="I44" t="n">
        <v>2589</v>
      </c>
      <c r="J44" t="n">
        <v>3163</v>
      </c>
      <c r="K44" t="n">
        <v>3696</v>
      </c>
      <c r="L44" t="n">
        <v>3858</v>
      </c>
      <c r="M44" t="n">
        <v>3960</v>
      </c>
      <c r="N44" t="n">
        <v>4114</v>
      </c>
      <c r="O44" t="n">
        <v>4402</v>
      </c>
      <c r="P44" t="n">
        <v>4591</v>
      </c>
      <c r="Q44" t="n">
        <v>4735</v>
      </c>
      <c r="R44" t="n">
        <v>5241</v>
      </c>
      <c r="S44" t="n">
        <v>5952</v>
      </c>
      <c r="T44" t="n">
        <v>5619</v>
      </c>
      <c r="U44" t="n">
        <v>5692</v>
      </c>
      <c r="V44" t="n">
        <v>5449</v>
      </c>
      <c r="W44" t="n">
        <v>5005</v>
      </c>
      <c r="X44" t="n">
        <v>4909</v>
      </c>
      <c r="Y44" t="n">
        <v>4617</v>
      </c>
      <c r="Z44" t="n">
        <v>4316</v>
      </c>
      <c r="AA44" t="n">
        <v>4055</v>
      </c>
      <c r="AB44" t="n">
        <v>3889</v>
      </c>
      <c r="AC44" t="n">
        <v>4463</v>
      </c>
      <c r="AD44" t="n">
        <v>5143</v>
      </c>
      <c r="AE44" t="n">
        <v>4992</v>
      </c>
      <c r="AF44" t="n">
        <v>5650</v>
      </c>
    </row>
    <row r="45">
      <c r="A45" t="s">
        <v>19</v>
      </c>
      <c r="B45" t="s">
        <v>360</v>
      </c>
      <c r="C45" t="s">
        <v>236</v>
      </c>
      <c r="D45" t="s">
        <v>361</v>
      </c>
      <c r="E45" t="s">
        <v>237</v>
      </c>
      <c r="F45" t="n">
        <v>1654</v>
      </c>
      <c r="G45" t="n">
        <v>1926</v>
      </c>
      <c r="H45" t="n">
        <v>2203</v>
      </c>
      <c r="I45" t="n">
        <v>2586</v>
      </c>
      <c r="J45" t="n">
        <v>3160</v>
      </c>
      <c r="K45" t="n">
        <v>3694</v>
      </c>
      <c r="L45" t="n">
        <v>3858</v>
      </c>
      <c r="M45" t="n">
        <v>3959</v>
      </c>
      <c r="N45" t="n">
        <v>4114</v>
      </c>
      <c r="O45" t="n">
        <v>4401</v>
      </c>
      <c r="P45" t="n">
        <v>4591</v>
      </c>
      <c r="Q45" t="n">
        <v>4735</v>
      </c>
      <c r="R45" t="n">
        <v>5241</v>
      </c>
      <c r="S45" t="n">
        <v>5952</v>
      </c>
      <c r="T45" t="n">
        <v>5618</v>
      </c>
      <c r="U45" t="n">
        <v>5689</v>
      </c>
      <c r="V45" t="n">
        <v>5443</v>
      </c>
      <c r="W45" t="n">
        <v>5003</v>
      </c>
      <c r="X45" t="n">
        <v>4908</v>
      </c>
      <c r="Y45" t="n">
        <v>4615</v>
      </c>
      <c r="Z45" t="n">
        <v>4314</v>
      </c>
      <c r="AA45" t="n">
        <v>4053</v>
      </c>
      <c r="AB45" t="n">
        <v>3885</v>
      </c>
      <c r="AC45" t="n">
        <v>4449</v>
      </c>
      <c r="AD45" t="n">
        <v>5127</v>
      </c>
      <c r="AE45" t="n">
        <v>4978</v>
      </c>
      <c r="AF45" t="n">
        <v>5637</v>
      </c>
    </row>
    <row r="46">
      <c r="A46" t="s">
        <v>19</v>
      </c>
      <c r="B46" t="s">
        <v>362</v>
      </c>
      <c r="C46" t="s">
        <v>236</v>
      </c>
      <c r="D46" t="s">
        <v>363</v>
      </c>
      <c r="E46" t="s">
        <v>237</v>
      </c>
      <c r="F46" t="n">
        <v>1</v>
      </c>
      <c r="G46" t="n">
        <v>2</v>
      </c>
      <c r="H46" t="n">
        <v>3</v>
      </c>
      <c r="I46" t="n">
        <v>3</v>
      </c>
      <c r="J46" t="n">
        <v>3</v>
      </c>
      <c r="K46" t="n">
        <v>1</v>
      </c>
      <c r="L46" t="n">
        <v>1</v>
      </c>
      <c r="M46" t="n">
        <v>6</v>
      </c>
      <c r="N46" t="n">
        <v>5</v>
      </c>
      <c r="O46" t="n">
        <v>8</v>
      </c>
      <c r="P46" t="n">
        <v>10</v>
      </c>
      <c r="Q46" t="n">
        <v>10</v>
      </c>
      <c r="R46" t="n">
        <v>8</v>
      </c>
      <c r="S46" t="n">
        <v>0</v>
      </c>
      <c r="T46" t="n">
        <v>0</v>
      </c>
      <c r="U46" t="n">
        <v>3</v>
      </c>
      <c r="V46" t="n">
        <v>4</v>
      </c>
      <c r="W46" t="n">
        <v>5</v>
      </c>
      <c r="X46" t="n">
        <v>3</v>
      </c>
      <c r="Y46" t="n">
        <v>8</v>
      </c>
      <c r="Z46" t="n">
        <v>7</v>
      </c>
      <c r="AA46" t="n">
        <v>15</v>
      </c>
      <c r="AB46" t="n">
        <v>7</v>
      </c>
      <c r="AC46" t="n">
        <v>9</v>
      </c>
      <c r="AD46" t="n">
        <v>3</v>
      </c>
      <c r="AE46" t="n">
        <v>21</v>
      </c>
      <c r="AF46" t="n">
        <v>11</v>
      </c>
    </row>
    <row r="47">
      <c r="A47" t="s">
        <v>19</v>
      </c>
      <c r="B47" t="s">
        <v>364</v>
      </c>
      <c r="C47" t="s">
        <v>236</v>
      </c>
      <c r="D47" t="s">
        <v>365</v>
      </c>
      <c r="E47" t="s">
        <v>237</v>
      </c>
      <c r="F47" t="n">
        <v>29</v>
      </c>
      <c r="G47" t="n">
        <v>31</v>
      </c>
      <c r="H47" t="n">
        <v>33</v>
      </c>
      <c r="I47" t="n">
        <v>40</v>
      </c>
      <c r="J47" t="n">
        <v>49</v>
      </c>
      <c r="K47" t="n">
        <v>49</v>
      </c>
      <c r="L47" t="n">
        <v>43</v>
      </c>
      <c r="M47" t="n">
        <v>54</v>
      </c>
      <c r="N47" t="n">
        <v>50</v>
      </c>
      <c r="O47" t="n">
        <v>53</v>
      </c>
      <c r="P47" t="n">
        <v>52</v>
      </c>
      <c r="Q47" t="n">
        <v>67</v>
      </c>
      <c r="R47" t="n">
        <v>45</v>
      </c>
      <c r="S47" t="n">
        <v>45</v>
      </c>
      <c r="T47" t="n">
        <v>62</v>
      </c>
      <c r="U47" t="n">
        <v>55</v>
      </c>
      <c r="V47" t="n">
        <v>48</v>
      </c>
      <c r="W47" t="n">
        <v>75</v>
      </c>
      <c r="X47" t="n">
        <v>62</v>
      </c>
      <c r="Y47" t="n">
        <v>55</v>
      </c>
      <c r="Z47" t="n">
        <v>54</v>
      </c>
      <c r="AA47" t="n">
        <v>89</v>
      </c>
      <c r="AB47" t="n">
        <v>105</v>
      </c>
      <c r="AC47" t="n">
        <v>109</v>
      </c>
      <c r="AD47" t="n">
        <v>108</v>
      </c>
      <c r="AE47" t="n">
        <v>106</v>
      </c>
      <c r="AF47" t="n">
        <v>100</v>
      </c>
    </row>
    <row r="48">
      <c r="A48" t="s">
        <v>19</v>
      </c>
      <c r="B48" t="s">
        <v>366</v>
      </c>
      <c r="C48" t="s">
        <v>236</v>
      </c>
      <c r="D48" t="s">
        <v>367</v>
      </c>
      <c r="E48" t="s">
        <v>237</v>
      </c>
      <c r="F48" t="n">
        <v>446</v>
      </c>
      <c r="G48" t="n">
        <v>599</v>
      </c>
      <c r="H48" t="n">
        <v>751</v>
      </c>
      <c r="I48" t="n">
        <v>653</v>
      </c>
      <c r="J48" t="n">
        <v>760</v>
      </c>
      <c r="K48" t="n">
        <v>721</v>
      </c>
      <c r="L48" t="n">
        <v>814</v>
      </c>
      <c r="M48" t="n">
        <v>916</v>
      </c>
      <c r="N48" t="n">
        <v>945</v>
      </c>
      <c r="O48" t="n">
        <v>1007</v>
      </c>
      <c r="P48" t="n">
        <v>1026</v>
      </c>
      <c r="Q48" t="n">
        <v>1078</v>
      </c>
      <c r="R48" t="n">
        <v>1141</v>
      </c>
      <c r="S48" t="n">
        <v>1151</v>
      </c>
      <c r="T48" t="n">
        <v>1267</v>
      </c>
      <c r="U48" t="n">
        <v>1396</v>
      </c>
      <c r="V48" t="n">
        <v>1407</v>
      </c>
      <c r="W48" t="n">
        <v>1477</v>
      </c>
      <c r="X48" t="n">
        <v>1428</v>
      </c>
      <c r="Y48" t="n">
        <v>1467</v>
      </c>
      <c r="Z48" t="n">
        <v>1327</v>
      </c>
      <c r="AA48" t="n">
        <v>1498</v>
      </c>
      <c r="AB48" t="n">
        <v>1588</v>
      </c>
      <c r="AC48" t="n">
        <v>1653</v>
      </c>
      <c r="AD48" t="n">
        <v>1730</v>
      </c>
      <c r="AE48" t="n">
        <v>1733</v>
      </c>
      <c r="AF48" t="n">
        <v>1725</v>
      </c>
    </row>
    <row r="49">
      <c r="A49" t="s">
        <v>19</v>
      </c>
      <c r="B49" t="s">
        <v>368</v>
      </c>
      <c r="C49" t="s">
        <v>236</v>
      </c>
      <c r="D49" t="s">
        <v>369</v>
      </c>
      <c r="E49" t="s">
        <v>237</v>
      </c>
      <c r="F49" t="n">
        <v>415</v>
      </c>
      <c r="G49" t="n">
        <v>565</v>
      </c>
      <c r="H49" t="n">
        <v>715</v>
      </c>
      <c r="I49" t="n">
        <v>607</v>
      </c>
      <c r="J49" t="n">
        <v>705</v>
      </c>
      <c r="K49" t="n">
        <v>666</v>
      </c>
      <c r="L49" t="n">
        <v>765</v>
      </c>
      <c r="M49" t="n">
        <v>855</v>
      </c>
      <c r="N49" t="n">
        <v>889</v>
      </c>
      <c r="O49" t="n">
        <v>948</v>
      </c>
      <c r="P49" t="n">
        <v>968</v>
      </c>
      <c r="Q49" t="n">
        <v>1004</v>
      </c>
      <c r="R49" t="n">
        <v>1087</v>
      </c>
      <c r="S49" t="n">
        <v>1098</v>
      </c>
      <c r="T49" t="n">
        <v>1196</v>
      </c>
      <c r="U49" t="n">
        <v>1328</v>
      </c>
      <c r="V49" t="n">
        <v>1347</v>
      </c>
      <c r="W49" t="n">
        <v>1387</v>
      </c>
      <c r="X49" t="n">
        <v>1352</v>
      </c>
      <c r="Y49" t="n">
        <v>1398</v>
      </c>
      <c r="Z49" t="n">
        <v>1263</v>
      </c>
      <c r="AA49" t="n">
        <v>1396</v>
      </c>
      <c r="AB49" t="n">
        <v>1469</v>
      </c>
      <c r="AC49" t="n">
        <v>1522</v>
      </c>
      <c r="AD49" t="n">
        <v>1599</v>
      </c>
      <c r="AE49" t="n">
        <v>1602</v>
      </c>
      <c r="AF49" t="n">
        <v>1594</v>
      </c>
    </row>
    <row r="50">
      <c r="A50" t="s">
        <v>19</v>
      </c>
      <c r="B50" t="s">
        <v>370</v>
      </c>
      <c r="C50" t="s">
        <v>236</v>
      </c>
      <c r="D50" t="s">
        <v>371</v>
      </c>
      <c r="E50" t="s">
        <v>237</v>
      </c>
      <c r="F50" t="n">
        <v>2</v>
      </c>
      <c r="G50" t="n">
        <v>3</v>
      </c>
      <c r="H50" t="n">
        <v>3</v>
      </c>
      <c r="I50" t="n">
        <v>6</v>
      </c>
      <c r="J50" t="n">
        <v>6</v>
      </c>
      <c r="K50" t="n">
        <v>6</v>
      </c>
      <c r="L50" t="n">
        <v>6</v>
      </c>
      <c r="M50" t="n">
        <v>7</v>
      </c>
      <c r="N50" t="n">
        <v>6</v>
      </c>
      <c r="O50" t="n">
        <v>6</v>
      </c>
      <c r="P50" t="n">
        <v>6</v>
      </c>
      <c r="Q50" t="n">
        <v>7</v>
      </c>
      <c r="R50" t="n">
        <v>9</v>
      </c>
      <c r="S50" t="n">
        <v>8</v>
      </c>
      <c r="T50" t="n">
        <v>9</v>
      </c>
      <c r="U50" t="n">
        <v>13</v>
      </c>
      <c r="V50" t="n">
        <v>12</v>
      </c>
      <c r="W50" t="n">
        <v>15</v>
      </c>
      <c r="X50" t="n">
        <v>14</v>
      </c>
      <c r="Y50" t="n">
        <v>14</v>
      </c>
      <c r="Z50" t="n">
        <v>10</v>
      </c>
      <c r="AA50" t="n">
        <v>13</v>
      </c>
      <c r="AB50" t="n">
        <v>14</v>
      </c>
      <c r="AC50" t="n">
        <v>22</v>
      </c>
      <c r="AD50" t="n">
        <v>23</v>
      </c>
      <c r="AE50" t="n">
        <v>25</v>
      </c>
      <c r="AF50" t="n">
        <v>31</v>
      </c>
    </row>
    <row r="51">
      <c r="A51" t="s">
        <v>19</v>
      </c>
      <c r="B51" t="s">
        <v>372</v>
      </c>
      <c r="C51" t="s">
        <v>236</v>
      </c>
      <c r="D51" t="s">
        <v>373</v>
      </c>
      <c r="E51" t="s">
        <v>237</v>
      </c>
      <c r="F51" t="n">
        <v>2</v>
      </c>
      <c r="G51" t="n">
        <v>2</v>
      </c>
      <c r="H51" t="n">
        <v>2</v>
      </c>
      <c r="I51" t="n">
        <v>5</v>
      </c>
      <c r="J51" t="n">
        <v>5</v>
      </c>
      <c r="K51" t="n">
        <v>5</v>
      </c>
      <c r="L51" t="n">
        <v>5</v>
      </c>
      <c r="M51" t="n">
        <v>5</v>
      </c>
      <c r="N51" t="n">
        <v>4</v>
      </c>
      <c r="O51" t="n">
        <v>4</v>
      </c>
      <c r="P51" t="n">
        <v>4</v>
      </c>
      <c r="Q51" t="n">
        <v>5</v>
      </c>
      <c r="R51" t="n">
        <v>7</v>
      </c>
      <c r="S51" t="n">
        <v>6</v>
      </c>
      <c r="T51" t="n">
        <v>7</v>
      </c>
      <c r="U51" t="n">
        <v>8</v>
      </c>
      <c r="V51" t="n">
        <v>7</v>
      </c>
      <c r="W51" t="n">
        <v>9</v>
      </c>
      <c r="X51" t="n">
        <v>7</v>
      </c>
      <c r="Y51" t="n">
        <v>7</v>
      </c>
      <c r="Z51" t="n">
        <v>2</v>
      </c>
      <c r="AA51" t="n">
        <v>4</v>
      </c>
      <c r="AB51" t="n">
        <v>6</v>
      </c>
      <c r="AC51" t="n">
        <v>14</v>
      </c>
      <c r="AD51" t="n">
        <v>12</v>
      </c>
      <c r="AE51" t="n">
        <v>13</v>
      </c>
      <c r="AF51" t="n">
        <v>19</v>
      </c>
    </row>
    <row r="52">
      <c r="A52" t="s">
        <v>19</v>
      </c>
      <c r="B52" t="s">
        <v>374</v>
      </c>
      <c r="C52" t="s">
        <v>236</v>
      </c>
      <c r="D52" t="s">
        <v>375</v>
      </c>
      <c r="E52" t="s">
        <v>237</v>
      </c>
      <c r="F52" t="n">
        <v>0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2</v>
      </c>
      <c r="N52" t="n">
        <v>2</v>
      </c>
      <c r="O52" t="n">
        <v>2</v>
      </c>
      <c r="P52" t="n">
        <v>2</v>
      </c>
      <c r="Q52" t="n">
        <v>2</v>
      </c>
      <c r="R52" t="n">
        <v>2</v>
      </c>
      <c r="S52" t="n">
        <v>2</v>
      </c>
      <c r="T52" t="n">
        <v>2</v>
      </c>
      <c r="U52" t="n">
        <v>5</v>
      </c>
      <c r="V52" t="n">
        <v>5</v>
      </c>
      <c r="W52" t="n">
        <v>6</v>
      </c>
      <c r="X52" t="n">
        <v>7</v>
      </c>
      <c r="Y52" t="n">
        <v>7</v>
      </c>
      <c r="Z52" t="n">
        <v>8</v>
      </c>
      <c r="AA52" t="n">
        <v>9</v>
      </c>
      <c r="AB52" t="n">
        <v>8</v>
      </c>
      <c r="AC52" t="n">
        <v>8</v>
      </c>
      <c r="AD52" t="n">
        <v>11</v>
      </c>
      <c r="AE52" t="n">
        <v>12</v>
      </c>
      <c r="AF52" t="n">
        <v>12</v>
      </c>
    </row>
    <row r="53">
      <c r="A53" t="s">
        <v>19</v>
      </c>
      <c r="B53" t="s">
        <v>376</v>
      </c>
      <c r="C53" t="s">
        <v>236</v>
      </c>
      <c r="D53" t="s">
        <v>377</v>
      </c>
      <c r="E53" t="s">
        <v>237</v>
      </c>
      <c r="F53" t="n">
        <v>2</v>
      </c>
      <c r="G53" t="n">
        <v>2</v>
      </c>
      <c r="H53" t="n">
        <v>2</v>
      </c>
      <c r="I53" t="n">
        <v>4</v>
      </c>
      <c r="J53" t="n">
        <v>4</v>
      </c>
      <c r="K53" t="n">
        <v>3</v>
      </c>
      <c r="L53" t="n">
        <v>4</v>
      </c>
      <c r="M53" t="n">
        <v>2</v>
      </c>
      <c r="N53" t="n">
        <v>3</v>
      </c>
      <c r="O53" t="n">
        <v>2</v>
      </c>
      <c r="P53" t="n">
        <v>3</v>
      </c>
      <c r="Q53" t="n">
        <v>4</v>
      </c>
      <c r="R53" t="n">
        <v>5</v>
      </c>
      <c r="S53" t="n">
        <v>5</v>
      </c>
      <c r="T53" t="n">
        <v>9</v>
      </c>
      <c r="U53" t="n">
        <v>12</v>
      </c>
      <c r="V53" t="n">
        <v>12</v>
      </c>
      <c r="W53" t="n">
        <v>15</v>
      </c>
      <c r="X53" t="n">
        <v>14</v>
      </c>
      <c r="Y53" t="n">
        <v>18</v>
      </c>
      <c r="Z53" t="n">
        <v>18</v>
      </c>
      <c r="AA53" t="n">
        <v>10</v>
      </c>
      <c r="AB53" t="n">
        <v>23</v>
      </c>
      <c r="AC53" t="n">
        <v>24</v>
      </c>
      <c r="AD53" t="n">
        <v>25</v>
      </c>
      <c r="AE53" t="n">
        <v>23</v>
      </c>
      <c r="AF53" t="n">
        <v>31</v>
      </c>
    </row>
    <row r="54">
      <c r="A54" t="s">
        <v>19</v>
      </c>
      <c r="B54" t="s">
        <v>378</v>
      </c>
      <c r="C54" t="s">
        <v>236</v>
      </c>
      <c r="D54" t="s">
        <v>379</v>
      </c>
      <c r="E54" t="s">
        <v>237</v>
      </c>
      <c r="F54" t="n">
        <v>8</v>
      </c>
      <c r="G54" t="n">
        <v>8</v>
      </c>
      <c r="H54" t="n">
        <v>6</v>
      </c>
      <c r="I54" t="n">
        <v>9</v>
      </c>
      <c r="J54" t="n">
        <v>9</v>
      </c>
      <c r="K54" t="n">
        <v>11</v>
      </c>
      <c r="L54" t="n">
        <v>13</v>
      </c>
      <c r="M54" t="n">
        <v>10</v>
      </c>
      <c r="N54" t="n">
        <v>13</v>
      </c>
      <c r="O54" t="n">
        <v>14</v>
      </c>
      <c r="P54" t="n">
        <v>12</v>
      </c>
      <c r="Q54" t="n">
        <v>12</v>
      </c>
      <c r="R54" t="n">
        <v>10</v>
      </c>
      <c r="S54" t="n">
        <v>9</v>
      </c>
      <c r="T54" t="n">
        <v>14</v>
      </c>
      <c r="U54" t="n">
        <v>18</v>
      </c>
      <c r="V54" t="n">
        <v>18</v>
      </c>
      <c r="W54" t="n">
        <v>22</v>
      </c>
      <c r="X54" t="n">
        <v>20</v>
      </c>
      <c r="Y54" t="n">
        <v>24</v>
      </c>
      <c r="Z54" t="n">
        <v>27</v>
      </c>
      <c r="AA54" t="n">
        <v>19</v>
      </c>
      <c r="AB54" t="n">
        <v>32</v>
      </c>
      <c r="AC54" t="n">
        <v>34</v>
      </c>
      <c r="AD54" t="n">
        <v>34</v>
      </c>
      <c r="AE54" t="n">
        <v>33</v>
      </c>
      <c r="AF54" t="n">
        <v>46</v>
      </c>
    </row>
    <row r="55">
      <c r="A55" t="s">
        <v>19</v>
      </c>
      <c r="B55" t="s">
        <v>380</v>
      </c>
      <c r="C55" t="s">
        <v>236</v>
      </c>
      <c r="D55" t="s">
        <v>381</v>
      </c>
      <c r="E55" t="s">
        <v>237</v>
      </c>
      <c r="F55" t="n">
        <v>6</v>
      </c>
      <c r="G55" t="n">
        <v>6</v>
      </c>
      <c r="H55" t="n">
        <v>4</v>
      </c>
      <c r="I55" t="n">
        <v>5</v>
      </c>
      <c r="J55" t="n">
        <v>5</v>
      </c>
      <c r="K55" t="n">
        <v>8</v>
      </c>
      <c r="L55" t="n">
        <v>9</v>
      </c>
      <c r="M55" t="n">
        <v>8</v>
      </c>
      <c r="N55" t="n">
        <v>10</v>
      </c>
      <c r="O55" t="n">
        <v>12</v>
      </c>
      <c r="P55" t="n">
        <v>9</v>
      </c>
      <c r="Q55" t="n">
        <v>8</v>
      </c>
      <c r="R55" t="n">
        <v>5</v>
      </c>
      <c r="S55" t="n">
        <v>4</v>
      </c>
      <c r="T55" t="n">
        <v>5</v>
      </c>
      <c r="U55" t="n">
        <v>6</v>
      </c>
      <c r="V55" t="n">
        <v>6</v>
      </c>
      <c r="W55" t="n">
        <v>7</v>
      </c>
      <c r="X55" t="n">
        <v>6</v>
      </c>
      <c r="Y55" t="n">
        <v>6</v>
      </c>
      <c r="Z55" t="n">
        <v>9</v>
      </c>
      <c r="AA55" t="n">
        <v>9</v>
      </c>
      <c r="AB55" t="n">
        <v>9</v>
      </c>
      <c r="AC55" t="n">
        <v>10</v>
      </c>
      <c r="AD55" t="n">
        <v>9</v>
      </c>
      <c r="AE55" t="n">
        <v>10</v>
      </c>
      <c r="AF55" t="n">
        <v>15</v>
      </c>
    </row>
    <row r="56">
      <c r="A56" t="s">
        <v>19</v>
      </c>
      <c r="B56" t="s">
        <v>382</v>
      </c>
      <c r="C56" t="s">
        <v>236</v>
      </c>
      <c r="D56" t="s">
        <v>383</v>
      </c>
      <c r="E56" t="s">
        <v>237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19</v>
      </c>
      <c r="B57" t="s">
        <v>384</v>
      </c>
      <c r="C57" t="s">
        <v>236</v>
      </c>
      <c r="D57" t="s">
        <v>385</v>
      </c>
      <c r="E57" t="s">
        <v>237</v>
      </c>
      <c r="F57" t="n">
        <v>2105</v>
      </c>
      <c r="G57" t="n">
        <v>2529</v>
      </c>
      <c r="H57" t="n">
        <v>2957</v>
      </c>
      <c r="I57" t="n">
        <v>3243</v>
      </c>
      <c r="J57" t="n">
        <v>3925</v>
      </c>
      <c r="K57" t="n">
        <v>4419</v>
      </c>
      <c r="L57" t="n">
        <v>4674</v>
      </c>
      <c r="M57" t="n">
        <v>4876</v>
      </c>
      <c r="N57" t="n">
        <v>5059</v>
      </c>
      <c r="O57" t="n">
        <v>5409</v>
      </c>
      <c r="P57" t="n">
        <v>5617</v>
      </c>
      <c r="Q57" t="n">
        <v>5813</v>
      </c>
      <c r="R57" t="n">
        <v>6382</v>
      </c>
      <c r="S57" t="n">
        <v>7103</v>
      </c>
      <c r="T57" t="n">
        <v>6886</v>
      </c>
      <c r="U57" t="n">
        <v>7092</v>
      </c>
      <c r="V57" t="n">
        <v>6859</v>
      </c>
      <c r="W57" t="n">
        <v>6485</v>
      </c>
      <c r="X57" t="n">
        <v>6339</v>
      </c>
      <c r="Y57" t="n">
        <v>6087</v>
      </c>
      <c r="Z57" t="n">
        <v>5648</v>
      </c>
      <c r="AA57" t="n">
        <v>5557</v>
      </c>
      <c r="AB57" t="n">
        <v>5481</v>
      </c>
      <c r="AC57" t="n">
        <v>6120</v>
      </c>
      <c r="AD57" t="n">
        <v>6877</v>
      </c>
      <c r="AE57" t="n">
        <v>6729</v>
      </c>
      <c r="AF57" t="n">
        <v>7378</v>
      </c>
    </row>
    <row r="58">
      <c r="A58" t="s">
        <v>19</v>
      </c>
      <c r="B58" t="s">
        <v>386</v>
      </c>
      <c r="C58" t="s">
        <v>236</v>
      </c>
      <c r="D58" t="s">
        <v>387</v>
      </c>
      <c r="E58" t="s">
        <v>237</v>
      </c>
      <c r="F58" t="n">
        <v>2105</v>
      </c>
      <c r="G58" t="n">
        <v>2529</v>
      </c>
      <c r="H58" t="n">
        <v>2957</v>
      </c>
      <c r="I58" t="n">
        <v>3243</v>
      </c>
      <c r="J58" t="n">
        <v>3925</v>
      </c>
      <c r="K58" t="n">
        <v>4419</v>
      </c>
      <c r="L58" t="n">
        <v>4674</v>
      </c>
      <c r="M58" t="n">
        <v>4876</v>
      </c>
      <c r="N58" t="n">
        <v>5059</v>
      </c>
      <c r="O58" t="n">
        <v>5409</v>
      </c>
      <c r="P58" t="n">
        <v>5617</v>
      </c>
      <c r="Q58" t="n">
        <v>5813</v>
      </c>
      <c r="R58" t="n">
        <v>6382</v>
      </c>
      <c r="S58" t="n">
        <v>7103</v>
      </c>
      <c r="T58" t="n">
        <v>6886</v>
      </c>
      <c r="U58" t="n">
        <v>7092</v>
      </c>
      <c r="V58" t="n">
        <v>6859</v>
      </c>
      <c r="W58" t="n">
        <v>6485</v>
      </c>
      <c r="X58" t="n">
        <v>6339</v>
      </c>
      <c r="Y58" t="n">
        <v>6087</v>
      </c>
      <c r="Z58" t="n">
        <v>5648</v>
      </c>
      <c r="AA58" t="n">
        <v>5557</v>
      </c>
      <c r="AB58" t="n">
        <v>5481</v>
      </c>
      <c r="AC58" t="n">
        <v>6120</v>
      </c>
      <c r="AD58" t="n">
        <v>6877</v>
      </c>
      <c r="AE58" t="n">
        <v>6729</v>
      </c>
      <c r="AF58" t="n">
        <v>7378</v>
      </c>
    </row>
    <row r="59">
      <c r="A59" t="s">
        <v>19</v>
      </c>
      <c r="B59" t="s">
        <v>388</v>
      </c>
      <c r="C59" t="s">
        <v>236</v>
      </c>
      <c r="D59" t="s">
        <v>389</v>
      </c>
      <c r="E59" t="s">
        <v>237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21</v>
      </c>
      <c r="B2" t="s">
        <v>197</v>
      </c>
      <c r="C2" t="s">
        <v>236</v>
      </c>
      <c r="D2" t="s">
        <v>199</v>
      </c>
      <c r="E2" t="s">
        <v>237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21</v>
      </c>
      <c r="B3" t="s">
        <v>276</v>
      </c>
      <c r="C3" t="s">
        <v>236</v>
      </c>
      <c r="D3" t="s">
        <v>277</v>
      </c>
      <c r="E3" t="s">
        <v>237</v>
      </c>
      <c r="F3" t="n">
        <v>29</v>
      </c>
      <c r="G3" t="n">
        <v>22</v>
      </c>
      <c r="H3" t="n">
        <v>21</v>
      </c>
      <c r="I3" t="n">
        <v>24</v>
      </c>
      <c r="J3" t="n">
        <v>30</v>
      </c>
      <c r="K3" t="n">
        <v>35</v>
      </c>
      <c r="L3" t="n">
        <v>49</v>
      </c>
      <c r="M3" t="n">
        <v>46</v>
      </c>
      <c r="N3" t="n">
        <v>44</v>
      </c>
      <c r="O3" t="n">
        <v>35</v>
      </c>
      <c r="P3" t="n">
        <v>41</v>
      </c>
      <c r="Q3" t="n">
        <v>42</v>
      </c>
      <c r="R3" t="n">
        <v>59</v>
      </c>
      <c r="S3" t="n">
        <v>66</v>
      </c>
      <c r="T3" t="n">
        <v>56</v>
      </c>
      <c r="U3" t="n">
        <v>67</v>
      </c>
      <c r="V3" t="n">
        <v>89</v>
      </c>
      <c r="W3" t="n">
        <v>96</v>
      </c>
      <c r="X3" t="n">
        <v>59</v>
      </c>
      <c r="Y3" t="n">
        <v>44</v>
      </c>
      <c r="Z3" t="n">
        <v>39</v>
      </c>
      <c r="AA3" t="n">
        <v>45</v>
      </c>
      <c r="AB3" t="n">
        <v>67</v>
      </c>
      <c r="AC3" t="n">
        <v>77</v>
      </c>
      <c r="AD3" t="n">
        <v>69</v>
      </c>
      <c r="AE3" t="n">
        <v>75</v>
      </c>
      <c r="AF3" t="n">
        <v>75</v>
      </c>
    </row>
    <row r="4">
      <c r="A4" t="s">
        <v>21</v>
      </c>
      <c r="B4" t="s">
        <v>278</v>
      </c>
      <c r="C4" t="s">
        <v>236</v>
      </c>
      <c r="D4" t="s">
        <v>279</v>
      </c>
      <c r="E4" t="s">
        <v>237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21</v>
      </c>
      <c r="B5" t="s">
        <v>280</v>
      </c>
      <c r="C5" t="s">
        <v>236</v>
      </c>
      <c r="D5" t="s">
        <v>281</v>
      </c>
      <c r="E5" t="s">
        <v>237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21</v>
      </c>
      <c r="B6" t="s">
        <v>282</v>
      </c>
      <c r="C6" t="s">
        <v>236</v>
      </c>
      <c r="D6" t="s">
        <v>283</v>
      </c>
      <c r="E6" t="s">
        <v>237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21</v>
      </c>
      <c r="B7" t="s">
        <v>284</v>
      </c>
      <c r="C7" t="s">
        <v>236</v>
      </c>
      <c r="D7" t="s">
        <v>285</v>
      </c>
      <c r="E7" t="s">
        <v>237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21</v>
      </c>
      <c r="B8" t="s">
        <v>286</v>
      </c>
      <c r="C8" t="s">
        <v>236</v>
      </c>
      <c r="D8" t="s">
        <v>287</v>
      </c>
      <c r="E8" t="s">
        <v>237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21</v>
      </c>
      <c r="B9" t="s">
        <v>288</v>
      </c>
      <c r="C9" t="s">
        <v>236</v>
      </c>
      <c r="D9" t="s">
        <v>289</v>
      </c>
      <c r="E9" t="s">
        <v>237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21</v>
      </c>
      <c r="B10" t="s">
        <v>290</v>
      </c>
      <c r="C10" t="s">
        <v>236</v>
      </c>
      <c r="D10" t="s">
        <v>291</v>
      </c>
      <c r="E10" t="s">
        <v>237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21</v>
      </c>
      <c r="B11" t="s">
        <v>292</v>
      </c>
      <c r="C11" t="s">
        <v>236</v>
      </c>
      <c r="D11" t="s">
        <v>293</v>
      </c>
      <c r="E11" t="s">
        <v>237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21</v>
      </c>
      <c r="B12" t="s">
        <v>294</v>
      </c>
      <c r="C12" t="s">
        <v>236</v>
      </c>
      <c r="D12" t="s">
        <v>295</v>
      </c>
      <c r="E12" t="s">
        <v>237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21</v>
      </c>
      <c r="B13" t="s">
        <v>296</v>
      </c>
      <c r="C13" t="s">
        <v>236</v>
      </c>
      <c r="D13" t="s">
        <v>297</v>
      </c>
      <c r="E13" t="s">
        <v>237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21</v>
      </c>
      <c r="B14" t="s">
        <v>298</v>
      </c>
      <c r="C14" t="s">
        <v>236</v>
      </c>
      <c r="D14" t="s">
        <v>299</v>
      </c>
      <c r="E14" t="s">
        <v>237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21</v>
      </c>
      <c r="B15" t="s">
        <v>300</v>
      </c>
      <c r="C15" t="s">
        <v>236</v>
      </c>
      <c r="D15" t="s">
        <v>301</v>
      </c>
      <c r="E15" t="s">
        <v>237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21</v>
      </c>
      <c r="B16" t="s">
        <v>302</v>
      </c>
      <c r="C16" t="s">
        <v>236</v>
      </c>
      <c r="D16" t="s">
        <v>303</v>
      </c>
      <c r="E16" t="s">
        <v>237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21</v>
      </c>
      <c r="B17" t="s">
        <v>304</v>
      </c>
      <c r="C17" t="s">
        <v>236</v>
      </c>
      <c r="D17" t="s">
        <v>305</v>
      </c>
      <c r="E17" t="s">
        <v>237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21</v>
      </c>
      <c r="B18" t="s">
        <v>306</v>
      </c>
      <c r="C18" t="s">
        <v>236</v>
      </c>
      <c r="D18" t="s">
        <v>307</v>
      </c>
      <c r="E18" t="s">
        <v>237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21</v>
      </c>
      <c r="B19" t="s">
        <v>308</v>
      </c>
      <c r="C19" t="s">
        <v>236</v>
      </c>
      <c r="D19" t="s">
        <v>309</v>
      </c>
      <c r="E19" t="s">
        <v>237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21</v>
      </c>
      <c r="B20" t="s">
        <v>310</v>
      </c>
      <c r="C20" t="s">
        <v>236</v>
      </c>
      <c r="D20" t="s">
        <v>311</v>
      </c>
      <c r="E20" t="s">
        <v>237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21</v>
      </c>
      <c r="B21" t="s">
        <v>312</v>
      </c>
      <c r="C21" t="s">
        <v>236</v>
      </c>
      <c r="D21" t="s">
        <v>313</v>
      </c>
      <c r="E21" t="s">
        <v>237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21</v>
      </c>
      <c r="B22" t="s">
        <v>314</v>
      </c>
      <c r="C22" t="s">
        <v>236</v>
      </c>
      <c r="D22" t="s">
        <v>315</v>
      </c>
      <c r="E22" t="s">
        <v>237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21</v>
      </c>
      <c r="B23" t="s">
        <v>316</v>
      </c>
      <c r="C23" t="s">
        <v>236</v>
      </c>
      <c r="D23" t="s">
        <v>317</v>
      </c>
      <c r="E23" t="s">
        <v>237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21</v>
      </c>
      <c r="B24" t="s">
        <v>318</v>
      </c>
      <c r="C24" t="s">
        <v>236</v>
      </c>
      <c r="D24" t="s">
        <v>319</v>
      </c>
      <c r="E24" t="s">
        <v>237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21</v>
      </c>
      <c r="B25" t="s">
        <v>320</v>
      </c>
      <c r="C25" t="s">
        <v>236</v>
      </c>
      <c r="D25" t="s">
        <v>321</v>
      </c>
      <c r="E25" t="s">
        <v>237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21</v>
      </c>
      <c r="B26" t="s">
        <v>322</v>
      </c>
      <c r="C26" t="s">
        <v>236</v>
      </c>
      <c r="D26" t="s">
        <v>323</v>
      </c>
      <c r="E26" t="s">
        <v>237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21</v>
      </c>
      <c r="B27" t="s">
        <v>324</v>
      </c>
      <c r="C27" t="s">
        <v>236</v>
      </c>
      <c r="D27" t="s">
        <v>325</v>
      </c>
      <c r="E27" t="s">
        <v>237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21</v>
      </c>
      <c r="B28" t="s">
        <v>326</v>
      </c>
      <c r="C28" t="s">
        <v>236</v>
      </c>
      <c r="D28" t="s">
        <v>327</v>
      </c>
      <c r="E28" t="s">
        <v>237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21</v>
      </c>
      <c r="B29" t="s">
        <v>328</v>
      </c>
      <c r="C29" t="s">
        <v>236</v>
      </c>
      <c r="D29" t="s">
        <v>329</v>
      </c>
      <c r="E29" t="s">
        <v>237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21</v>
      </c>
      <c r="B30" t="s">
        <v>330</v>
      </c>
      <c r="C30" t="s">
        <v>236</v>
      </c>
      <c r="D30" t="s">
        <v>331</v>
      </c>
      <c r="E30" t="s">
        <v>237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21</v>
      </c>
      <c r="B31" t="s">
        <v>332</v>
      </c>
      <c r="C31" t="s">
        <v>236</v>
      </c>
      <c r="D31" t="s">
        <v>333</v>
      </c>
      <c r="E31" t="s">
        <v>237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21</v>
      </c>
      <c r="B32" t="s">
        <v>334</v>
      </c>
      <c r="C32" t="s">
        <v>236</v>
      </c>
      <c r="D32" t="s">
        <v>335</v>
      </c>
      <c r="E32" t="s">
        <v>237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21</v>
      </c>
      <c r="B33" t="s">
        <v>336</v>
      </c>
      <c r="C33" t="s">
        <v>236</v>
      </c>
      <c r="D33" t="s">
        <v>337</v>
      </c>
      <c r="E33" t="s">
        <v>237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21</v>
      </c>
      <c r="B34" t="s">
        <v>338</v>
      </c>
      <c r="C34" t="s">
        <v>236</v>
      </c>
      <c r="D34" t="s">
        <v>339</v>
      </c>
      <c r="E34" t="s">
        <v>237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21</v>
      </c>
      <c r="B35" t="s">
        <v>340</v>
      </c>
      <c r="C35" t="s">
        <v>236</v>
      </c>
      <c r="D35" t="s">
        <v>341</v>
      </c>
      <c r="E35" t="s">
        <v>237</v>
      </c>
      <c r="F35" t="n">
        <v>175</v>
      </c>
      <c r="G35" t="n">
        <v>192</v>
      </c>
      <c r="H35" t="n">
        <v>199</v>
      </c>
      <c r="I35" t="n">
        <v>202</v>
      </c>
      <c r="J35" t="n">
        <v>196</v>
      </c>
      <c r="K35" t="n">
        <v>202</v>
      </c>
      <c r="L35" t="n">
        <v>235</v>
      </c>
      <c r="M35" t="n">
        <v>205</v>
      </c>
      <c r="N35" t="n">
        <v>197</v>
      </c>
      <c r="O35" t="n">
        <v>202</v>
      </c>
      <c r="P35" t="n">
        <v>220</v>
      </c>
      <c r="Q35" t="n">
        <v>240</v>
      </c>
      <c r="R35" t="n">
        <v>248</v>
      </c>
      <c r="S35" t="n">
        <v>230</v>
      </c>
      <c r="T35" t="n">
        <v>238</v>
      </c>
      <c r="U35" t="n">
        <v>287</v>
      </c>
      <c r="V35" t="n">
        <v>300</v>
      </c>
      <c r="W35" t="n">
        <v>330</v>
      </c>
      <c r="X35" t="n">
        <v>321</v>
      </c>
      <c r="Y35" t="n">
        <v>308</v>
      </c>
      <c r="Z35" t="n">
        <v>302</v>
      </c>
      <c r="AA35" t="n">
        <v>378</v>
      </c>
      <c r="AB35" t="n">
        <v>386</v>
      </c>
      <c r="AC35" t="n">
        <v>394</v>
      </c>
      <c r="AD35" t="n">
        <v>398</v>
      </c>
      <c r="AE35" t="n">
        <v>417</v>
      </c>
      <c r="AF35" t="n">
        <v>449</v>
      </c>
    </row>
    <row r="36">
      <c r="A36" t="s">
        <v>21</v>
      </c>
      <c r="B36" t="s">
        <v>342</v>
      </c>
      <c r="C36" t="s">
        <v>236</v>
      </c>
      <c r="D36" t="s">
        <v>343</v>
      </c>
      <c r="E36" t="s">
        <v>237</v>
      </c>
      <c r="F36" t="n">
        <v>175</v>
      </c>
      <c r="G36" t="n">
        <v>192</v>
      </c>
      <c r="H36" t="n">
        <v>199</v>
      </c>
      <c r="I36" t="n">
        <v>202</v>
      </c>
      <c r="J36" t="n">
        <v>196</v>
      </c>
      <c r="K36" t="n">
        <v>202</v>
      </c>
      <c r="L36" t="n">
        <v>235</v>
      </c>
      <c r="M36" t="n">
        <v>205</v>
      </c>
      <c r="N36" t="n">
        <v>197</v>
      </c>
      <c r="O36" t="n">
        <v>202</v>
      </c>
      <c r="P36" t="n">
        <v>220</v>
      </c>
      <c r="Q36" t="n">
        <v>240</v>
      </c>
      <c r="R36" t="n">
        <v>248</v>
      </c>
      <c r="S36" t="n">
        <v>230</v>
      </c>
      <c r="T36" t="n">
        <v>238</v>
      </c>
      <c r="U36" t="n">
        <v>287</v>
      </c>
      <c r="V36" t="n">
        <v>300</v>
      </c>
      <c r="W36" t="n">
        <v>330</v>
      </c>
      <c r="X36" t="n">
        <v>321</v>
      </c>
      <c r="Y36" t="n">
        <v>308</v>
      </c>
      <c r="Z36" t="n">
        <v>302</v>
      </c>
      <c r="AA36" t="n">
        <v>378</v>
      </c>
      <c r="AB36" t="n">
        <v>386</v>
      </c>
      <c r="AC36" t="n">
        <v>394</v>
      </c>
      <c r="AD36" t="n">
        <v>398</v>
      </c>
      <c r="AE36" t="n">
        <v>417</v>
      </c>
      <c r="AF36" t="n">
        <v>449</v>
      </c>
    </row>
    <row r="37">
      <c r="A37" t="s">
        <v>21</v>
      </c>
      <c r="B37" t="s">
        <v>344</v>
      </c>
      <c r="C37" t="s">
        <v>236</v>
      </c>
      <c r="D37" t="s">
        <v>345</v>
      </c>
      <c r="E37" t="s">
        <v>237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21</v>
      </c>
      <c r="B38" t="s">
        <v>346</v>
      </c>
      <c r="C38" t="s">
        <v>236</v>
      </c>
      <c r="D38" t="s">
        <v>347</v>
      </c>
      <c r="E38" t="s">
        <v>237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21</v>
      </c>
      <c r="B39" t="s">
        <v>348</v>
      </c>
      <c r="C39" t="s">
        <v>236</v>
      </c>
      <c r="D39" t="s">
        <v>349</v>
      </c>
      <c r="E39" t="s">
        <v>237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21</v>
      </c>
      <c r="B40" t="s">
        <v>350</v>
      </c>
      <c r="C40" t="s">
        <v>236</v>
      </c>
      <c r="D40" t="s">
        <v>351</v>
      </c>
      <c r="E40" t="s">
        <v>237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21</v>
      </c>
      <c r="B41" t="s">
        <v>352</v>
      </c>
      <c r="C41" t="s">
        <v>236</v>
      </c>
      <c r="D41" t="s">
        <v>353</v>
      </c>
      <c r="E41" t="s">
        <v>237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21</v>
      </c>
      <c r="B42" t="s">
        <v>354</v>
      </c>
      <c r="C42" t="s">
        <v>236</v>
      </c>
      <c r="D42" t="s">
        <v>355</v>
      </c>
      <c r="E42" t="s">
        <v>237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21</v>
      </c>
      <c r="B43" t="s">
        <v>356</v>
      </c>
      <c r="C43" t="s">
        <v>236</v>
      </c>
      <c r="D43" t="s">
        <v>357</v>
      </c>
      <c r="E43" t="s">
        <v>237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21</v>
      </c>
      <c r="B44" t="s">
        <v>358</v>
      </c>
      <c r="C44" t="s">
        <v>236</v>
      </c>
      <c r="D44" t="s">
        <v>359</v>
      </c>
      <c r="E44" t="s">
        <v>237</v>
      </c>
      <c r="F44" t="n">
        <v>225</v>
      </c>
      <c r="G44" t="n">
        <v>237</v>
      </c>
      <c r="H44" t="n">
        <v>244</v>
      </c>
      <c r="I44" t="n">
        <v>251</v>
      </c>
      <c r="J44" t="n">
        <v>250</v>
      </c>
      <c r="K44" t="n">
        <v>264</v>
      </c>
      <c r="L44" t="n">
        <v>311</v>
      </c>
      <c r="M44" t="n">
        <v>278</v>
      </c>
      <c r="N44" t="n">
        <v>268</v>
      </c>
      <c r="O44" t="n">
        <v>266</v>
      </c>
      <c r="P44" t="n">
        <v>293</v>
      </c>
      <c r="Q44" t="n">
        <v>318</v>
      </c>
      <c r="R44" t="n">
        <v>344</v>
      </c>
      <c r="S44" t="n">
        <v>333</v>
      </c>
      <c r="T44" t="n">
        <v>344</v>
      </c>
      <c r="U44" t="n">
        <v>414</v>
      </c>
      <c r="V44" t="n">
        <v>460</v>
      </c>
      <c r="W44" t="n">
        <v>497</v>
      </c>
      <c r="X44" t="n">
        <v>448</v>
      </c>
      <c r="Y44" t="n">
        <v>419</v>
      </c>
      <c r="Z44" t="n">
        <v>391</v>
      </c>
      <c r="AA44" t="n">
        <v>495</v>
      </c>
      <c r="AB44" t="n">
        <v>530</v>
      </c>
      <c r="AC44" t="n">
        <v>566</v>
      </c>
      <c r="AD44" t="n">
        <v>558</v>
      </c>
      <c r="AE44" t="n">
        <v>589</v>
      </c>
      <c r="AF44" t="n">
        <v>624</v>
      </c>
    </row>
    <row r="45">
      <c r="A45" t="s">
        <v>21</v>
      </c>
      <c r="B45" t="s">
        <v>360</v>
      </c>
      <c r="C45" t="s">
        <v>236</v>
      </c>
      <c r="D45" t="s">
        <v>361</v>
      </c>
      <c r="E45" t="s">
        <v>237</v>
      </c>
      <c r="F45" t="n">
        <v>225</v>
      </c>
      <c r="G45" t="n">
        <v>237</v>
      </c>
      <c r="H45" t="n">
        <v>244</v>
      </c>
      <c r="I45" t="n">
        <v>251</v>
      </c>
      <c r="J45" t="n">
        <v>250</v>
      </c>
      <c r="K45" t="n">
        <v>264</v>
      </c>
      <c r="L45" t="n">
        <v>311</v>
      </c>
      <c r="M45" t="n">
        <v>278</v>
      </c>
      <c r="N45" t="n">
        <v>268</v>
      </c>
      <c r="O45" t="n">
        <v>266</v>
      </c>
      <c r="P45" t="n">
        <v>293</v>
      </c>
      <c r="Q45" t="n">
        <v>318</v>
      </c>
      <c r="R45" t="n">
        <v>344</v>
      </c>
      <c r="S45" t="n">
        <v>333</v>
      </c>
      <c r="T45" t="n">
        <v>344</v>
      </c>
      <c r="U45" t="n">
        <v>414</v>
      </c>
      <c r="V45" t="n">
        <v>460</v>
      </c>
      <c r="W45" t="n">
        <v>497</v>
      </c>
      <c r="X45" t="n">
        <v>448</v>
      </c>
      <c r="Y45" t="n">
        <v>419</v>
      </c>
      <c r="Z45" t="n">
        <v>391</v>
      </c>
      <c r="AA45" t="n">
        <v>495</v>
      </c>
      <c r="AB45" t="n">
        <v>530</v>
      </c>
      <c r="AC45" t="n">
        <v>566</v>
      </c>
      <c r="AD45" t="n">
        <v>558</v>
      </c>
      <c r="AE45" t="n">
        <v>589</v>
      </c>
      <c r="AF45" t="n">
        <v>624</v>
      </c>
    </row>
    <row r="46">
      <c r="A46" t="s">
        <v>21</v>
      </c>
      <c r="B46" t="s">
        <v>362</v>
      </c>
      <c r="C46" t="s">
        <v>236</v>
      </c>
      <c r="D46" t="s">
        <v>363</v>
      </c>
      <c r="E46" t="s">
        <v>237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21</v>
      </c>
      <c r="B47" t="s">
        <v>364</v>
      </c>
      <c r="C47" t="s">
        <v>236</v>
      </c>
      <c r="D47" t="s">
        <v>365</v>
      </c>
      <c r="E47" t="s">
        <v>237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21</v>
      </c>
      <c r="B48" t="s">
        <v>366</v>
      </c>
      <c r="C48" t="s">
        <v>236</v>
      </c>
      <c r="D48" t="s">
        <v>367</v>
      </c>
      <c r="E48" t="s">
        <v>237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21</v>
      </c>
      <c r="B49" t="s">
        <v>368</v>
      </c>
      <c r="C49" t="s">
        <v>236</v>
      </c>
      <c r="D49" t="s">
        <v>369</v>
      </c>
      <c r="E49" t="s">
        <v>237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21</v>
      </c>
      <c r="B50" t="s">
        <v>370</v>
      </c>
      <c r="C50" t="s">
        <v>236</v>
      </c>
      <c r="D50" t="s">
        <v>371</v>
      </c>
      <c r="E50" t="s">
        <v>237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21</v>
      </c>
      <c r="B51" t="s">
        <v>372</v>
      </c>
      <c r="C51" t="s">
        <v>236</v>
      </c>
      <c r="D51" t="s">
        <v>373</v>
      </c>
      <c r="E51" t="s">
        <v>237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21</v>
      </c>
      <c r="B52" t="s">
        <v>374</v>
      </c>
      <c r="C52" t="s">
        <v>236</v>
      </c>
      <c r="D52" t="s">
        <v>375</v>
      </c>
      <c r="E52" t="s">
        <v>237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21</v>
      </c>
      <c r="B53" t="s">
        <v>376</v>
      </c>
      <c r="C53" t="s">
        <v>236</v>
      </c>
      <c r="D53" t="s">
        <v>377</v>
      </c>
      <c r="E53" t="s">
        <v>237</v>
      </c>
      <c r="F53" t="n">
        <v>21</v>
      </c>
      <c r="G53" t="n">
        <v>23</v>
      </c>
      <c r="H53" t="n">
        <v>24</v>
      </c>
      <c r="I53" t="n">
        <v>25</v>
      </c>
      <c r="J53" t="n">
        <v>25</v>
      </c>
      <c r="K53" t="n">
        <v>28</v>
      </c>
      <c r="L53" t="n">
        <v>28</v>
      </c>
      <c r="M53" t="n">
        <v>28</v>
      </c>
      <c r="N53" t="n">
        <v>28</v>
      </c>
      <c r="O53" t="n">
        <v>30</v>
      </c>
      <c r="P53" t="n">
        <v>32</v>
      </c>
      <c r="Q53" t="n">
        <v>36</v>
      </c>
      <c r="R53" t="n">
        <v>37</v>
      </c>
      <c r="S53" t="n">
        <v>37</v>
      </c>
      <c r="T53" t="n">
        <v>50</v>
      </c>
      <c r="U53" t="n">
        <v>60</v>
      </c>
      <c r="V53" t="n">
        <v>71</v>
      </c>
      <c r="W53" t="n">
        <v>71</v>
      </c>
      <c r="X53" t="n">
        <v>69</v>
      </c>
      <c r="Y53" t="n">
        <v>68</v>
      </c>
      <c r="Z53" t="n">
        <v>50</v>
      </c>
      <c r="AA53" t="n">
        <v>72</v>
      </c>
      <c r="AB53" t="n">
        <v>77</v>
      </c>
      <c r="AC53" t="n">
        <v>95</v>
      </c>
      <c r="AD53" t="n">
        <v>91</v>
      </c>
      <c r="AE53" t="n">
        <v>97</v>
      </c>
      <c r="AF53" t="n">
        <v>100</v>
      </c>
    </row>
    <row r="54">
      <c r="A54" t="s">
        <v>21</v>
      </c>
      <c r="B54" t="s">
        <v>378</v>
      </c>
      <c r="C54" t="s">
        <v>236</v>
      </c>
      <c r="D54" t="s">
        <v>379</v>
      </c>
      <c r="E54" t="s">
        <v>237</v>
      </c>
      <c r="F54" t="n">
        <v>21</v>
      </c>
      <c r="G54" t="n">
        <v>23</v>
      </c>
      <c r="H54" t="n">
        <v>24</v>
      </c>
      <c r="I54" t="n">
        <v>25</v>
      </c>
      <c r="J54" t="n">
        <v>25</v>
      </c>
      <c r="K54" t="n">
        <v>28</v>
      </c>
      <c r="L54" t="n">
        <v>28</v>
      </c>
      <c r="M54" t="n">
        <v>28</v>
      </c>
      <c r="N54" t="n">
        <v>28</v>
      </c>
      <c r="O54" t="n">
        <v>30</v>
      </c>
      <c r="P54" t="n">
        <v>32</v>
      </c>
      <c r="Q54" t="n">
        <v>36</v>
      </c>
      <c r="R54" t="n">
        <v>37</v>
      </c>
      <c r="S54" t="n">
        <v>37</v>
      </c>
      <c r="T54" t="n">
        <v>50</v>
      </c>
      <c r="U54" t="n">
        <v>60</v>
      </c>
      <c r="V54" t="n">
        <v>71</v>
      </c>
      <c r="W54" t="n">
        <v>71</v>
      </c>
      <c r="X54" t="n">
        <v>69</v>
      </c>
      <c r="Y54" t="n">
        <v>68</v>
      </c>
      <c r="Z54" t="n">
        <v>50</v>
      </c>
      <c r="AA54" t="n">
        <v>72</v>
      </c>
      <c r="AB54" t="n">
        <v>77</v>
      </c>
      <c r="AC54" t="n">
        <v>95</v>
      </c>
      <c r="AD54" t="n">
        <v>91</v>
      </c>
      <c r="AE54" t="n">
        <v>97</v>
      </c>
      <c r="AF54" t="n">
        <v>100</v>
      </c>
    </row>
    <row r="55">
      <c r="A55" t="s">
        <v>21</v>
      </c>
      <c r="B55" t="s">
        <v>380</v>
      </c>
      <c r="C55" t="s">
        <v>236</v>
      </c>
      <c r="D55" t="s">
        <v>381</v>
      </c>
      <c r="E55" t="s">
        <v>237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21</v>
      </c>
      <c r="B56" t="s">
        <v>382</v>
      </c>
      <c r="C56" t="s">
        <v>236</v>
      </c>
      <c r="D56" t="s">
        <v>383</v>
      </c>
      <c r="E56" t="s">
        <v>237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21</v>
      </c>
      <c r="B57" t="s">
        <v>384</v>
      </c>
      <c r="C57" t="s">
        <v>236</v>
      </c>
      <c r="D57" t="s">
        <v>385</v>
      </c>
      <c r="E57" t="s">
        <v>237</v>
      </c>
      <c r="F57" t="n">
        <v>225</v>
      </c>
      <c r="G57" t="n">
        <v>237</v>
      </c>
      <c r="H57" t="n">
        <v>244</v>
      </c>
      <c r="I57" t="n">
        <v>251</v>
      </c>
      <c r="J57" t="n">
        <v>250</v>
      </c>
      <c r="K57" t="n">
        <v>264</v>
      </c>
      <c r="L57" t="n">
        <v>311</v>
      </c>
      <c r="M57" t="n">
        <v>278</v>
      </c>
      <c r="N57" t="n">
        <v>268</v>
      </c>
      <c r="O57" t="n">
        <v>266</v>
      </c>
      <c r="P57" t="n">
        <v>293</v>
      </c>
      <c r="Q57" t="n">
        <v>318</v>
      </c>
      <c r="R57" t="n">
        <v>344</v>
      </c>
      <c r="S57" t="n">
        <v>333</v>
      </c>
      <c r="T57" t="n">
        <v>344</v>
      </c>
      <c r="U57" t="n">
        <v>415</v>
      </c>
      <c r="V57" t="n">
        <v>460</v>
      </c>
      <c r="W57" t="n">
        <v>498</v>
      </c>
      <c r="X57" t="n">
        <v>448</v>
      </c>
      <c r="Y57" t="n">
        <v>420</v>
      </c>
      <c r="Z57" t="n">
        <v>391</v>
      </c>
      <c r="AA57" t="n">
        <v>495</v>
      </c>
      <c r="AB57" t="n">
        <v>530</v>
      </c>
      <c r="AC57" t="n">
        <v>566</v>
      </c>
      <c r="AD57" t="n">
        <v>558</v>
      </c>
      <c r="AE57" t="n">
        <v>589</v>
      </c>
      <c r="AF57" t="n">
        <v>624</v>
      </c>
    </row>
    <row r="58">
      <c r="A58" t="s">
        <v>21</v>
      </c>
      <c r="B58" t="s">
        <v>386</v>
      </c>
      <c r="C58" t="s">
        <v>236</v>
      </c>
      <c r="D58" t="s">
        <v>387</v>
      </c>
      <c r="E58" t="s">
        <v>237</v>
      </c>
      <c r="F58" t="n">
        <v>225</v>
      </c>
      <c r="G58" t="n">
        <v>237</v>
      </c>
      <c r="H58" t="n">
        <v>244</v>
      </c>
      <c r="I58" t="n">
        <v>251</v>
      </c>
      <c r="J58" t="n">
        <v>250</v>
      </c>
      <c r="K58" t="n">
        <v>264</v>
      </c>
      <c r="L58" t="n">
        <v>311</v>
      </c>
      <c r="M58" t="n">
        <v>278</v>
      </c>
      <c r="N58" t="n">
        <v>268</v>
      </c>
      <c r="O58" t="n">
        <v>266</v>
      </c>
      <c r="P58" t="n">
        <v>293</v>
      </c>
      <c r="Q58" t="n">
        <v>318</v>
      </c>
      <c r="R58" t="n">
        <v>344</v>
      </c>
      <c r="S58" t="n">
        <v>333</v>
      </c>
      <c r="T58" t="n">
        <v>344</v>
      </c>
      <c r="U58" t="n">
        <v>415</v>
      </c>
      <c r="V58" t="n">
        <v>460</v>
      </c>
      <c r="W58" t="n">
        <v>498</v>
      </c>
      <c r="X58" t="n">
        <v>448</v>
      </c>
      <c r="Y58" t="n">
        <v>420</v>
      </c>
      <c r="Z58" t="n">
        <v>391</v>
      </c>
      <c r="AA58" t="n">
        <v>495</v>
      </c>
      <c r="AB58" t="n">
        <v>530</v>
      </c>
      <c r="AC58" t="n">
        <v>566</v>
      </c>
      <c r="AD58" t="n">
        <v>558</v>
      </c>
      <c r="AE58" t="n">
        <v>589</v>
      </c>
      <c r="AF58" t="n">
        <v>624</v>
      </c>
    </row>
    <row r="59">
      <c r="A59" t="s">
        <v>21</v>
      </c>
      <c r="B59" t="s">
        <v>388</v>
      </c>
      <c r="C59" t="s">
        <v>236</v>
      </c>
      <c r="D59" t="s">
        <v>389</v>
      </c>
      <c r="E59" t="s">
        <v>237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23</v>
      </c>
      <c r="B2" t="s">
        <v>197</v>
      </c>
      <c r="C2" t="s">
        <v>236</v>
      </c>
      <c r="D2" t="s">
        <v>199</v>
      </c>
      <c r="E2" t="s">
        <v>237</v>
      </c>
      <c r="F2" t="n">
        <v>967</v>
      </c>
      <c r="G2" t="n">
        <v>932</v>
      </c>
      <c r="H2" t="n">
        <v>1193</v>
      </c>
      <c r="I2" t="n">
        <v>1265</v>
      </c>
      <c r="J2" t="n">
        <v>1331</v>
      </c>
      <c r="K2" t="n">
        <v>1312</v>
      </c>
      <c r="L2" t="n">
        <v>1395</v>
      </c>
      <c r="M2" t="n">
        <v>1463</v>
      </c>
      <c r="N2" t="n">
        <v>1441</v>
      </c>
      <c r="O2" t="n">
        <v>1374</v>
      </c>
      <c r="P2" t="n">
        <v>1453</v>
      </c>
      <c r="Q2" t="n">
        <v>1497</v>
      </c>
      <c r="R2" t="n">
        <v>1720</v>
      </c>
      <c r="S2" t="n">
        <v>1680</v>
      </c>
      <c r="T2" t="n">
        <v>1646</v>
      </c>
      <c r="U2" t="n">
        <v>1534</v>
      </c>
      <c r="V2" t="n">
        <v>1621</v>
      </c>
      <c r="W2" t="n">
        <v>1851</v>
      </c>
      <c r="X2" t="n">
        <v>2042</v>
      </c>
      <c r="Y2" t="n">
        <v>1805</v>
      </c>
      <c r="Z2" t="n">
        <v>1351</v>
      </c>
      <c r="AA2" t="n">
        <v>1479</v>
      </c>
      <c r="AB2" t="n">
        <v>1591</v>
      </c>
      <c r="AC2" t="n">
        <v>1573</v>
      </c>
      <c r="AD2" t="n">
        <v>1621</v>
      </c>
      <c r="AE2" t="n">
        <v>1633</v>
      </c>
      <c r="AF2" t="n">
        <v>1568</v>
      </c>
    </row>
    <row r="3">
      <c r="A3" t="s">
        <v>23</v>
      </c>
      <c r="B3" t="s">
        <v>276</v>
      </c>
      <c r="C3" t="s">
        <v>236</v>
      </c>
      <c r="D3" t="s">
        <v>277</v>
      </c>
      <c r="E3" t="s">
        <v>237</v>
      </c>
      <c r="F3" t="n">
        <v>91</v>
      </c>
      <c r="G3" t="n">
        <v>85</v>
      </c>
      <c r="H3" t="n">
        <v>63</v>
      </c>
      <c r="I3" t="n">
        <v>92</v>
      </c>
      <c r="J3" t="n">
        <v>117</v>
      </c>
      <c r="K3" t="n">
        <v>131</v>
      </c>
      <c r="L3" t="n">
        <v>150</v>
      </c>
      <c r="M3" t="n">
        <v>131</v>
      </c>
      <c r="N3" t="n">
        <v>184</v>
      </c>
      <c r="O3" t="n">
        <v>121</v>
      </c>
      <c r="P3" t="n">
        <v>145</v>
      </c>
      <c r="Q3" t="n">
        <v>174</v>
      </c>
      <c r="R3" t="n">
        <v>388</v>
      </c>
      <c r="S3" t="n">
        <v>741</v>
      </c>
      <c r="T3" t="n">
        <v>374</v>
      </c>
      <c r="U3" t="n">
        <v>331</v>
      </c>
      <c r="V3" t="n">
        <v>503</v>
      </c>
      <c r="W3" t="n">
        <v>473</v>
      </c>
      <c r="X3" t="n">
        <v>349</v>
      </c>
      <c r="Y3" t="n">
        <v>313</v>
      </c>
      <c r="Z3" t="n">
        <v>389</v>
      </c>
      <c r="AA3" t="n">
        <v>280</v>
      </c>
      <c r="AB3" t="n">
        <v>352</v>
      </c>
      <c r="AC3" t="n">
        <v>392</v>
      </c>
      <c r="AD3" t="n">
        <v>362</v>
      </c>
      <c r="AE3" t="n">
        <v>502</v>
      </c>
      <c r="AF3" t="n">
        <v>528</v>
      </c>
    </row>
    <row r="4">
      <c r="A4" t="s">
        <v>23</v>
      </c>
      <c r="B4" t="s">
        <v>278</v>
      </c>
      <c r="C4" t="s">
        <v>236</v>
      </c>
      <c r="D4" t="s">
        <v>279</v>
      </c>
      <c r="E4" t="s">
        <v>237</v>
      </c>
      <c r="F4" t="n">
        <v>4561</v>
      </c>
      <c r="G4" t="n">
        <v>5064</v>
      </c>
      <c r="H4" t="n">
        <v>5371</v>
      </c>
      <c r="I4" t="n">
        <v>6001</v>
      </c>
      <c r="J4" t="n">
        <v>6028</v>
      </c>
      <c r="K4" t="n">
        <v>6542</v>
      </c>
      <c r="L4" t="n">
        <v>7447</v>
      </c>
      <c r="M4" t="n">
        <v>6700</v>
      </c>
      <c r="N4" t="n">
        <v>6832</v>
      </c>
      <c r="O4" t="n">
        <v>6889</v>
      </c>
      <c r="P4" t="n">
        <v>7187</v>
      </c>
      <c r="Q4" t="n">
        <v>7509</v>
      </c>
      <c r="R4" t="n">
        <v>8627</v>
      </c>
      <c r="S4" t="n">
        <v>8942</v>
      </c>
      <c r="T4" t="n">
        <v>7854</v>
      </c>
      <c r="U4" t="n">
        <v>7246</v>
      </c>
      <c r="V4" t="n">
        <v>7203</v>
      </c>
      <c r="W4" t="n">
        <v>6845</v>
      </c>
      <c r="X4" t="n">
        <v>6321</v>
      </c>
      <c r="Y4" t="n">
        <v>6274</v>
      </c>
      <c r="Z4" t="n">
        <v>6546</v>
      </c>
      <c r="AA4" t="n">
        <v>6673</v>
      </c>
      <c r="AB4" t="n">
        <v>7432</v>
      </c>
      <c r="AC4" t="n">
        <v>7428</v>
      </c>
      <c r="AD4" t="n">
        <v>8008</v>
      </c>
      <c r="AE4" t="n">
        <v>7641</v>
      </c>
      <c r="AF4" t="n">
        <v>9229</v>
      </c>
    </row>
    <row r="5">
      <c r="A5" t="s">
        <v>23</v>
      </c>
      <c r="B5" t="s">
        <v>280</v>
      </c>
      <c r="C5" t="s">
        <v>236</v>
      </c>
      <c r="D5" t="s">
        <v>281</v>
      </c>
      <c r="E5" t="s">
        <v>237</v>
      </c>
      <c r="F5" t="n">
        <v>369</v>
      </c>
      <c r="G5" t="n">
        <v>384</v>
      </c>
      <c r="H5" t="n">
        <v>357</v>
      </c>
      <c r="I5" t="n">
        <v>389</v>
      </c>
      <c r="J5" t="n">
        <v>376</v>
      </c>
      <c r="K5" t="n">
        <v>389</v>
      </c>
      <c r="L5" t="n">
        <v>447</v>
      </c>
      <c r="M5" t="n">
        <v>484</v>
      </c>
      <c r="N5" t="n">
        <v>459</v>
      </c>
      <c r="O5" t="n">
        <v>369</v>
      </c>
      <c r="P5" t="n">
        <v>455</v>
      </c>
      <c r="Q5" t="n">
        <v>428</v>
      </c>
      <c r="R5" t="n">
        <v>492</v>
      </c>
      <c r="S5" t="n">
        <v>496</v>
      </c>
      <c r="T5" t="n">
        <v>422</v>
      </c>
      <c r="U5" t="n">
        <v>366</v>
      </c>
      <c r="V5" t="n">
        <v>405</v>
      </c>
      <c r="W5" t="n">
        <v>459</v>
      </c>
      <c r="X5" t="n">
        <v>470</v>
      </c>
      <c r="Y5" t="n">
        <v>539</v>
      </c>
      <c r="Z5" t="n">
        <v>480</v>
      </c>
      <c r="AA5" t="n">
        <v>572</v>
      </c>
      <c r="AB5" t="n">
        <v>638</v>
      </c>
      <c r="AC5" t="n">
        <v>485</v>
      </c>
      <c r="AD5" t="n">
        <v>461</v>
      </c>
      <c r="AE5" t="n">
        <v>476</v>
      </c>
      <c r="AF5" t="n">
        <v>557</v>
      </c>
    </row>
    <row r="6">
      <c r="A6" t="s">
        <v>23</v>
      </c>
      <c r="B6" t="s">
        <v>282</v>
      </c>
      <c r="C6" t="s">
        <v>236</v>
      </c>
      <c r="D6" t="s">
        <v>283</v>
      </c>
      <c r="E6" t="s">
        <v>237</v>
      </c>
      <c r="F6" t="n">
        <v>66</v>
      </c>
      <c r="G6" t="n">
        <v>45</v>
      </c>
      <c r="H6" t="n">
        <v>66</v>
      </c>
      <c r="I6" t="n">
        <v>66</v>
      </c>
      <c r="J6" t="n">
        <v>52</v>
      </c>
      <c r="K6" t="n">
        <v>56</v>
      </c>
      <c r="L6" t="n">
        <v>69</v>
      </c>
      <c r="M6" t="n">
        <v>57</v>
      </c>
      <c r="N6" t="n">
        <v>48</v>
      </c>
      <c r="O6" t="n">
        <v>42</v>
      </c>
      <c r="P6" t="n">
        <v>45</v>
      </c>
      <c r="Q6" t="n">
        <v>53</v>
      </c>
      <c r="R6" t="n">
        <v>52</v>
      </c>
      <c r="S6" t="n">
        <v>42</v>
      </c>
      <c r="T6" t="n">
        <v>24</v>
      </c>
      <c r="U6" t="n">
        <v>21</v>
      </c>
      <c r="V6" t="n">
        <v>27</v>
      </c>
      <c r="W6" t="n">
        <v>34</v>
      </c>
      <c r="X6" t="n">
        <v>18</v>
      </c>
      <c r="Y6" t="n">
        <v>26</v>
      </c>
      <c r="Z6" t="n">
        <v>37</v>
      </c>
      <c r="AA6" t="n">
        <v>46</v>
      </c>
      <c r="AB6" t="n">
        <v>40</v>
      </c>
      <c r="AC6" t="n">
        <v>51</v>
      </c>
      <c r="AD6" t="n">
        <v>44</v>
      </c>
      <c r="AE6" t="n">
        <v>45</v>
      </c>
      <c r="AF6" t="n">
        <v>45</v>
      </c>
    </row>
    <row r="7">
      <c r="A7" t="s">
        <v>23</v>
      </c>
      <c r="B7" t="s">
        <v>284</v>
      </c>
      <c r="C7" t="s">
        <v>236</v>
      </c>
      <c r="D7" t="s">
        <v>285</v>
      </c>
      <c r="E7" t="s">
        <v>237</v>
      </c>
      <c r="F7" t="n">
        <v>1143</v>
      </c>
      <c r="G7" t="n">
        <v>1713</v>
      </c>
      <c r="H7" t="n">
        <v>1326</v>
      </c>
      <c r="I7" t="n">
        <v>1509</v>
      </c>
      <c r="J7" t="n">
        <v>1207</v>
      </c>
      <c r="K7" t="n">
        <v>1258</v>
      </c>
      <c r="L7" t="n">
        <v>1901</v>
      </c>
      <c r="M7" t="n">
        <v>1087</v>
      </c>
      <c r="N7" t="n">
        <v>1272</v>
      </c>
      <c r="O7" t="n">
        <v>1042</v>
      </c>
      <c r="P7" t="n">
        <v>1140</v>
      </c>
      <c r="Q7" t="n">
        <v>1157</v>
      </c>
      <c r="R7" t="n">
        <v>1156</v>
      </c>
      <c r="S7" t="n">
        <v>1226</v>
      </c>
      <c r="T7" t="n">
        <v>573</v>
      </c>
      <c r="U7" t="n">
        <v>595</v>
      </c>
      <c r="V7" t="n">
        <v>662</v>
      </c>
      <c r="W7" t="n">
        <v>713</v>
      </c>
      <c r="X7" t="n">
        <v>735</v>
      </c>
      <c r="Y7" t="n">
        <v>564</v>
      </c>
      <c r="Z7" t="n">
        <v>694</v>
      </c>
      <c r="AA7" t="n">
        <v>1230</v>
      </c>
      <c r="AB7" t="n">
        <v>1422</v>
      </c>
      <c r="AC7" t="n">
        <v>947</v>
      </c>
      <c r="AD7" t="n">
        <v>960</v>
      </c>
      <c r="AE7" t="n">
        <v>877</v>
      </c>
      <c r="AF7" t="n">
        <v>1320</v>
      </c>
    </row>
    <row r="8">
      <c r="A8" t="s">
        <v>23</v>
      </c>
      <c r="B8" t="s">
        <v>286</v>
      </c>
      <c r="C8" t="s">
        <v>236</v>
      </c>
      <c r="D8" t="s">
        <v>287</v>
      </c>
      <c r="E8" t="s">
        <v>237</v>
      </c>
      <c r="F8" t="n">
        <v>79</v>
      </c>
      <c r="G8" t="n">
        <v>80</v>
      </c>
      <c r="H8" t="n">
        <v>184</v>
      </c>
      <c r="I8" t="n">
        <v>85</v>
      </c>
      <c r="J8" t="n">
        <v>123</v>
      </c>
      <c r="K8" t="n">
        <v>91</v>
      </c>
      <c r="L8" t="n">
        <v>158</v>
      </c>
      <c r="M8" t="n">
        <v>64</v>
      </c>
      <c r="N8" t="n">
        <v>127</v>
      </c>
      <c r="O8" t="n">
        <v>100</v>
      </c>
      <c r="P8" t="n">
        <v>251</v>
      </c>
      <c r="Q8" t="n">
        <v>272</v>
      </c>
      <c r="R8" t="n">
        <v>850</v>
      </c>
      <c r="S8" t="n">
        <v>176</v>
      </c>
      <c r="T8" t="n">
        <v>230</v>
      </c>
      <c r="U8" t="n">
        <v>207</v>
      </c>
      <c r="V8" t="n">
        <v>119</v>
      </c>
      <c r="W8" t="n">
        <v>181</v>
      </c>
      <c r="X8" t="n">
        <v>184</v>
      </c>
      <c r="Y8" t="n">
        <v>193</v>
      </c>
      <c r="Z8" t="n">
        <v>366</v>
      </c>
      <c r="AA8" t="n">
        <v>99</v>
      </c>
      <c r="AB8" t="n">
        <v>499</v>
      </c>
      <c r="AC8" t="n">
        <v>275</v>
      </c>
      <c r="AD8" t="n">
        <v>192</v>
      </c>
      <c r="AE8" t="n">
        <v>157</v>
      </c>
      <c r="AF8" t="n">
        <v>680</v>
      </c>
    </row>
    <row r="9">
      <c r="A9" t="s">
        <v>23</v>
      </c>
      <c r="B9" t="s">
        <v>288</v>
      </c>
      <c r="C9" t="s">
        <v>236</v>
      </c>
      <c r="D9" t="s">
        <v>289</v>
      </c>
      <c r="E9" t="s">
        <v>237</v>
      </c>
      <c r="F9" t="n">
        <v>428</v>
      </c>
      <c r="G9" t="n">
        <v>260</v>
      </c>
      <c r="H9" t="n">
        <v>377</v>
      </c>
      <c r="I9" t="n">
        <v>356</v>
      </c>
      <c r="J9" t="n">
        <v>363</v>
      </c>
      <c r="K9" t="n">
        <v>284</v>
      </c>
      <c r="L9" t="n">
        <v>333</v>
      </c>
      <c r="M9" t="n">
        <v>450</v>
      </c>
      <c r="N9" t="n">
        <v>320</v>
      </c>
      <c r="O9" t="n">
        <v>369</v>
      </c>
      <c r="P9" t="n">
        <v>295</v>
      </c>
      <c r="Q9" t="n">
        <v>356</v>
      </c>
      <c r="R9" t="n">
        <v>485</v>
      </c>
      <c r="S9" t="n">
        <v>457</v>
      </c>
      <c r="T9" t="n">
        <v>503</v>
      </c>
      <c r="U9" t="n">
        <v>282</v>
      </c>
      <c r="V9" t="n">
        <v>326</v>
      </c>
      <c r="W9" t="n">
        <v>349</v>
      </c>
      <c r="X9" t="n">
        <v>428</v>
      </c>
      <c r="Y9" t="n">
        <v>299</v>
      </c>
      <c r="Z9" t="n">
        <v>431</v>
      </c>
      <c r="AA9" t="n">
        <v>477</v>
      </c>
      <c r="AB9" t="n">
        <v>695</v>
      </c>
      <c r="AC9" t="n">
        <v>543</v>
      </c>
      <c r="AD9" t="n">
        <v>483</v>
      </c>
      <c r="AE9" t="n">
        <v>454</v>
      </c>
      <c r="AF9" t="n">
        <v>590</v>
      </c>
    </row>
    <row r="10">
      <c r="A10" t="s">
        <v>23</v>
      </c>
      <c r="B10" t="s">
        <v>290</v>
      </c>
      <c r="C10" t="s">
        <v>236</v>
      </c>
      <c r="D10" t="s">
        <v>291</v>
      </c>
      <c r="E10" t="s">
        <v>237</v>
      </c>
      <c r="F10" t="n">
        <v>540</v>
      </c>
      <c r="G10" t="n">
        <v>363</v>
      </c>
      <c r="H10" t="n">
        <v>483</v>
      </c>
      <c r="I10" t="n">
        <v>486</v>
      </c>
      <c r="J10" t="n">
        <v>486</v>
      </c>
      <c r="K10" t="n">
        <v>440</v>
      </c>
      <c r="L10" t="n">
        <v>490</v>
      </c>
      <c r="M10" t="n">
        <v>684</v>
      </c>
      <c r="N10" t="n">
        <v>494</v>
      </c>
      <c r="O10" t="n">
        <v>523</v>
      </c>
      <c r="P10" t="n">
        <v>438</v>
      </c>
      <c r="Q10" t="n">
        <v>515</v>
      </c>
      <c r="R10" t="n">
        <v>687</v>
      </c>
      <c r="S10" t="n">
        <v>667</v>
      </c>
      <c r="T10" t="n">
        <v>721</v>
      </c>
      <c r="U10" t="n">
        <v>484</v>
      </c>
      <c r="V10" t="n">
        <v>522</v>
      </c>
      <c r="W10" t="n">
        <v>632</v>
      </c>
      <c r="X10" t="n">
        <v>767</v>
      </c>
      <c r="Y10" t="n">
        <v>604</v>
      </c>
      <c r="Z10" t="n">
        <v>715</v>
      </c>
      <c r="AA10" t="n">
        <v>772</v>
      </c>
      <c r="AB10" t="n">
        <v>1009</v>
      </c>
      <c r="AC10" t="n">
        <v>839</v>
      </c>
      <c r="AD10" t="n">
        <v>730</v>
      </c>
      <c r="AE10" t="n">
        <v>743</v>
      </c>
      <c r="AF10" t="n">
        <v>1011</v>
      </c>
    </row>
    <row r="11">
      <c r="A11" t="s">
        <v>23</v>
      </c>
      <c r="B11" t="s">
        <v>292</v>
      </c>
      <c r="C11" t="s">
        <v>236</v>
      </c>
      <c r="D11" t="s">
        <v>293</v>
      </c>
      <c r="E11" t="s">
        <v>237</v>
      </c>
      <c r="F11" t="n">
        <v>112</v>
      </c>
      <c r="G11" t="n">
        <v>103</v>
      </c>
      <c r="H11" t="n">
        <v>106</v>
      </c>
      <c r="I11" t="n">
        <v>130</v>
      </c>
      <c r="J11" t="n">
        <v>123</v>
      </c>
      <c r="K11" t="n">
        <v>156</v>
      </c>
      <c r="L11" t="n">
        <v>157</v>
      </c>
      <c r="M11" t="n">
        <v>234</v>
      </c>
      <c r="N11" t="n">
        <v>174</v>
      </c>
      <c r="O11" t="n">
        <v>154</v>
      </c>
      <c r="P11" t="n">
        <v>143</v>
      </c>
      <c r="Q11" t="n">
        <v>159</v>
      </c>
      <c r="R11" t="n">
        <v>202</v>
      </c>
      <c r="S11" t="n">
        <v>210</v>
      </c>
      <c r="T11" t="n">
        <v>218</v>
      </c>
      <c r="U11" t="n">
        <v>202</v>
      </c>
      <c r="V11" t="n">
        <v>196</v>
      </c>
      <c r="W11" t="n">
        <v>283</v>
      </c>
      <c r="X11" t="n">
        <v>339</v>
      </c>
      <c r="Y11" t="n">
        <v>305</v>
      </c>
      <c r="Z11" t="n">
        <v>284</v>
      </c>
      <c r="AA11" t="n">
        <v>295</v>
      </c>
      <c r="AB11" t="n">
        <v>314</v>
      </c>
      <c r="AC11" t="n">
        <v>296</v>
      </c>
      <c r="AD11" t="n">
        <v>247</v>
      </c>
      <c r="AE11" t="n">
        <v>289</v>
      </c>
      <c r="AF11" t="n">
        <v>421</v>
      </c>
    </row>
    <row r="12">
      <c r="A12" t="s">
        <v>23</v>
      </c>
      <c r="B12" t="s">
        <v>294</v>
      </c>
      <c r="C12" t="s">
        <v>236</v>
      </c>
      <c r="D12" t="s">
        <v>295</v>
      </c>
      <c r="E12" t="s">
        <v>237</v>
      </c>
      <c r="F12" t="n">
        <v>224</v>
      </c>
      <c r="G12" t="n">
        <v>198</v>
      </c>
      <c r="H12" t="n">
        <v>248</v>
      </c>
      <c r="I12" t="n">
        <v>344</v>
      </c>
      <c r="J12" t="n">
        <v>354</v>
      </c>
      <c r="K12" t="n">
        <v>329</v>
      </c>
      <c r="L12" t="n">
        <v>310</v>
      </c>
      <c r="M12" t="n">
        <v>296</v>
      </c>
      <c r="N12" t="n">
        <v>313</v>
      </c>
      <c r="O12" t="n">
        <v>307</v>
      </c>
      <c r="P12" t="n">
        <v>334</v>
      </c>
      <c r="Q12" t="n">
        <v>368</v>
      </c>
      <c r="R12" t="n">
        <v>322</v>
      </c>
      <c r="S12" t="n">
        <v>349</v>
      </c>
      <c r="T12" t="n">
        <v>307</v>
      </c>
      <c r="U12" t="n">
        <v>238</v>
      </c>
      <c r="V12" t="n">
        <v>293</v>
      </c>
      <c r="W12" t="n">
        <v>261</v>
      </c>
      <c r="X12" t="n">
        <v>247</v>
      </c>
      <c r="Y12" t="n">
        <v>257</v>
      </c>
      <c r="Z12" t="n">
        <v>339</v>
      </c>
      <c r="AA12" t="n">
        <v>357</v>
      </c>
      <c r="AB12" t="n">
        <v>360</v>
      </c>
      <c r="AC12" t="n">
        <v>433</v>
      </c>
      <c r="AD12" t="n">
        <v>447</v>
      </c>
      <c r="AE12" t="n">
        <v>483</v>
      </c>
      <c r="AF12" t="n">
        <v>448</v>
      </c>
    </row>
    <row r="13">
      <c r="A13" t="s">
        <v>23</v>
      </c>
      <c r="B13" t="s">
        <v>296</v>
      </c>
      <c r="C13" t="s">
        <v>236</v>
      </c>
      <c r="D13" t="s">
        <v>297</v>
      </c>
      <c r="E13" t="s">
        <v>237</v>
      </c>
      <c r="F13" t="n">
        <v>549</v>
      </c>
      <c r="G13" t="n">
        <v>564</v>
      </c>
      <c r="H13" t="n">
        <v>699</v>
      </c>
      <c r="I13" t="n">
        <v>640</v>
      </c>
      <c r="J13" t="n">
        <v>472</v>
      </c>
      <c r="K13" t="n">
        <v>590</v>
      </c>
      <c r="L13" t="n">
        <v>592</v>
      </c>
      <c r="M13" t="n">
        <v>872</v>
      </c>
      <c r="N13" t="n">
        <v>617</v>
      </c>
      <c r="O13" t="n">
        <v>829</v>
      </c>
      <c r="P13" t="n">
        <v>536</v>
      </c>
      <c r="Q13" t="n">
        <v>520</v>
      </c>
      <c r="R13" t="n">
        <v>672</v>
      </c>
      <c r="S13" t="n">
        <v>821</v>
      </c>
      <c r="T13" t="n">
        <v>803</v>
      </c>
      <c r="U13" t="n">
        <v>620</v>
      </c>
      <c r="V13" t="n">
        <v>606</v>
      </c>
      <c r="W13" t="n">
        <v>914</v>
      </c>
      <c r="X13" t="n">
        <v>425</v>
      </c>
      <c r="Y13" t="n">
        <v>538</v>
      </c>
      <c r="Z13" t="n">
        <v>577</v>
      </c>
      <c r="AA13" t="n">
        <v>516</v>
      </c>
      <c r="AB13" t="n">
        <v>598</v>
      </c>
      <c r="AC13" t="n">
        <v>702</v>
      </c>
      <c r="AD13" t="n">
        <v>780</v>
      </c>
      <c r="AE13" t="n">
        <v>646</v>
      </c>
      <c r="AF13" t="n">
        <v>655</v>
      </c>
    </row>
    <row r="14">
      <c r="A14" t="s">
        <v>23</v>
      </c>
      <c r="B14" t="s">
        <v>298</v>
      </c>
      <c r="C14" t="s">
        <v>236</v>
      </c>
      <c r="D14" t="s">
        <v>299</v>
      </c>
      <c r="E14" t="s">
        <v>237</v>
      </c>
      <c r="F14" t="n">
        <v>768</v>
      </c>
      <c r="G14" t="n">
        <v>881</v>
      </c>
      <c r="H14" t="n">
        <v>1073</v>
      </c>
      <c r="I14" t="n">
        <v>1463</v>
      </c>
      <c r="J14" t="n">
        <v>1993</v>
      </c>
      <c r="K14" t="n">
        <v>2379</v>
      </c>
      <c r="L14" t="n">
        <v>2411</v>
      </c>
      <c r="M14" t="n">
        <v>2158</v>
      </c>
      <c r="N14" t="n">
        <v>2455</v>
      </c>
      <c r="O14" t="n">
        <v>2747</v>
      </c>
      <c r="P14" t="n">
        <v>2978</v>
      </c>
      <c r="Q14" t="n">
        <v>3086</v>
      </c>
      <c r="R14" t="n">
        <v>3153</v>
      </c>
      <c r="S14" t="n">
        <v>3749</v>
      </c>
      <c r="T14" t="n">
        <v>3411</v>
      </c>
      <c r="U14" t="n">
        <v>3492</v>
      </c>
      <c r="V14" t="n">
        <v>3246</v>
      </c>
      <c r="W14" t="n">
        <v>2167</v>
      </c>
      <c r="X14" t="n">
        <v>2111</v>
      </c>
      <c r="Y14" t="n">
        <v>2107</v>
      </c>
      <c r="Z14" t="n">
        <v>1777</v>
      </c>
      <c r="AA14" t="n">
        <v>1467</v>
      </c>
      <c r="AB14" t="n">
        <v>1492</v>
      </c>
      <c r="AC14" t="n">
        <v>1751</v>
      </c>
      <c r="AD14" t="n">
        <v>2487</v>
      </c>
      <c r="AE14" t="n">
        <v>2299</v>
      </c>
      <c r="AF14" t="n">
        <v>2496</v>
      </c>
    </row>
    <row r="15">
      <c r="A15" t="s">
        <v>23</v>
      </c>
      <c r="B15" t="s">
        <v>300</v>
      </c>
      <c r="C15" t="s">
        <v>236</v>
      </c>
      <c r="D15" t="s">
        <v>301</v>
      </c>
      <c r="E15" t="s">
        <v>237</v>
      </c>
      <c r="F15" t="n">
        <v>931</v>
      </c>
      <c r="G15" t="n">
        <v>1045</v>
      </c>
      <c r="H15" t="n">
        <v>1244</v>
      </c>
      <c r="I15" t="n">
        <v>1654</v>
      </c>
      <c r="J15" t="n">
        <v>2163</v>
      </c>
      <c r="K15" t="n">
        <v>2548</v>
      </c>
      <c r="L15" t="n">
        <v>2590</v>
      </c>
      <c r="M15" t="n">
        <v>2316</v>
      </c>
      <c r="N15" t="n">
        <v>2648</v>
      </c>
      <c r="O15" t="n">
        <v>2934</v>
      </c>
      <c r="P15" t="n">
        <v>3173</v>
      </c>
      <c r="Q15" t="n">
        <v>3286</v>
      </c>
      <c r="R15" t="n">
        <v>3414</v>
      </c>
      <c r="S15" t="n">
        <v>4103</v>
      </c>
      <c r="T15" t="n">
        <v>3750</v>
      </c>
      <c r="U15" t="n">
        <v>3870</v>
      </c>
      <c r="V15" t="n">
        <v>3600</v>
      </c>
      <c r="W15" t="n">
        <v>2556</v>
      </c>
      <c r="X15" t="n">
        <v>2415</v>
      </c>
      <c r="Y15" t="n">
        <v>2488</v>
      </c>
      <c r="Z15" t="n">
        <v>2195</v>
      </c>
      <c r="AA15" t="n">
        <v>1856</v>
      </c>
      <c r="AB15" t="n">
        <v>1545</v>
      </c>
      <c r="AC15" t="n">
        <v>2098</v>
      </c>
      <c r="AD15" t="n">
        <v>2882</v>
      </c>
      <c r="AE15" t="n">
        <v>2642</v>
      </c>
      <c r="AF15" t="n">
        <v>2839</v>
      </c>
    </row>
    <row r="16">
      <c r="A16" t="s">
        <v>23</v>
      </c>
      <c r="B16" t="s">
        <v>302</v>
      </c>
      <c r="C16" t="s">
        <v>236</v>
      </c>
      <c r="D16" t="s">
        <v>303</v>
      </c>
      <c r="E16" t="s">
        <v>237</v>
      </c>
      <c r="F16" t="n">
        <v>163</v>
      </c>
      <c r="G16" t="n">
        <v>164</v>
      </c>
      <c r="H16" t="n">
        <v>171</v>
      </c>
      <c r="I16" t="n">
        <v>191</v>
      </c>
      <c r="J16" t="n">
        <v>170</v>
      </c>
      <c r="K16" t="n">
        <v>169</v>
      </c>
      <c r="L16" t="n">
        <v>179</v>
      </c>
      <c r="M16" t="n">
        <v>158</v>
      </c>
      <c r="N16" t="n">
        <v>193</v>
      </c>
      <c r="O16" t="n">
        <v>187</v>
      </c>
      <c r="P16" t="n">
        <v>195</v>
      </c>
      <c r="Q16" t="n">
        <v>200</v>
      </c>
      <c r="R16" t="n">
        <v>261</v>
      </c>
      <c r="S16" t="n">
        <v>354</v>
      </c>
      <c r="T16" t="n">
        <v>339</v>
      </c>
      <c r="U16" t="n">
        <v>378</v>
      </c>
      <c r="V16" t="n">
        <v>354</v>
      </c>
      <c r="W16" t="n">
        <v>389</v>
      </c>
      <c r="X16" t="n">
        <v>304</v>
      </c>
      <c r="Y16" t="n">
        <v>381</v>
      </c>
      <c r="Z16" t="n">
        <v>418</v>
      </c>
      <c r="AA16" t="n">
        <v>389</v>
      </c>
      <c r="AB16" t="n">
        <v>53</v>
      </c>
      <c r="AC16" t="n">
        <v>347</v>
      </c>
      <c r="AD16" t="n">
        <v>395</v>
      </c>
      <c r="AE16" t="n">
        <v>343</v>
      </c>
      <c r="AF16" t="n">
        <v>343</v>
      </c>
    </row>
    <row r="17">
      <c r="A17" t="s">
        <v>23</v>
      </c>
      <c r="B17" t="s">
        <v>304</v>
      </c>
      <c r="C17" t="s">
        <v>236</v>
      </c>
      <c r="D17" t="s">
        <v>305</v>
      </c>
      <c r="E17" t="s">
        <v>237</v>
      </c>
      <c r="F17" t="n">
        <v>359</v>
      </c>
      <c r="G17" t="n">
        <v>375</v>
      </c>
      <c r="H17" t="n">
        <v>407</v>
      </c>
      <c r="I17" t="n">
        <v>408</v>
      </c>
      <c r="J17" t="n">
        <v>386</v>
      </c>
      <c r="K17" t="n">
        <v>405</v>
      </c>
      <c r="L17" t="n">
        <v>439</v>
      </c>
      <c r="M17" t="n">
        <v>399</v>
      </c>
      <c r="N17" t="n">
        <v>457</v>
      </c>
      <c r="O17" t="n">
        <v>361</v>
      </c>
      <c r="P17" t="n">
        <v>412</v>
      </c>
      <c r="Q17" t="n">
        <v>464</v>
      </c>
      <c r="R17" t="n">
        <v>524</v>
      </c>
      <c r="S17" t="n">
        <v>762</v>
      </c>
      <c r="T17" t="n">
        <v>767</v>
      </c>
      <c r="U17" t="n">
        <v>610</v>
      </c>
      <c r="V17" t="n">
        <v>697</v>
      </c>
      <c r="W17" t="n">
        <v>798</v>
      </c>
      <c r="X17" t="n">
        <v>779</v>
      </c>
      <c r="Y17" t="n">
        <v>864</v>
      </c>
      <c r="Z17" t="n">
        <v>899</v>
      </c>
      <c r="AA17" t="n">
        <v>894</v>
      </c>
      <c r="AB17" t="n">
        <v>933</v>
      </c>
      <c r="AC17" t="n">
        <v>1117</v>
      </c>
      <c r="AD17" t="n">
        <v>1132</v>
      </c>
      <c r="AE17" t="n">
        <v>1127</v>
      </c>
      <c r="AF17" t="n">
        <v>1093</v>
      </c>
    </row>
    <row r="18">
      <c r="A18" t="s">
        <v>23</v>
      </c>
      <c r="B18" t="s">
        <v>306</v>
      </c>
      <c r="C18" t="s">
        <v>236</v>
      </c>
      <c r="D18" t="s">
        <v>307</v>
      </c>
      <c r="E18" t="s">
        <v>237</v>
      </c>
      <c r="F18" t="n">
        <v>95</v>
      </c>
      <c r="G18" t="n">
        <v>87</v>
      </c>
      <c r="H18" t="n">
        <v>81</v>
      </c>
      <c r="I18" t="n">
        <v>121</v>
      </c>
      <c r="J18" t="n">
        <v>94</v>
      </c>
      <c r="K18" t="n">
        <v>86</v>
      </c>
      <c r="L18" t="n">
        <v>110</v>
      </c>
      <c r="M18" t="n">
        <v>91</v>
      </c>
      <c r="N18" t="n">
        <v>86</v>
      </c>
      <c r="O18" t="n">
        <v>96</v>
      </c>
      <c r="P18" t="n">
        <v>112</v>
      </c>
      <c r="Q18" t="n">
        <v>141</v>
      </c>
      <c r="R18" t="n">
        <v>110</v>
      </c>
      <c r="S18" t="n">
        <v>129</v>
      </c>
      <c r="T18" t="n">
        <v>142</v>
      </c>
      <c r="U18" t="n">
        <v>112</v>
      </c>
      <c r="V18" t="n">
        <v>145</v>
      </c>
      <c r="W18" t="n">
        <v>173</v>
      </c>
      <c r="X18" t="n">
        <v>184</v>
      </c>
      <c r="Y18" t="n">
        <v>96</v>
      </c>
      <c r="Z18" t="n">
        <v>116</v>
      </c>
      <c r="AA18" t="n">
        <v>144</v>
      </c>
      <c r="AB18" t="n">
        <v>242</v>
      </c>
      <c r="AC18" t="n">
        <v>289</v>
      </c>
      <c r="AD18" t="n">
        <v>186</v>
      </c>
      <c r="AE18" t="n">
        <v>212</v>
      </c>
      <c r="AF18" t="n">
        <v>259</v>
      </c>
    </row>
    <row r="19">
      <c r="A19" t="s">
        <v>23</v>
      </c>
      <c r="B19" t="s">
        <v>308</v>
      </c>
      <c r="C19" t="s">
        <v>236</v>
      </c>
      <c r="D19" t="s">
        <v>309</v>
      </c>
      <c r="E19" t="s">
        <v>237</v>
      </c>
      <c r="F19" t="n">
        <v>206</v>
      </c>
      <c r="G19" t="n">
        <v>210</v>
      </c>
      <c r="H19" t="n">
        <v>276</v>
      </c>
      <c r="I19" t="n">
        <v>299</v>
      </c>
      <c r="J19" t="n">
        <v>315</v>
      </c>
      <c r="K19" t="n">
        <v>350</v>
      </c>
      <c r="L19" t="n">
        <v>341</v>
      </c>
      <c r="M19" t="n">
        <v>350</v>
      </c>
      <c r="N19" t="n">
        <v>311</v>
      </c>
      <c r="O19" t="n">
        <v>286</v>
      </c>
      <c r="P19" t="n">
        <v>291</v>
      </c>
      <c r="Q19" t="n">
        <v>305</v>
      </c>
      <c r="R19" t="n">
        <v>348</v>
      </c>
      <c r="S19" t="n">
        <v>171</v>
      </c>
      <c r="T19" t="n">
        <v>115</v>
      </c>
      <c r="U19" t="n">
        <v>123</v>
      </c>
      <c r="V19" t="n">
        <v>127</v>
      </c>
      <c r="W19" t="n">
        <v>124</v>
      </c>
      <c r="X19" t="n">
        <v>97</v>
      </c>
      <c r="Y19" t="n">
        <v>105</v>
      </c>
      <c r="Z19" t="n">
        <v>128</v>
      </c>
      <c r="AA19" t="n">
        <v>187</v>
      </c>
      <c r="AB19" t="n">
        <v>146</v>
      </c>
      <c r="AC19" t="n">
        <v>192</v>
      </c>
      <c r="AD19" t="n">
        <v>194</v>
      </c>
      <c r="AE19" t="n">
        <v>233</v>
      </c>
      <c r="AF19" t="n">
        <v>322</v>
      </c>
    </row>
    <row r="20">
      <c r="A20" t="s">
        <v>23</v>
      </c>
      <c r="B20" t="s">
        <v>310</v>
      </c>
      <c r="C20" t="s">
        <v>236</v>
      </c>
      <c r="D20" t="s">
        <v>311</v>
      </c>
      <c r="E20" t="s">
        <v>237</v>
      </c>
      <c r="F20" t="n">
        <v>651</v>
      </c>
      <c r="G20" t="n">
        <v>644</v>
      </c>
      <c r="H20" t="n">
        <v>806</v>
      </c>
      <c r="I20" t="n">
        <v>660</v>
      </c>
      <c r="J20" t="n">
        <v>582</v>
      </c>
      <c r="K20" t="n">
        <v>724</v>
      </c>
      <c r="L20" t="n">
        <v>830</v>
      </c>
      <c r="M20" t="n">
        <v>811</v>
      </c>
      <c r="N20" t="n">
        <v>727</v>
      </c>
      <c r="O20" t="n">
        <v>1071</v>
      </c>
      <c r="P20" t="n">
        <v>1007</v>
      </c>
      <c r="Q20" t="n">
        <v>1010</v>
      </c>
      <c r="R20" t="n">
        <v>1110</v>
      </c>
      <c r="S20" t="n">
        <v>1513</v>
      </c>
      <c r="T20" t="n">
        <v>1698</v>
      </c>
      <c r="U20" t="n">
        <v>2358</v>
      </c>
      <c r="V20" t="n">
        <v>2073</v>
      </c>
      <c r="W20" t="n">
        <v>1784</v>
      </c>
      <c r="X20" t="n">
        <v>2079</v>
      </c>
      <c r="Y20" t="n">
        <v>2488</v>
      </c>
      <c r="Z20" t="n">
        <v>2602</v>
      </c>
      <c r="AA20" t="n">
        <v>3164</v>
      </c>
      <c r="AB20" t="n">
        <v>3586</v>
      </c>
      <c r="AC20" t="n">
        <v>3029</v>
      </c>
      <c r="AD20" t="n">
        <v>2210</v>
      </c>
      <c r="AE20" t="n">
        <v>2470</v>
      </c>
      <c r="AF20" t="n">
        <v>2828</v>
      </c>
    </row>
    <row r="21">
      <c r="A21" t="s">
        <v>23</v>
      </c>
      <c r="B21" t="s">
        <v>312</v>
      </c>
      <c r="C21" t="s">
        <v>236</v>
      </c>
      <c r="D21" t="s">
        <v>313</v>
      </c>
      <c r="E21" t="s">
        <v>237</v>
      </c>
      <c r="F21" t="n">
        <v>915</v>
      </c>
      <c r="G21" t="n">
        <v>924</v>
      </c>
      <c r="H21" t="n">
        <v>1115</v>
      </c>
      <c r="I21" t="n">
        <v>973</v>
      </c>
      <c r="J21" t="n">
        <v>922</v>
      </c>
      <c r="K21" t="n">
        <v>1081</v>
      </c>
      <c r="L21" t="n">
        <v>1140</v>
      </c>
      <c r="M21" t="n">
        <v>1196</v>
      </c>
      <c r="N21" t="n">
        <v>1143</v>
      </c>
      <c r="O21" t="n">
        <v>1454</v>
      </c>
      <c r="P21" t="n">
        <v>1439</v>
      </c>
      <c r="Q21" t="n">
        <v>1536</v>
      </c>
      <c r="R21" t="n">
        <v>1679</v>
      </c>
      <c r="S21" t="n">
        <v>2130</v>
      </c>
      <c r="T21" t="n">
        <v>2309</v>
      </c>
      <c r="U21" t="n">
        <v>3039</v>
      </c>
      <c r="V21" t="n">
        <v>2674</v>
      </c>
      <c r="W21" t="n">
        <v>2389</v>
      </c>
      <c r="X21" t="n">
        <v>2662</v>
      </c>
      <c r="Y21" t="n">
        <v>3072</v>
      </c>
      <c r="Z21" t="n">
        <v>3143</v>
      </c>
      <c r="AA21" t="n">
        <v>3833</v>
      </c>
      <c r="AB21" t="n">
        <v>4214</v>
      </c>
      <c r="AC21" t="n">
        <v>3799</v>
      </c>
      <c r="AD21" t="n">
        <v>2857</v>
      </c>
      <c r="AE21" t="n">
        <v>3440</v>
      </c>
      <c r="AF21" t="n">
        <v>3911</v>
      </c>
    </row>
    <row r="22">
      <c r="A22" t="s">
        <v>23</v>
      </c>
      <c r="B22" t="s">
        <v>314</v>
      </c>
      <c r="C22" t="s">
        <v>236</v>
      </c>
      <c r="D22" t="s">
        <v>315</v>
      </c>
      <c r="E22" t="s">
        <v>237</v>
      </c>
      <c r="F22" t="n">
        <v>264</v>
      </c>
      <c r="G22" t="n">
        <v>280</v>
      </c>
      <c r="H22" t="n">
        <v>309</v>
      </c>
      <c r="I22" t="n">
        <v>313</v>
      </c>
      <c r="J22" t="n">
        <v>340</v>
      </c>
      <c r="K22" t="n">
        <v>357</v>
      </c>
      <c r="L22" t="n">
        <v>310</v>
      </c>
      <c r="M22" t="n">
        <v>385</v>
      </c>
      <c r="N22" t="n">
        <v>416</v>
      </c>
      <c r="O22" t="n">
        <v>383</v>
      </c>
      <c r="P22" t="n">
        <v>432</v>
      </c>
      <c r="Q22" t="n">
        <v>526</v>
      </c>
      <c r="R22" t="n">
        <v>569</v>
      </c>
      <c r="S22" t="n">
        <v>617</v>
      </c>
      <c r="T22" t="n">
        <v>611</v>
      </c>
      <c r="U22" t="n">
        <v>681</v>
      </c>
      <c r="V22" t="n">
        <v>601</v>
      </c>
      <c r="W22" t="n">
        <v>605</v>
      </c>
      <c r="X22" t="n">
        <v>583</v>
      </c>
      <c r="Y22" t="n">
        <v>584</v>
      </c>
      <c r="Z22" t="n">
        <v>541</v>
      </c>
      <c r="AA22" t="n">
        <v>669</v>
      </c>
      <c r="AB22" t="n">
        <v>628</v>
      </c>
      <c r="AC22" t="n">
        <v>770</v>
      </c>
      <c r="AD22" t="n">
        <v>647</v>
      </c>
      <c r="AE22" t="n">
        <v>970</v>
      </c>
      <c r="AF22" t="n">
        <v>1083</v>
      </c>
    </row>
    <row r="23">
      <c r="A23" t="s">
        <v>23</v>
      </c>
      <c r="B23" t="s">
        <v>316</v>
      </c>
      <c r="C23" t="s">
        <v>236</v>
      </c>
      <c r="D23" t="s">
        <v>317</v>
      </c>
      <c r="E23" t="s">
        <v>237</v>
      </c>
      <c r="F23" t="n">
        <v>273</v>
      </c>
      <c r="G23" t="n">
        <v>294</v>
      </c>
      <c r="H23" t="n">
        <v>360</v>
      </c>
      <c r="I23" t="n">
        <v>355</v>
      </c>
      <c r="J23" t="n">
        <v>479</v>
      </c>
      <c r="K23" t="n">
        <v>553</v>
      </c>
      <c r="L23" t="n">
        <v>503</v>
      </c>
      <c r="M23" t="n">
        <v>522</v>
      </c>
      <c r="N23" t="n">
        <v>604</v>
      </c>
      <c r="O23" t="n">
        <v>612</v>
      </c>
      <c r="P23" t="n">
        <v>686</v>
      </c>
      <c r="Q23" t="n">
        <v>750</v>
      </c>
      <c r="R23" t="n">
        <v>844</v>
      </c>
      <c r="S23" t="n">
        <v>959</v>
      </c>
      <c r="T23" t="n">
        <v>719</v>
      </c>
      <c r="U23" t="n">
        <v>755</v>
      </c>
      <c r="V23" t="n">
        <v>813</v>
      </c>
      <c r="W23" t="n">
        <v>887</v>
      </c>
      <c r="X23" t="n">
        <v>798</v>
      </c>
      <c r="Y23" t="n">
        <v>810</v>
      </c>
      <c r="Z23" t="n">
        <v>830</v>
      </c>
      <c r="AA23" t="n">
        <v>949</v>
      </c>
      <c r="AB23" t="n">
        <v>1091</v>
      </c>
      <c r="AC23" t="n">
        <v>1196</v>
      </c>
      <c r="AD23" t="n">
        <v>1330</v>
      </c>
      <c r="AE23" t="n">
        <v>1396</v>
      </c>
      <c r="AF23" t="n">
        <v>1487</v>
      </c>
    </row>
    <row r="24">
      <c r="A24" t="s">
        <v>23</v>
      </c>
      <c r="B24" t="s">
        <v>318</v>
      </c>
      <c r="C24" t="s">
        <v>236</v>
      </c>
      <c r="D24" t="s">
        <v>319</v>
      </c>
      <c r="E24" t="s">
        <v>237</v>
      </c>
      <c r="F24" t="n">
        <v>708</v>
      </c>
      <c r="G24" t="n">
        <v>884</v>
      </c>
      <c r="H24" t="n">
        <v>1088</v>
      </c>
      <c r="I24" t="n">
        <v>1159</v>
      </c>
      <c r="J24" t="n">
        <v>1240</v>
      </c>
      <c r="K24" t="n">
        <v>1300</v>
      </c>
      <c r="L24" t="n">
        <v>1264</v>
      </c>
      <c r="M24" t="n">
        <v>1141</v>
      </c>
      <c r="N24" t="n">
        <v>1340</v>
      </c>
      <c r="O24" t="n">
        <v>1275</v>
      </c>
      <c r="P24" t="n">
        <v>1206</v>
      </c>
      <c r="Q24" t="n">
        <v>928</v>
      </c>
      <c r="R24" t="n">
        <v>1455</v>
      </c>
      <c r="S24" t="n">
        <v>1536</v>
      </c>
      <c r="T24" t="n">
        <v>1373</v>
      </c>
      <c r="U24" t="n">
        <v>1299</v>
      </c>
      <c r="V24" t="n">
        <v>1436</v>
      </c>
      <c r="W24" t="n">
        <v>1868</v>
      </c>
      <c r="X24" t="n">
        <v>1588</v>
      </c>
      <c r="Y24" t="n">
        <v>1630</v>
      </c>
      <c r="Z24" t="n">
        <v>1315</v>
      </c>
      <c r="AA24" t="n">
        <v>1828</v>
      </c>
      <c r="AB24" t="n">
        <v>1895</v>
      </c>
      <c r="AC24" t="n">
        <v>2074</v>
      </c>
      <c r="AD24" t="n">
        <v>1868</v>
      </c>
      <c r="AE24" t="n">
        <v>1825</v>
      </c>
      <c r="AF24" t="n">
        <v>2065</v>
      </c>
    </row>
    <row r="25">
      <c r="A25" t="s">
        <v>23</v>
      </c>
      <c r="B25" t="s">
        <v>320</v>
      </c>
      <c r="C25" t="s">
        <v>236</v>
      </c>
      <c r="D25" t="s">
        <v>321</v>
      </c>
      <c r="E25" t="s">
        <v>237</v>
      </c>
      <c r="F25" t="n">
        <v>79</v>
      </c>
      <c r="G25" t="n">
        <v>83</v>
      </c>
      <c r="H25" t="n">
        <v>123</v>
      </c>
      <c r="I25" t="n">
        <v>138</v>
      </c>
      <c r="J25" t="n">
        <v>151</v>
      </c>
      <c r="K25" t="n">
        <v>137</v>
      </c>
      <c r="L25" t="n">
        <v>139</v>
      </c>
      <c r="M25" t="n">
        <v>131</v>
      </c>
      <c r="N25" t="n">
        <v>143</v>
      </c>
      <c r="O25" t="n">
        <v>161</v>
      </c>
      <c r="P25" t="n">
        <v>143</v>
      </c>
      <c r="Q25" t="n">
        <v>175</v>
      </c>
      <c r="R25" t="n">
        <v>141</v>
      </c>
      <c r="S25" t="n">
        <v>192</v>
      </c>
      <c r="T25" t="n">
        <v>164</v>
      </c>
      <c r="U25" t="n">
        <v>200</v>
      </c>
      <c r="V25" t="n">
        <v>194</v>
      </c>
      <c r="W25" t="n">
        <v>201</v>
      </c>
      <c r="X25" t="n">
        <v>150</v>
      </c>
      <c r="Y25" t="n">
        <v>168</v>
      </c>
      <c r="Z25" t="n">
        <v>151</v>
      </c>
      <c r="AA25" t="n">
        <v>230</v>
      </c>
      <c r="AB25" t="n">
        <v>172</v>
      </c>
      <c r="AC25" t="n">
        <v>240</v>
      </c>
      <c r="AD25" t="n">
        <v>263</v>
      </c>
      <c r="AE25" t="n">
        <v>234</v>
      </c>
      <c r="AF25" t="n">
        <v>267</v>
      </c>
    </row>
    <row r="26">
      <c r="A26" t="s">
        <v>23</v>
      </c>
      <c r="B26" t="s">
        <v>322</v>
      </c>
      <c r="C26" t="s">
        <v>236</v>
      </c>
      <c r="D26" t="s">
        <v>323</v>
      </c>
      <c r="E26" t="s">
        <v>237</v>
      </c>
      <c r="F26" t="n">
        <v>315</v>
      </c>
      <c r="G26" t="n">
        <v>527</v>
      </c>
      <c r="H26" t="n">
        <v>606</v>
      </c>
      <c r="I26" t="n">
        <v>628</v>
      </c>
      <c r="J26" t="n">
        <v>638</v>
      </c>
      <c r="K26" t="n">
        <v>694</v>
      </c>
      <c r="L26" t="n">
        <v>687</v>
      </c>
      <c r="M26" t="n">
        <v>569</v>
      </c>
      <c r="N26" t="n">
        <v>616</v>
      </c>
      <c r="O26" t="n">
        <v>553</v>
      </c>
      <c r="P26" t="n">
        <v>600</v>
      </c>
      <c r="Q26" t="n">
        <v>364</v>
      </c>
      <c r="R26" t="n">
        <v>780</v>
      </c>
      <c r="S26" t="n">
        <v>799</v>
      </c>
      <c r="T26" t="n">
        <v>619</v>
      </c>
      <c r="U26" t="n">
        <v>548</v>
      </c>
      <c r="V26" t="n">
        <v>747</v>
      </c>
      <c r="W26" t="n">
        <v>958</v>
      </c>
      <c r="X26" t="n">
        <v>795</v>
      </c>
      <c r="Y26" t="n">
        <v>875</v>
      </c>
      <c r="Z26" t="n">
        <v>564</v>
      </c>
      <c r="AA26" t="n">
        <v>930</v>
      </c>
      <c r="AB26" t="n">
        <v>1050</v>
      </c>
      <c r="AC26" t="n">
        <v>1136</v>
      </c>
      <c r="AD26" t="n">
        <v>908</v>
      </c>
      <c r="AE26" t="n">
        <v>851</v>
      </c>
      <c r="AF26" t="n">
        <v>851</v>
      </c>
    </row>
    <row r="27">
      <c r="A27" t="s">
        <v>23</v>
      </c>
      <c r="B27" t="s">
        <v>324</v>
      </c>
      <c r="C27" t="s">
        <v>236</v>
      </c>
      <c r="D27" t="s">
        <v>325</v>
      </c>
      <c r="E27" t="s">
        <v>237</v>
      </c>
      <c r="F27" t="n">
        <v>314</v>
      </c>
      <c r="G27" t="n">
        <v>274</v>
      </c>
      <c r="H27" t="n">
        <v>359</v>
      </c>
      <c r="I27" t="n">
        <v>393</v>
      </c>
      <c r="J27" t="n">
        <v>451</v>
      </c>
      <c r="K27" t="n">
        <v>469</v>
      </c>
      <c r="L27" t="n">
        <v>438</v>
      </c>
      <c r="M27" t="n">
        <v>441</v>
      </c>
      <c r="N27" t="n">
        <v>581</v>
      </c>
      <c r="O27" t="n">
        <v>561</v>
      </c>
      <c r="P27" t="n">
        <v>463</v>
      </c>
      <c r="Q27" t="n">
        <v>389</v>
      </c>
      <c r="R27" t="n">
        <v>534</v>
      </c>
      <c r="S27" t="n">
        <v>545</v>
      </c>
      <c r="T27" t="n">
        <v>590</v>
      </c>
      <c r="U27" t="n">
        <v>551</v>
      </c>
      <c r="V27" t="n">
        <v>495</v>
      </c>
      <c r="W27" t="n">
        <v>709</v>
      </c>
      <c r="X27" t="n">
        <v>643</v>
      </c>
      <c r="Y27" t="n">
        <v>587</v>
      </c>
      <c r="Z27" t="n">
        <v>600</v>
      </c>
      <c r="AA27" t="n">
        <v>668</v>
      </c>
      <c r="AB27" t="n">
        <v>673</v>
      </c>
      <c r="AC27" t="n">
        <v>698</v>
      </c>
      <c r="AD27" t="n">
        <v>697</v>
      </c>
      <c r="AE27" t="n">
        <v>740</v>
      </c>
      <c r="AF27" t="n">
        <v>947</v>
      </c>
    </row>
    <row r="28">
      <c r="A28" t="s">
        <v>23</v>
      </c>
      <c r="B28" t="s">
        <v>326</v>
      </c>
      <c r="C28" t="s">
        <v>236</v>
      </c>
      <c r="D28" t="s">
        <v>327</v>
      </c>
      <c r="E28" t="s">
        <v>237</v>
      </c>
      <c r="F28" t="n">
        <v>985</v>
      </c>
      <c r="G28" t="n">
        <v>974</v>
      </c>
      <c r="H28" t="n">
        <v>1287</v>
      </c>
      <c r="I28" t="n">
        <v>1577</v>
      </c>
      <c r="J28" t="n">
        <v>1485</v>
      </c>
      <c r="K28" t="n">
        <v>1227</v>
      </c>
      <c r="L28" t="n">
        <v>1435</v>
      </c>
      <c r="M28" t="n">
        <v>1139</v>
      </c>
      <c r="N28" t="n">
        <v>1145</v>
      </c>
      <c r="O28" t="n">
        <v>1615</v>
      </c>
      <c r="P28" t="n">
        <v>1397</v>
      </c>
      <c r="Q28" t="n">
        <v>1593</v>
      </c>
      <c r="R28" t="n">
        <v>1689</v>
      </c>
      <c r="S28" t="n">
        <v>1501</v>
      </c>
      <c r="T28" t="n">
        <v>1699</v>
      </c>
      <c r="U28" t="n">
        <v>1275</v>
      </c>
      <c r="V28" t="n">
        <v>1516</v>
      </c>
      <c r="W28" t="n">
        <v>1437</v>
      </c>
      <c r="X28" t="n">
        <v>1467</v>
      </c>
      <c r="Y28" t="n">
        <v>1245</v>
      </c>
      <c r="Z28" t="n">
        <v>1427</v>
      </c>
      <c r="AA28" t="n">
        <v>2010</v>
      </c>
      <c r="AB28" t="n">
        <v>1907</v>
      </c>
      <c r="AC28" t="n">
        <v>2074</v>
      </c>
      <c r="AD28" t="n">
        <v>2317</v>
      </c>
      <c r="AE28" t="n">
        <v>1935</v>
      </c>
      <c r="AF28" t="n">
        <v>1714</v>
      </c>
    </row>
    <row r="29">
      <c r="A29" t="s">
        <v>23</v>
      </c>
      <c r="B29" t="s">
        <v>328</v>
      </c>
      <c r="C29" t="s">
        <v>236</v>
      </c>
      <c r="D29" t="s">
        <v>329</v>
      </c>
      <c r="E29" t="s">
        <v>237</v>
      </c>
      <c r="F29" t="n">
        <v>573</v>
      </c>
      <c r="G29" t="n">
        <v>573</v>
      </c>
      <c r="H29" t="n">
        <v>622</v>
      </c>
      <c r="I29" t="n">
        <v>707</v>
      </c>
      <c r="J29" t="n">
        <v>696</v>
      </c>
      <c r="K29" t="n">
        <v>646</v>
      </c>
      <c r="L29" t="n">
        <v>679</v>
      </c>
      <c r="M29" t="n">
        <v>647</v>
      </c>
      <c r="N29" t="n">
        <v>701</v>
      </c>
      <c r="O29" t="n">
        <v>757</v>
      </c>
      <c r="P29" t="n">
        <v>775</v>
      </c>
      <c r="Q29" t="n">
        <v>645</v>
      </c>
      <c r="R29" t="n">
        <v>591</v>
      </c>
      <c r="S29" t="n">
        <v>757</v>
      </c>
      <c r="T29" t="n">
        <v>662</v>
      </c>
      <c r="U29" t="n">
        <v>604</v>
      </c>
      <c r="V29" t="n">
        <v>739</v>
      </c>
      <c r="W29" t="n">
        <v>535</v>
      </c>
      <c r="X29" t="n">
        <v>563</v>
      </c>
      <c r="Y29" t="n">
        <v>629</v>
      </c>
      <c r="Z29" t="n">
        <v>701</v>
      </c>
      <c r="AA29" t="n">
        <v>854</v>
      </c>
      <c r="AB29" t="n">
        <v>843</v>
      </c>
      <c r="AC29" t="n">
        <v>878</v>
      </c>
      <c r="AD29" t="n">
        <v>983</v>
      </c>
      <c r="AE29" t="n">
        <v>929</v>
      </c>
      <c r="AF29" t="n">
        <v>982</v>
      </c>
    </row>
    <row r="30">
      <c r="A30" t="s">
        <v>23</v>
      </c>
      <c r="B30" t="s">
        <v>330</v>
      </c>
      <c r="C30" t="s">
        <v>236</v>
      </c>
      <c r="D30" t="s">
        <v>331</v>
      </c>
      <c r="E30" t="s">
        <v>237</v>
      </c>
      <c r="F30" t="n">
        <v>-3</v>
      </c>
      <c r="G30" t="n">
        <v>-10</v>
      </c>
      <c r="H30" t="n">
        <v>235</v>
      </c>
      <c r="I30" t="n">
        <v>206</v>
      </c>
      <c r="J30" t="n">
        <v>114</v>
      </c>
      <c r="K30" t="n">
        <v>29</v>
      </c>
      <c r="L30" t="n">
        <v>192</v>
      </c>
      <c r="M30" t="n">
        <v>90</v>
      </c>
      <c r="N30" t="n">
        <v>-38</v>
      </c>
      <c r="O30" t="n">
        <v>338</v>
      </c>
      <c r="P30" t="n">
        <v>113</v>
      </c>
      <c r="Q30" t="n">
        <v>239</v>
      </c>
      <c r="R30" t="n">
        <v>376</v>
      </c>
      <c r="S30" t="n">
        <v>17</v>
      </c>
      <c r="T30" t="n">
        <v>108</v>
      </c>
      <c r="U30" t="n">
        <v>60</v>
      </c>
      <c r="V30" t="n">
        <v>245</v>
      </c>
      <c r="W30" t="n">
        <v>357</v>
      </c>
      <c r="X30" t="n">
        <v>262</v>
      </c>
      <c r="Y30" t="n">
        <v>26</v>
      </c>
      <c r="Z30" t="n">
        <v>104</v>
      </c>
      <c r="AA30" t="n">
        <v>110</v>
      </c>
      <c r="AB30" t="n">
        <v>-49</v>
      </c>
      <c r="AC30" t="n">
        <v>191</v>
      </c>
      <c r="AD30" t="n">
        <v>154</v>
      </c>
      <c r="AE30" t="n">
        <v>107</v>
      </c>
      <c r="AF30" t="n">
        <v>40</v>
      </c>
    </row>
    <row r="31">
      <c r="A31" t="s">
        <v>23</v>
      </c>
      <c r="B31" t="s">
        <v>332</v>
      </c>
      <c r="C31" t="s">
        <v>236</v>
      </c>
      <c r="D31" t="s">
        <v>333</v>
      </c>
      <c r="E31" t="s">
        <v>237</v>
      </c>
      <c r="F31" t="n">
        <v>85</v>
      </c>
      <c r="G31" t="n">
        <v>115</v>
      </c>
      <c r="H31" t="n">
        <v>82</v>
      </c>
      <c r="I31" t="n">
        <v>145</v>
      </c>
      <c r="J31" t="n">
        <v>295</v>
      </c>
      <c r="K31" t="n">
        <v>167</v>
      </c>
      <c r="L31" t="n">
        <v>233</v>
      </c>
      <c r="M31" t="n">
        <v>75</v>
      </c>
      <c r="N31" t="n">
        <v>61</v>
      </c>
      <c r="O31" t="n">
        <v>139</v>
      </c>
      <c r="P31" t="n">
        <v>264</v>
      </c>
      <c r="Q31" t="n">
        <v>320</v>
      </c>
      <c r="R31" t="n">
        <v>293</v>
      </c>
      <c r="S31" t="n">
        <v>236</v>
      </c>
      <c r="T31" t="n">
        <v>410</v>
      </c>
      <c r="U31" t="n">
        <v>136</v>
      </c>
      <c r="V31" t="n">
        <v>99</v>
      </c>
      <c r="W31" t="n">
        <v>128</v>
      </c>
      <c r="X31" t="n">
        <v>289</v>
      </c>
      <c r="Y31" t="n">
        <v>114</v>
      </c>
      <c r="Z31" t="n">
        <v>177</v>
      </c>
      <c r="AA31" t="n">
        <v>383</v>
      </c>
      <c r="AB31" t="n">
        <v>395</v>
      </c>
      <c r="AC31" t="n">
        <v>270</v>
      </c>
      <c r="AD31" t="n">
        <v>430</v>
      </c>
      <c r="AE31" t="n">
        <v>162</v>
      </c>
      <c r="AF31" t="n">
        <v>-226</v>
      </c>
    </row>
    <row r="32">
      <c r="A32" t="s">
        <v>23</v>
      </c>
      <c r="B32" t="s">
        <v>334</v>
      </c>
      <c r="C32" t="s">
        <v>236</v>
      </c>
      <c r="D32" t="s">
        <v>335</v>
      </c>
      <c r="E32" t="s">
        <v>237</v>
      </c>
      <c r="F32" t="n">
        <v>272</v>
      </c>
      <c r="G32" t="n">
        <v>230</v>
      </c>
      <c r="H32" t="n">
        <v>259</v>
      </c>
      <c r="I32" t="n">
        <v>400</v>
      </c>
      <c r="J32" t="n">
        <v>269</v>
      </c>
      <c r="K32" t="n">
        <v>265</v>
      </c>
      <c r="L32" t="n">
        <v>238</v>
      </c>
      <c r="M32" t="n">
        <v>252</v>
      </c>
      <c r="N32" t="n">
        <v>348</v>
      </c>
      <c r="O32" t="n">
        <v>322</v>
      </c>
      <c r="P32" t="n">
        <v>202</v>
      </c>
      <c r="Q32" t="n">
        <v>315</v>
      </c>
      <c r="R32" t="n">
        <v>381</v>
      </c>
      <c r="S32" t="n">
        <v>400</v>
      </c>
      <c r="T32" t="n">
        <v>412</v>
      </c>
      <c r="U32" t="n">
        <v>389</v>
      </c>
      <c r="V32" t="n">
        <v>366</v>
      </c>
      <c r="W32" t="n">
        <v>319</v>
      </c>
      <c r="X32" t="n">
        <v>287</v>
      </c>
      <c r="Y32" t="n">
        <v>389</v>
      </c>
      <c r="Z32" t="n">
        <v>456</v>
      </c>
      <c r="AA32" t="n">
        <v>638</v>
      </c>
      <c r="AB32" t="n">
        <v>664</v>
      </c>
      <c r="AC32" t="n">
        <v>677</v>
      </c>
      <c r="AD32" t="n">
        <v>706</v>
      </c>
      <c r="AE32" t="n">
        <v>681</v>
      </c>
      <c r="AF32" t="n">
        <v>845</v>
      </c>
    </row>
    <row r="33">
      <c r="A33" t="s">
        <v>23</v>
      </c>
      <c r="B33" t="s">
        <v>336</v>
      </c>
      <c r="C33" t="s">
        <v>236</v>
      </c>
      <c r="D33" t="s">
        <v>337</v>
      </c>
      <c r="E33" t="s">
        <v>237</v>
      </c>
      <c r="F33" t="n">
        <v>58</v>
      </c>
      <c r="G33" t="n">
        <v>66</v>
      </c>
      <c r="H33" t="n">
        <v>89</v>
      </c>
      <c r="I33" t="n">
        <v>119</v>
      </c>
      <c r="J33" t="n">
        <v>111</v>
      </c>
      <c r="K33" t="n">
        <v>120</v>
      </c>
      <c r="L33" t="n">
        <v>93</v>
      </c>
      <c r="M33" t="n">
        <v>75</v>
      </c>
      <c r="N33" t="n">
        <v>73</v>
      </c>
      <c r="O33" t="n">
        <v>59</v>
      </c>
      <c r="P33" t="n">
        <v>43</v>
      </c>
      <c r="Q33" t="n">
        <v>74</v>
      </c>
      <c r="R33" t="n">
        <v>48</v>
      </c>
      <c r="S33" t="n">
        <v>91</v>
      </c>
      <c r="T33" t="n">
        <v>107</v>
      </c>
      <c r="U33" t="n">
        <v>86</v>
      </c>
      <c r="V33" t="n">
        <v>67</v>
      </c>
      <c r="W33" t="n">
        <v>98</v>
      </c>
      <c r="X33" t="n">
        <v>66</v>
      </c>
      <c r="Y33" t="n">
        <v>87</v>
      </c>
      <c r="Z33" t="n">
        <v>-11</v>
      </c>
      <c r="AA33" t="n">
        <v>25</v>
      </c>
      <c r="AB33" t="n">
        <v>54</v>
      </c>
      <c r="AC33" t="n">
        <v>58</v>
      </c>
      <c r="AD33" t="n">
        <v>44</v>
      </c>
      <c r="AE33" t="n">
        <v>56</v>
      </c>
      <c r="AF33" t="n">
        <v>73</v>
      </c>
    </row>
    <row r="34">
      <c r="A34" t="s">
        <v>23</v>
      </c>
      <c r="B34" t="s">
        <v>338</v>
      </c>
      <c r="C34" t="s">
        <v>236</v>
      </c>
      <c r="D34" t="s">
        <v>339</v>
      </c>
      <c r="E34" t="s">
        <v>237</v>
      </c>
      <c r="F34" t="n">
        <v>89</v>
      </c>
      <c r="G34" t="n">
        <v>107</v>
      </c>
      <c r="H34" t="n">
        <v>135</v>
      </c>
      <c r="I34" t="n">
        <v>156</v>
      </c>
      <c r="J34" t="n">
        <v>148</v>
      </c>
      <c r="K34" t="n">
        <v>140</v>
      </c>
      <c r="L34" t="n">
        <v>119</v>
      </c>
      <c r="M34" t="n">
        <v>149</v>
      </c>
      <c r="N34" t="n">
        <v>139</v>
      </c>
      <c r="O34" t="n">
        <v>149</v>
      </c>
      <c r="P34" t="n">
        <v>163</v>
      </c>
      <c r="Q34" t="n">
        <v>209</v>
      </c>
      <c r="R34" t="n">
        <v>206</v>
      </c>
      <c r="S34" t="n">
        <v>219</v>
      </c>
      <c r="T34" t="n">
        <v>202</v>
      </c>
      <c r="U34" t="n">
        <v>206</v>
      </c>
      <c r="V34" t="n">
        <v>192</v>
      </c>
      <c r="W34" t="n">
        <v>225</v>
      </c>
      <c r="X34" t="n">
        <v>168</v>
      </c>
      <c r="Y34" t="n">
        <v>184</v>
      </c>
      <c r="Z34" t="n">
        <v>199</v>
      </c>
      <c r="AA34" t="n">
        <v>257</v>
      </c>
      <c r="AB34" t="n">
        <v>263</v>
      </c>
      <c r="AC34" t="n">
        <v>318</v>
      </c>
      <c r="AD34" t="n">
        <v>312</v>
      </c>
      <c r="AE34" t="n">
        <v>319</v>
      </c>
      <c r="AF34" t="n">
        <v>324</v>
      </c>
    </row>
    <row r="35">
      <c r="A35" t="s">
        <v>23</v>
      </c>
      <c r="B35" t="s">
        <v>340</v>
      </c>
      <c r="C35" t="s">
        <v>236</v>
      </c>
      <c r="D35" t="s">
        <v>341</v>
      </c>
      <c r="E35" t="s">
        <v>237</v>
      </c>
      <c r="F35" t="n">
        <v>1032</v>
      </c>
      <c r="G35" t="n">
        <v>1125</v>
      </c>
      <c r="H35" t="n">
        <v>1255</v>
      </c>
      <c r="I35" t="n">
        <v>1342</v>
      </c>
      <c r="J35" t="n">
        <v>1542</v>
      </c>
      <c r="K35" t="n">
        <v>1720</v>
      </c>
      <c r="L35" t="n">
        <v>1779</v>
      </c>
      <c r="M35" t="n">
        <v>1696</v>
      </c>
      <c r="N35" t="n">
        <v>1487</v>
      </c>
      <c r="O35" t="n">
        <v>1289</v>
      </c>
      <c r="P35" t="n">
        <v>1442</v>
      </c>
      <c r="Q35" t="n">
        <v>1381</v>
      </c>
      <c r="R35" t="n">
        <v>1632</v>
      </c>
      <c r="S35" t="n">
        <v>1608</v>
      </c>
      <c r="T35" t="n">
        <v>1466</v>
      </c>
      <c r="U35" t="n">
        <v>1697</v>
      </c>
      <c r="V35" t="n">
        <v>1734</v>
      </c>
      <c r="W35" t="n">
        <v>1839</v>
      </c>
      <c r="X35" t="n">
        <v>2015</v>
      </c>
      <c r="Y35" t="n">
        <v>2254</v>
      </c>
      <c r="Z35" t="n">
        <v>2301</v>
      </c>
      <c r="AA35" t="n">
        <v>2266</v>
      </c>
      <c r="AB35" t="n">
        <v>2402</v>
      </c>
      <c r="AC35" t="n">
        <v>2960</v>
      </c>
      <c r="AD35" t="n">
        <v>2441</v>
      </c>
      <c r="AE35" t="n">
        <v>2812</v>
      </c>
      <c r="AF35" t="n">
        <v>2988</v>
      </c>
    </row>
    <row r="36">
      <c r="A36" t="s">
        <v>23</v>
      </c>
      <c r="B36" t="s">
        <v>342</v>
      </c>
      <c r="C36" t="s">
        <v>236</v>
      </c>
      <c r="D36" t="s">
        <v>343</v>
      </c>
      <c r="E36" t="s">
        <v>237</v>
      </c>
      <c r="F36" t="n">
        <v>277</v>
      </c>
      <c r="G36" t="n">
        <v>298</v>
      </c>
      <c r="H36" t="n">
        <v>372</v>
      </c>
      <c r="I36" t="n">
        <v>365</v>
      </c>
      <c r="J36" t="n">
        <v>301</v>
      </c>
      <c r="K36" t="n">
        <v>342</v>
      </c>
      <c r="L36" t="n">
        <v>374</v>
      </c>
      <c r="M36" t="n">
        <v>318</v>
      </c>
      <c r="N36" t="n">
        <v>320</v>
      </c>
      <c r="O36" t="n">
        <v>326</v>
      </c>
      <c r="P36" t="n">
        <v>359</v>
      </c>
      <c r="Q36" t="n">
        <v>358</v>
      </c>
      <c r="R36" t="n">
        <v>402</v>
      </c>
      <c r="S36" t="n">
        <v>366</v>
      </c>
      <c r="T36" t="n">
        <v>416</v>
      </c>
      <c r="U36" t="n">
        <v>534</v>
      </c>
      <c r="V36" t="n">
        <v>545</v>
      </c>
      <c r="W36" t="n">
        <v>578</v>
      </c>
      <c r="X36" t="n">
        <v>570</v>
      </c>
      <c r="Y36" t="n">
        <v>433</v>
      </c>
      <c r="Z36" t="n">
        <v>578</v>
      </c>
      <c r="AA36" t="n">
        <v>637</v>
      </c>
      <c r="AB36" t="n">
        <v>730</v>
      </c>
      <c r="AC36" t="n">
        <v>749</v>
      </c>
      <c r="AD36" t="n">
        <v>745</v>
      </c>
      <c r="AE36" t="n">
        <v>724</v>
      </c>
      <c r="AF36" t="n">
        <v>898</v>
      </c>
    </row>
    <row r="37">
      <c r="A37" t="s">
        <v>23</v>
      </c>
      <c r="B37" t="s">
        <v>344</v>
      </c>
      <c r="C37" t="s">
        <v>236</v>
      </c>
      <c r="D37" t="s">
        <v>345</v>
      </c>
      <c r="E37" t="s">
        <v>237</v>
      </c>
      <c r="F37" t="n">
        <v>603</v>
      </c>
      <c r="G37" t="n">
        <v>668</v>
      </c>
      <c r="H37" t="n">
        <v>703</v>
      </c>
      <c r="I37" t="n">
        <v>740</v>
      </c>
      <c r="J37" t="n">
        <v>928</v>
      </c>
      <c r="K37" t="n">
        <v>1013</v>
      </c>
      <c r="L37" t="n">
        <v>989</v>
      </c>
      <c r="M37" t="n">
        <v>920</v>
      </c>
      <c r="N37" t="n">
        <v>697</v>
      </c>
      <c r="O37" t="n">
        <v>593</v>
      </c>
      <c r="P37" t="n">
        <v>554</v>
      </c>
      <c r="Q37" t="n">
        <v>507</v>
      </c>
      <c r="R37" t="n">
        <v>533</v>
      </c>
      <c r="S37" t="n">
        <v>593</v>
      </c>
      <c r="T37" t="n">
        <v>549</v>
      </c>
      <c r="U37" t="n">
        <v>609</v>
      </c>
      <c r="V37" t="n">
        <v>597</v>
      </c>
      <c r="W37" t="n">
        <v>562</v>
      </c>
      <c r="X37" t="n">
        <v>609</v>
      </c>
      <c r="Y37" t="n">
        <v>571</v>
      </c>
      <c r="Z37" t="n">
        <v>611</v>
      </c>
      <c r="AA37" t="n">
        <v>699</v>
      </c>
      <c r="AB37" t="n">
        <v>689</v>
      </c>
      <c r="AC37" t="n">
        <v>720</v>
      </c>
      <c r="AD37" t="n">
        <v>605</v>
      </c>
      <c r="AE37" t="n">
        <v>773</v>
      </c>
      <c r="AF37" t="n">
        <v>932</v>
      </c>
    </row>
    <row r="38">
      <c r="A38" t="s">
        <v>23</v>
      </c>
      <c r="B38" t="s">
        <v>346</v>
      </c>
      <c r="C38" t="s">
        <v>236</v>
      </c>
      <c r="D38" t="s">
        <v>347</v>
      </c>
      <c r="E38" t="s">
        <v>237</v>
      </c>
      <c r="F38" t="n">
        <v>152</v>
      </c>
      <c r="G38" t="n">
        <v>159</v>
      </c>
      <c r="H38" t="n">
        <v>180</v>
      </c>
      <c r="I38" t="n">
        <v>237</v>
      </c>
      <c r="J38" t="n">
        <v>313</v>
      </c>
      <c r="K38" t="n">
        <v>365</v>
      </c>
      <c r="L38" t="n">
        <v>416</v>
      </c>
      <c r="M38" t="n">
        <v>458</v>
      </c>
      <c r="N38" t="n">
        <v>470</v>
      </c>
      <c r="O38" t="n">
        <v>370</v>
      </c>
      <c r="P38" t="n">
        <v>529</v>
      </c>
      <c r="Q38" t="n">
        <v>516</v>
      </c>
      <c r="R38" t="n">
        <v>697</v>
      </c>
      <c r="S38" t="n">
        <v>649</v>
      </c>
      <c r="T38" t="n">
        <v>501</v>
      </c>
      <c r="U38" t="n">
        <v>554</v>
      </c>
      <c r="V38" t="n">
        <v>592</v>
      </c>
      <c r="W38" t="n">
        <v>699</v>
      </c>
      <c r="X38" t="n">
        <v>836</v>
      </c>
      <c r="Y38" t="n">
        <v>1250</v>
      </c>
      <c r="Z38" t="n">
        <v>1112</v>
      </c>
      <c r="AA38" t="n">
        <v>930</v>
      </c>
      <c r="AB38" t="n">
        <v>983</v>
      </c>
      <c r="AC38" t="n">
        <v>1491</v>
      </c>
      <c r="AD38" t="n">
        <v>1091</v>
      </c>
      <c r="AE38" t="n">
        <v>1315</v>
      </c>
      <c r="AF38" t="n">
        <v>1158</v>
      </c>
    </row>
    <row r="39">
      <c r="A39" t="s">
        <v>23</v>
      </c>
      <c r="B39" t="s">
        <v>348</v>
      </c>
      <c r="C39" t="s">
        <v>236</v>
      </c>
      <c r="D39" t="s">
        <v>349</v>
      </c>
      <c r="E39" t="s">
        <v>237</v>
      </c>
      <c r="F39" t="n">
        <v>20</v>
      </c>
      <c r="G39" t="n">
        <v>72</v>
      </c>
      <c r="H39" t="n">
        <v>-26</v>
      </c>
      <c r="I39" t="n">
        <v>158</v>
      </c>
      <c r="J39" t="n">
        <v>185</v>
      </c>
      <c r="K39" t="n">
        <v>291</v>
      </c>
      <c r="L39" t="n">
        <v>283</v>
      </c>
      <c r="M39" t="n">
        <v>333</v>
      </c>
      <c r="N39" t="n">
        <v>263</v>
      </c>
      <c r="O39" t="n">
        <v>230</v>
      </c>
      <c r="P39" t="n">
        <v>344</v>
      </c>
      <c r="Q39" t="n">
        <v>393</v>
      </c>
      <c r="R39" t="n">
        <v>596</v>
      </c>
      <c r="S39" t="n">
        <v>660</v>
      </c>
      <c r="T39" t="n">
        <v>617</v>
      </c>
      <c r="U39" t="n">
        <v>443</v>
      </c>
      <c r="V39" t="n">
        <v>476</v>
      </c>
      <c r="W39" t="n">
        <v>438</v>
      </c>
      <c r="X39" t="n">
        <v>426</v>
      </c>
      <c r="Y39" t="n">
        <v>532</v>
      </c>
      <c r="Z39" t="n">
        <v>523</v>
      </c>
      <c r="AA39" t="n">
        <v>626</v>
      </c>
      <c r="AB39" t="n">
        <v>690</v>
      </c>
      <c r="AC39" t="n">
        <v>580</v>
      </c>
      <c r="AD39" t="n">
        <v>712</v>
      </c>
      <c r="AE39" t="n">
        <v>533</v>
      </c>
      <c r="AF39" t="n">
        <v>490</v>
      </c>
    </row>
    <row r="40">
      <c r="A40" t="s">
        <v>23</v>
      </c>
      <c r="B40" t="s">
        <v>350</v>
      </c>
      <c r="C40" t="s">
        <v>236</v>
      </c>
      <c r="D40" t="s">
        <v>351</v>
      </c>
      <c r="E40" t="s">
        <v>237</v>
      </c>
      <c r="F40" t="n">
        <v>4917</v>
      </c>
      <c r="G40" t="n">
        <v>5491</v>
      </c>
      <c r="H40" t="n">
        <v>6166</v>
      </c>
      <c r="I40" t="n">
        <v>7745</v>
      </c>
      <c r="J40" t="n">
        <v>8970</v>
      </c>
      <c r="K40" t="n">
        <v>10912</v>
      </c>
      <c r="L40" t="n">
        <v>11243</v>
      </c>
      <c r="M40" t="n">
        <v>10576</v>
      </c>
      <c r="N40" t="n">
        <v>11064</v>
      </c>
      <c r="O40" t="n">
        <v>12634</v>
      </c>
      <c r="P40" t="n">
        <v>14475</v>
      </c>
      <c r="Q40" t="n">
        <v>15503</v>
      </c>
      <c r="R40" t="n">
        <v>18079</v>
      </c>
      <c r="S40" t="n">
        <v>18381</v>
      </c>
      <c r="T40" t="n">
        <v>14606</v>
      </c>
      <c r="U40" t="n">
        <v>15932</v>
      </c>
      <c r="V40" t="n">
        <v>17703</v>
      </c>
      <c r="W40" t="n">
        <v>18467</v>
      </c>
      <c r="X40" t="n">
        <v>17602</v>
      </c>
      <c r="Y40" t="n">
        <v>16283</v>
      </c>
      <c r="Z40" t="n">
        <v>17251</v>
      </c>
      <c r="AA40" t="n">
        <v>19003</v>
      </c>
      <c r="AB40" t="n">
        <v>20261</v>
      </c>
      <c r="AC40" t="n">
        <v>22656</v>
      </c>
      <c r="AD40" t="n">
        <v>23566</v>
      </c>
      <c r="AE40" t="n">
        <v>22767</v>
      </c>
      <c r="AF40" t="n">
        <v>22829</v>
      </c>
    </row>
    <row r="41">
      <c r="A41" t="s">
        <v>23</v>
      </c>
      <c r="B41" t="s">
        <v>352</v>
      </c>
      <c r="C41" t="s">
        <v>236</v>
      </c>
      <c r="D41" t="s">
        <v>353</v>
      </c>
      <c r="E41" t="s">
        <v>237</v>
      </c>
      <c r="F41" t="n">
        <v>3181</v>
      </c>
      <c r="G41" t="n">
        <v>3210</v>
      </c>
      <c r="H41" t="n">
        <v>3774</v>
      </c>
      <c r="I41" t="n">
        <v>4650</v>
      </c>
      <c r="J41" t="n">
        <v>5461</v>
      </c>
      <c r="K41" t="n">
        <v>6112</v>
      </c>
      <c r="L41" t="n">
        <v>5669</v>
      </c>
      <c r="M41" t="n">
        <v>5646</v>
      </c>
      <c r="N41" t="n">
        <v>6452</v>
      </c>
      <c r="O41" t="n">
        <v>7476</v>
      </c>
      <c r="P41" t="n">
        <v>8391</v>
      </c>
      <c r="Q41" t="n">
        <v>9187</v>
      </c>
      <c r="R41" t="n">
        <v>9875</v>
      </c>
      <c r="S41" t="n">
        <v>9341</v>
      </c>
      <c r="T41" t="n">
        <v>8006</v>
      </c>
      <c r="U41" t="n">
        <v>9736</v>
      </c>
      <c r="V41" t="n">
        <v>10691</v>
      </c>
      <c r="W41" t="n">
        <v>10967</v>
      </c>
      <c r="X41" t="n">
        <v>10595</v>
      </c>
      <c r="Y41" t="n">
        <v>10066</v>
      </c>
      <c r="Z41" t="n">
        <v>10102</v>
      </c>
      <c r="AA41" t="n">
        <v>11364</v>
      </c>
      <c r="AB41" t="n">
        <v>11846</v>
      </c>
      <c r="AC41" t="n">
        <v>12889</v>
      </c>
      <c r="AD41" t="n">
        <v>13187</v>
      </c>
      <c r="AE41" t="n">
        <v>12817</v>
      </c>
      <c r="AF41" t="n">
        <v>13250</v>
      </c>
    </row>
    <row r="42">
      <c r="A42" t="s">
        <v>23</v>
      </c>
      <c r="B42" t="s">
        <v>354</v>
      </c>
      <c r="C42" t="s">
        <v>236</v>
      </c>
      <c r="D42" t="s">
        <v>355</v>
      </c>
      <c r="E42" t="s">
        <v>237</v>
      </c>
      <c r="F42" t="n">
        <v>609</v>
      </c>
      <c r="G42" t="n">
        <v>658</v>
      </c>
      <c r="H42" t="n">
        <v>743</v>
      </c>
      <c r="I42" t="n">
        <v>796</v>
      </c>
      <c r="J42" t="n">
        <v>872</v>
      </c>
      <c r="K42" t="n">
        <v>935</v>
      </c>
      <c r="L42" t="n">
        <v>946</v>
      </c>
      <c r="M42" t="n">
        <v>1087</v>
      </c>
      <c r="N42" t="n">
        <v>1007</v>
      </c>
      <c r="O42" t="n">
        <v>1067</v>
      </c>
      <c r="P42" t="n">
        <v>1102</v>
      </c>
      <c r="Q42" t="n">
        <v>1124</v>
      </c>
      <c r="R42" t="n">
        <v>1264</v>
      </c>
      <c r="S42" t="n">
        <v>1269</v>
      </c>
      <c r="T42" t="n">
        <v>1123</v>
      </c>
      <c r="U42" t="n">
        <v>1291</v>
      </c>
      <c r="V42" t="n">
        <v>1395</v>
      </c>
      <c r="W42" t="n">
        <v>1308</v>
      </c>
      <c r="X42" t="n">
        <v>1226</v>
      </c>
      <c r="Y42" t="n">
        <v>1225</v>
      </c>
      <c r="Z42" t="n">
        <v>1251</v>
      </c>
      <c r="AA42" t="n">
        <v>1188</v>
      </c>
      <c r="AB42" t="n">
        <v>1194</v>
      </c>
      <c r="AC42" t="n">
        <v>1356</v>
      </c>
      <c r="AD42" t="n">
        <v>1600</v>
      </c>
      <c r="AE42" t="n">
        <v>1506</v>
      </c>
      <c r="AF42" t="n">
        <v>1804</v>
      </c>
    </row>
    <row r="43">
      <c r="A43" t="s">
        <v>23</v>
      </c>
      <c r="B43" t="s">
        <v>356</v>
      </c>
      <c r="C43" t="s">
        <v>236</v>
      </c>
      <c r="D43" t="s">
        <v>357</v>
      </c>
      <c r="E43" t="s">
        <v>237</v>
      </c>
      <c r="F43" t="n">
        <v>790</v>
      </c>
      <c r="G43" t="n">
        <v>935</v>
      </c>
      <c r="H43" t="n">
        <v>965</v>
      </c>
      <c r="I43" t="n">
        <v>1082</v>
      </c>
      <c r="J43" t="n">
        <v>1163</v>
      </c>
      <c r="K43" t="n">
        <v>1316</v>
      </c>
      <c r="L43" t="n">
        <v>1286</v>
      </c>
      <c r="M43" t="n">
        <v>1511</v>
      </c>
      <c r="N43" t="n">
        <v>1497</v>
      </c>
      <c r="O43" t="n">
        <v>1531</v>
      </c>
      <c r="P43" t="n">
        <v>1581</v>
      </c>
      <c r="Q43" t="n">
        <v>1733</v>
      </c>
      <c r="R43" t="n">
        <v>1870</v>
      </c>
      <c r="S43" t="n">
        <v>1997</v>
      </c>
      <c r="T43" t="n">
        <v>1637</v>
      </c>
      <c r="U43" t="n">
        <v>1832</v>
      </c>
      <c r="V43" t="n">
        <v>1995</v>
      </c>
      <c r="W43" t="n">
        <v>1926</v>
      </c>
      <c r="X43" t="n">
        <v>1812</v>
      </c>
      <c r="Y43" t="n">
        <v>1846</v>
      </c>
      <c r="Z43" t="n">
        <v>1821</v>
      </c>
      <c r="AA43" t="n">
        <v>1865</v>
      </c>
      <c r="AB43" t="n">
        <v>1953</v>
      </c>
      <c r="AC43" t="n">
        <v>2178</v>
      </c>
      <c r="AD43" t="n">
        <v>2459</v>
      </c>
      <c r="AE43" t="n">
        <v>2292</v>
      </c>
      <c r="AF43" t="n">
        <v>3054</v>
      </c>
    </row>
    <row r="44">
      <c r="A44" t="s">
        <v>23</v>
      </c>
      <c r="B44" t="s">
        <v>358</v>
      </c>
      <c r="C44" t="s">
        <v>236</v>
      </c>
      <c r="D44" t="s">
        <v>359</v>
      </c>
      <c r="E44" t="s">
        <v>237</v>
      </c>
      <c r="F44" t="n">
        <v>10815</v>
      </c>
      <c r="G44" t="n">
        <v>11861</v>
      </c>
      <c r="H44" t="n">
        <v>13363</v>
      </c>
      <c r="I44" t="n">
        <v>14721</v>
      </c>
      <c r="J44" t="n">
        <v>15129</v>
      </c>
      <c r="K44" t="n">
        <v>16173</v>
      </c>
      <c r="L44" t="n">
        <v>17360</v>
      </c>
      <c r="M44" t="n">
        <v>16544</v>
      </c>
      <c r="N44" t="n">
        <v>16745</v>
      </c>
      <c r="O44" t="n">
        <v>17200</v>
      </c>
      <c r="P44" t="n">
        <v>17682</v>
      </c>
      <c r="Q44" t="n">
        <v>18384</v>
      </c>
      <c r="R44" t="n">
        <v>21489</v>
      </c>
      <c r="S44" t="n">
        <v>22785</v>
      </c>
      <c r="T44" t="n">
        <v>20694</v>
      </c>
      <c r="U44" t="n">
        <v>20452</v>
      </c>
      <c r="V44" t="n">
        <v>20954</v>
      </c>
      <c r="W44" t="n">
        <v>21046</v>
      </c>
      <c r="X44" t="n">
        <v>20486</v>
      </c>
      <c r="Y44" t="n">
        <v>20764</v>
      </c>
      <c r="Z44" t="n">
        <v>20732</v>
      </c>
      <c r="AA44" t="n">
        <v>23035</v>
      </c>
      <c r="AB44" t="n">
        <v>24836</v>
      </c>
      <c r="AC44" t="n">
        <v>25789</v>
      </c>
      <c r="AD44" t="n">
        <v>25525</v>
      </c>
      <c r="AE44" t="n">
        <v>25480</v>
      </c>
      <c r="AF44" t="n">
        <v>28540</v>
      </c>
    </row>
    <row r="45">
      <c r="A45" t="s">
        <v>23</v>
      </c>
      <c r="B45" t="s">
        <v>360</v>
      </c>
      <c r="C45" t="s">
        <v>236</v>
      </c>
      <c r="D45" t="s">
        <v>361</v>
      </c>
      <c r="E45" t="s">
        <v>237</v>
      </c>
      <c r="F45" t="n">
        <v>9848</v>
      </c>
      <c r="G45" t="n">
        <v>10929</v>
      </c>
      <c r="H45" t="n">
        <v>12170</v>
      </c>
      <c r="I45" t="n">
        <v>13456</v>
      </c>
      <c r="J45" t="n">
        <v>13798</v>
      </c>
      <c r="K45" t="n">
        <v>14861</v>
      </c>
      <c r="L45" t="n">
        <v>15965</v>
      </c>
      <c r="M45" t="n">
        <v>15081</v>
      </c>
      <c r="N45" t="n">
        <v>15304</v>
      </c>
      <c r="O45" t="n">
        <v>15826</v>
      </c>
      <c r="P45" t="n">
        <v>16229</v>
      </c>
      <c r="Q45" t="n">
        <v>16887</v>
      </c>
      <c r="R45" t="n">
        <v>19769</v>
      </c>
      <c r="S45" t="n">
        <v>21105</v>
      </c>
      <c r="T45" t="n">
        <v>19048</v>
      </c>
      <c r="U45" t="n">
        <v>18918</v>
      </c>
      <c r="V45" t="n">
        <v>19333</v>
      </c>
      <c r="W45" t="n">
        <v>19195</v>
      </c>
      <c r="X45" t="n">
        <v>18444</v>
      </c>
      <c r="Y45" t="n">
        <v>18959</v>
      </c>
      <c r="Z45" t="n">
        <v>19381</v>
      </c>
      <c r="AA45" t="n">
        <v>21556</v>
      </c>
      <c r="AB45" t="n">
        <v>23245</v>
      </c>
      <c r="AC45" t="n">
        <v>24216</v>
      </c>
      <c r="AD45" t="n">
        <v>23904</v>
      </c>
      <c r="AE45" t="n">
        <v>23847</v>
      </c>
      <c r="AF45" t="n">
        <v>26972</v>
      </c>
    </row>
    <row r="46">
      <c r="A46" t="s">
        <v>23</v>
      </c>
      <c r="B46" t="s">
        <v>362</v>
      </c>
      <c r="C46" t="s">
        <v>236</v>
      </c>
      <c r="D46" t="s">
        <v>363</v>
      </c>
      <c r="E46" t="s">
        <v>237</v>
      </c>
      <c r="F46" t="n">
        <v>181</v>
      </c>
      <c r="G46" t="n">
        <v>277</v>
      </c>
      <c r="H46" t="n">
        <v>222</v>
      </c>
      <c r="I46" t="n">
        <v>286</v>
      </c>
      <c r="J46" t="n">
        <v>291</v>
      </c>
      <c r="K46" t="n">
        <v>381</v>
      </c>
      <c r="L46" t="n">
        <v>340</v>
      </c>
      <c r="M46" t="n">
        <v>424</v>
      </c>
      <c r="N46" t="n">
        <v>490</v>
      </c>
      <c r="O46" t="n">
        <v>464</v>
      </c>
      <c r="P46" t="n">
        <v>479</v>
      </c>
      <c r="Q46" t="n">
        <v>609</v>
      </c>
      <c r="R46" t="n">
        <v>606</v>
      </c>
      <c r="S46" t="n">
        <v>728</v>
      </c>
      <c r="T46" t="n">
        <v>514</v>
      </c>
      <c r="U46" t="n">
        <v>541</v>
      </c>
      <c r="V46" t="n">
        <v>600</v>
      </c>
      <c r="W46" t="n">
        <v>618</v>
      </c>
      <c r="X46" t="n">
        <v>586</v>
      </c>
      <c r="Y46" t="n">
        <v>621</v>
      </c>
      <c r="Z46" t="n">
        <v>570</v>
      </c>
      <c r="AA46" t="n">
        <v>677</v>
      </c>
      <c r="AB46" t="n">
        <v>759</v>
      </c>
      <c r="AC46" t="n">
        <v>822</v>
      </c>
      <c r="AD46" t="n">
        <v>859</v>
      </c>
      <c r="AE46" t="n">
        <v>786</v>
      </c>
      <c r="AF46" t="n">
        <v>1250</v>
      </c>
    </row>
    <row r="47">
      <c r="A47" t="s">
        <v>23</v>
      </c>
      <c r="B47" t="s">
        <v>364</v>
      </c>
      <c r="C47" t="s">
        <v>236</v>
      </c>
      <c r="D47" t="s">
        <v>365</v>
      </c>
      <c r="E47" t="s">
        <v>237</v>
      </c>
      <c r="F47" t="n">
        <v>1898</v>
      </c>
      <c r="G47" t="n">
        <v>1973</v>
      </c>
      <c r="H47" t="n">
        <v>2277</v>
      </c>
      <c r="I47" t="n">
        <v>2535</v>
      </c>
      <c r="J47" t="n">
        <v>2539</v>
      </c>
      <c r="K47" t="n">
        <v>2473</v>
      </c>
      <c r="L47" t="n">
        <v>2286</v>
      </c>
      <c r="M47" t="n">
        <v>2483</v>
      </c>
      <c r="N47" t="n">
        <v>2681</v>
      </c>
      <c r="O47" t="n">
        <v>2892</v>
      </c>
      <c r="P47" t="n">
        <v>3055</v>
      </c>
      <c r="Q47" t="n">
        <v>2729</v>
      </c>
      <c r="R47" t="n">
        <v>2697</v>
      </c>
      <c r="S47" t="n">
        <v>3259</v>
      </c>
      <c r="T47" t="n">
        <v>3175</v>
      </c>
      <c r="U47" t="n">
        <v>3216</v>
      </c>
      <c r="V47" t="n">
        <v>3130</v>
      </c>
      <c r="W47" t="n">
        <v>3622</v>
      </c>
      <c r="X47" t="n">
        <v>3688</v>
      </c>
      <c r="Y47" t="n">
        <v>3933</v>
      </c>
      <c r="Z47" t="n">
        <v>3388</v>
      </c>
      <c r="AA47" t="n">
        <v>3595</v>
      </c>
      <c r="AB47" t="n">
        <v>3792</v>
      </c>
      <c r="AC47" t="n">
        <v>4126</v>
      </c>
      <c r="AD47" t="n">
        <v>4185</v>
      </c>
      <c r="AE47" t="n">
        <v>4820</v>
      </c>
      <c r="AF47" t="n">
        <v>4121</v>
      </c>
    </row>
    <row r="48">
      <c r="A48" t="s">
        <v>23</v>
      </c>
      <c r="B48" t="s">
        <v>366</v>
      </c>
      <c r="C48" t="s">
        <v>236</v>
      </c>
      <c r="D48" t="s">
        <v>367</v>
      </c>
      <c r="E48" t="s">
        <v>237</v>
      </c>
      <c r="F48" t="n">
        <v>3267</v>
      </c>
      <c r="G48" t="n">
        <v>3578</v>
      </c>
      <c r="H48" t="n">
        <v>4141</v>
      </c>
      <c r="I48" t="n">
        <v>4291</v>
      </c>
      <c r="J48" t="n">
        <v>4386</v>
      </c>
      <c r="K48" t="n">
        <v>4375</v>
      </c>
      <c r="L48" t="n">
        <v>4481</v>
      </c>
      <c r="M48" t="n">
        <v>4956</v>
      </c>
      <c r="N48" t="n">
        <v>5247</v>
      </c>
      <c r="O48" t="n">
        <v>5502</v>
      </c>
      <c r="P48" t="n">
        <v>5586</v>
      </c>
      <c r="Q48" t="n">
        <v>5471</v>
      </c>
      <c r="R48" t="n">
        <v>5695</v>
      </c>
      <c r="S48" t="n">
        <v>6417</v>
      </c>
      <c r="T48" t="n">
        <v>6420</v>
      </c>
      <c r="U48" t="n">
        <v>6553</v>
      </c>
      <c r="V48" t="n">
        <v>6623</v>
      </c>
      <c r="W48" t="n">
        <v>7205</v>
      </c>
      <c r="X48" t="n">
        <v>7356</v>
      </c>
      <c r="Y48" t="n">
        <v>7658</v>
      </c>
      <c r="Z48" t="n">
        <v>7040</v>
      </c>
      <c r="AA48" t="n">
        <v>7690</v>
      </c>
      <c r="AB48" t="n">
        <v>8134</v>
      </c>
      <c r="AC48" t="n">
        <v>8588</v>
      </c>
      <c r="AD48" t="n">
        <v>9157</v>
      </c>
      <c r="AE48" t="n">
        <v>10037</v>
      </c>
      <c r="AF48" t="n">
        <v>9353</v>
      </c>
    </row>
    <row r="49">
      <c r="A49" t="s">
        <v>23</v>
      </c>
      <c r="B49" t="s">
        <v>368</v>
      </c>
      <c r="C49" t="s">
        <v>236</v>
      </c>
      <c r="D49" t="s">
        <v>369</v>
      </c>
      <c r="E49" t="s">
        <v>237</v>
      </c>
      <c r="F49" t="n">
        <v>954</v>
      </c>
      <c r="G49" t="n">
        <v>1122</v>
      </c>
      <c r="H49" t="n">
        <v>1354</v>
      </c>
      <c r="I49" t="n">
        <v>1267</v>
      </c>
      <c r="J49" t="n">
        <v>1318</v>
      </c>
      <c r="K49" t="n">
        <v>1297</v>
      </c>
      <c r="L49" t="n">
        <v>1499</v>
      </c>
      <c r="M49" t="n">
        <v>1694</v>
      </c>
      <c r="N49" t="n">
        <v>1782</v>
      </c>
      <c r="O49" t="n">
        <v>1828</v>
      </c>
      <c r="P49" t="n">
        <v>1720</v>
      </c>
      <c r="Q49" t="n">
        <v>1779</v>
      </c>
      <c r="R49" t="n">
        <v>1916</v>
      </c>
      <c r="S49" t="n">
        <v>2001</v>
      </c>
      <c r="T49" t="n">
        <v>2023</v>
      </c>
      <c r="U49" t="n">
        <v>2214</v>
      </c>
      <c r="V49" t="n">
        <v>2330</v>
      </c>
      <c r="W49" t="n">
        <v>2204</v>
      </c>
      <c r="X49" t="n">
        <v>2218</v>
      </c>
      <c r="Y49" t="n">
        <v>2307</v>
      </c>
      <c r="Z49" t="n">
        <v>2405</v>
      </c>
      <c r="AA49" t="n">
        <v>2578</v>
      </c>
      <c r="AB49" t="n">
        <v>2620</v>
      </c>
      <c r="AC49" t="n">
        <v>2706</v>
      </c>
      <c r="AD49" t="n">
        <v>3066</v>
      </c>
      <c r="AE49" t="n">
        <v>3226</v>
      </c>
      <c r="AF49" t="n">
        <v>3210</v>
      </c>
    </row>
    <row r="50">
      <c r="A50" t="s">
        <v>23</v>
      </c>
      <c r="B50" t="s">
        <v>370</v>
      </c>
      <c r="C50" t="s">
        <v>236</v>
      </c>
      <c r="D50" t="s">
        <v>371</v>
      </c>
      <c r="E50" t="s">
        <v>237</v>
      </c>
      <c r="F50" t="n">
        <v>415</v>
      </c>
      <c r="G50" t="n">
        <v>483</v>
      </c>
      <c r="H50" t="n">
        <v>510</v>
      </c>
      <c r="I50" t="n">
        <v>489</v>
      </c>
      <c r="J50" t="n">
        <v>529</v>
      </c>
      <c r="K50" t="n">
        <v>605</v>
      </c>
      <c r="L50" t="n">
        <v>696</v>
      </c>
      <c r="M50" t="n">
        <v>779</v>
      </c>
      <c r="N50" t="n">
        <v>784</v>
      </c>
      <c r="O50" t="n">
        <v>782</v>
      </c>
      <c r="P50" t="n">
        <v>811</v>
      </c>
      <c r="Q50" t="n">
        <v>963</v>
      </c>
      <c r="R50" t="n">
        <v>1082</v>
      </c>
      <c r="S50" t="n">
        <v>1157</v>
      </c>
      <c r="T50" t="n">
        <v>1222</v>
      </c>
      <c r="U50" t="n">
        <v>1123</v>
      </c>
      <c r="V50" t="n">
        <v>1163</v>
      </c>
      <c r="W50" t="n">
        <v>1379</v>
      </c>
      <c r="X50" t="n">
        <v>1450</v>
      </c>
      <c r="Y50" t="n">
        <v>1418</v>
      </c>
      <c r="Z50" t="n">
        <v>1247</v>
      </c>
      <c r="AA50" t="n">
        <v>1517</v>
      </c>
      <c r="AB50" t="n">
        <v>1722</v>
      </c>
      <c r="AC50" t="n">
        <v>1756</v>
      </c>
      <c r="AD50" t="n">
        <v>1906</v>
      </c>
      <c r="AE50" t="n">
        <v>1991</v>
      </c>
      <c r="AF50" t="n">
        <v>2022</v>
      </c>
    </row>
    <row r="51">
      <c r="A51" t="s">
        <v>23</v>
      </c>
      <c r="B51" t="s">
        <v>372</v>
      </c>
      <c r="C51" t="s">
        <v>236</v>
      </c>
      <c r="D51" t="s">
        <v>373</v>
      </c>
      <c r="E51" t="s">
        <v>237</v>
      </c>
      <c r="F51" t="n">
        <v>259</v>
      </c>
      <c r="G51" t="n">
        <v>281</v>
      </c>
      <c r="H51" t="n">
        <v>323</v>
      </c>
      <c r="I51" t="n">
        <v>306</v>
      </c>
      <c r="J51" t="n">
        <v>323</v>
      </c>
      <c r="K51" t="n">
        <v>372</v>
      </c>
      <c r="L51" t="n">
        <v>428</v>
      </c>
      <c r="M51" t="n">
        <v>520</v>
      </c>
      <c r="N51" t="n">
        <v>504</v>
      </c>
      <c r="O51" t="n">
        <v>500</v>
      </c>
      <c r="P51" t="n">
        <v>544</v>
      </c>
      <c r="Q51" t="n">
        <v>665</v>
      </c>
      <c r="R51" t="n">
        <v>678</v>
      </c>
      <c r="S51" t="n">
        <v>698</v>
      </c>
      <c r="T51" t="n">
        <v>787</v>
      </c>
      <c r="U51" t="n">
        <v>720</v>
      </c>
      <c r="V51" t="n">
        <v>760</v>
      </c>
      <c r="W51" t="n">
        <v>920</v>
      </c>
      <c r="X51" t="n">
        <v>979</v>
      </c>
      <c r="Y51" t="n">
        <v>941</v>
      </c>
      <c r="Z51" t="n">
        <v>815</v>
      </c>
      <c r="AA51" t="n">
        <v>1009</v>
      </c>
      <c r="AB51" t="n">
        <v>1229</v>
      </c>
      <c r="AC51" t="n">
        <v>1271</v>
      </c>
      <c r="AD51" t="n">
        <v>1357</v>
      </c>
      <c r="AE51" t="n">
        <v>1425</v>
      </c>
      <c r="AF51" t="n">
        <v>1466</v>
      </c>
    </row>
    <row r="52">
      <c r="A52" t="s">
        <v>23</v>
      </c>
      <c r="B52" t="s">
        <v>374</v>
      </c>
      <c r="C52" t="s">
        <v>236</v>
      </c>
      <c r="D52" t="s">
        <v>375</v>
      </c>
      <c r="E52" t="s">
        <v>237</v>
      </c>
      <c r="F52" t="n">
        <v>156</v>
      </c>
      <c r="G52" t="n">
        <v>202</v>
      </c>
      <c r="H52" t="n">
        <v>187</v>
      </c>
      <c r="I52" t="n">
        <v>183</v>
      </c>
      <c r="J52" t="n">
        <v>206</v>
      </c>
      <c r="K52" t="n">
        <v>233</v>
      </c>
      <c r="L52" t="n">
        <v>268</v>
      </c>
      <c r="M52" t="n">
        <v>259</v>
      </c>
      <c r="N52" t="n">
        <v>280</v>
      </c>
      <c r="O52" t="n">
        <v>282</v>
      </c>
      <c r="P52" t="n">
        <v>267</v>
      </c>
      <c r="Q52" t="n">
        <v>298</v>
      </c>
      <c r="R52" t="n">
        <v>404</v>
      </c>
      <c r="S52" t="n">
        <v>459</v>
      </c>
      <c r="T52" t="n">
        <v>435</v>
      </c>
      <c r="U52" t="n">
        <v>403</v>
      </c>
      <c r="V52" t="n">
        <v>403</v>
      </c>
      <c r="W52" t="n">
        <v>459</v>
      </c>
      <c r="X52" t="n">
        <v>471</v>
      </c>
      <c r="Y52" t="n">
        <v>477</v>
      </c>
      <c r="Z52" t="n">
        <v>432</v>
      </c>
      <c r="AA52" t="n">
        <v>508</v>
      </c>
      <c r="AB52" t="n">
        <v>493</v>
      </c>
      <c r="AC52" t="n">
        <v>485</v>
      </c>
      <c r="AD52" t="n">
        <v>549</v>
      </c>
      <c r="AE52" t="n">
        <v>566</v>
      </c>
      <c r="AF52" t="n">
        <v>556</v>
      </c>
    </row>
    <row r="53">
      <c r="A53" t="s">
        <v>23</v>
      </c>
      <c r="B53" t="s">
        <v>376</v>
      </c>
      <c r="C53" t="s">
        <v>236</v>
      </c>
      <c r="D53" t="s">
        <v>377</v>
      </c>
      <c r="E53" t="s">
        <v>237</v>
      </c>
      <c r="F53" t="n">
        <v>268</v>
      </c>
      <c r="G53" t="n">
        <v>339</v>
      </c>
      <c r="H53" t="n">
        <v>399</v>
      </c>
      <c r="I53" t="n">
        <v>376</v>
      </c>
      <c r="J53" t="n">
        <v>278</v>
      </c>
      <c r="K53" t="n">
        <v>377</v>
      </c>
      <c r="L53" t="n">
        <v>371</v>
      </c>
      <c r="M53" t="n">
        <v>385</v>
      </c>
      <c r="N53" t="n">
        <v>458</v>
      </c>
      <c r="O53" t="n">
        <v>427</v>
      </c>
      <c r="P53" t="n">
        <v>416</v>
      </c>
      <c r="Q53" t="n">
        <v>479</v>
      </c>
      <c r="R53" t="n">
        <v>545</v>
      </c>
      <c r="S53" t="n">
        <v>533</v>
      </c>
      <c r="T53" t="n">
        <v>518</v>
      </c>
      <c r="U53" t="n">
        <v>510</v>
      </c>
      <c r="V53" t="n">
        <v>536</v>
      </c>
      <c r="W53" t="n">
        <v>622</v>
      </c>
      <c r="X53" t="n">
        <v>609</v>
      </c>
      <c r="Y53" t="n">
        <v>572</v>
      </c>
      <c r="Z53" t="n">
        <v>641</v>
      </c>
      <c r="AA53" t="n">
        <v>730</v>
      </c>
      <c r="AB53" t="n">
        <v>817</v>
      </c>
      <c r="AC53" t="n">
        <v>986</v>
      </c>
      <c r="AD53" t="n">
        <v>987</v>
      </c>
      <c r="AE53" t="n">
        <v>904</v>
      </c>
      <c r="AF53" t="n">
        <v>849</v>
      </c>
    </row>
    <row r="54">
      <c r="A54" t="s">
        <v>23</v>
      </c>
      <c r="B54" t="s">
        <v>378</v>
      </c>
      <c r="C54" t="s">
        <v>236</v>
      </c>
      <c r="D54" t="s">
        <v>379</v>
      </c>
      <c r="E54" t="s">
        <v>237</v>
      </c>
      <c r="F54" t="n">
        <v>384</v>
      </c>
      <c r="G54" t="n">
        <v>465</v>
      </c>
      <c r="H54" t="n">
        <v>557</v>
      </c>
      <c r="I54" t="n">
        <v>561</v>
      </c>
      <c r="J54" t="n">
        <v>489</v>
      </c>
      <c r="K54" t="n">
        <v>560</v>
      </c>
      <c r="L54" t="n">
        <v>559</v>
      </c>
      <c r="M54" t="n">
        <v>563</v>
      </c>
      <c r="N54" t="n">
        <v>670</v>
      </c>
      <c r="O54" t="n">
        <v>661</v>
      </c>
      <c r="P54" t="n">
        <v>639</v>
      </c>
      <c r="Q54" t="n">
        <v>681</v>
      </c>
      <c r="R54" t="n">
        <v>783</v>
      </c>
      <c r="S54" t="n">
        <v>812</v>
      </c>
      <c r="T54" t="n">
        <v>798</v>
      </c>
      <c r="U54" t="n">
        <v>795</v>
      </c>
      <c r="V54" t="n">
        <v>791</v>
      </c>
      <c r="W54" t="n">
        <v>868</v>
      </c>
      <c r="X54" t="n">
        <v>838</v>
      </c>
      <c r="Y54" t="n">
        <v>799</v>
      </c>
      <c r="Z54" t="n">
        <v>887</v>
      </c>
      <c r="AA54" t="n">
        <v>969</v>
      </c>
      <c r="AB54" t="n">
        <v>1046</v>
      </c>
      <c r="AC54" t="n">
        <v>1217</v>
      </c>
      <c r="AD54" t="n">
        <v>1238</v>
      </c>
      <c r="AE54" t="n">
        <v>1152</v>
      </c>
      <c r="AF54" t="n">
        <v>1182</v>
      </c>
    </row>
    <row r="55">
      <c r="A55" t="s">
        <v>23</v>
      </c>
      <c r="B55" t="s">
        <v>380</v>
      </c>
      <c r="C55" t="s">
        <v>236</v>
      </c>
      <c r="D55" t="s">
        <v>381</v>
      </c>
      <c r="E55" t="s">
        <v>237</v>
      </c>
      <c r="F55" t="n">
        <v>116</v>
      </c>
      <c r="G55" t="n">
        <v>126</v>
      </c>
      <c r="H55" t="n">
        <v>158</v>
      </c>
      <c r="I55" t="n">
        <v>185</v>
      </c>
      <c r="J55" t="n">
        <v>211</v>
      </c>
      <c r="K55" t="n">
        <v>183</v>
      </c>
      <c r="L55" t="n">
        <v>188</v>
      </c>
      <c r="M55" t="n">
        <v>178</v>
      </c>
      <c r="N55" t="n">
        <v>212</v>
      </c>
      <c r="O55" t="n">
        <v>234</v>
      </c>
      <c r="P55" t="n">
        <v>223</v>
      </c>
      <c r="Q55" t="n">
        <v>202</v>
      </c>
      <c r="R55" t="n">
        <v>238</v>
      </c>
      <c r="S55" t="n">
        <v>279</v>
      </c>
      <c r="T55" t="n">
        <v>280</v>
      </c>
      <c r="U55" t="n">
        <v>285</v>
      </c>
      <c r="V55" t="n">
        <v>255</v>
      </c>
      <c r="W55" t="n">
        <v>246</v>
      </c>
      <c r="X55" t="n">
        <v>229</v>
      </c>
      <c r="Y55" t="n">
        <v>227</v>
      </c>
      <c r="Z55" t="n">
        <v>246</v>
      </c>
      <c r="AA55" t="n">
        <v>239</v>
      </c>
      <c r="AB55" t="n">
        <v>229</v>
      </c>
      <c r="AC55" t="n">
        <v>231</v>
      </c>
      <c r="AD55" t="n">
        <v>251</v>
      </c>
      <c r="AE55" t="n">
        <v>248</v>
      </c>
      <c r="AF55" t="n">
        <v>333</v>
      </c>
    </row>
    <row r="56">
      <c r="A56" t="s">
        <v>23</v>
      </c>
      <c r="B56" t="s">
        <v>382</v>
      </c>
      <c r="C56" t="s">
        <v>236</v>
      </c>
      <c r="D56" t="s">
        <v>383</v>
      </c>
      <c r="E56" t="s">
        <v>237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23</v>
      </c>
      <c r="B57" t="s">
        <v>384</v>
      </c>
      <c r="C57" t="s">
        <v>236</v>
      </c>
      <c r="D57" t="s">
        <v>385</v>
      </c>
      <c r="E57" t="s">
        <v>237</v>
      </c>
      <c r="F57" t="n">
        <v>18999</v>
      </c>
      <c r="G57" t="n">
        <v>20930</v>
      </c>
      <c r="H57" t="n">
        <v>23670</v>
      </c>
      <c r="I57" t="n">
        <v>26757</v>
      </c>
      <c r="J57" t="n">
        <v>28485</v>
      </c>
      <c r="K57" t="n">
        <v>31460</v>
      </c>
      <c r="L57" t="n">
        <v>33084</v>
      </c>
      <c r="M57" t="n">
        <v>32076</v>
      </c>
      <c r="N57" t="n">
        <v>33056</v>
      </c>
      <c r="O57" t="n">
        <v>35336</v>
      </c>
      <c r="P57" t="n">
        <v>37743</v>
      </c>
      <c r="Q57" t="n">
        <v>39358</v>
      </c>
      <c r="R57" t="n">
        <v>45263</v>
      </c>
      <c r="S57" t="n">
        <v>47583</v>
      </c>
      <c r="T57" t="n">
        <v>41720</v>
      </c>
      <c r="U57" t="n">
        <v>42937</v>
      </c>
      <c r="V57" t="n">
        <v>45280</v>
      </c>
      <c r="W57" t="n">
        <v>46718</v>
      </c>
      <c r="X57" t="n">
        <v>45444</v>
      </c>
      <c r="Y57" t="n">
        <v>44705</v>
      </c>
      <c r="Z57" t="n">
        <v>45023</v>
      </c>
      <c r="AA57" t="n">
        <v>49728</v>
      </c>
      <c r="AB57" t="n">
        <v>53231</v>
      </c>
      <c r="AC57" t="n">
        <v>57033</v>
      </c>
      <c r="AD57" t="n">
        <v>58248</v>
      </c>
      <c r="AE57" t="n">
        <v>58284</v>
      </c>
      <c r="AF57" t="n">
        <v>60722</v>
      </c>
    </row>
    <row r="58">
      <c r="A58" t="s">
        <v>23</v>
      </c>
      <c r="B58" t="s">
        <v>386</v>
      </c>
      <c r="C58" t="s">
        <v>236</v>
      </c>
      <c r="D58" t="s">
        <v>387</v>
      </c>
      <c r="E58" t="s">
        <v>237</v>
      </c>
      <c r="F58" t="n">
        <v>18999</v>
      </c>
      <c r="G58" t="n">
        <v>20930</v>
      </c>
      <c r="H58" t="n">
        <v>23670</v>
      </c>
      <c r="I58" t="n">
        <v>26757</v>
      </c>
      <c r="J58" t="n">
        <v>28485</v>
      </c>
      <c r="K58" t="n">
        <v>31460</v>
      </c>
      <c r="L58" t="n">
        <v>33084</v>
      </c>
      <c r="M58" t="n">
        <v>32076</v>
      </c>
      <c r="N58" t="n">
        <v>33056</v>
      </c>
      <c r="O58" t="n">
        <v>35336</v>
      </c>
      <c r="P58" t="n">
        <v>37743</v>
      </c>
      <c r="Q58" t="n">
        <v>39358</v>
      </c>
      <c r="R58" t="n">
        <v>45263</v>
      </c>
      <c r="S58" t="n">
        <v>47583</v>
      </c>
      <c r="T58" t="n">
        <v>41720</v>
      </c>
      <c r="U58" t="n">
        <v>42937</v>
      </c>
      <c r="V58" t="n">
        <v>45280</v>
      </c>
      <c r="W58" t="n">
        <v>46718</v>
      </c>
      <c r="X58" t="n">
        <v>45444</v>
      </c>
      <c r="Y58" t="n">
        <v>44705</v>
      </c>
      <c r="Z58" t="n">
        <v>45023</v>
      </c>
      <c r="AA58" t="n">
        <v>49728</v>
      </c>
      <c r="AB58" t="n">
        <v>53231</v>
      </c>
      <c r="AC58" t="n">
        <v>57033</v>
      </c>
      <c r="AD58" t="n">
        <v>58248</v>
      </c>
      <c r="AE58" t="n">
        <v>58284</v>
      </c>
      <c r="AF58" t="n">
        <v>60722</v>
      </c>
    </row>
    <row r="59">
      <c r="A59" t="s">
        <v>23</v>
      </c>
      <c r="B59" t="s">
        <v>388</v>
      </c>
      <c r="C59" t="s">
        <v>236</v>
      </c>
      <c r="D59" t="s">
        <v>389</v>
      </c>
      <c r="E59" t="s">
        <v>237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26</v>
      </c>
      <c r="B2" t="s">
        <v>197</v>
      </c>
      <c r="C2" t="s">
        <v>236</v>
      </c>
      <c r="D2" t="s">
        <v>199</v>
      </c>
      <c r="E2" t="s">
        <v>237</v>
      </c>
      <c r="F2" t="n">
        <v>58</v>
      </c>
      <c r="G2" t="n">
        <v>27</v>
      </c>
      <c r="H2" t="n">
        <v>28</v>
      </c>
      <c r="I2" t="n">
        <v>35</v>
      </c>
      <c r="J2" t="n">
        <v>34</v>
      </c>
      <c r="K2" t="n">
        <v>22</v>
      </c>
      <c r="L2" t="n">
        <v>9</v>
      </c>
      <c r="M2" t="n">
        <v>11</v>
      </c>
      <c r="N2" t="n">
        <v>14</v>
      </c>
      <c r="O2" t="n">
        <v>15</v>
      </c>
      <c r="P2" t="n">
        <v>14</v>
      </c>
      <c r="Q2" t="n">
        <v>13</v>
      </c>
      <c r="R2" t="n">
        <v>13</v>
      </c>
      <c r="S2" t="n">
        <v>13</v>
      </c>
      <c r="T2" t="n">
        <v>14</v>
      </c>
      <c r="U2" t="n">
        <v>16</v>
      </c>
      <c r="V2" t="n">
        <v>14</v>
      </c>
      <c r="W2" t="n">
        <v>14</v>
      </c>
      <c r="X2" t="n">
        <v>14</v>
      </c>
      <c r="Y2" t="n">
        <v>14</v>
      </c>
      <c r="Z2" t="n">
        <v>14</v>
      </c>
      <c r="AA2" t="n">
        <v>14</v>
      </c>
      <c r="AB2" t="n">
        <v>14</v>
      </c>
      <c r="AC2" t="n">
        <v>11</v>
      </c>
      <c r="AD2" t="n">
        <v>10</v>
      </c>
      <c r="AE2" t="n">
        <v>8</v>
      </c>
      <c r="AF2" t="n">
        <v>8</v>
      </c>
    </row>
    <row r="3">
      <c r="A3" t="s">
        <v>26</v>
      </c>
      <c r="B3" t="s">
        <v>276</v>
      </c>
      <c r="C3" t="s">
        <v>236</v>
      </c>
      <c r="D3" t="s">
        <v>277</v>
      </c>
      <c r="E3" t="s">
        <v>237</v>
      </c>
      <c r="F3" t="n">
        <v>3</v>
      </c>
      <c r="G3" t="n">
        <v>2</v>
      </c>
      <c r="H3" t="n">
        <v>1</v>
      </c>
      <c r="I3" t="n">
        <v>2</v>
      </c>
      <c r="J3" t="n">
        <v>2</v>
      </c>
      <c r="K3" t="n">
        <v>1</v>
      </c>
      <c r="L3" t="n">
        <v>1</v>
      </c>
      <c r="M3" t="n">
        <v>1</v>
      </c>
      <c r="N3" t="n">
        <v>2</v>
      </c>
      <c r="O3" t="n">
        <v>1</v>
      </c>
      <c r="P3" t="n">
        <v>1</v>
      </c>
      <c r="Q3" t="n">
        <v>1</v>
      </c>
      <c r="R3" t="n">
        <v>0</v>
      </c>
      <c r="S3" t="n">
        <v>2</v>
      </c>
      <c r="T3" t="n">
        <v>1</v>
      </c>
      <c r="U3" t="n">
        <v>1</v>
      </c>
      <c r="V3" t="n">
        <v>1</v>
      </c>
      <c r="W3" t="n">
        <v>4</v>
      </c>
      <c r="X3" t="n">
        <v>6</v>
      </c>
      <c r="Y3" t="n">
        <v>4</v>
      </c>
      <c r="Z3" t="n">
        <v>3</v>
      </c>
      <c r="AA3" t="n">
        <v>2</v>
      </c>
      <c r="AB3" t="n">
        <v>3</v>
      </c>
      <c r="AC3" t="n">
        <v>3</v>
      </c>
      <c r="AD3" t="n">
        <v>2</v>
      </c>
      <c r="AE3" t="n">
        <v>6</v>
      </c>
      <c r="AF3" t="n">
        <v>9</v>
      </c>
    </row>
    <row r="4">
      <c r="A4" t="s">
        <v>26</v>
      </c>
      <c r="B4" t="s">
        <v>278</v>
      </c>
      <c r="C4" t="s">
        <v>236</v>
      </c>
      <c r="D4" t="s">
        <v>279</v>
      </c>
      <c r="E4" t="s">
        <v>237</v>
      </c>
      <c r="F4" t="n">
        <v>366</v>
      </c>
      <c r="G4" t="n">
        <v>243</v>
      </c>
      <c r="H4" t="n">
        <v>186</v>
      </c>
      <c r="I4" t="n">
        <v>249</v>
      </c>
      <c r="J4" t="n">
        <v>214</v>
      </c>
      <c r="K4" t="n">
        <v>153</v>
      </c>
      <c r="L4" t="n">
        <v>87</v>
      </c>
      <c r="M4" t="n">
        <v>78</v>
      </c>
      <c r="N4" t="n">
        <v>86</v>
      </c>
      <c r="O4" t="n">
        <v>93</v>
      </c>
      <c r="P4" t="n">
        <v>90</v>
      </c>
      <c r="Q4" t="n">
        <v>144</v>
      </c>
      <c r="R4" t="n">
        <v>186</v>
      </c>
      <c r="S4" t="n">
        <v>134</v>
      </c>
      <c r="T4" t="n">
        <v>138</v>
      </c>
      <c r="U4" t="n">
        <v>102</v>
      </c>
      <c r="V4" t="n">
        <v>98</v>
      </c>
      <c r="W4" t="n">
        <v>107</v>
      </c>
      <c r="X4" t="n">
        <v>74</v>
      </c>
      <c r="Y4" t="n">
        <v>84</v>
      </c>
      <c r="Z4" t="n">
        <v>115</v>
      </c>
      <c r="AA4" t="n">
        <v>93</v>
      </c>
      <c r="AB4" t="n">
        <v>99</v>
      </c>
      <c r="AC4" t="n">
        <v>101</v>
      </c>
      <c r="AD4" t="n">
        <v>99</v>
      </c>
      <c r="AE4" t="n">
        <v>90</v>
      </c>
      <c r="AF4" t="n">
        <v>106</v>
      </c>
    </row>
    <row r="5">
      <c r="A5" t="s">
        <v>26</v>
      </c>
      <c r="B5" t="s">
        <v>280</v>
      </c>
      <c r="C5" t="s">
        <v>236</v>
      </c>
      <c r="D5" t="s">
        <v>281</v>
      </c>
      <c r="E5" t="s">
        <v>237</v>
      </c>
      <c r="F5" t="n">
        <v>47</v>
      </c>
      <c r="G5" t="n">
        <v>25</v>
      </c>
      <c r="H5" t="n">
        <v>17</v>
      </c>
      <c r="I5" t="n">
        <v>30</v>
      </c>
      <c r="J5" t="n">
        <v>26</v>
      </c>
      <c r="K5" t="n">
        <v>16</v>
      </c>
      <c r="L5" t="n">
        <v>9</v>
      </c>
      <c r="M5" t="n">
        <v>12</v>
      </c>
      <c r="N5" t="n">
        <v>11</v>
      </c>
      <c r="O5" t="n">
        <v>11</v>
      </c>
      <c r="P5" t="n">
        <v>11</v>
      </c>
      <c r="Q5" t="n">
        <v>13</v>
      </c>
      <c r="R5" t="n">
        <v>16</v>
      </c>
      <c r="S5" t="n">
        <v>15</v>
      </c>
      <c r="T5" t="n">
        <v>20</v>
      </c>
      <c r="U5" t="n">
        <v>11</v>
      </c>
      <c r="V5" t="n">
        <v>11</v>
      </c>
      <c r="W5" t="n">
        <v>12</v>
      </c>
      <c r="X5" t="n">
        <v>10</v>
      </c>
      <c r="Y5" t="n">
        <v>13</v>
      </c>
      <c r="Z5" t="n">
        <v>13</v>
      </c>
      <c r="AA5" t="n">
        <v>12</v>
      </c>
      <c r="AB5" t="n">
        <v>25</v>
      </c>
      <c r="AC5" t="n">
        <v>13</v>
      </c>
      <c r="AD5" t="n">
        <v>10</v>
      </c>
      <c r="AE5" t="n">
        <v>11</v>
      </c>
      <c r="AF5" t="n">
        <v>11</v>
      </c>
    </row>
    <row r="6">
      <c r="A6" t="s">
        <v>26</v>
      </c>
      <c r="B6" t="s">
        <v>282</v>
      </c>
      <c r="C6" t="s">
        <v>236</v>
      </c>
      <c r="D6" t="s">
        <v>283</v>
      </c>
      <c r="E6" t="s">
        <v>237</v>
      </c>
      <c r="F6" t="n">
        <v>8</v>
      </c>
      <c r="G6" t="n">
        <v>4</v>
      </c>
      <c r="H6" t="n">
        <v>3</v>
      </c>
      <c r="I6" t="n">
        <v>5</v>
      </c>
      <c r="J6" t="n">
        <v>3</v>
      </c>
      <c r="K6" t="n">
        <v>2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2</v>
      </c>
      <c r="R6" t="n">
        <v>2</v>
      </c>
      <c r="S6" t="n">
        <v>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26</v>
      </c>
      <c r="B7" t="s">
        <v>284</v>
      </c>
      <c r="C7" t="s">
        <v>236</v>
      </c>
      <c r="D7" t="s">
        <v>285</v>
      </c>
      <c r="E7" t="s">
        <v>237</v>
      </c>
      <c r="F7" t="n">
        <v>104</v>
      </c>
      <c r="G7" t="n">
        <v>112</v>
      </c>
      <c r="H7" t="n">
        <v>59</v>
      </c>
      <c r="I7" t="n">
        <v>90</v>
      </c>
      <c r="J7" t="n">
        <v>68</v>
      </c>
      <c r="K7" t="n">
        <v>46</v>
      </c>
      <c r="L7" t="n">
        <v>33</v>
      </c>
      <c r="M7" t="n">
        <v>22</v>
      </c>
      <c r="N7" t="n">
        <v>31</v>
      </c>
      <c r="O7" t="n">
        <v>22</v>
      </c>
      <c r="P7" t="n">
        <v>24</v>
      </c>
      <c r="Q7" t="n">
        <v>32</v>
      </c>
      <c r="R7" t="n">
        <v>30</v>
      </c>
      <c r="S7" t="n">
        <v>31</v>
      </c>
      <c r="T7" t="n">
        <v>17</v>
      </c>
      <c r="U7" t="n">
        <v>15</v>
      </c>
      <c r="V7" t="n">
        <v>19</v>
      </c>
      <c r="W7" t="n">
        <v>15</v>
      </c>
      <c r="X7" t="n">
        <v>13</v>
      </c>
      <c r="Y7" t="n">
        <v>12</v>
      </c>
      <c r="Z7" t="n">
        <v>17</v>
      </c>
      <c r="AA7" t="n">
        <v>22</v>
      </c>
      <c r="AB7" t="n">
        <v>38</v>
      </c>
      <c r="AC7" t="n">
        <v>19</v>
      </c>
      <c r="AD7" t="n">
        <v>20</v>
      </c>
      <c r="AE7" t="n">
        <v>17</v>
      </c>
      <c r="AF7" t="n">
        <v>19</v>
      </c>
    </row>
    <row r="8">
      <c r="A8" t="s">
        <v>26</v>
      </c>
      <c r="B8" t="s">
        <v>286</v>
      </c>
      <c r="C8" t="s">
        <v>236</v>
      </c>
      <c r="D8" t="s">
        <v>287</v>
      </c>
      <c r="E8" t="s">
        <v>237</v>
      </c>
      <c r="F8" t="n">
        <v>5</v>
      </c>
      <c r="G8" t="n">
        <v>2</v>
      </c>
      <c r="H8" t="n">
        <v>9</v>
      </c>
      <c r="I8" t="n">
        <v>2</v>
      </c>
      <c r="J8" t="n">
        <v>5</v>
      </c>
      <c r="K8" t="n">
        <v>2</v>
      </c>
      <c r="L8" t="n">
        <v>4</v>
      </c>
      <c r="M8" t="n">
        <v>0</v>
      </c>
      <c r="N8" t="n">
        <v>2</v>
      </c>
      <c r="O8" t="n">
        <v>1</v>
      </c>
      <c r="P8" t="n">
        <v>7</v>
      </c>
      <c r="Q8" t="n">
        <v>10</v>
      </c>
      <c r="R8" t="n">
        <v>33</v>
      </c>
      <c r="S8" t="n">
        <v>9</v>
      </c>
      <c r="T8" t="n">
        <v>5</v>
      </c>
      <c r="U8" t="n">
        <v>11</v>
      </c>
      <c r="V8" t="n">
        <v>3</v>
      </c>
      <c r="W8" t="n">
        <v>7</v>
      </c>
      <c r="X8" t="n">
        <v>6</v>
      </c>
      <c r="Y8" t="n">
        <v>7</v>
      </c>
      <c r="Z8" t="n">
        <v>18</v>
      </c>
      <c r="AA8" t="n">
        <v>-5</v>
      </c>
      <c r="AB8" t="n">
        <v>-34</v>
      </c>
      <c r="AC8" t="n">
        <v>2</v>
      </c>
      <c r="AD8" t="n">
        <v>1</v>
      </c>
      <c r="AE8" t="n">
        <v>1</v>
      </c>
      <c r="AF8" t="n">
        <v>7</v>
      </c>
    </row>
    <row r="9">
      <c r="A9" t="s">
        <v>26</v>
      </c>
      <c r="B9" t="s">
        <v>288</v>
      </c>
      <c r="C9" t="s">
        <v>236</v>
      </c>
      <c r="D9" t="s">
        <v>289</v>
      </c>
      <c r="E9" t="s">
        <v>237</v>
      </c>
      <c r="F9" t="n">
        <v>32</v>
      </c>
      <c r="G9" t="n">
        <v>9</v>
      </c>
      <c r="H9" t="n">
        <v>13</v>
      </c>
      <c r="I9" t="n">
        <v>13</v>
      </c>
      <c r="J9" t="n">
        <v>15</v>
      </c>
      <c r="K9" t="n">
        <v>7</v>
      </c>
      <c r="L9" t="n">
        <v>5</v>
      </c>
      <c r="M9" t="n">
        <v>6</v>
      </c>
      <c r="N9" t="n">
        <v>5</v>
      </c>
      <c r="O9" t="n">
        <v>7</v>
      </c>
      <c r="P9" t="n">
        <v>6</v>
      </c>
      <c r="Q9" t="n">
        <v>7</v>
      </c>
      <c r="R9" t="n">
        <v>15</v>
      </c>
      <c r="S9" t="n">
        <v>8</v>
      </c>
      <c r="T9" t="n">
        <v>9</v>
      </c>
      <c r="U9" t="n">
        <v>4</v>
      </c>
      <c r="V9" t="n">
        <v>6</v>
      </c>
      <c r="W9" t="n">
        <v>7</v>
      </c>
      <c r="X9" t="n">
        <v>9</v>
      </c>
      <c r="Y9" t="n">
        <v>6</v>
      </c>
      <c r="Z9" t="n">
        <v>12</v>
      </c>
      <c r="AA9" t="n">
        <v>16</v>
      </c>
      <c r="AB9" t="n">
        <v>20</v>
      </c>
      <c r="AC9" t="n">
        <v>15</v>
      </c>
      <c r="AD9" t="n">
        <v>12</v>
      </c>
      <c r="AE9" t="n">
        <v>12</v>
      </c>
      <c r="AF9" t="n">
        <v>18</v>
      </c>
    </row>
    <row r="10">
      <c r="A10" t="s">
        <v>26</v>
      </c>
      <c r="B10" t="s">
        <v>290</v>
      </c>
      <c r="C10" t="s">
        <v>236</v>
      </c>
      <c r="D10" t="s">
        <v>291</v>
      </c>
      <c r="E10" t="s">
        <v>237</v>
      </c>
      <c r="F10" t="n">
        <v>35</v>
      </c>
      <c r="G10" t="n">
        <v>10</v>
      </c>
      <c r="H10" t="n">
        <v>14</v>
      </c>
      <c r="I10" t="n">
        <v>14</v>
      </c>
      <c r="J10" t="n">
        <v>16</v>
      </c>
      <c r="K10" t="n">
        <v>8</v>
      </c>
      <c r="L10" t="n">
        <v>5</v>
      </c>
      <c r="M10" t="n">
        <v>7</v>
      </c>
      <c r="N10" t="n">
        <v>5</v>
      </c>
      <c r="O10" t="n">
        <v>7</v>
      </c>
      <c r="P10" t="n">
        <v>6</v>
      </c>
      <c r="Q10" t="n">
        <v>8</v>
      </c>
      <c r="R10" t="n">
        <v>16</v>
      </c>
      <c r="S10" t="n">
        <v>9</v>
      </c>
      <c r="T10" t="n">
        <v>10</v>
      </c>
      <c r="U10" t="n">
        <v>5</v>
      </c>
      <c r="V10" t="n">
        <v>7</v>
      </c>
      <c r="W10" t="n">
        <v>8</v>
      </c>
      <c r="X10" t="n">
        <v>10</v>
      </c>
      <c r="Y10" t="n">
        <v>7</v>
      </c>
      <c r="Z10" t="n">
        <v>13</v>
      </c>
      <c r="AA10" t="n">
        <v>17</v>
      </c>
      <c r="AB10" t="n">
        <v>21</v>
      </c>
      <c r="AC10" t="n">
        <v>17</v>
      </c>
      <c r="AD10" t="n">
        <v>14</v>
      </c>
      <c r="AE10" t="n">
        <v>13</v>
      </c>
      <c r="AF10" t="n">
        <v>21</v>
      </c>
    </row>
    <row r="11">
      <c r="A11" t="s">
        <v>26</v>
      </c>
      <c r="B11" t="s">
        <v>292</v>
      </c>
      <c r="C11" t="s">
        <v>236</v>
      </c>
      <c r="D11" t="s">
        <v>293</v>
      </c>
      <c r="E11" t="s">
        <v>237</v>
      </c>
      <c r="F11" t="n">
        <v>3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2</v>
      </c>
      <c r="AD11" t="n">
        <v>2</v>
      </c>
      <c r="AE11" t="n">
        <v>1</v>
      </c>
      <c r="AF11" t="n">
        <v>3</v>
      </c>
    </row>
    <row r="12">
      <c r="A12" t="s">
        <v>26</v>
      </c>
      <c r="B12" t="s">
        <v>294</v>
      </c>
      <c r="C12" t="s">
        <v>236</v>
      </c>
      <c r="D12" t="s">
        <v>295</v>
      </c>
      <c r="E12" t="s">
        <v>237</v>
      </c>
      <c r="F12" t="n">
        <v>25</v>
      </c>
      <c r="G12" t="n">
        <v>12</v>
      </c>
      <c r="H12" t="n">
        <v>11</v>
      </c>
      <c r="I12" t="n">
        <v>18</v>
      </c>
      <c r="J12" t="n">
        <v>18</v>
      </c>
      <c r="K12" t="n">
        <v>15</v>
      </c>
      <c r="L12" t="n">
        <v>4</v>
      </c>
      <c r="M12" t="n">
        <v>5</v>
      </c>
      <c r="N12" t="n">
        <v>8</v>
      </c>
      <c r="O12" t="n">
        <v>7</v>
      </c>
      <c r="P12" t="n">
        <v>8</v>
      </c>
      <c r="Q12" t="n">
        <v>12</v>
      </c>
      <c r="R12" t="n">
        <v>16</v>
      </c>
      <c r="S12" t="n">
        <v>9</v>
      </c>
      <c r="T12" t="n">
        <v>15</v>
      </c>
      <c r="U12" t="n">
        <v>8</v>
      </c>
      <c r="V12" t="n">
        <v>9</v>
      </c>
      <c r="W12" t="n">
        <v>8</v>
      </c>
      <c r="X12" t="n">
        <v>6</v>
      </c>
      <c r="Y12" t="n">
        <v>6</v>
      </c>
      <c r="Z12" t="n">
        <v>7</v>
      </c>
      <c r="AA12" t="n">
        <v>6</v>
      </c>
      <c r="AB12" t="n">
        <v>4</v>
      </c>
      <c r="AC12" t="n">
        <v>4</v>
      </c>
      <c r="AD12" t="n">
        <v>5</v>
      </c>
      <c r="AE12" t="n">
        <v>4</v>
      </c>
      <c r="AF12" t="n">
        <v>6</v>
      </c>
    </row>
    <row r="13">
      <c r="A13" t="s">
        <v>26</v>
      </c>
      <c r="B13" t="s">
        <v>296</v>
      </c>
      <c r="C13" t="s">
        <v>236</v>
      </c>
      <c r="D13" t="s">
        <v>297</v>
      </c>
      <c r="E13" t="s">
        <v>237</v>
      </c>
      <c r="F13" t="n">
        <v>66</v>
      </c>
      <c r="G13" t="n">
        <v>34</v>
      </c>
      <c r="H13" t="n">
        <v>36</v>
      </c>
      <c r="I13" t="n">
        <v>41</v>
      </c>
      <c r="J13" t="n">
        <v>25</v>
      </c>
      <c r="K13" t="n">
        <v>26</v>
      </c>
      <c r="L13" t="n">
        <v>12</v>
      </c>
      <c r="M13" t="n">
        <v>19</v>
      </c>
      <c r="N13" t="n">
        <v>12</v>
      </c>
      <c r="O13" t="n">
        <v>27</v>
      </c>
      <c r="P13" t="n">
        <v>14</v>
      </c>
      <c r="Q13" t="n">
        <v>16</v>
      </c>
      <c r="R13" t="n">
        <v>24</v>
      </c>
      <c r="S13" t="n">
        <v>16</v>
      </c>
      <c r="T13" t="n">
        <v>30</v>
      </c>
      <c r="U13" t="n">
        <v>19</v>
      </c>
      <c r="V13" t="n">
        <v>12</v>
      </c>
      <c r="W13" t="n">
        <v>26</v>
      </c>
      <c r="X13" t="n">
        <v>9</v>
      </c>
      <c r="Y13" t="n">
        <v>12</v>
      </c>
      <c r="Z13" t="n">
        <v>14</v>
      </c>
      <c r="AA13" t="n">
        <v>13</v>
      </c>
      <c r="AB13" t="n">
        <v>15</v>
      </c>
      <c r="AC13" t="n">
        <v>17</v>
      </c>
      <c r="AD13" t="n">
        <v>20</v>
      </c>
      <c r="AE13" t="n">
        <v>12</v>
      </c>
      <c r="AF13" t="n">
        <v>12</v>
      </c>
    </row>
    <row r="14">
      <c r="A14" t="s">
        <v>26</v>
      </c>
      <c r="B14" t="s">
        <v>298</v>
      </c>
      <c r="C14" t="s">
        <v>236</v>
      </c>
      <c r="D14" t="s">
        <v>299</v>
      </c>
      <c r="E14" t="s">
        <v>237</v>
      </c>
      <c r="F14" t="n">
        <v>31</v>
      </c>
      <c r="G14" t="n">
        <v>12</v>
      </c>
      <c r="H14" t="n">
        <v>12</v>
      </c>
      <c r="I14" t="n">
        <v>20</v>
      </c>
      <c r="J14" t="n">
        <v>27</v>
      </c>
      <c r="K14" t="n">
        <v>20</v>
      </c>
      <c r="L14" t="n">
        <v>10</v>
      </c>
      <c r="M14" t="n">
        <v>6</v>
      </c>
      <c r="N14" t="n">
        <v>6</v>
      </c>
      <c r="O14" t="n">
        <v>8</v>
      </c>
      <c r="P14" t="n">
        <v>9</v>
      </c>
      <c r="Q14" t="n">
        <v>36</v>
      </c>
      <c r="R14" t="n">
        <v>32</v>
      </c>
      <c r="S14" t="n">
        <v>25</v>
      </c>
      <c r="T14" t="n">
        <v>20</v>
      </c>
      <c r="U14" t="n">
        <v>23</v>
      </c>
      <c r="V14" t="n">
        <v>24</v>
      </c>
      <c r="W14" t="n">
        <v>19</v>
      </c>
      <c r="X14" t="n">
        <v>10</v>
      </c>
      <c r="Y14" t="n">
        <v>17</v>
      </c>
      <c r="Z14" t="n">
        <v>23</v>
      </c>
      <c r="AA14" t="n">
        <v>18</v>
      </c>
      <c r="AB14" t="n">
        <v>22</v>
      </c>
      <c r="AC14" t="n">
        <v>18</v>
      </c>
      <c r="AD14" t="n">
        <v>18</v>
      </c>
      <c r="AE14" t="n">
        <v>24</v>
      </c>
      <c r="AF14" t="n">
        <v>22</v>
      </c>
    </row>
    <row r="15">
      <c r="A15" t="s">
        <v>26</v>
      </c>
      <c r="B15" t="s">
        <v>300</v>
      </c>
      <c r="C15" t="s">
        <v>236</v>
      </c>
      <c r="D15" t="s">
        <v>301</v>
      </c>
      <c r="E15" t="s">
        <v>237</v>
      </c>
      <c r="F15" t="n">
        <v>38</v>
      </c>
      <c r="G15" t="n">
        <v>18</v>
      </c>
      <c r="H15" t="n">
        <v>17</v>
      </c>
      <c r="I15" t="n">
        <v>26</v>
      </c>
      <c r="J15" t="n">
        <v>31</v>
      </c>
      <c r="K15" t="n">
        <v>23</v>
      </c>
      <c r="L15" t="n">
        <v>12</v>
      </c>
      <c r="M15" t="n">
        <v>6</v>
      </c>
      <c r="N15" t="n">
        <v>8</v>
      </c>
      <c r="O15" t="n">
        <v>9</v>
      </c>
      <c r="P15" t="n">
        <v>11</v>
      </c>
      <c r="Q15" t="n">
        <v>39</v>
      </c>
      <c r="R15" t="n">
        <v>36</v>
      </c>
      <c r="S15" t="n">
        <v>28</v>
      </c>
      <c r="T15" t="n">
        <v>26</v>
      </c>
      <c r="U15" t="n">
        <v>26</v>
      </c>
      <c r="V15" t="n">
        <v>28</v>
      </c>
      <c r="W15" t="n">
        <v>22</v>
      </c>
      <c r="X15" t="n">
        <v>14</v>
      </c>
      <c r="Y15" t="n">
        <v>18</v>
      </c>
      <c r="Z15" t="n">
        <v>25</v>
      </c>
      <c r="AA15" t="n">
        <v>20</v>
      </c>
      <c r="AB15" t="n">
        <v>24</v>
      </c>
      <c r="AC15" t="n">
        <v>20</v>
      </c>
      <c r="AD15" t="n">
        <v>20</v>
      </c>
      <c r="AE15" t="n">
        <v>26</v>
      </c>
      <c r="AF15" t="n">
        <v>24</v>
      </c>
    </row>
    <row r="16">
      <c r="A16" t="s">
        <v>26</v>
      </c>
      <c r="B16" t="s">
        <v>302</v>
      </c>
      <c r="C16" t="s">
        <v>236</v>
      </c>
      <c r="D16" t="s">
        <v>303</v>
      </c>
      <c r="E16" t="s">
        <v>237</v>
      </c>
      <c r="F16" t="n">
        <v>7</v>
      </c>
      <c r="G16" t="n">
        <v>6</v>
      </c>
      <c r="H16" t="n">
        <v>5</v>
      </c>
      <c r="I16" t="n">
        <v>6</v>
      </c>
      <c r="J16" t="n">
        <v>4</v>
      </c>
      <c r="K16" t="n">
        <v>3</v>
      </c>
      <c r="L16" t="n">
        <v>2</v>
      </c>
      <c r="M16" t="n">
        <v>0</v>
      </c>
      <c r="N16" t="n">
        <v>2</v>
      </c>
      <c r="O16" t="n">
        <v>1</v>
      </c>
      <c r="P16" t="n">
        <v>2</v>
      </c>
      <c r="Q16" t="n">
        <v>3</v>
      </c>
      <c r="R16" t="n">
        <v>4</v>
      </c>
      <c r="S16" t="n">
        <v>3</v>
      </c>
      <c r="T16" t="n">
        <v>6</v>
      </c>
      <c r="U16" t="n">
        <v>3</v>
      </c>
      <c r="V16" t="n">
        <v>4</v>
      </c>
      <c r="W16" t="n">
        <v>3</v>
      </c>
      <c r="X16" t="n">
        <v>4</v>
      </c>
      <c r="Y16" t="n">
        <v>1</v>
      </c>
      <c r="Z16" t="n">
        <v>2</v>
      </c>
      <c r="AA16" t="n">
        <v>2</v>
      </c>
      <c r="AB16" t="n">
        <v>2</v>
      </c>
      <c r="AC16" t="n">
        <v>2</v>
      </c>
      <c r="AD16" t="n">
        <v>2</v>
      </c>
      <c r="AE16" t="n">
        <v>2</v>
      </c>
      <c r="AF16" t="n">
        <v>2</v>
      </c>
    </row>
    <row r="17">
      <c r="A17" t="s">
        <v>26</v>
      </c>
      <c r="B17" t="s">
        <v>304</v>
      </c>
      <c r="C17" t="s">
        <v>236</v>
      </c>
      <c r="D17" t="s">
        <v>305</v>
      </c>
      <c r="E17" t="s">
        <v>237</v>
      </c>
      <c r="F17" t="n">
        <v>20</v>
      </c>
      <c r="G17" t="n">
        <v>16</v>
      </c>
      <c r="H17" t="n">
        <v>10</v>
      </c>
      <c r="I17" t="n">
        <v>11</v>
      </c>
      <c r="J17" t="n">
        <v>10</v>
      </c>
      <c r="K17" t="n">
        <v>8</v>
      </c>
      <c r="L17" t="n">
        <v>3</v>
      </c>
      <c r="M17" t="n">
        <v>3</v>
      </c>
      <c r="N17" t="n">
        <v>6</v>
      </c>
      <c r="O17" t="n">
        <v>4</v>
      </c>
      <c r="P17" t="n">
        <v>4</v>
      </c>
      <c r="Q17" t="n">
        <v>7</v>
      </c>
      <c r="R17" t="n">
        <v>7</v>
      </c>
      <c r="S17" t="n">
        <v>9</v>
      </c>
      <c r="T17" t="n">
        <v>10</v>
      </c>
      <c r="U17" t="n">
        <v>3</v>
      </c>
      <c r="V17" t="n">
        <v>5</v>
      </c>
      <c r="W17" t="n">
        <v>5</v>
      </c>
      <c r="X17" t="n">
        <v>3</v>
      </c>
      <c r="Y17" t="n">
        <v>5</v>
      </c>
      <c r="Z17" t="n">
        <v>4</v>
      </c>
      <c r="AA17" t="n">
        <v>4</v>
      </c>
      <c r="AB17" t="n">
        <v>3</v>
      </c>
      <c r="AC17" t="n">
        <v>6</v>
      </c>
      <c r="AD17" t="n">
        <v>7</v>
      </c>
      <c r="AE17" t="n">
        <v>4</v>
      </c>
      <c r="AF17" t="n">
        <v>5</v>
      </c>
    </row>
    <row r="18">
      <c r="A18" t="s">
        <v>26</v>
      </c>
      <c r="B18" t="s">
        <v>306</v>
      </c>
      <c r="C18" t="s">
        <v>236</v>
      </c>
      <c r="D18" t="s">
        <v>307</v>
      </c>
      <c r="E18" t="s">
        <v>237</v>
      </c>
      <c r="F18" t="n">
        <v>6</v>
      </c>
      <c r="G18" t="n">
        <v>3</v>
      </c>
      <c r="H18" t="n">
        <v>3</v>
      </c>
      <c r="I18" t="n">
        <v>3</v>
      </c>
      <c r="J18" t="n">
        <v>3</v>
      </c>
      <c r="K18" t="n">
        <v>2</v>
      </c>
      <c r="L18" t="n">
        <v>2</v>
      </c>
      <c r="M18" t="n">
        <v>1</v>
      </c>
      <c r="N18" t="n">
        <v>1</v>
      </c>
      <c r="O18" t="n">
        <v>2</v>
      </c>
      <c r="P18" t="n">
        <v>2</v>
      </c>
      <c r="Q18" t="n">
        <v>2</v>
      </c>
      <c r="R18" t="n">
        <v>2</v>
      </c>
      <c r="S18" t="n">
        <v>2</v>
      </c>
      <c r="T18" t="n">
        <v>3</v>
      </c>
      <c r="U18" t="n">
        <v>2</v>
      </c>
      <c r="V18" t="n">
        <v>2</v>
      </c>
      <c r="W18" t="n">
        <v>2</v>
      </c>
      <c r="X18" t="n">
        <v>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26</v>
      </c>
      <c r="B19" t="s">
        <v>308</v>
      </c>
      <c r="C19" t="s">
        <v>236</v>
      </c>
      <c r="D19" t="s">
        <v>309</v>
      </c>
      <c r="E19" t="s">
        <v>237</v>
      </c>
      <c r="F19" t="n">
        <v>12</v>
      </c>
      <c r="G19" t="n">
        <v>7</v>
      </c>
      <c r="H19" t="n">
        <v>7</v>
      </c>
      <c r="I19" t="n">
        <v>9</v>
      </c>
      <c r="J19" t="n">
        <v>9</v>
      </c>
      <c r="K19" t="n">
        <v>5</v>
      </c>
      <c r="L19" t="n">
        <v>2</v>
      </c>
      <c r="M19" t="n">
        <v>2</v>
      </c>
      <c r="N19" t="n">
        <v>1</v>
      </c>
      <c r="O19" t="n">
        <v>2</v>
      </c>
      <c r="P19" t="n">
        <v>2</v>
      </c>
      <c r="Q19" t="n">
        <v>3</v>
      </c>
      <c r="R19" t="n">
        <v>4</v>
      </c>
      <c r="S19" t="n">
        <v>4</v>
      </c>
      <c r="T19" t="n">
        <v>2</v>
      </c>
      <c r="U19" t="n">
        <v>2</v>
      </c>
      <c r="V19" t="n">
        <v>2</v>
      </c>
      <c r="W19" t="n">
        <v>2</v>
      </c>
      <c r="X19" t="n">
        <v>2</v>
      </c>
      <c r="Y19" t="n">
        <v>4</v>
      </c>
      <c r="Z19" t="n">
        <v>4</v>
      </c>
      <c r="AA19" t="n">
        <v>4</v>
      </c>
      <c r="AB19" t="n">
        <v>3</v>
      </c>
      <c r="AC19" t="n">
        <v>3</v>
      </c>
      <c r="AD19" t="n">
        <v>2</v>
      </c>
      <c r="AE19" t="n">
        <v>2</v>
      </c>
      <c r="AF19" t="n">
        <v>1</v>
      </c>
    </row>
    <row r="20">
      <c r="A20" t="s">
        <v>26</v>
      </c>
      <c r="B20" t="s">
        <v>310</v>
      </c>
      <c r="C20" t="s">
        <v>236</v>
      </c>
      <c r="D20" t="s">
        <v>311</v>
      </c>
      <c r="E20" t="s">
        <v>237</v>
      </c>
      <c r="F20" t="n">
        <v>58</v>
      </c>
      <c r="G20" t="n">
        <v>30</v>
      </c>
      <c r="H20" t="n">
        <v>34</v>
      </c>
      <c r="I20" t="n">
        <v>26</v>
      </c>
      <c r="J20" t="n">
        <v>25</v>
      </c>
      <c r="K20" t="n">
        <v>25</v>
      </c>
      <c r="L20" t="n">
        <v>10</v>
      </c>
      <c r="M20" t="n">
        <v>16</v>
      </c>
      <c r="N20" t="n">
        <v>14</v>
      </c>
      <c r="O20" t="n">
        <v>22</v>
      </c>
      <c r="P20" t="n">
        <v>21</v>
      </c>
      <c r="Q20" t="n">
        <v>15</v>
      </c>
      <c r="R20" t="n">
        <v>17</v>
      </c>
      <c r="S20" t="n">
        <v>11</v>
      </c>
      <c r="T20" t="n">
        <v>22</v>
      </c>
      <c r="U20" t="n">
        <v>12</v>
      </c>
      <c r="V20" t="n">
        <v>11</v>
      </c>
      <c r="W20" t="n">
        <v>9</v>
      </c>
      <c r="X20" t="n">
        <v>9</v>
      </c>
      <c r="Y20" t="n">
        <v>8</v>
      </c>
      <c r="Z20" t="n">
        <v>10</v>
      </c>
      <c r="AA20" t="n">
        <v>12</v>
      </c>
      <c r="AB20" t="n">
        <v>11</v>
      </c>
      <c r="AC20" t="n">
        <v>10</v>
      </c>
      <c r="AD20" t="n">
        <v>8</v>
      </c>
      <c r="AE20" t="n">
        <v>9</v>
      </c>
      <c r="AF20" t="n">
        <v>9</v>
      </c>
    </row>
    <row r="21">
      <c r="A21" t="s">
        <v>26</v>
      </c>
      <c r="B21" t="s">
        <v>312</v>
      </c>
      <c r="C21" t="s">
        <v>236</v>
      </c>
      <c r="D21" t="s">
        <v>313</v>
      </c>
      <c r="E21" t="s">
        <v>237</v>
      </c>
      <c r="F21" t="n">
        <v>62</v>
      </c>
      <c r="G21" t="n">
        <v>32</v>
      </c>
      <c r="H21" t="n">
        <v>35</v>
      </c>
      <c r="I21" t="n">
        <v>27</v>
      </c>
      <c r="J21" t="n">
        <v>26</v>
      </c>
      <c r="K21" t="n">
        <v>27</v>
      </c>
      <c r="L21" t="n">
        <v>10</v>
      </c>
      <c r="M21" t="n">
        <v>16</v>
      </c>
      <c r="N21" t="n">
        <v>15</v>
      </c>
      <c r="O21" t="n">
        <v>22</v>
      </c>
      <c r="P21" t="n">
        <v>23</v>
      </c>
      <c r="Q21" t="n">
        <v>16</v>
      </c>
      <c r="R21" t="n">
        <v>19</v>
      </c>
      <c r="S21" t="n">
        <v>12</v>
      </c>
      <c r="T21" t="n">
        <v>24</v>
      </c>
      <c r="U21" t="n">
        <v>14</v>
      </c>
      <c r="V21" t="n">
        <v>14</v>
      </c>
      <c r="W21" t="n">
        <v>13</v>
      </c>
      <c r="X21" t="n">
        <v>13</v>
      </c>
      <c r="Y21" t="n">
        <v>11</v>
      </c>
      <c r="Z21" t="n">
        <v>14</v>
      </c>
      <c r="AA21" t="n">
        <v>17</v>
      </c>
      <c r="AB21" t="n">
        <v>16</v>
      </c>
      <c r="AC21" t="n">
        <v>15</v>
      </c>
      <c r="AD21" t="n">
        <v>13</v>
      </c>
      <c r="AE21" t="n">
        <v>13</v>
      </c>
      <c r="AF21" t="n">
        <v>13</v>
      </c>
    </row>
    <row r="22">
      <c r="A22" t="s">
        <v>26</v>
      </c>
      <c r="B22" t="s">
        <v>314</v>
      </c>
      <c r="C22" t="s">
        <v>236</v>
      </c>
      <c r="D22" t="s">
        <v>315</v>
      </c>
      <c r="E22" t="s">
        <v>237</v>
      </c>
      <c r="F22" t="n">
        <v>4</v>
      </c>
      <c r="G22" t="n">
        <v>2</v>
      </c>
      <c r="H22" t="n">
        <v>1</v>
      </c>
      <c r="I22" t="n">
        <v>1</v>
      </c>
      <c r="J22" t="n">
        <v>1</v>
      </c>
      <c r="K22" t="n">
        <v>2</v>
      </c>
      <c r="L22" t="n">
        <v>0</v>
      </c>
      <c r="M22" t="n">
        <v>0</v>
      </c>
      <c r="N22" t="n">
        <v>1</v>
      </c>
      <c r="O22" t="n">
        <v>0</v>
      </c>
      <c r="P22" t="n">
        <v>2</v>
      </c>
      <c r="Q22" t="n">
        <v>1</v>
      </c>
      <c r="R22" t="n">
        <v>2</v>
      </c>
      <c r="S22" t="n">
        <v>1</v>
      </c>
      <c r="T22" t="n">
        <v>2</v>
      </c>
      <c r="U22" t="n">
        <v>2</v>
      </c>
      <c r="V22" t="n">
        <v>3</v>
      </c>
      <c r="W22" t="n">
        <v>4</v>
      </c>
      <c r="X22" t="n">
        <v>4</v>
      </c>
      <c r="Y22" t="n">
        <v>3</v>
      </c>
      <c r="Z22" t="n">
        <v>4</v>
      </c>
      <c r="AA22" t="n">
        <v>5</v>
      </c>
      <c r="AB22" t="n">
        <v>5</v>
      </c>
      <c r="AC22" t="n">
        <v>5</v>
      </c>
      <c r="AD22" t="n">
        <v>5</v>
      </c>
      <c r="AE22" t="n">
        <v>4</v>
      </c>
      <c r="AF22" t="n">
        <v>4</v>
      </c>
    </row>
    <row r="23">
      <c r="A23" t="s">
        <v>26</v>
      </c>
      <c r="B23" t="s">
        <v>316</v>
      </c>
      <c r="C23" t="s">
        <v>236</v>
      </c>
      <c r="D23" t="s">
        <v>317</v>
      </c>
      <c r="E23" t="s">
        <v>237</v>
      </c>
      <c r="F23" t="n">
        <v>26</v>
      </c>
      <c r="G23" t="n">
        <v>14</v>
      </c>
      <c r="H23" t="n">
        <v>15</v>
      </c>
      <c r="I23" t="n">
        <v>16</v>
      </c>
      <c r="J23" t="n">
        <v>24</v>
      </c>
      <c r="K23" t="n">
        <v>20</v>
      </c>
      <c r="L23" t="n">
        <v>8</v>
      </c>
      <c r="M23" t="n">
        <v>9</v>
      </c>
      <c r="N23" t="n">
        <v>13</v>
      </c>
      <c r="O23" t="n">
        <v>15</v>
      </c>
      <c r="P23" t="n">
        <v>17</v>
      </c>
      <c r="Q23" t="n">
        <v>12</v>
      </c>
      <c r="R23" t="n">
        <v>13</v>
      </c>
      <c r="S23" t="n">
        <v>15</v>
      </c>
      <c r="T23" t="n">
        <v>10</v>
      </c>
      <c r="U23" t="n">
        <v>7</v>
      </c>
      <c r="V23" t="n">
        <v>8</v>
      </c>
      <c r="W23" t="n">
        <v>7</v>
      </c>
      <c r="X23" t="n">
        <v>7</v>
      </c>
      <c r="Y23" t="n">
        <v>7</v>
      </c>
      <c r="Z23" t="n">
        <v>4</v>
      </c>
      <c r="AA23" t="n">
        <v>4</v>
      </c>
      <c r="AB23" t="n">
        <v>3</v>
      </c>
      <c r="AC23" t="n">
        <v>4</v>
      </c>
      <c r="AD23" t="n">
        <v>2</v>
      </c>
      <c r="AE23" t="n">
        <v>2</v>
      </c>
      <c r="AF23" t="n">
        <v>2</v>
      </c>
    </row>
    <row r="24">
      <c r="A24" t="s">
        <v>26</v>
      </c>
      <c r="B24" t="s">
        <v>318</v>
      </c>
      <c r="C24" t="s">
        <v>236</v>
      </c>
      <c r="D24" t="s">
        <v>319</v>
      </c>
      <c r="E24" t="s">
        <v>237</v>
      </c>
      <c r="F24" t="n">
        <v>80</v>
      </c>
      <c r="G24" t="n">
        <v>49</v>
      </c>
      <c r="H24" t="n">
        <v>60</v>
      </c>
      <c r="I24" t="n">
        <v>76</v>
      </c>
      <c r="J24" t="n">
        <v>76</v>
      </c>
      <c r="K24" t="n">
        <v>50</v>
      </c>
      <c r="L24" t="n">
        <v>22</v>
      </c>
      <c r="M24" t="n">
        <v>24</v>
      </c>
      <c r="N24" t="n">
        <v>30</v>
      </c>
      <c r="O24" t="n">
        <v>29</v>
      </c>
      <c r="P24" t="n">
        <v>29</v>
      </c>
      <c r="Q24" t="n">
        <v>25</v>
      </c>
      <c r="R24" t="n">
        <v>34</v>
      </c>
      <c r="S24" t="n">
        <v>52</v>
      </c>
      <c r="T24" t="n">
        <v>36</v>
      </c>
      <c r="U24" t="n">
        <v>35</v>
      </c>
      <c r="V24" t="n">
        <v>33</v>
      </c>
      <c r="W24" t="n">
        <v>41</v>
      </c>
      <c r="X24" t="n">
        <v>32</v>
      </c>
      <c r="Y24" t="n">
        <v>39</v>
      </c>
      <c r="Z24" t="n">
        <v>35</v>
      </c>
      <c r="AA24" t="n">
        <v>43</v>
      </c>
      <c r="AB24" t="n">
        <v>30</v>
      </c>
      <c r="AC24" t="n">
        <v>32</v>
      </c>
      <c r="AD24" t="n">
        <v>21</v>
      </c>
      <c r="AE24" t="n">
        <v>14</v>
      </c>
      <c r="AF24" t="n">
        <v>12</v>
      </c>
    </row>
    <row r="25">
      <c r="A25" t="s">
        <v>26</v>
      </c>
      <c r="B25" t="s">
        <v>320</v>
      </c>
      <c r="C25" t="s">
        <v>236</v>
      </c>
      <c r="D25" t="s">
        <v>321</v>
      </c>
      <c r="E25" t="s">
        <v>237</v>
      </c>
      <c r="F25" t="n">
        <v>9</v>
      </c>
      <c r="G25" t="n">
        <v>5</v>
      </c>
      <c r="H25" t="n">
        <v>7</v>
      </c>
      <c r="I25" t="n">
        <v>10</v>
      </c>
      <c r="J25" t="n">
        <v>9</v>
      </c>
      <c r="K25" t="n">
        <v>5</v>
      </c>
      <c r="L25" t="n">
        <v>2</v>
      </c>
      <c r="M25" t="n">
        <v>2</v>
      </c>
      <c r="N25" t="n">
        <v>2</v>
      </c>
      <c r="O25" t="n">
        <v>3</v>
      </c>
      <c r="P25" t="n">
        <v>2</v>
      </c>
      <c r="Q25" t="n">
        <v>3</v>
      </c>
      <c r="R25" t="n">
        <v>2</v>
      </c>
      <c r="S25" t="n">
        <v>9</v>
      </c>
      <c r="T25" t="n">
        <v>4</v>
      </c>
      <c r="U25" t="n">
        <v>5</v>
      </c>
      <c r="V25" t="n">
        <v>5</v>
      </c>
      <c r="W25" t="n">
        <v>3</v>
      </c>
      <c r="X25" t="n">
        <v>3</v>
      </c>
      <c r="Y25" t="n">
        <v>5</v>
      </c>
      <c r="Z25" t="n">
        <v>4</v>
      </c>
      <c r="AA25" t="n">
        <v>7</v>
      </c>
      <c r="AB25" t="n">
        <v>4</v>
      </c>
      <c r="AC25" t="n">
        <v>4</v>
      </c>
      <c r="AD25" t="n">
        <v>3</v>
      </c>
      <c r="AE25" t="n">
        <v>2</v>
      </c>
      <c r="AF25" t="n">
        <v>2</v>
      </c>
    </row>
    <row r="26">
      <c r="A26" t="s">
        <v>26</v>
      </c>
      <c r="B26" t="s">
        <v>322</v>
      </c>
      <c r="C26" t="s">
        <v>236</v>
      </c>
      <c r="D26" t="s">
        <v>323</v>
      </c>
      <c r="E26" t="s">
        <v>237</v>
      </c>
      <c r="F26" t="n">
        <v>44</v>
      </c>
      <c r="G26" t="n">
        <v>29</v>
      </c>
      <c r="H26" t="n">
        <v>38</v>
      </c>
      <c r="I26" t="n">
        <v>43</v>
      </c>
      <c r="J26" t="n">
        <v>41</v>
      </c>
      <c r="K26" t="n">
        <v>29</v>
      </c>
      <c r="L26" t="n">
        <v>13</v>
      </c>
      <c r="M26" t="n">
        <v>14</v>
      </c>
      <c r="N26" t="n">
        <v>16</v>
      </c>
      <c r="O26" t="n">
        <v>16</v>
      </c>
      <c r="P26" t="n">
        <v>17</v>
      </c>
      <c r="Q26" t="n">
        <v>12</v>
      </c>
      <c r="R26" t="n">
        <v>20</v>
      </c>
      <c r="S26" t="n">
        <v>28</v>
      </c>
      <c r="T26" t="n">
        <v>19</v>
      </c>
      <c r="U26" t="n">
        <v>18</v>
      </c>
      <c r="V26" t="n">
        <v>17</v>
      </c>
      <c r="W26" t="n">
        <v>21</v>
      </c>
      <c r="X26" t="n">
        <v>15</v>
      </c>
      <c r="Y26" t="n">
        <v>20</v>
      </c>
      <c r="Z26" t="n">
        <v>17</v>
      </c>
      <c r="AA26" t="n">
        <v>21</v>
      </c>
      <c r="AB26" t="n">
        <v>15</v>
      </c>
      <c r="AC26" t="n">
        <v>17</v>
      </c>
      <c r="AD26" t="n">
        <v>10</v>
      </c>
      <c r="AE26" t="n">
        <v>6</v>
      </c>
      <c r="AF26" t="n">
        <v>4</v>
      </c>
    </row>
    <row r="27">
      <c r="A27" t="s">
        <v>26</v>
      </c>
      <c r="B27" t="s">
        <v>324</v>
      </c>
      <c r="C27" t="s">
        <v>236</v>
      </c>
      <c r="D27" t="s">
        <v>325</v>
      </c>
      <c r="E27" t="s">
        <v>237</v>
      </c>
      <c r="F27" t="n">
        <v>27</v>
      </c>
      <c r="G27" t="n">
        <v>15</v>
      </c>
      <c r="H27" t="n">
        <v>15</v>
      </c>
      <c r="I27" t="n">
        <v>23</v>
      </c>
      <c r="J27" t="n">
        <v>26</v>
      </c>
      <c r="K27" t="n">
        <v>16</v>
      </c>
      <c r="L27" t="n">
        <v>7</v>
      </c>
      <c r="M27" t="n">
        <v>8</v>
      </c>
      <c r="N27" t="n">
        <v>12</v>
      </c>
      <c r="O27" t="n">
        <v>10</v>
      </c>
      <c r="P27" t="n">
        <v>10</v>
      </c>
      <c r="Q27" t="n">
        <v>10</v>
      </c>
      <c r="R27" t="n">
        <v>12</v>
      </c>
      <c r="S27" t="n">
        <v>15</v>
      </c>
      <c r="T27" t="n">
        <v>13</v>
      </c>
      <c r="U27" t="n">
        <v>12</v>
      </c>
      <c r="V27" t="n">
        <v>11</v>
      </c>
      <c r="W27" t="n">
        <v>17</v>
      </c>
      <c r="X27" t="n">
        <v>14</v>
      </c>
      <c r="Y27" t="n">
        <v>14</v>
      </c>
      <c r="Z27" t="n">
        <v>14</v>
      </c>
      <c r="AA27" t="n">
        <v>15</v>
      </c>
      <c r="AB27" t="n">
        <v>11</v>
      </c>
      <c r="AC27" t="n">
        <v>11</v>
      </c>
      <c r="AD27" t="n">
        <v>8</v>
      </c>
      <c r="AE27" t="n">
        <v>6</v>
      </c>
      <c r="AF27" t="n">
        <v>6</v>
      </c>
    </row>
    <row r="28">
      <c r="A28" t="s">
        <v>26</v>
      </c>
      <c r="B28" t="s">
        <v>326</v>
      </c>
      <c r="C28" t="s">
        <v>236</v>
      </c>
      <c r="D28" t="s">
        <v>327</v>
      </c>
      <c r="E28" t="s">
        <v>237</v>
      </c>
      <c r="F28" t="n">
        <v>59</v>
      </c>
      <c r="G28" t="n">
        <v>19</v>
      </c>
      <c r="H28" t="n">
        <v>13</v>
      </c>
      <c r="I28" t="n">
        <v>22</v>
      </c>
      <c r="J28" t="n">
        <v>21</v>
      </c>
      <c r="K28" t="n">
        <v>12</v>
      </c>
      <c r="L28" t="n">
        <v>2</v>
      </c>
      <c r="M28" t="n">
        <v>2</v>
      </c>
      <c r="N28" t="n">
        <v>6</v>
      </c>
      <c r="O28" t="n">
        <v>6</v>
      </c>
      <c r="P28" t="n">
        <v>7</v>
      </c>
      <c r="Q28" t="n">
        <v>9</v>
      </c>
      <c r="R28" t="n">
        <v>11</v>
      </c>
      <c r="S28" t="n">
        <v>13</v>
      </c>
      <c r="T28" t="n">
        <v>14</v>
      </c>
      <c r="U28" t="n">
        <v>10</v>
      </c>
      <c r="V28" t="n">
        <v>11</v>
      </c>
      <c r="W28" t="n">
        <v>10</v>
      </c>
      <c r="X28" t="n">
        <v>11</v>
      </c>
      <c r="Y28" t="n">
        <v>12</v>
      </c>
      <c r="Z28" t="n">
        <v>11</v>
      </c>
      <c r="AA28" t="n">
        <v>16</v>
      </c>
      <c r="AB28" t="n">
        <v>11</v>
      </c>
      <c r="AC28" t="n">
        <v>10</v>
      </c>
      <c r="AD28" t="n">
        <v>12</v>
      </c>
      <c r="AE28" t="n">
        <v>7</v>
      </c>
      <c r="AF28" t="n">
        <v>8</v>
      </c>
    </row>
    <row r="29">
      <c r="A29" t="s">
        <v>26</v>
      </c>
      <c r="B29" t="s">
        <v>328</v>
      </c>
      <c r="C29" t="s">
        <v>236</v>
      </c>
      <c r="D29" t="s">
        <v>329</v>
      </c>
      <c r="E29" t="s">
        <v>237</v>
      </c>
      <c r="F29" t="n">
        <v>8</v>
      </c>
      <c r="G29" t="n">
        <v>2</v>
      </c>
      <c r="H29" t="n">
        <v>0</v>
      </c>
      <c r="I29" t="n">
        <v>2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5</v>
      </c>
      <c r="AB29" t="n">
        <v>4</v>
      </c>
      <c r="AC29" t="n">
        <v>5</v>
      </c>
      <c r="AD29" t="n">
        <v>4</v>
      </c>
      <c r="AE29" t="n">
        <v>2</v>
      </c>
      <c r="AF29" t="n">
        <v>3</v>
      </c>
    </row>
    <row r="30">
      <c r="A30" t="s">
        <v>26</v>
      </c>
      <c r="B30" t="s">
        <v>330</v>
      </c>
      <c r="C30" t="s">
        <v>236</v>
      </c>
      <c r="D30" t="s">
        <v>331</v>
      </c>
      <c r="E30" t="s">
        <v>237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  <c r="Q30" t="n">
        <v>2</v>
      </c>
      <c r="R30" t="n">
        <v>1</v>
      </c>
      <c r="S30" t="n">
        <v>1</v>
      </c>
      <c r="T30" t="n">
        <v>1</v>
      </c>
      <c r="U30" t="n">
        <v>1</v>
      </c>
      <c r="V30" t="n">
        <v>5</v>
      </c>
      <c r="W30" t="n">
        <v>3</v>
      </c>
      <c r="X30" t="n">
        <v>3</v>
      </c>
      <c r="Y30" t="n">
        <v>2</v>
      </c>
      <c r="Z30" t="n">
        <v>2</v>
      </c>
      <c r="AA30" t="n">
        <v>2</v>
      </c>
      <c r="AB30" t="n">
        <v>1</v>
      </c>
      <c r="AC30" t="n">
        <v>1</v>
      </c>
      <c r="AD30" t="n">
        <v>1</v>
      </c>
      <c r="AE30" t="n">
        <v>2</v>
      </c>
      <c r="AF30" t="n">
        <v>0</v>
      </c>
    </row>
    <row r="31">
      <c r="A31" t="s">
        <v>26</v>
      </c>
      <c r="B31" t="s">
        <v>332</v>
      </c>
      <c r="C31" t="s">
        <v>236</v>
      </c>
      <c r="D31" t="s">
        <v>333</v>
      </c>
      <c r="E31" t="s">
        <v>237</v>
      </c>
      <c r="F31" t="n">
        <v>1</v>
      </c>
      <c r="G31" t="n">
        <v>0</v>
      </c>
      <c r="H31" t="n">
        <v>0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26</v>
      </c>
      <c r="B32" t="s">
        <v>334</v>
      </c>
      <c r="C32" t="s">
        <v>236</v>
      </c>
      <c r="D32" t="s">
        <v>335</v>
      </c>
      <c r="E32" t="s">
        <v>237</v>
      </c>
      <c r="F32" t="n">
        <v>34</v>
      </c>
      <c r="G32" t="n">
        <v>13</v>
      </c>
      <c r="H32" t="n">
        <v>9</v>
      </c>
      <c r="I32" t="n">
        <v>12</v>
      </c>
      <c r="J32" t="n">
        <v>10</v>
      </c>
      <c r="K32" t="n">
        <v>7</v>
      </c>
      <c r="L32" t="n">
        <v>1</v>
      </c>
      <c r="M32" t="n">
        <v>1</v>
      </c>
      <c r="N32" t="n">
        <v>5</v>
      </c>
      <c r="O32" t="n">
        <v>6</v>
      </c>
      <c r="P32" t="n">
        <v>5</v>
      </c>
      <c r="Q32" t="n">
        <v>6</v>
      </c>
      <c r="R32" t="n">
        <v>8</v>
      </c>
      <c r="S32" t="n">
        <v>8</v>
      </c>
      <c r="T32" t="n">
        <v>10</v>
      </c>
      <c r="U32" t="n">
        <v>5</v>
      </c>
      <c r="V32" t="n">
        <v>4</v>
      </c>
      <c r="W32" t="n">
        <v>5</v>
      </c>
      <c r="X32" t="n">
        <v>6</v>
      </c>
      <c r="Y32" t="n">
        <v>7</v>
      </c>
      <c r="Z32" t="n">
        <v>7</v>
      </c>
      <c r="AA32" t="n">
        <v>7</v>
      </c>
      <c r="AB32" t="n">
        <v>3</v>
      </c>
      <c r="AC32" t="n">
        <v>2</v>
      </c>
      <c r="AD32" t="n">
        <v>6</v>
      </c>
      <c r="AE32" t="n">
        <v>2</v>
      </c>
      <c r="AF32" t="n">
        <v>4</v>
      </c>
    </row>
    <row r="33">
      <c r="A33" t="s">
        <v>26</v>
      </c>
      <c r="B33" t="s">
        <v>336</v>
      </c>
      <c r="C33" t="s">
        <v>236</v>
      </c>
      <c r="D33" t="s">
        <v>337</v>
      </c>
      <c r="E33" t="s">
        <v>237</v>
      </c>
      <c r="F33" t="n">
        <v>16</v>
      </c>
      <c r="G33" t="n">
        <v>4</v>
      </c>
      <c r="H33" t="n">
        <v>4</v>
      </c>
      <c r="I33" t="n">
        <v>7</v>
      </c>
      <c r="J33" t="n">
        <v>9</v>
      </c>
      <c r="K33" t="n">
        <v>5</v>
      </c>
      <c r="L33" t="n">
        <v>1</v>
      </c>
      <c r="M33" t="n">
        <v>1</v>
      </c>
      <c r="N33" t="n">
        <v>1</v>
      </c>
      <c r="O33" t="n">
        <v>0</v>
      </c>
      <c r="P33" t="n">
        <v>0</v>
      </c>
      <c r="Q33" t="n">
        <v>0</v>
      </c>
      <c r="R33" t="n">
        <v>1</v>
      </c>
      <c r="S33" t="n">
        <v>1</v>
      </c>
      <c r="T33" t="n">
        <v>2</v>
      </c>
      <c r="U33" t="n">
        <v>3</v>
      </c>
      <c r="V33" t="n">
        <v>1</v>
      </c>
      <c r="W33" t="n">
        <v>1</v>
      </c>
      <c r="X33" t="n">
        <v>1</v>
      </c>
      <c r="Y33" t="n">
        <v>2</v>
      </c>
      <c r="Z33" t="n">
        <v>1</v>
      </c>
      <c r="AA33" t="n">
        <v>2</v>
      </c>
      <c r="AB33" t="n">
        <v>3</v>
      </c>
      <c r="AC33" t="n">
        <v>2</v>
      </c>
      <c r="AD33" t="n">
        <v>1</v>
      </c>
      <c r="AE33" t="n">
        <v>1</v>
      </c>
      <c r="AF33" t="n">
        <v>1</v>
      </c>
    </row>
    <row r="34">
      <c r="A34" t="s">
        <v>26</v>
      </c>
      <c r="B34" t="s">
        <v>338</v>
      </c>
      <c r="C34" t="s">
        <v>236</v>
      </c>
      <c r="D34" t="s">
        <v>339</v>
      </c>
      <c r="E34" t="s">
        <v>237</v>
      </c>
      <c r="F34" t="n">
        <v>9</v>
      </c>
      <c r="G34" t="n">
        <v>7</v>
      </c>
      <c r="H34" t="n">
        <v>7</v>
      </c>
      <c r="I34" t="n">
        <v>12</v>
      </c>
      <c r="J34" t="n">
        <v>10</v>
      </c>
      <c r="K34" t="n">
        <v>8</v>
      </c>
      <c r="L34" t="n">
        <v>2</v>
      </c>
      <c r="M34" t="n">
        <v>3</v>
      </c>
      <c r="N34" t="n">
        <v>4</v>
      </c>
      <c r="O34" t="n">
        <v>4</v>
      </c>
      <c r="P34" t="n">
        <v>4</v>
      </c>
      <c r="Q34" t="n">
        <v>3</v>
      </c>
      <c r="R34" t="n">
        <v>5</v>
      </c>
      <c r="S34" t="n">
        <v>9</v>
      </c>
      <c r="T34" t="n">
        <v>8</v>
      </c>
      <c r="U34" t="n">
        <v>4</v>
      </c>
      <c r="V34" t="n">
        <v>5</v>
      </c>
      <c r="W34" t="n">
        <v>5</v>
      </c>
      <c r="X34" t="n">
        <v>3</v>
      </c>
      <c r="Y34" t="n">
        <v>3</v>
      </c>
      <c r="Z34" t="n">
        <v>3</v>
      </c>
      <c r="AA34" t="n">
        <v>4</v>
      </c>
      <c r="AB34" t="n">
        <v>2</v>
      </c>
      <c r="AC34" t="n">
        <v>4</v>
      </c>
      <c r="AD34" t="n">
        <v>3</v>
      </c>
      <c r="AE34" t="n">
        <v>2</v>
      </c>
      <c r="AF34" t="n">
        <v>2</v>
      </c>
    </row>
    <row r="35">
      <c r="A35" t="s">
        <v>26</v>
      </c>
      <c r="B35" t="s">
        <v>340</v>
      </c>
      <c r="C35" t="s">
        <v>236</v>
      </c>
      <c r="D35" t="s">
        <v>341</v>
      </c>
      <c r="E35" t="s">
        <v>237</v>
      </c>
      <c r="F35" t="n">
        <v>157</v>
      </c>
      <c r="G35" t="n">
        <v>119</v>
      </c>
      <c r="H35" t="n">
        <v>117</v>
      </c>
      <c r="I35" t="n">
        <v>157</v>
      </c>
      <c r="J35" t="n">
        <v>161</v>
      </c>
      <c r="K35" t="n">
        <v>138</v>
      </c>
      <c r="L35" t="n">
        <v>64</v>
      </c>
      <c r="M35" t="n">
        <v>73</v>
      </c>
      <c r="N35" t="n">
        <v>63</v>
      </c>
      <c r="O35" t="n">
        <v>87</v>
      </c>
      <c r="P35" t="n">
        <v>133</v>
      </c>
      <c r="Q35" t="n">
        <v>113</v>
      </c>
      <c r="R35" t="n">
        <v>105</v>
      </c>
      <c r="S35" t="n">
        <v>129</v>
      </c>
      <c r="T35" t="n">
        <v>87</v>
      </c>
      <c r="U35" t="n">
        <v>144</v>
      </c>
      <c r="V35" t="n">
        <v>151</v>
      </c>
      <c r="W35" t="n">
        <v>159</v>
      </c>
      <c r="X35" t="n">
        <v>151</v>
      </c>
      <c r="Y35" t="n">
        <v>222</v>
      </c>
      <c r="Z35" t="n">
        <v>358</v>
      </c>
      <c r="AA35" t="n">
        <v>341</v>
      </c>
      <c r="AB35" t="n">
        <v>374</v>
      </c>
      <c r="AC35" t="n">
        <v>700</v>
      </c>
      <c r="AD35" t="n">
        <v>258</v>
      </c>
      <c r="AE35" t="n">
        <v>216</v>
      </c>
      <c r="AF35" t="n">
        <v>247</v>
      </c>
    </row>
    <row r="36">
      <c r="A36" t="s">
        <v>26</v>
      </c>
      <c r="B36" t="s">
        <v>342</v>
      </c>
      <c r="C36" t="s">
        <v>236</v>
      </c>
      <c r="D36" t="s">
        <v>343</v>
      </c>
      <c r="E36" t="s">
        <v>237</v>
      </c>
      <c r="F36" t="n">
        <v>15</v>
      </c>
      <c r="G36" t="n">
        <v>11</v>
      </c>
      <c r="H36" t="n">
        <v>14</v>
      </c>
      <c r="I36" t="n">
        <v>13</v>
      </c>
      <c r="J36" t="n">
        <v>8</v>
      </c>
      <c r="K36" t="n">
        <v>10</v>
      </c>
      <c r="L36" t="n">
        <v>3</v>
      </c>
      <c r="M36" t="n">
        <v>3</v>
      </c>
      <c r="N36" t="n">
        <v>4</v>
      </c>
      <c r="O36" t="n">
        <v>3</v>
      </c>
      <c r="P36" t="n">
        <v>5</v>
      </c>
      <c r="Q36" t="n">
        <v>4</v>
      </c>
      <c r="R36" t="n">
        <v>4</v>
      </c>
      <c r="S36" t="n">
        <v>16</v>
      </c>
      <c r="T36" t="n">
        <v>6</v>
      </c>
      <c r="U36" t="n">
        <v>7</v>
      </c>
      <c r="V36" t="n">
        <v>4</v>
      </c>
      <c r="W36" t="n">
        <v>6</v>
      </c>
      <c r="X36" t="n">
        <v>4</v>
      </c>
      <c r="Y36" t="n">
        <v>3</v>
      </c>
      <c r="Z36" t="n">
        <v>31</v>
      </c>
      <c r="AA36" t="n">
        <v>34</v>
      </c>
      <c r="AB36" t="n">
        <v>37</v>
      </c>
      <c r="AC36" t="n">
        <v>22</v>
      </c>
      <c r="AD36" t="n">
        <v>10</v>
      </c>
      <c r="AE36" t="n">
        <v>5</v>
      </c>
      <c r="AF36" t="n">
        <v>14</v>
      </c>
    </row>
    <row r="37">
      <c r="A37" t="s">
        <v>26</v>
      </c>
      <c r="B37" t="s">
        <v>344</v>
      </c>
      <c r="C37" t="s">
        <v>236</v>
      </c>
      <c r="D37" t="s">
        <v>345</v>
      </c>
      <c r="E37" t="s">
        <v>237</v>
      </c>
      <c r="F37" t="n">
        <v>112</v>
      </c>
      <c r="G37" t="n">
        <v>82</v>
      </c>
      <c r="H37" t="n">
        <v>76</v>
      </c>
      <c r="I37" t="n">
        <v>106</v>
      </c>
      <c r="J37" t="n">
        <v>104</v>
      </c>
      <c r="K37" t="n">
        <v>82</v>
      </c>
      <c r="L37" t="n">
        <v>37</v>
      </c>
      <c r="M37" t="n">
        <v>43</v>
      </c>
      <c r="N37" t="n">
        <v>30</v>
      </c>
      <c r="O37" t="n">
        <v>48</v>
      </c>
      <c r="P37" t="n">
        <v>94</v>
      </c>
      <c r="Q37" t="n">
        <v>41</v>
      </c>
      <c r="R37" t="n">
        <v>34</v>
      </c>
      <c r="S37" t="n">
        <v>44</v>
      </c>
      <c r="T37" t="n">
        <v>27</v>
      </c>
      <c r="U37" t="n">
        <v>42</v>
      </c>
      <c r="V37" t="n">
        <v>55</v>
      </c>
      <c r="W37" t="n">
        <v>55</v>
      </c>
      <c r="X37" t="n">
        <v>56</v>
      </c>
      <c r="Y37" t="n">
        <v>55</v>
      </c>
      <c r="Z37" t="n">
        <v>56</v>
      </c>
      <c r="AA37" t="n">
        <v>62</v>
      </c>
      <c r="AB37" t="n">
        <v>47</v>
      </c>
      <c r="AC37" t="n">
        <v>57</v>
      </c>
      <c r="AD37" t="n">
        <v>45</v>
      </c>
      <c r="AE37" t="n">
        <v>56</v>
      </c>
      <c r="AF37" t="n">
        <v>57</v>
      </c>
    </row>
    <row r="38">
      <c r="A38" t="s">
        <v>26</v>
      </c>
      <c r="B38" t="s">
        <v>346</v>
      </c>
      <c r="C38" t="s">
        <v>236</v>
      </c>
      <c r="D38" t="s">
        <v>347</v>
      </c>
      <c r="E38" t="s">
        <v>237</v>
      </c>
      <c r="F38" t="n">
        <v>30</v>
      </c>
      <c r="G38" t="n">
        <v>26</v>
      </c>
      <c r="H38" t="n">
        <v>27</v>
      </c>
      <c r="I38" t="n">
        <v>38</v>
      </c>
      <c r="J38" t="n">
        <v>49</v>
      </c>
      <c r="K38" t="n">
        <v>46</v>
      </c>
      <c r="L38" t="n">
        <v>24</v>
      </c>
      <c r="M38" t="n">
        <v>27</v>
      </c>
      <c r="N38" t="n">
        <v>29</v>
      </c>
      <c r="O38" t="n">
        <v>36</v>
      </c>
      <c r="P38" t="n">
        <v>34</v>
      </c>
      <c r="Q38" t="n">
        <v>68</v>
      </c>
      <c r="R38" t="n">
        <v>67</v>
      </c>
      <c r="S38" t="n">
        <v>69</v>
      </c>
      <c r="T38" t="n">
        <v>54</v>
      </c>
      <c r="U38" t="n">
        <v>95</v>
      </c>
      <c r="V38" t="n">
        <v>92</v>
      </c>
      <c r="W38" t="n">
        <v>98</v>
      </c>
      <c r="X38" t="n">
        <v>91</v>
      </c>
      <c r="Y38" t="n">
        <v>164</v>
      </c>
      <c r="Z38" t="n">
        <v>271</v>
      </c>
      <c r="AA38" t="n">
        <v>245</v>
      </c>
      <c r="AB38" t="n">
        <v>290</v>
      </c>
      <c r="AC38" t="n">
        <v>621</v>
      </c>
      <c r="AD38" t="n">
        <v>203</v>
      </c>
      <c r="AE38" t="n">
        <v>155</v>
      </c>
      <c r="AF38" t="n">
        <v>176</v>
      </c>
    </row>
    <row r="39">
      <c r="A39" t="s">
        <v>26</v>
      </c>
      <c r="B39" t="s">
        <v>348</v>
      </c>
      <c r="C39" t="s">
        <v>236</v>
      </c>
      <c r="D39" t="s">
        <v>349</v>
      </c>
      <c r="E39" t="s">
        <v>237</v>
      </c>
      <c r="F39" t="n">
        <v>12</v>
      </c>
      <c r="G39" t="n">
        <v>29</v>
      </c>
      <c r="H39" t="n">
        <v>30</v>
      </c>
      <c r="I39" t="n">
        <v>29</v>
      </c>
      <c r="J39" t="n">
        <v>25</v>
      </c>
      <c r="K39" t="n">
        <v>55</v>
      </c>
      <c r="L39" t="n">
        <v>38</v>
      </c>
      <c r="M39" t="n">
        <v>46</v>
      </c>
      <c r="N39" t="n">
        <v>55</v>
      </c>
      <c r="O39" t="n">
        <v>23</v>
      </c>
      <c r="P39" t="n">
        <v>45</v>
      </c>
      <c r="Q39" t="n">
        <v>3</v>
      </c>
      <c r="R39" t="n">
        <v>41</v>
      </c>
      <c r="S39" t="n">
        <v>50</v>
      </c>
      <c r="T39" t="n">
        <v>33</v>
      </c>
      <c r="U39" t="n">
        <v>34</v>
      </c>
      <c r="V39" t="n">
        <v>35</v>
      </c>
      <c r="W39" t="n">
        <v>34</v>
      </c>
      <c r="X39" t="n">
        <v>45</v>
      </c>
      <c r="Y39" t="n">
        <v>44</v>
      </c>
      <c r="Z39" t="n">
        <v>42</v>
      </c>
      <c r="AA39" t="n">
        <v>41</v>
      </c>
      <c r="AB39" t="n">
        <v>109</v>
      </c>
      <c r="AC39" t="n">
        <v>62</v>
      </c>
      <c r="AD39" t="n">
        <v>100</v>
      </c>
      <c r="AE39" t="n">
        <v>78</v>
      </c>
      <c r="AF39" t="n">
        <v>74</v>
      </c>
    </row>
    <row r="40">
      <c r="A40" t="s">
        <v>26</v>
      </c>
      <c r="B40" t="s">
        <v>350</v>
      </c>
      <c r="C40" t="s">
        <v>236</v>
      </c>
      <c r="D40" t="s">
        <v>351</v>
      </c>
      <c r="E40" t="s">
        <v>237</v>
      </c>
      <c r="F40" t="n">
        <v>2</v>
      </c>
      <c r="G40" t="n">
        <v>1</v>
      </c>
      <c r="H40" t="n">
        <v>2</v>
      </c>
      <c r="I40" t="n">
        <v>1</v>
      </c>
      <c r="J40" t="n">
        <v>1</v>
      </c>
      <c r="K40" t="n">
        <v>1</v>
      </c>
      <c r="L40" t="n">
        <v>0</v>
      </c>
      <c r="M40" t="n">
        <v>0</v>
      </c>
      <c r="N40" t="n">
        <v>1</v>
      </c>
      <c r="O40" t="n">
        <v>1</v>
      </c>
      <c r="P40" t="n">
        <v>2</v>
      </c>
      <c r="Q40" t="n">
        <v>2</v>
      </c>
      <c r="R40" t="n">
        <v>2</v>
      </c>
      <c r="S40" t="n">
        <v>12</v>
      </c>
      <c r="T40" t="n">
        <v>5</v>
      </c>
      <c r="U40" t="n">
        <v>3</v>
      </c>
      <c r="V40" t="n">
        <v>3</v>
      </c>
      <c r="W40" t="n">
        <v>4</v>
      </c>
      <c r="X40" t="n">
        <v>6</v>
      </c>
      <c r="Y40" t="n">
        <v>5</v>
      </c>
      <c r="Z40" t="n">
        <v>5</v>
      </c>
      <c r="AA40" t="n">
        <v>6</v>
      </c>
      <c r="AB40" t="n">
        <v>6</v>
      </c>
      <c r="AC40" t="n">
        <v>6</v>
      </c>
      <c r="AD40" t="n">
        <v>5</v>
      </c>
      <c r="AE40" t="n">
        <v>5</v>
      </c>
      <c r="AF40" t="n">
        <v>5</v>
      </c>
    </row>
    <row r="41">
      <c r="A41" t="s">
        <v>26</v>
      </c>
      <c r="B41" t="s">
        <v>352</v>
      </c>
      <c r="C41" t="s">
        <v>236</v>
      </c>
      <c r="D41" t="s">
        <v>353</v>
      </c>
      <c r="E41" t="s">
        <v>237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/>
      <c r="AD41"/>
      <c r="AE41"/>
      <c r="AF41"/>
    </row>
    <row r="42">
      <c r="A42" t="s">
        <v>26</v>
      </c>
      <c r="B42" t="s">
        <v>354</v>
      </c>
      <c r="C42" t="s">
        <v>236</v>
      </c>
      <c r="D42" t="s">
        <v>355</v>
      </c>
      <c r="E42" t="s">
        <v>237</v>
      </c>
      <c r="F42" t="n">
        <v>45</v>
      </c>
      <c r="G42" t="n">
        <v>28</v>
      </c>
      <c r="H42" t="n">
        <v>14</v>
      </c>
      <c r="I42" t="n">
        <v>22</v>
      </c>
      <c r="J42" t="n">
        <v>20</v>
      </c>
      <c r="K42" t="n">
        <v>12</v>
      </c>
      <c r="L42" t="n">
        <v>1</v>
      </c>
      <c r="M42" t="n">
        <v>4</v>
      </c>
      <c r="N42" t="n">
        <v>9</v>
      </c>
      <c r="O42" t="n">
        <v>9</v>
      </c>
      <c r="P42" t="n">
        <v>10</v>
      </c>
      <c r="Q42" t="n">
        <v>16</v>
      </c>
      <c r="R42" t="n">
        <v>20</v>
      </c>
      <c r="S42" t="n">
        <v>52</v>
      </c>
      <c r="T42" t="n">
        <v>12</v>
      </c>
      <c r="U42" t="n">
        <v>18</v>
      </c>
      <c r="V42" t="n">
        <v>100</v>
      </c>
      <c r="W42" t="n">
        <v>43</v>
      </c>
      <c r="X42" t="n">
        <v>34</v>
      </c>
      <c r="Y42" t="n">
        <v>33</v>
      </c>
      <c r="Z42" t="n">
        <v>30</v>
      </c>
      <c r="AA42" t="n">
        <v>41</v>
      </c>
      <c r="AB42" t="n">
        <v>41</v>
      </c>
      <c r="AC42" t="n">
        <v>30</v>
      </c>
      <c r="AD42" t="n">
        <v>30</v>
      </c>
      <c r="AE42" t="n">
        <v>20</v>
      </c>
      <c r="AF42" t="n">
        <v>19</v>
      </c>
    </row>
    <row r="43">
      <c r="A43" t="s">
        <v>26</v>
      </c>
      <c r="B43" t="s">
        <v>356</v>
      </c>
      <c r="C43" t="s">
        <v>236</v>
      </c>
      <c r="D43" t="s">
        <v>357</v>
      </c>
      <c r="E43" t="s">
        <v>237</v>
      </c>
      <c r="F43" t="n">
        <v>53</v>
      </c>
      <c r="G43" t="n">
        <v>30</v>
      </c>
      <c r="H43" t="n">
        <v>15</v>
      </c>
      <c r="I43" t="n">
        <v>25</v>
      </c>
      <c r="J43" t="n">
        <v>22</v>
      </c>
      <c r="K43" t="n">
        <v>14</v>
      </c>
      <c r="L43" t="n">
        <v>1</v>
      </c>
      <c r="M43" t="n">
        <v>4</v>
      </c>
      <c r="N43" t="n">
        <v>9</v>
      </c>
      <c r="O43" t="n">
        <v>9</v>
      </c>
      <c r="P43" t="n">
        <v>11</v>
      </c>
      <c r="Q43" t="n">
        <v>20</v>
      </c>
      <c r="R43" t="n">
        <v>102</v>
      </c>
      <c r="S43" t="n">
        <v>175</v>
      </c>
      <c r="T43" t="n">
        <v>79</v>
      </c>
      <c r="U43" t="n">
        <v>69</v>
      </c>
      <c r="V43" t="n">
        <v>167</v>
      </c>
      <c r="W43" t="n">
        <v>112</v>
      </c>
      <c r="X43" t="n">
        <v>91</v>
      </c>
      <c r="Y43" t="n">
        <v>81</v>
      </c>
      <c r="Z43" t="n">
        <v>55</v>
      </c>
      <c r="AA43" t="n">
        <v>74</v>
      </c>
      <c r="AB43" t="n">
        <v>66</v>
      </c>
      <c r="AC43" t="n">
        <v>58</v>
      </c>
      <c r="AD43" t="n">
        <v>56</v>
      </c>
      <c r="AE43" t="n">
        <v>40</v>
      </c>
      <c r="AF43" t="n">
        <v>40</v>
      </c>
    </row>
    <row r="44">
      <c r="A44" t="s">
        <v>26</v>
      </c>
      <c r="B44" t="s">
        <v>358</v>
      </c>
      <c r="C44" t="s">
        <v>236</v>
      </c>
      <c r="D44" t="s">
        <v>359</v>
      </c>
      <c r="E44" t="s">
        <v>237</v>
      </c>
      <c r="F44" t="n">
        <v>905</v>
      </c>
      <c r="G44" t="n">
        <v>584</v>
      </c>
      <c r="H44" t="n">
        <v>522</v>
      </c>
      <c r="I44" t="n">
        <v>668</v>
      </c>
      <c r="J44" t="n">
        <v>623</v>
      </c>
      <c r="K44" t="n">
        <v>512</v>
      </c>
      <c r="L44" t="n">
        <v>251</v>
      </c>
      <c r="M44" t="n">
        <v>273</v>
      </c>
      <c r="N44" t="n">
        <v>308</v>
      </c>
      <c r="O44" t="n">
        <v>314</v>
      </c>
      <c r="P44" t="n">
        <v>381</v>
      </c>
      <c r="Q44" t="n">
        <v>371</v>
      </c>
      <c r="R44" t="n">
        <v>540</v>
      </c>
      <c r="S44" t="n">
        <v>614</v>
      </c>
      <c r="T44" t="n">
        <v>453</v>
      </c>
      <c r="U44" t="n">
        <v>445</v>
      </c>
      <c r="V44" t="n">
        <v>546</v>
      </c>
      <c r="W44" t="n">
        <v>518</v>
      </c>
      <c r="X44" t="n">
        <v>460</v>
      </c>
      <c r="Y44" t="n">
        <v>531</v>
      </c>
      <c r="Z44" t="n">
        <v>665</v>
      </c>
      <c r="AA44" t="n">
        <v>662</v>
      </c>
      <c r="AB44" t="n">
        <v>738</v>
      </c>
      <c r="AC44" t="n">
        <v>1008</v>
      </c>
      <c r="AD44" t="n">
        <v>583</v>
      </c>
      <c r="AE44" t="n">
        <v>480</v>
      </c>
      <c r="AF44" t="n">
        <v>523</v>
      </c>
    </row>
    <row r="45">
      <c r="A45" t="s">
        <v>26</v>
      </c>
      <c r="B45" t="s">
        <v>360</v>
      </c>
      <c r="C45" t="s">
        <v>236</v>
      </c>
      <c r="D45" t="s">
        <v>361</v>
      </c>
      <c r="E45" t="s">
        <v>237</v>
      </c>
      <c r="F45" t="n">
        <v>847</v>
      </c>
      <c r="G45" t="n">
        <v>557</v>
      </c>
      <c r="H45" t="n">
        <v>494</v>
      </c>
      <c r="I45" t="n">
        <v>633</v>
      </c>
      <c r="J45" t="n">
        <v>589</v>
      </c>
      <c r="K45" t="n">
        <v>490</v>
      </c>
      <c r="L45" t="n">
        <v>242</v>
      </c>
      <c r="M45" t="n">
        <v>262</v>
      </c>
      <c r="N45" t="n">
        <v>294</v>
      </c>
      <c r="O45" t="n">
        <v>299</v>
      </c>
      <c r="P45" t="n">
        <v>367</v>
      </c>
      <c r="Q45" t="n">
        <v>358</v>
      </c>
      <c r="R45" t="n">
        <v>527</v>
      </c>
      <c r="S45" t="n">
        <v>601</v>
      </c>
      <c r="T45" t="n">
        <v>439</v>
      </c>
      <c r="U45" t="n">
        <v>429</v>
      </c>
      <c r="V45" t="n">
        <v>532</v>
      </c>
      <c r="W45" t="n">
        <v>504</v>
      </c>
      <c r="X45" t="n">
        <v>446</v>
      </c>
      <c r="Y45" t="n">
        <v>517</v>
      </c>
      <c r="Z45" t="n">
        <v>651</v>
      </c>
      <c r="AA45" t="n">
        <v>648</v>
      </c>
      <c r="AB45" t="n">
        <v>724</v>
      </c>
      <c r="AC45" t="n">
        <v>997</v>
      </c>
      <c r="AD45" t="n">
        <v>573</v>
      </c>
      <c r="AE45" t="n">
        <v>472</v>
      </c>
      <c r="AF45" t="n">
        <v>515</v>
      </c>
    </row>
    <row r="46">
      <c r="A46" t="s">
        <v>26</v>
      </c>
      <c r="B46" t="s">
        <v>362</v>
      </c>
      <c r="C46" t="s">
        <v>236</v>
      </c>
      <c r="D46" t="s">
        <v>363</v>
      </c>
      <c r="E46" t="s">
        <v>237</v>
      </c>
      <c r="F46" t="n">
        <v>8</v>
      </c>
      <c r="G46" t="n">
        <v>2</v>
      </c>
      <c r="H46" t="n">
        <v>1</v>
      </c>
      <c r="I46" t="n">
        <v>3</v>
      </c>
      <c r="J46" t="n">
        <v>2</v>
      </c>
      <c r="K46" t="n">
        <v>2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n">
        <v>4</v>
      </c>
      <c r="R46" t="n">
        <v>82</v>
      </c>
      <c r="S46" t="n">
        <v>123</v>
      </c>
      <c r="T46" t="n">
        <v>67</v>
      </c>
      <c r="U46" t="n">
        <v>51</v>
      </c>
      <c r="V46" t="n">
        <v>67</v>
      </c>
      <c r="W46" t="n">
        <v>69</v>
      </c>
      <c r="X46" t="n">
        <v>57</v>
      </c>
      <c r="Y46" t="n">
        <v>48</v>
      </c>
      <c r="Z46" t="n">
        <v>25</v>
      </c>
      <c r="AA46" t="n">
        <v>33</v>
      </c>
      <c r="AB46" t="n">
        <v>25</v>
      </c>
      <c r="AC46" t="n">
        <v>28</v>
      </c>
      <c r="AD46" t="n">
        <v>26</v>
      </c>
      <c r="AE46" t="n">
        <v>20</v>
      </c>
      <c r="AF46" t="n">
        <v>21</v>
      </c>
    </row>
    <row r="47">
      <c r="A47" t="s">
        <v>26</v>
      </c>
      <c r="B47" t="s">
        <v>364</v>
      </c>
      <c r="C47" t="s">
        <v>236</v>
      </c>
      <c r="D47" t="s">
        <v>365</v>
      </c>
      <c r="E47" t="s">
        <v>237</v>
      </c>
      <c r="F47" t="n">
        <v>100</v>
      </c>
      <c r="G47" t="n">
        <v>72</v>
      </c>
      <c r="H47" t="n">
        <v>55</v>
      </c>
      <c r="I47" t="n">
        <v>77</v>
      </c>
      <c r="J47" t="n">
        <v>94</v>
      </c>
      <c r="K47" t="n">
        <v>66</v>
      </c>
      <c r="L47" t="n">
        <v>33</v>
      </c>
      <c r="M47" t="n">
        <v>35</v>
      </c>
      <c r="N47" t="n">
        <v>41</v>
      </c>
      <c r="O47" t="n">
        <v>45</v>
      </c>
      <c r="P47" t="n">
        <v>38</v>
      </c>
      <c r="Q47" t="n">
        <v>16</v>
      </c>
      <c r="R47" t="n">
        <v>19</v>
      </c>
      <c r="S47" t="n">
        <v>24</v>
      </c>
      <c r="T47" t="n">
        <v>28</v>
      </c>
      <c r="U47" t="n">
        <v>37</v>
      </c>
      <c r="V47" t="n">
        <v>28</v>
      </c>
      <c r="W47" t="n">
        <v>33</v>
      </c>
      <c r="X47" t="n">
        <v>24</v>
      </c>
      <c r="Y47" t="n">
        <v>27</v>
      </c>
      <c r="Z47" t="n">
        <v>33</v>
      </c>
      <c r="AA47" t="n">
        <v>36</v>
      </c>
      <c r="AB47" t="n">
        <v>35</v>
      </c>
      <c r="AC47" t="n">
        <v>43</v>
      </c>
      <c r="AD47" t="n">
        <v>54</v>
      </c>
      <c r="AE47" t="n">
        <v>86</v>
      </c>
      <c r="AF47" t="n">
        <v>57</v>
      </c>
    </row>
    <row r="48">
      <c r="A48" t="s">
        <v>26</v>
      </c>
      <c r="B48" t="s">
        <v>366</v>
      </c>
      <c r="C48" t="s">
        <v>236</v>
      </c>
      <c r="D48" t="s">
        <v>367</v>
      </c>
      <c r="E48" t="s">
        <v>237</v>
      </c>
      <c r="F48" t="n">
        <v>146</v>
      </c>
      <c r="G48" t="n">
        <v>99</v>
      </c>
      <c r="H48" t="n">
        <v>80</v>
      </c>
      <c r="I48" t="n">
        <v>109</v>
      </c>
      <c r="J48" t="n">
        <v>128</v>
      </c>
      <c r="K48" t="n">
        <v>93</v>
      </c>
      <c r="L48" t="n">
        <v>47</v>
      </c>
      <c r="M48" t="n">
        <v>53</v>
      </c>
      <c r="N48" t="n">
        <v>60</v>
      </c>
      <c r="O48" t="n">
        <v>64</v>
      </c>
      <c r="P48" t="n">
        <v>57</v>
      </c>
      <c r="Q48" t="n">
        <v>48</v>
      </c>
      <c r="R48" t="n">
        <v>61</v>
      </c>
      <c r="S48" t="n">
        <v>70</v>
      </c>
      <c r="T48" t="n">
        <v>82</v>
      </c>
      <c r="U48" t="n">
        <v>69</v>
      </c>
      <c r="V48" t="n">
        <v>63</v>
      </c>
      <c r="W48" t="n">
        <v>72</v>
      </c>
      <c r="X48" t="n">
        <v>69</v>
      </c>
      <c r="Y48" t="n">
        <v>63</v>
      </c>
      <c r="Z48" t="n">
        <v>71</v>
      </c>
      <c r="AA48" t="n">
        <v>73</v>
      </c>
      <c r="AB48" t="n">
        <v>73</v>
      </c>
      <c r="AC48" t="n">
        <v>86</v>
      </c>
      <c r="AD48" t="n">
        <v>91</v>
      </c>
      <c r="AE48" t="n">
        <v>122</v>
      </c>
      <c r="AF48" t="n">
        <v>87</v>
      </c>
    </row>
    <row r="49">
      <c r="A49" t="s">
        <v>26</v>
      </c>
      <c r="B49" t="s">
        <v>368</v>
      </c>
      <c r="C49" t="s">
        <v>236</v>
      </c>
      <c r="D49" t="s">
        <v>369</v>
      </c>
      <c r="E49" t="s">
        <v>237</v>
      </c>
      <c r="F49" t="n">
        <v>24</v>
      </c>
      <c r="G49" t="n">
        <v>13</v>
      </c>
      <c r="H49" t="n">
        <v>11</v>
      </c>
      <c r="I49" t="n">
        <v>13</v>
      </c>
      <c r="J49" t="n">
        <v>15</v>
      </c>
      <c r="K49" t="n">
        <v>11</v>
      </c>
      <c r="L49" t="n">
        <v>6</v>
      </c>
      <c r="M49" t="n">
        <v>8</v>
      </c>
      <c r="N49" t="n">
        <v>8</v>
      </c>
      <c r="O49" t="n">
        <v>7</v>
      </c>
      <c r="P49" t="n">
        <v>6</v>
      </c>
      <c r="Q49" t="n">
        <v>23</v>
      </c>
      <c r="R49" t="n">
        <v>27</v>
      </c>
      <c r="S49" t="n">
        <v>30</v>
      </c>
      <c r="T49" t="n">
        <v>37</v>
      </c>
      <c r="U49" t="n">
        <v>17</v>
      </c>
      <c r="V49" t="n">
        <v>20</v>
      </c>
      <c r="W49" t="n">
        <v>25</v>
      </c>
      <c r="X49" t="n">
        <v>28</v>
      </c>
      <c r="Y49" t="n">
        <v>24</v>
      </c>
      <c r="Z49" t="n">
        <v>23</v>
      </c>
      <c r="AA49" t="n">
        <v>22</v>
      </c>
      <c r="AB49" t="n">
        <v>22</v>
      </c>
      <c r="AC49" t="n">
        <v>22</v>
      </c>
      <c r="AD49" t="n">
        <v>19</v>
      </c>
      <c r="AE49" t="n">
        <v>19</v>
      </c>
      <c r="AF49" t="n">
        <v>16</v>
      </c>
    </row>
    <row r="50">
      <c r="A50" t="s">
        <v>26</v>
      </c>
      <c r="B50" t="s">
        <v>370</v>
      </c>
      <c r="C50" t="s">
        <v>236</v>
      </c>
      <c r="D50" t="s">
        <v>371</v>
      </c>
      <c r="E50" t="s">
        <v>237</v>
      </c>
      <c r="F50" t="n">
        <v>22</v>
      </c>
      <c r="G50" t="n">
        <v>14</v>
      </c>
      <c r="H50" t="n">
        <v>14</v>
      </c>
      <c r="I50" t="n">
        <v>19</v>
      </c>
      <c r="J50" t="n">
        <v>19</v>
      </c>
      <c r="K50" t="n">
        <v>16</v>
      </c>
      <c r="L50" t="n">
        <v>8</v>
      </c>
      <c r="M50" t="n">
        <v>10</v>
      </c>
      <c r="N50" t="n">
        <v>11</v>
      </c>
      <c r="O50" t="n">
        <v>12</v>
      </c>
      <c r="P50" t="n">
        <v>13</v>
      </c>
      <c r="Q50" t="n">
        <v>9</v>
      </c>
      <c r="R50" t="n">
        <v>15</v>
      </c>
      <c r="S50" t="n">
        <v>16</v>
      </c>
      <c r="T50" t="n">
        <v>17</v>
      </c>
      <c r="U50" t="n">
        <v>15</v>
      </c>
      <c r="V50" t="n">
        <v>15</v>
      </c>
      <c r="W50" t="n">
        <v>14</v>
      </c>
      <c r="X50" t="n">
        <v>17</v>
      </c>
      <c r="Y50" t="n">
        <v>12</v>
      </c>
      <c r="Z50" t="n">
        <v>15</v>
      </c>
      <c r="AA50" t="n">
        <v>15</v>
      </c>
      <c r="AB50" t="n">
        <v>16</v>
      </c>
      <c r="AC50" t="n">
        <v>21</v>
      </c>
      <c r="AD50" t="n">
        <v>18</v>
      </c>
      <c r="AE50" t="n">
        <v>17</v>
      </c>
      <c r="AF50" t="n">
        <v>14</v>
      </c>
    </row>
    <row r="51">
      <c r="A51" t="s">
        <v>26</v>
      </c>
      <c r="B51" t="s">
        <v>372</v>
      </c>
      <c r="C51" t="s">
        <v>236</v>
      </c>
      <c r="D51" t="s">
        <v>373</v>
      </c>
      <c r="E51" t="s">
        <v>237</v>
      </c>
      <c r="F51" t="n">
        <v>21</v>
      </c>
      <c r="G51" t="n">
        <v>13</v>
      </c>
      <c r="H51" t="n">
        <v>13</v>
      </c>
      <c r="I51" t="n">
        <v>18</v>
      </c>
      <c r="J51" t="n">
        <v>18</v>
      </c>
      <c r="K51" t="n">
        <v>15</v>
      </c>
      <c r="L51" t="n">
        <v>8</v>
      </c>
      <c r="M51" t="n">
        <v>10</v>
      </c>
      <c r="N51" t="n">
        <v>11</v>
      </c>
      <c r="O51" t="n">
        <v>11</v>
      </c>
      <c r="P51" t="n">
        <v>12</v>
      </c>
      <c r="Q51" t="n">
        <v>8</v>
      </c>
      <c r="R51" t="n">
        <v>12</v>
      </c>
      <c r="S51" t="n">
        <v>13</v>
      </c>
      <c r="T51" t="n">
        <v>14</v>
      </c>
      <c r="U51" t="n">
        <v>11</v>
      </c>
      <c r="V51" t="n">
        <v>12</v>
      </c>
      <c r="W51" t="n">
        <v>11</v>
      </c>
      <c r="X51" t="n">
        <v>14</v>
      </c>
      <c r="Y51" t="n">
        <v>11</v>
      </c>
      <c r="Z51" t="n">
        <v>13</v>
      </c>
      <c r="AA51" t="n">
        <v>12</v>
      </c>
      <c r="AB51" t="n">
        <v>13</v>
      </c>
      <c r="AC51" t="n">
        <v>14</v>
      </c>
      <c r="AD51" t="n">
        <v>13</v>
      </c>
      <c r="AE51" t="n">
        <v>10</v>
      </c>
      <c r="AF51" t="n">
        <v>9</v>
      </c>
    </row>
    <row r="52">
      <c r="A52" t="s">
        <v>26</v>
      </c>
      <c r="B52" t="s">
        <v>374</v>
      </c>
      <c r="C52" t="s">
        <v>236</v>
      </c>
      <c r="D52" t="s">
        <v>375</v>
      </c>
      <c r="E52" t="s">
        <v>237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0</v>
      </c>
      <c r="M52" t="n">
        <v>0</v>
      </c>
      <c r="N52" t="n">
        <v>0</v>
      </c>
      <c r="O52" t="n">
        <v>1</v>
      </c>
      <c r="P52" t="n">
        <v>1</v>
      </c>
      <c r="Q52" t="n">
        <v>1</v>
      </c>
      <c r="R52" t="n">
        <v>3</v>
      </c>
      <c r="S52" t="n">
        <v>3</v>
      </c>
      <c r="T52" t="n">
        <v>3</v>
      </c>
      <c r="U52" t="n">
        <v>4</v>
      </c>
      <c r="V52" t="n">
        <v>3</v>
      </c>
      <c r="W52" t="n">
        <v>3</v>
      </c>
      <c r="X52" t="n">
        <v>3</v>
      </c>
      <c r="Y52" t="n">
        <v>1</v>
      </c>
      <c r="Z52" t="n">
        <v>2</v>
      </c>
      <c r="AA52" t="n">
        <v>3</v>
      </c>
      <c r="AB52" t="n">
        <v>3</v>
      </c>
      <c r="AC52" t="n">
        <v>7</v>
      </c>
      <c r="AD52" t="n">
        <v>5</v>
      </c>
      <c r="AE52" t="n">
        <v>7</v>
      </c>
      <c r="AF52" t="n">
        <v>5</v>
      </c>
    </row>
    <row r="53">
      <c r="A53" t="s">
        <v>26</v>
      </c>
      <c r="B53" t="s">
        <v>376</v>
      </c>
      <c r="C53" t="s">
        <v>236</v>
      </c>
      <c r="D53" t="s">
        <v>377</v>
      </c>
      <c r="E53" t="s">
        <v>237</v>
      </c>
      <c r="F53" t="n">
        <v>12</v>
      </c>
      <c r="G53" t="n">
        <v>10</v>
      </c>
      <c r="H53" t="n">
        <v>12</v>
      </c>
      <c r="I53" t="n">
        <v>12</v>
      </c>
      <c r="J53" t="n">
        <v>2</v>
      </c>
      <c r="K53" t="n">
        <v>8</v>
      </c>
      <c r="L53" t="n">
        <v>4</v>
      </c>
      <c r="M53" t="n">
        <v>4</v>
      </c>
      <c r="N53" t="n">
        <v>6</v>
      </c>
      <c r="O53" t="n">
        <v>7</v>
      </c>
      <c r="P53" t="n">
        <v>4</v>
      </c>
      <c r="Q53" t="n">
        <v>6</v>
      </c>
      <c r="R53" t="n">
        <v>6</v>
      </c>
      <c r="S53" t="n">
        <v>5</v>
      </c>
      <c r="T53" t="n">
        <v>5</v>
      </c>
      <c r="U53" t="n">
        <v>3</v>
      </c>
      <c r="V53" t="n">
        <v>6</v>
      </c>
      <c r="W53" t="n">
        <v>6</v>
      </c>
      <c r="X53" t="n">
        <v>8</v>
      </c>
      <c r="Y53" t="n">
        <v>6</v>
      </c>
      <c r="Z53" t="n">
        <v>6</v>
      </c>
      <c r="AA53" t="n">
        <v>8</v>
      </c>
      <c r="AB53" t="n">
        <v>7</v>
      </c>
      <c r="AC53" t="n">
        <v>6</v>
      </c>
      <c r="AD53" t="n">
        <v>5</v>
      </c>
      <c r="AE53" t="n">
        <v>4</v>
      </c>
      <c r="AF53" t="n">
        <v>2</v>
      </c>
    </row>
    <row r="54">
      <c r="A54" t="s">
        <v>26</v>
      </c>
      <c r="B54" t="s">
        <v>378</v>
      </c>
      <c r="C54" t="s">
        <v>236</v>
      </c>
      <c r="D54" t="s">
        <v>379</v>
      </c>
      <c r="E54" t="s">
        <v>237</v>
      </c>
      <c r="F54" t="n">
        <v>20</v>
      </c>
      <c r="G54" t="n">
        <v>13</v>
      </c>
      <c r="H54" t="n">
        <v>15</v>
      </c>
      <c r="I54" t="n">
        <v>18</v>
      </c>
      <c r="J54" t="n">
        <v>8</v>
      </c>
      <c r="K54" t="n">
        <v>12</v>
      </c>
      <c r="L54" t="n">
        <v>7</v>
      </c>
      <c r="M54" t="n">
        <v>6</v>
      </c>
      <c r="N54" t="n">
        <v>11</v>
      </c>
      <c r="O54" t="n">
        <v>10</v>
      </c>
      <c r="P54" t="n">
        <v>7</v>
      </c>
      <c r="Q54" t="n">
        <v>12</v>
      </c>
      <c r="R54" t="n">
        <v>11</v>
      </c>
      <c r="S54" t="n">
        <v>10</v>
      </c>
      <c r="T54" t="n">
        <v>9</v>
      </c>
      <c r="U54" t="n">
        <v>9</v>
      </c>
      <c r="V54" t="n">
        <v>9</v>
      </c>
      <c r="W54" t="n">
        <v>12</v>
      </c>
      <c r="X54" t="n">
        <v>13</v>
      </c>
      <c r="Y54" t="n">
        <v>10</v>
      </c>
      <c r="Z54" t="n">
        <v>11</v>
      </c>
      <c r="AA54" t="n">
        <v>13</v>
      </c>
      <c r="AB54" t="n">
        <v>11</v>
      </c>
      <c r="AC54" t="n">
        <v>8</v>
      </c>
      <c r="AD54" t="n">
        <v>7</v>
      </c>
      <c r="AE54" t="n">
        <v>4</v>
      </c>
      <c r="AF54" t="n">
        <v>2</v>
      </c>
    </row>
    <row r="55">
      <c r="A55" t="s">
        <v>26</v>
      </c>
      <c r="B55" t="s">
        <v>380</v>
      </c>
      <c r="C55" t="s">
        <v>236</v>
      </c>
      <c r="D55" t="s">
        <v>381</v>
      </c>
      <c r="E55" t="s">
        <v>237</v>
      </c>
      <c r="F55" t="n">
        <v>8</v>
      </c>
      <c r="G55" t="n">
        <v>3</v>
      </c>
      <c r="H55" t="n">
        <v>3</v>
      </c>
      <c r="I55" t="n">
        <v>6</v>
      </c>
      <c r="J55" t="n">
        <v>6</v>
      </c>
      <c r="K55" t="n">
        <v>4</v>
      </c>
      <c r="L55" t="n">
        <v>3</v>
      </c>
      <c r="M55" t="n">
        <v>2</v>
      </c>
      <c r="N55" t="n">
        <v>5</v>
      </c>
      <c r="O55" t="n">
        <v>3</v>
      </c>
      <c r="P55" t="n">
        <v>3</v>
      </c>
      <c r="Q55" t="n">
        <v>6</v>
      </c>
      <c r="R55" t="n">
        <v>5</v>
      </c>
      <c r="S55" t="n">
        <v>5</v>
      </c>
      <c r="T55" t="n">
        <v>4</v>
      </c>
      <c r="U55" t="n">
        <v>6</v>
      </c>
      <c r="V55" t="n">
        <v>3</v>
      </c>
      <c r="W55" t="n">
        <v>6</v>
      </c>
      <c r="X55" t="n">
        <v>5</v>
      </c>
      <c r="Y55" t="n">
        <v>4</v>
      </c>
      <c r="Z55" t="n">
        <v>5</v>
      </c>
      <c r="AA55" t="n">
        <v>5</v>
      </c>
      <c r="AB55" t="n">
        <v>4</v>
      </c>
      <c r="AC55" t="n">
        <v>2</v>
      </c>
      <c r="AD55" t="n">
        <v>2</v>
      </c>
      <c r="AE55" t="n">
        <v>0</v>
      </c>
      <c r="AF55" t="n">
        <v>0</v>
      </c>
    </row>
    <row r="56">
      <c r="A56" t="s">
        <v>26</v>
      </c>
      <c r="B56" t="s">
        <v>382</v>
      </c>
      <c r="C56" t="s">
        <v>236</v>
      </c>
      <c r="D56" t="s">
        <v>383</v>
      </c>
      <c r="E56" t="s">
        <v>237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26</v>
      </c>
      <c r="B57" t="s">
        <v>384</v>
      </c>
      <c r="C57" t="s">
        <v>236</v>
      </c>
      <c r="D57" t="s">
        <v>385</v>
      </c>
      <c r="E57" t="s">
        <v>237</v>
      </c>
      <c r="F57" t="n">
        <v>1053</v>
      </c>
      <c r="G57" t="n">
        <v>684</v>
      </c>
      <c r="H57" t="n">
        <v>604</v>
      </c>
      <c r="I57" t="n">
        <v>778</v>
      </c>
      <c r="J57" t="n">
        <v>752</v>
      </c>
      <c r="K57" t="n">
        <v>606</v>
      </c>
      <c r="L57" t="n">
        <v>298</v>
      </c>
      <c r="M57" t="n">
        <v>326</v>
      </c>
      <c r="N57" t="n">
        <v>369</v>
      </c>
      <c r="O57" t="n">
        <v>379</v>
      </c>
      <c r="P57" t="n">
        <v>440</v>
      </c>
      <c r="Q57" t="n">
        <v>421</v>
      </c>
      <c r="R57" t="n">
        <v>603</v>
      </c>
      <c r="S57" t="n">
        <v>696</v>
      </c>
      <c r="T57" t="n">
        <v>540</v>
      </c>
      <c r="U57" t="n">
        <v>517</v>
      </c>
      <c r="V57" t="n">
        <v>612</v>
      </c>
      <c r="W57" t="n">
        <v>594</v>
      </c>
      <c r="X57" t="n">
        <v>535</v>
      </c>
      <c r="Y57" t="n">
        <v>599</v>
      </c>
      <c r="Z57" t="n">
        <v>741</v>
      </c>
      <c r="AA57" t="n">
        <v>741</v>
      </c>
      <c r="AB57" t="n">
        <v>817</v>
      </c>
      <c r="AC57" t="n">
        <v>1100</v>
      </c>
      <c r="AD57" t="n">
        <v>679</v>
      </c>
      <c r="AE57" t="n">
        <v>607</v>
      </c>
      <c r="AF57" t="n">
        <v>615</v>
      </c>
    </row>
    <row r="58">
      <c r="A58" t="s">
        <v>26</v>
      </c>
      <c r="B58" t="s">
        <v>386</v>
      </c>
      <c r="C58" t="s">
        <v>236</v>
      </c>
      <c r="D58" t="s">
        <v>387</v>
      </c>
      <c r="E58" t="s">
        <v>237</v>
      </c>
      <c r="F58" t="n">
        <v>1053</v>
      </c>
      <c r="G58" t="n">
        <v>684</v>
      </c>
      <c r="H58" t="n">
        <v>604</v>
      </c>
      <c r="I58" t="n">
        <v>778</v>
      </c>
      <c r="J58" t="n">
        <v>752</v>
      </c>
      <c r="K58" t="n">
        <v>606</v>
      </c>
      <c r="L58" t="n">
        <v>298</v>
      </c>
      <c r="M58" t="n">
        <v>326</v>
      </c>
      <c r="N58" t="n">
        <v>369</v>
      </c>
      <c r="O58" t="n">
        <v>379</v>
      </c>
      <c r="P58" t="n">
        <v>440</v>
      </c>
      <c r="Q58" t="n">
        <v>421</v>
      </c>
      <c r="R58" t="n">
        <v>603</v>
      </c>
      <c r="S58" t="n">
        <v>696</v>
      </c>
      <c r="T58" t="n">
        <v>540</v>
      </c>
      <c r="U58" t="n">
        <v>517</v>
      </c>
      <c r="V58" t="n">
        <v>612</v>
      </c>
      <c r="W58" t="n">
        <v>594</v>
      </c>
      <c r="X58" t="n">
        <v>535</v>
      </c>
      <c r="Y58" t="n">
        <v>599</v>
      </c>
      <c r="Z58" t="n">
        <v>741</v>
      </c>
      <c r="AA58" t="n">
        <v>741</v>
      </c>
      <c r="AB58" t="n">
        <v>817</v>
      </c>
      <c r="AC58" t="n">
        <v>1100</v>
      </c>
      <c r="AD58" t="n">
        <v>679</v>
      </c>
      <c r="AE58" t="n">
        <v>607</v>
      </c>
      <c r="AF58" t="n">
        <v>615</v>
      </c>
    </row>
    <row r="59">
      <c r="A59" t="s">
        <v>26</v>
      </c>
      <c r="B59" t="s">
        <v>388</v>
      </c>
      <c r="C59" t="s">
        <v>236</v>
      </c>
      <c r="D59" t="s">
        <v>389</v>
      </c>
      <c r="E59" t="s">
        <v>237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28</v>
      </c>
      <c r="B2" t="s">
        <v>197</v>
      </c>
      <c r="C2" t="s">
        <v>236</v>
      </c>
      <c r="D2" t="s">
        <v>199</v>
      </c>
      <c r="E2" t="s">
        <v>237</v>
      </c>
      <c r="F2" t="n">
        <v>11</v>
      </c>
      <c r="G2" t="n">
        <v>8</v>
      </c>
      <c r="H2" t="n">
        <v>12</v>
      </c>
      <c r="I2" t="n">
        <v>14</v>
      </c>
      <c r="J2" t="n">
        <v>16</v>
      </c>
      <c r="K2" t="n">
        <v>11</v>
      </c>
      <c r="L2" t="n">
        <v>11</v>
      </c>
      <c r="M2" t="n">
        <v>7</v>
      </c>
      <c r="N2" t="n">
        <v>14</v>
      </c>
      <c r="O2" t="n">
        <v>20</v>
      </c>
      <c r="P2" t="n">
        <v>15</v>
      </c>
      <c r="Q2" t="n">
        <v>10</v>
      </c>
      <c r="R2" t="n">
        <v>11</v>
      </c>
      <c r="S2" t="n">
        <v>8</v>
      </c>
      <c r="T2" t="n">
        <v>10</v>
      </c>
      <c r="U2" t="n">
        <v>8</v>
      </c>
      <c r="V2" t="n">
        <v>7</v>
      </c>
      <c r="W2" t="n">
        <v>9</v>
      </c>
      <c r="X2" t="n">
        <v>9</v>
      </c>
      <c r="Y2" t="n">
        <v>9</v>
      </c>
      <c r="Z2" t="n">
        <v>9</v>
      </c>
      <c r="AA2" t="n">
        <v>8</v>
      </c>
      <c r="AB2" t="n">
        <v>8</v>
      </c>
      <c r="AC2" t="n">
        <v>8</v>
      </c>
      <c r="AD2" t="n">
        <v>8</v>
      </c>
      <c r="AE2" t="n">
        <v>8</v>
      </c>
      <c r="AF2" t="n">
        <v>8</v>
      </c>
    </row>
    <row r="3">
      <c r="A3" t="s">
        <v>28</v>
      </c>
      <c r="B3" t="s">
        <v>276</v>
      </c>
      <c r="C3" t="s">
        <v>236</v>
      </c>
      <c r="D3" t="s">
        <v>277</v>
      </c>
      <c r="E3" t="s">
        <v>237</v>
      </c>
      <c r="F3" t="n">
        <v>1</v>
      </c>
      <c r="G3" t="n">
        <v>1</v>
      </c>
      <c r="H3" t="n">
        <v>0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2</v>
      </c>
      <c r="O3" t="n">
        <v>2</v>
      </c>
      <c r="P3" t="n">
        <v>2</v>
      </c>
      <c r="Q3" t="n">
        <v>9</v>
      </c>
      <c r="R3" t="n">
        <v>13</v>
      </c>
      <c r="S3" t="n">
        <v>12</v>
      </c>
      <c r="T3" t="n">
        <v>8</v>
      </c>
      <c r="U3" t="n">
        <v>6</v>
      </c>
      <c r="V3" t="n">
        <v>9</v>
      </c>
      <c r="W3" t="n">
        <v>12</v>
      </c>
      <c r="X3" t="n">
        <v>11</v>
      </c>
      <c r="Y3" t="n">
        <v>11</v>
      </c>
      <c r="Z3" t="n">
        <v>7</v>
      </c>
      <c r="AA3" t="n">
        <v>5</v>
      </c>
      <c r="AB3" t="n">
        <v>5</v>
      </c>
      <c r="AC3" t="n">
        <v>4</v>
      </c>
      <c r="AD3" t="n">
        <v>3</v>
      </c>
      <c r="AE3" t="n">
        <v>7</v>
      </c>
      <c r="AF3" t="n">
        <v>11</v>
      </c>
    </row>
    <row r="4">
      <c r="A4" t="s">
        <v>28</v>
      </c>
      <c r="B4" t="s">
        <v>278</v>
      </c>
      <c r="C4" t="s">
        <v>236</v>
      </c>
      <c r="D4" t="s">
        <v>279</v>
      </c>
      <c r="E4" t="s">
        <v>237</v>
      </c>
      <c r="F4" t="n">
        <v>101</v>
      </c>
      <c r="G4" t="n">
        <v>100</v>
      </c>
      <c r="H4" t="n">
        <v>118</v>
      </c>
      <c r="I4" t="n">
        <v>142</v>
      </c>
      <c r="J4" t="n">
        <v>146</v>
      </c>
      <c r="K4" t="n">
        <v>114</v>
      </c>
      <c r="L4" t="n">
        <v>152</v>
      </c>
      <c r="M4" t="n">
        <v>71</v>
      </c>
      <c r="N4" t="n">
        <v>128</v>
      </c>
      <c r="O4" t="n">
        <v>149</v>
      </c>
      <c r="P4" t="n">
        <v>128</v>
      </c>
      <c r="Q4" t="n">
        <v>245</v>
      </c>
      <c r="R4" t="n">
        <v>352</v>
      </c>
      <c r="S4" t="n">
        <v>285</v>
      </c>
      <c r="T4" t="n">
        <v>210</v>
      </c>
      <c r="U4" t="n">
        <v>183</v>
      </c>
      <c r="V4" t="n">
        <v>162</v>
      </c>
      <c r="W4" t="n">
        <v>180</v>
      </c>
      <c r="X4" t="n">
        <v>135</v>
      </c>
      <c r="Y4" t="n">
        <v>137</v>
      </c>
      <c r="Z4" t="n">
        <v>191</v>
      </c>
      <c r="AA4" t="n">
        <v>184</v>
      </c>
      <c r="AB4" t="n">
        <v>232</v>
      </c>
      <c r="AC4" t="n">
        <v>178</v>
      </c>
      <c r="AD4" t="n">
        <v>168</v>
      </c>
      <c r="AE4" t="n">
        <v>151</v>
      </c>
      <c r="AF4" t="n">
        <v>183</v>
      </c>
    </row>
    <row r="5">
      <c r="A5" t="s">
        <v>28</v>
      </c>
      <c r="B5" t="s">
        <v>280</v>
      </c>
      <c r="C5" t="s">
        <v>236</v>
      </c>
      <c r="D5" t="s">
        <v>281</v>
      </c>
      <c r="E5" t="s">
        <v>237</v>
      </c>
      <c r="F5" t="n">
        <v>8</v>
      </c>
      <c r="G5" t="n">
        <v>7</v>
      </c>
      <c r="H5" t="n">
        <v>8</v>
      </c>
      <c r="I5" t="n">
        <v>10</v>
      </c>
      <c r="J5" t="n">
        <v>10</v>
      </c>
      <c r="K5" t="n">
        <v>7</v>
      </c>
      <c r="L5" t="n">
        <v>9</v>
      </c>
      <c r="M5" t="n">
        <v>6</v>
      </c>
      <c r="N5" t="n">
        <v>12</v>
      </c>
      <c r="O5" t="n">
        <v>12</v>
      </c>
      <c r="P5" t="n">
        <v>9</v>
      </c>
      <c r="Q5" t="n">
        <v>19</v>
      </c>
      <c r="R5" t="n">
        <v>24</v>
      </c>
      <c r="S5" t="n">
        <v>23</v>
      </c>
      <c r="T5" t="n">
        <v>22</v>
      </c>
      <c r="U5" t="n">
        <v>18</v>
      </c>
      <c r="V5" t="n">
        <v>15</v>
      </c>
      <c r="W5" t="n">
        <v>15</v>
      </c>
      <c r="X5" t="n">
        <v>12</v>
      </c>
      <c r="Y5" t="n">
        <v>14</v>
      </c>
      <c r="Z5" t="n">
        <v>14</v>
      </c>
      <c r="AA5" t="n">
        <v>13</v>
      </c>
      <c r="AB5" t="n">
        <v>27</v>
      </c>
      <c r="AC5" t="n">
        <v>14</v>
      </c>
      <c r="AD5" t="n">
        <v>11</v>
      </c>
      <c r="AE5" t="n">
        <v>11</v>
      </c>
      <c r="AF5" t="n">
        <v>10</v>
      </c>
    </row>
    <row r="6">
      <c r="A6" t="s">
        <v>28</v>
      </c>
      <c r="B6" t="s">
        <v>282</v>
      </c>
      <c r="C6" t="s">
        <v>236</v>
      </c>
      <c r="D6" t="s">
        <v>283</v>
      </c>
      <c r="E6" t="s">
        <v>237</v>
      </c>
      <c r="F6" t="n">
        <v>1</v>
      </c>
      <c r="G6" t="n">
        <v>0</v>
      </c>
      <c r="H6" t="n">
        <v>2</v>
      </c>
      <c r="I6" t="n">
        <v>1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28</v>
      </c>
      <c r="B7" t="s">
        <v>284</v>
      </c>
      <c r="C7" t="s">
        <v>236</v>
      </c>
      <c r="D7" t="s">
        <v>285</v>
      </c>
      <c r="E7" t="s">
        <v>237</v>
      </c>
      <c r="F7" t="n">
        <v>26</v>
      </c>
      <c r="G7" t="n">
        <v>44</v>
      </c>
      <c r="H7" t="n">
        <v>36</v>
      </c>
      <c r="I7" t="n">
        <v>50</v>
      </c>
      <c r="J7" t="n">
        <v>41</v>
      </c>
      <c r="K7" t="n">
        <v>30</v>
      </c>
      <c r="L7" t="n">
        <v>53</v>
      </c>
      <c r="M7" t="n">
        <v>19</v>
      </c>
      <c r="N7" t="n">
        <v>45</v>
      </c>
      <c r="O7" t="n">
        <v>41</v>
      </c>
      <c r="P7" t="n">
        <v>33</v>
      </c>
      <c r="Q7" t="n">
        <v>70</v>
      </c>
      <c r="R7" t="n">
        <v>90</v>
      </c>
      <c r="S7" t="n">
        <v>77</v>
      </c>
      <c r="T7" t="n">
        <v>32</v>
      </c>
      <c r="U7" t="n">
        <v>37</v>
      </c>
      <c r="V7" t="n">
        <v>41</v>
      </c>
      <c r="W7" t="n">
        <v>30</v>
      </c>
      <c r="X7" t="n">
        <v>29</v>
      </c>
      <c r="Y7" t="n">
        <v>25</v>
      </c>
      <c r="Z7" t="n">
        <v>33</v>
      </c>
      <c r="AA7" t="n">
        <v>41</v>
      </c>
      <c r="AB7" t="n">
        <v>84</v>
      </c>
      <c r="AC7" t="n">
        <v>28</v>
      </c>
      <c r="AD7" t="n">
        <v>30</v>
      </c>
      <c r="AE7" t="n">
        <v>23</v>
      </c>
      <c r="AF7" t="n">
        <v>27</v>
      </c>
    </row>
    <row r="8">
      <c r="A8" t="s">
        <v>28</v>
      </c>
      <c r="B8" t="s">
        <v>286</v>
      </c>
      <c r="C8" t="s">
        <v>236</v>
      </c>
      <c r="D8" t="s">
        <v>287</v>
      </c>
      <c r="E8" t="s">
        <v>237</v>
      </c>
      <c r="F8" t="n">
        <v>1</v>
      </c>
      <c r="G8" t="n">
        <v>1</v>
      </c>
      <c r="H8" t="n">
        <v>6</v>
      </c>
      <c r="I8" t="n">
        <v>1</v>
      </c>
      <c r="J8" t="n">
        <v>3</v>
      </c>
      <c r="K8" t="n">
        <v>1</v>
      </c>
      <c r="L8" t="n">
        <v>5</v>
      </c>
      <c r="M8" t="n">
        <v>0</v>
      </c>
      <c r="N8" t="n">
        <v>3</v>
      </c>
      <c r="O8" t="n">
        <v>2</v>
      </c>
      <c r="P8" t="n">
        <v>9</v>
      </c>
      <c r="Q8" t="n">
        <v>13</v>
      </c>
      <c r="R8" t="n">
        <v>46</v>
      </c>
      <c r="S8" t="n">
        <v>16</v>
      </c>
      <c r="T8" t="n">
        <v>8</v>
      </c>
      <c r="U8" t="n">
        <v>11</v>
      </c>
      <c r="V8" t="n">
        <v>3</v>
      </c>
      <c r="W8" t="n">
        <v>7</v>
      </c>
      <c r="X8" t="n">
        <v>6</v>
      </c>
      <c r="Y8" t="n">
        <v>7</v>
      </c>
      <c r="Z8" t="n">
        <v>17</v>
      </c>
      <c r="AA8" t="n">
        <v>-5</v>
      </c>
      <c r="AB8" t="n">
        <v>-35</v>
      </c>
      <c r="AC8" t="n">
        <v>2</v>
      </c>
      <c r="AD8" t="n">
        <v>1</v>
      </c>
      <c r="AE8" t="n">
        <v>1</v>
      </c>
      <c r="AF8" t="n">
        <v>7</v>
      </c>
    </row>
    <row r="9">
      <c r="A9" t="s">
        <v>28</v>
      </c>
      <c r="B9" t="s">
        <v>288</v>
      </c>
      <c r="C9" t="s">
        <v>236</v>
      </c>
      <c r="D9" t="s">
        <v>289</v>
      </c>
      <c r="E9" t="s">
        <v>237</v>
      </c>
      <c r="F9" t="n">
        <v>16</v>
      </c>
      <c r="G9" t="n">
        <v>9</v>
      </c>
      <c r="H9" t="n">
        <v>17</v>
      </c>
      <c r="I9" t="n">
        <v>14</v>
      </c>
      <c r="J9" t="n">
        <v>16</v>
      </c>
      <c r="K9" t="n">
        <v>9</v>
      </c>
      <c r="L9" t="n">
        <v>11</v>
      </c>
      <c r="M9" t="n">
        <v>11</v>
      </c>
      <c r="N9" t="n">
        <v>13</v>
      </c>
      <c r="O9" t="n">
        <v>19</v>
      </c>
      <c r="P9" t="n">
        <v>12</v>
      </c>
      <c r="Q9" t="n">
        <v>27</v>
      </c>
      <c r="R9" t="n">
        <v>59</v>
      </c>
      <c r="S9" t="n">
        <v>36</v>
      </c>
      <c r="T9" t="n">
        <v>26</v>
      </c>
      <c r="U9" t="n">
        <v>17</v>
      </c>
      <c r="V9" t="n">
        <v>22</v>
      </c>
      <c r="W9" t="n">
        <v>27</v>
      </c>
      <c r="X9" t="n">
        <v>32</v>
      </c>
      <c r="Y9" t="n">
        <v>23</v>
      </c>
      <c r="Z9" t="n">
        <v>46</v>
      </c>
      <c r="AA9" t="n">
        <v>66</v>
      </c>
      <c r="AB9" t="n">
        <v>86</v>
      </c>
      <c r="AC9" t="n">
        <v>63</v>
      </c>
      <c r="AD9" t="n">
        <v>49</v>
      </c>
      <c r="AE9" t="n">
        <v>49</v>
      </c>
      <c r="AF9" t="n">
        <v>74</v>
      </c>
    </row>
    <row r="10">
      <c r="A10" t="s">
        <v>28</v>
      </c>
      <c r="B10" t="s">
        <v>290</v>
      </c>
      <c r="C10" t="s">
        <v>236</v>
      </c>
      <c r="D10" t="s">
        <v>291</v>
      </c>
      <c r="E10" t="s">
        <v>237</v>
      </c>
      <c r="F10" t="n">
        <v>18</v>
      </c>
      <c r="G10" t="n">
        <v>10</v>
      </c>
      <c r="H10" t="n">
        <v>18</v>
      </c>
      <c r="I10" t="n">
        <v>16</v>
      </c>
      <c r="J10" t="n">
        <v>17</v>
      </c>
      <c r="K10" t="n">
        <v>10</v>
      </c>
      <c r="L10" t="n">
        <v>12</v>
      </c>
      <c r="M10" t="n">
        <v>13</v>
      </c>
      <c r="N10" t="n">
        <v>14</v>
      </c>
      <c r="O10" t="n">
        <v>21</v>
      </c>
      <c r="P10" t="n">
        <v>13</v>
      </c>
      <c r="Q10" t="n">
        <v>30</v>
      </c>
      <c r="R10" t="n">
        <v>64</v>
      </c>
      <c r="S10" t="n">
        <v>40</v>
      </c>
      <c r="T10" t="n">
        <v>31</v>
      </c>
      <c r="U10" t="n">
        <v>23</v>
      </c>
      <c r="V10" t="n">
        <v>26</v>
      </c>
      <c r="W10" t="n">
        <v>33</v>
      </c>
      <c r="X10" t="n">
        <v>40</v>
      </c>
      <c r="Y10" t="n">
        <v>29</v>
      </c>
      <c r="Z10" t="n">
        <v>52</v>
      </c>
      <c r="AA10" t="n">
        <v>71</v>
      </c>
      <c r="AB10" t="n">
        <v>90</v>
      </c>
      <c r="AC10" t="n">
        <v>69</v>
      </c>
      <c r="AD10" t="n">
        <v>55</v>
      </c>
      <c r="AE10" t="n">
        <v>53</v>
      </c>
      <c r="AF10" t="n">
        <v>80</v>
      </c>
    </row>
    <row r="11">
      <c r="A11" t="s">
        <v>28</v>
      </c>
      <c r="B11" t="s">
        <v>292</v>
      </c>
      <c r="C11" t="s">
        <v>236</v>
      </c>
      <c r="D11" t="s">
        <v>293</v>
      </c>
      <c r="E11" t="s">
        <v>237</v>
      </c>
      <c r="F11" t="n">
        <v>2</v>
      </c>
      <c r="G11" t="n">
        <v>1</v>
      </c>
      <c r="H11" t="n">
        <v>1</v>
      </c>
      <c r="I11" t="n">
        <v>2</v>
      </c>
      <c r="J11" t="n">
        <v>1</v>
      </c>
      <c r="K11" t="n">
        <v>1</v>
      </c>
      <c r="L11" t="n">
        <v>1</v>
      </c>
      <c r="M11" t="n">
        <v>2</v>
      </c>
      <c r="N11" t="n">
        <v>1</v>
      </c>
      <c r="O11" t="n">
        <v>2</v>
      </c>
      <c r="P11" t="n">
        <v>1</v>
      </c>
      <c r="Q11" t="n">
        <v>3</v>
      </c>
      <c r="R11" t="n">
        <v>5</v>
      </c>
      <c r="S11" t="n">
        <v>4</v>
      </c>
      <c r="T11" t="n">
        <v>5</v>
      </c>
      <c r="U11" t="n">
        <v>6</v>
      </c>
      <c r="V11" t="n">
        <v>4</v>
      </c>
      <c r="W11" t="n">
        <v>6</v>
      </c>
      <c r="X11" t="n">
        <v>8</v>
      </c>
      <c r="Y11" t="n">
        <v>6</v>
      </c>
      <c r="Z11" t="n">
        <v>6</v>
      </c>
      <c r="AA11" t="n">
        <v>5</v>
      </c>
      <c r="AB11" t="n">
        <v>4</v>
      </c>
      <c r="AC11" t="n">
        <v>6</v>
      </c>
      <c r="AD11" t="n">
        <v>6</v>
      </c>
      <c r="AE11" t="n">
        <v>4</v>
      </c>
      <c r="AF11" t="n">
        <v>6</v>
      </c>
    </row>
    <row r="12">
      <c r="A12" t="s">
        <v>28</v>
      </c>
      <c r="B12" t="s">
        <v>294</v>
      </c>
      <c r="C12" t="s">
        <v>236</v>
      </c>
      <c r="D12" t="s">
        <v>295</v>
      </c>
      <c r="E12" t="s">
        <v>237</v>
      </c>
      <c r="F12" t="n">
        <v>7</v>
      </c>
      <c r="G12" t="n">
        <v>6</v>
      </c>
      <c r="H12" t="n">
        <v>7</v>
      </c>
      <c r="I12" t="n">
        <v>9</v>
      </c>
      <c r="J12" t="n">
        <v>11</v>
      </c>
      <c r="K12" t="n">
        <v>9</v>
      </c>
      <c r="L12" t="n">
        <v>8</v>
      </c>
      <c r="M12" t="n">
        <v>6</v>
      </c>
      <c r="N12" t="n">
        <v>10</v>
      </c>
      <c r="O12" t="n">
        <v>13</v>
      </c>
      <c r="P12" t="n">
        <v>11</v>
      </c>
      <c r="Q12" t="n">
        <v>19</v>
      </c>
      <c r="R12" t="n">
        <v>21</v>
      </c>
      <c r="S12" t="n">
        <v>18</v>
      </c>
      <c r="T12" t="n">
        <v>17</v>
      </c>
      <c r="U12" t="n">
        <v>10</v>
      </c>
      <c r="V12" t="n">
        <v>10</v>
      </c>
      <c r="W12" t="n">
        <v>11</v>
      </c>
      <c r="X12" t="n">
        <v>8</v>
      </c>
      <c r="Y12" t="n">
        <v>9</v>
      </c>
      <c r="Z12" t="n">
        <v>11</v>
      </c>
      <c r="AA12" t="n">
        <v>9</v>
      </c>
      <c r="AB12" t="n">
        <v>6</v>
      </c>
      <c r="AC12" t="n">
        <v>5</v>
      </c>
      <c r="AD12" t="n">
        <v>6</v>
      </c>
      <c r="AE12" t="n">
        <v>5</v>
      </c>
      <c r="AF12" t="n">
        <v>6</v>
      </c>
    </row>
    <row r="13">
      <c r="A13" t="s">
        <v>28</v>
      </c>
      <c r="B13" t="s">
        <v>296</v>
      </c>
      <c r="C13" t="s">
        <v>236</v>
      </c>
      <c r="D13" t="s">
        <v>297</v>
      </c>
      <c r="E13" t="s">
        <v>237</v>
      </c>
      <c r="F13" t="n">
        <v>5</v>
      </c>
      <c r="G13" t="n">
        <v>4</v>
      </c>
      <c r="H13" t="n">
        <v>6</v>
      </c>
      <c r="I13" t="n">
        <v>8</v>
      </c>
      <c r="J13" t="n">
        <v>6</v>
      </c>
      <c r="K13" t="n">
        <v>7</v>
      </c>
      <c r="L13" t="n">
        <v>7</v>
      </c>
      <c r="M13" t="n">
        <v>6</v>
      </c>
      <c r="N13" t="n">
        <v>7</v>
      </c>
      <c r="O13" t="n">
        <v>11</v>
      </c>
      <c r="P13" t="n">
        <v>7</v>
      </c>
      <c r="Q13" t="n">
        <v>24</v>
      </c>
      <c r="R13" t="n">
        <v>40</v>
      </c>
      <c r="S13" t="n">
        <v>27</v>
      </c>
      <c r="T13" t="n">
        <v>45</v>
      </c>
      <c r="U13" t="n">
        <v>42</v>
      </c>
      <c r="V13" t="n">
        <v>23</v>
      </c>
      <c r="W13" t="n">
        <v>45</v>
      </c>
      <c r="X13" t="n">
        <v>15</v>
      </c>
      <c r="Y13" t="n">
        <v>20</v>
      </c>
      <c r="Z13" t="n">
        <v>22</v>
      </c>
      <c r="AA13" t="n">
        <v>19</v>
      </c>
      <c r="AB13" t="n">
        <v>21</v>
      </c>
      <c r="AC13" t="n">
        <v>26</v>
      </c>
      <c r="AD13" t="n">
        <v>30</v>
      </c>
      <c r="AE13" t="n">
        <v>21</v>
      </c>
      <c r="AF13" t="n">
        <v>20</v>
      </c>
    </row>
    <row r="14">
      <c r="A14" t="s">
        <v>28</v>
      </c>
      <c r="B14" t="s">
        <v>298</v>
      </c>
      <c r="C14" t="s">
        <v>236</v>
      </c>
      <c r="D14" t="s">
        <v>299</v>
      </c>
      <c r="E14" t="s">
        <v>237</v>
      </c>
      <c r="F14" t="n">
        <v>25</v>
      </c>
      <c r="G14" t="n">
        <v>14</v>
      </c>
      <c r="H14" t="n">
        <v>22</v>
      </c>
      <c r="I14" t="n">
        <v>30</v>
      </c>
      <c r="J14" t="n">
        <v>44</v>
      </c>
      <c r="K14" t="n">
        <v>38</v>
      </c>
      <c r="L14" t="n">
        <v>44</v>
      </c>
      <c r="M14" t="n">
        <v>14</v>
      </c>
      <c r="N14" t="n">
        <v>23</v>
      </c>
      <c r="O14" t="n">
        <v>36</v>
      </c>
      <c r="P14" t="n">
        <v>33</v>
      </c>
      <c r="Q14" t="n">
        <v>45</v>
      </c>
      <c r="R14" t="n">
        <v>36</v>
      </c>
      <c r="S14" t="n">
        <v>49</v>
      </c>
      <c r="T14" t="n">
        <v>20</v>
      </c>
      <c r="U14" t="n">
        <v>27</v>
      </c>
      <c r="V14" t="n">
        <v>26</v>
      </c>
      <c r="W14" t="n">
        <v>20</v>
      </c>
      <c r="X14" t="n">
        <v>10</v>
      </c>
      <c r="Y14" t="n">
        <v>17</v>
      </c>
      <c r="Z14" t="n">
        <v>22</v>
      </c>
      <c r="AA14" t="n">
        <v>18</v>
      </c>
      <c r="AB14" t="n">
        <v>22</v>
      </c>
      <c r="AC14" t="n">
        <v>18</v>
      </c>
      <c r="AD14" t="n">
        <v>18</v>
      </c>
      <c r="AE14" t="n">
        <v>24</v>
      </c>
      <c r="AF14" t="n">
        <v>22</v>
      </c>
    </row>
    <row r="15">
      <c r="A15" t="s">
        <v>28</v>
      </c>
      <c r="B15" t="s">
        <v>300</v>
      </c>
      <c r="C15" t="s">
        <v>236</v>
      </c>
      <c r="D15" t="s">
        <v>301</v>
      </c>
      <c r="E15" t="s">
        <v>237</v>
      </c>
      <c r="F15" t="n">
        <v>28</v>
      </c>
      <c r="G15" t="n">
        <v>18</v>
      </c>
      <c r="H15" t="n">
        <v>26</v>
      </c>
      <c r="I15" t="n">
        <v>36</v>
      </c>
      <c r="J15" t="n">
        <v>48</v>
      </c>
      <c r="K15" t="n">
        <v>42</v>
      </c>
      <c r="L15" t="n">
        <v>48</v>
      </c>
      <c r="M15" t="n">
        <v>16</v>
      </c>
      <c r="N15" t="n">
        <v>27</v>
      </c>
      <c r="O15" t="n">
        <v>40</v>
      </c>
      <c r="P15" t="n">
        <v>37</v>
      </c>
      <c r="Q15" t="n">
        <v>49</v>
      </c>
      <c r="R15" t="n">
        <v>43</v>
      </c>
      <c r="S15" t="n">
        <v>57</v>
      </c>
      <c r="T15" t="n">
        <v>26</v>
      </c>
      <c r="U15" t="n">
        <v>31</v>
      </c>
      <c r="V15" t="n">
        <v>31</v>
      </c>
      <c r="W15" t="n">
        <v>24</v>
      </c>
      <c r="X15" t="n">
        <v>15</v>
      </c>
      <c r="Y15" t="n">
        <v>19</v>
      </c>
      <c r="Z15" t="n">
        <v>26</v>
      </c>
      <c r="AA15" t="n">
        <v>23</v>
      </c>
      <c r="AB15" t="n">
        <v>27</v>
      </c>
      <c r="AC15" t="n">
        <v>21</v>
      </c>
      <c r="AD15" t="n">
        <v>22</v>
      </c>
      <c r="AE15" t="n">
        <v>27</v>
      </c>
      <c r="AF15" t="n">
        <v>25</v>
      </c>
    </row>
    <row r="16">
      <c r="A16" t="s">
        <v>28</v>
      </c>
      <c r="B16" t="s">
        <v>302</v>
      </c>
      <c r="C16" t="s">
        <v>236</v>
      </c>
      <c r="D16" t="s">
        <v>303</v>
      </c>
      <c r="E16" t="s">
        <v>237</v>
      </c>
      <c r="F16" t="n">
        <v>3</v>
      </c>
      <c r="G16" t="n">
        <v>4</v>
      </c>
      <c r="H16" t="n">
        <v>4</v>
      </c>
      <c r="I16" t="n">
        <v>6</v>
      </c>
      <c r="J16" t="n">
        <v>4</v>
      </c>
      <c r="K16" t="n">
        <v>4</v>
      </c>
      <c r="L16" t="n">
        <v>4</v>
      </c>
      <c r="M16" t="n">
        <v>2</v>
      </c>
      <c r="N16" t="n">
        <v>4</v>
      </c>
      <c r="O16" t="n">
        <v>4</v>
      </c>
      <c r="P16" t="n">
        <v>4</v>
      </c>
      <c r="Q16" t="n">
        <v>4</v>
      </c>
      <c r="R16" t="n">
        <v>7</v>
      </c>
      <c r="S16" t="n">
        <v>8</v>
      </c>
      <c r="T16" t="n">
        <v>6</v>
      </c>
      <c r="U16" t="n">
        <v>4</v>
      </c>
      <c r="V16" t="n">
        <v>5</v>
      </c>
      <c r="W16" t="n">
        <v>4</v>
      </c>
      <c r="X16" t="n">
        <v>5</v>
      </c>
      <c r="Y16" t="n">
        <v>2</v>
      </c>
      <c r="Z16" t="n">
        <v>4</v>
      </c>
      <c r="AA16" t="n">
        <v>5</v>
      </c>
      <c r="AB16" t="n">
        <v>5</v>
      </c>
      <c r="AC16" t="n">
        <v>3</v>
      </c>
      <c r="AD16" t="n">
        <v>4</v>
      </c>
      <c r="AE16" t="n">
        <v>3</v>
      </c>
      <c r="AF16" t="n">
        <v>3</v>
      </c>
    </row>
    <row r="17">
      <c r="A17" t="s">
        <v>28</v>
      </c>
      <c r="B17" t="s">
        <v>304</v>
      </c>
      <c r="C17" t="s">
        <v>236</v>
      </c>
      <c r="D17" t="s">
        <v>305</v>
      </c>
      <c r="E17" t="s">
        <v>237</v>
      </c>
      <c r="F17" t="n">
        <v>7</v>
      </c>
      <c r="G17" t="n">
        <v>8</v>
      </c>
      <c r="H17" t="n">
        <v>7</v>
      </c>
      <c r="I17" t="n">
        <v>8</v>
      </c>
      <c r="J17" t="n">
        <v>7</v>
      </c>
      <c r="K17" t="n">
        <v>7</v>
      </c>
      <c r="L17" t="n">
        <v>7</v>
      </c>
      <c r="M17" t="n">
        <v>4</v>
      </c>
      <c r="N17" t="n">
        <v>8</v>
      </c>
      <c r="O17" t="n">
        <v>7</v>
      </c>
      <c r="P17" t="n">
        <v>6</v>
      </c>
      <c r="Q17" t="n">
        <v>13</v>
      </c>
      <c r="R17" t="n">
        <v>15</v>
      </c>
      <c r="S17" t="n">
        <v>18</v>
      </c>
      <c r="T17" t="n">
        <v>21</v>
      </c>
      <c r="U17" t="n">
        <v>6</v>
      </c>
      <c r="V17" t="n">
        <v>8</v>
      </c>
      <c r="W17" t="n">
        <v>10</v>
      </c>
      <c r="X17" t="n">
        <v>7</v>
      </c>
      <c r="Y17" t="n">
        <v>10</v>
      </c>
      <c r="Z17" t="n">
        <v>12</v>
      </c>
      <c r="AA17" t="n">
        <v>9</v>
      </c>
      <c r="AB17" t="n">
        <v>9</v>
      </c>
      <c r="AC17" t="n">
        <v>10</v>
      </c>
      <c r="AD17" t="n">
        <v>11</v>
      </c>
      <c r="AE17" t="n">
        <v>8</v>
      </c>
      <c r="AF17" t="n">
        <v>7</v>
      </c>
    </row>
    <row r="18">
      <c r="A18" t="s">
        <v>28</v>
      </c>
      <c r="B18" t="s">
        <v>306</v>
      </c>
      <c r="C18" t="s">
        <v>236</v>
      </c>
      <c r="D18" t="s">
        <v>307</v>
      </c>
      <c r="E18" t="s">
        <v>237</v>
      </c>
      <c r="F18" t="n">
        <v>0</v>
      </c>
      <c r="G18" t="n">
        <v>1</v>
      </c>
      <c r="H18" t="n">
        <v>1</v>
      </c>
      <c r="I18" t="n">
        <v>1</v>
      </c>
      <c r="J18" t="n">
        <v>1</v>
      </c>
      <c r="K18" t="n">
        <v>0</v>
      </c>
      <c r="L18" t="n">
        <v>1</v>
      </c>
      <c r="M18" t="n">
        <v>0</v>
      </c>
      <c r="N18" t="n">
        <v>1</v>
      </c>
      <c r="O18" t="n">
        <v>1</v>
      </c>
      <c r="P18" t="n">
        <v>1</v>
      </c>
      <c r="Q18" t="n">
        <v>3</v>
      </c>
      <c r="R18" t="n">
        <v>4</v>
      </c>
      <c r="S18" t="n">
        <v>4</v>
      </c>
      <c r="T18" t="n">
        <v>6</v>
      </c>
      <c r="U18" t="n">
        <v>3</v>
      </c>
      <c r="V18" t="n">
        <v>3</v>
      </c>
      <c r="W18" t="n">
        <v>3</v>
      </c>
      <c r="X18" t="n">
        <v>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28</v>
      </c>
      <c r="B19" t="s">
        <v>308</v>
      </c>
      <c r="C19" t="s">
        <v>236</v>
      </c>
      <c r="D19" t="s">
        <v>309</v>
      </c>
      <c r="E19" t="s">
        <v>237</v>
      </c>
      <c r="F19" t="n">
        <v>0</v>
      </c>
      <c r="G19" t="n">
        <v>1</v>
      </c>
      <c r="H19" t="n">
        <v>1</v>
      </c>
      <c r="I19" t="n">
        <v>2</v>
      </c>
      <c r="J19" t="n">
        <v>2</v>
      </c>
      <c r="K19" t="n">
        <v>0</v>
      </c>
      <c r="L19" t="n">
        <v>1</v>
      </c>
      <c r="M19" t="n">
        <v>1</v>
      </c>
      <c r="N19" t="n">
        <v>1</v>
      </c>
      <c r="O19" t="n">
        <v>0</v>
      </c>
      <c r="P19" t="n">
        <v>1</v>
      </c>
      <c r="Q19" t="n">
        <v>4</v>
      </c>
      <c r="R19" t="n">
        <v>4</v>
      </c>
      <c r="S19" t="n">
        <v>4</v>
      </c>
      <c r="T19" t="n">
        <v>2</v>
      </c>
      <c r="U19" t="n">
        <v>2</v>
      </c>
      <c r="V19" t="n">
        <v>2</v>
      </c>
      <c r="W19" t="n">
        <v>2</v>
      </c>
      <c r="X19" t="n">
        <v>2</v>
      </c>
      <c r="Y19" t="n">
        <v>4</v>
      </c>
      <c r="Z19" t="n">
        <v>4</v>
      </c>
      <c r="AA19" t="n">
        <v>4</v>
      </c>
      <c r="AB19" t="n">
        <v>3</v>
      </c>
      <c r="AC19" t="n">
        <v>3</v>
      </c>
      <c r="AD19" t="n">
        <v>2</v>
      </c>
      <c r="AE19" t="n">
        <v>2</v>
      </c>
      <c r="AF19" t="n">
        <v>1</v>
      </c>
    </row>
    <row r="20">
      <c r="A20" t="s">
        <v>28</v>
      </c>
      <c r="B20" t="s">
        <v>310</v>
      </c>
      <c r="C20" t="s">
        <v>236</v>
      </c>
      <c r="D20" t="s">
        <v>311</v>
      </c>
      <c r="E20" t="s">
        <v>237</v>
      </c>
      <c r="F20" t="n">
        <v>16</v>
      </c>
      <c r="G20" t="n">
        <v>12</v>
      </c>
      <c r="H20" t="n">
        <v>21</v>
      </c>
      <c r="I20" t="n">
        <v>15</v>
      </c>
      <c r="J20" t="n">
        <v>17</v>
      </c>
      <c r="K20" t="n">
        <v>18</v>
      </c>
      <c r="L20" t="n">
        <v>16</v>
      </c>
      <c r="M20" t="n">
        <v>14</v>
      </c>
      <c r="N20" t="n">
        <v>21</v>
      </c>
      <c r="O20" t="n">
        <v>33</v>
      </c>
      <c r="P20" t="n">
        <v>31</v>
      </c>
      <c r="Q20" t="n">
        <v>48</v>
      </c>
      <c r="R20" t="n">
        <v>48</v>
      </c>
      <c r="S20" t="n">
        <v>54</v>
      </c>
      <c r="T20" t="n">
        <v>52</v>
      </c>
      <c r="U20" t="n">
        <v>31</v>
      </c>
      <c r="V20" t="n">
        <v>17</v>
      </c>
      <c r="W20" t="n">
        <v>12</v>
      </c>
      <c r="X20" t="n">
        <v>21</v>
      </c>
      <c r="Y20" t="n">
        <v>28</v>
      </c>
      <c r="Z20" t="n">
        <v>34</v>
      </c>
      <c r="AA20" t="n">
        <v>45</v>
      </c>
      <c r="AB20" t="n">
        <v>35</v>
      </c>
      <c r="AC20" t="n">
        <v>32</v>
      </c>
      <c r="AD20" t="n">
        <v>25</v>
      </c>
      <c r="AE20" t="n">
        <v>41</v>
      </c>
      <c r="AF20" t="n">
        <v>34</v>
      </c>
    </row>
    <row r="21">
      <c r="A21" t="s">
        <v>28</v>
      </c>
      <c r="B21" t="s">
        <v>312</v>
      </c>
      <c r="C21" t="s">
        <v>236</v>
      </c>
      <c r="D21" t="s">
        <v>313</v>
      </c>
      <c r="E21" t="s">
        <v>237</v>
      </c>
      <c r="F21" t="n">
        <v>17</v>
      </c>
      <c r="G21" t="n">
        <v>13</v>
      </c>
      <c r="H21" t="n">
        <v>22</v>
      </c>
      <c r="I21" t="n">
        <v>17</v>
      </c>
      <c r="J21" t="n">
        <v>19</v>
      </c>
      <c r="K21" t="n">
        <v>19</v>
      </c>
      <c r="L21" t="n">
        <v>18</v>
      </c>
      <c r="M21" t="n">
        <v>15</v>
      </c>
      <c r="N21" t="n">
        <v>23</v>
      </c>
      <c r="O21" t="n">
        <v>35</v>
      </c>
      <c r="P21" t="n">
        <v>33</v>
      </c>
      <c r="Q21" t="n">
        <v>52</v>
      </c>
      <c r="R21" t="n">
        <v>54</v>
      </c>
      <c r="S21" t="n">
        <v>59</v>
      </c>
      <c r="T21" t="n">
        <v>58</v>
      </c>
      <c r="U21" t="n">
        <v>35</v>
      </c>
      <c r="V21" t="n">
        <v>21</v>
      </c>
      <c r="W21" t="n">
        <v>19</v>
      </c>
      <c r="X21" t="n">
        <v>26</v>
      </c>
      <c r="Y21" t="n">
        <v>31</v>
      </c>
      <c r="Z21" t="n">
        <v>38</v>
      </c>
      <c r="AA21" t="n">
        <v>50</v>
      </c>
      <c r="AB21" t="n">
        <v>39</v>
      </c>
      <c r="AC21" t="n">
        <v>35</v>
      </c>
      <c r="AD21" t="n">
        <v>28</v>
      </c>
      <c r="AE21" t="n">
        <v>43</v>
      </c>
      <c r="AF21" t="n">
        <v>36</v>
      </c>
    </row>
    <row r="22">
      <c r="A22" t="s">
        <v>28</v>
      </c>
      <c r="B22" t="s">
        <v>314</v>
      </c>
      <c r="C22" t="s">
        <v>236</v>
      </c>
      <c r="D22" t="s">
        <v>315</v>
      </c>
      <c r="E22" t="s">
        <v>237</v>
      </c>
      <c r="F22" t="n">
        <v>1</v>
      </c>
      <c r="G22" t="n">
        <v>1</v>
      </c>
      <c r="H22" t="n">
        <v>1</v>
      </c>
      <c r="I22" t="n">
        <v>2</v>
      </c>
      <c r="J22" t="n">
        <v>2</v>
      </c>
      <c r="K22" t="n">
        <v>1</v>
      </c>
      <c r="L22" t="n">
        <v>2</v>
      </c>
      <c r="M22" t="n">
        <v>1</v>
      </c>
      <c r="N22" t="n">
        <v>2</v>
      </c>
      <c r="O22" t="n">
        <v>2</v>
      </c>
      <c r="P22" t="n">
        <v>2</v>
      </c>
      <c r="Q22" t="n">
        <v>4</v>
      </c>
      <c r="R22" t="n">
        <v>6</v>
      </c>
      <c r="S22" t="n">
        <v>5</v>
      </c>
      <c r="T22" t="n">
        <v>6</v>
      </c>
      <c r="U22" t="n">
        <v>4</v>
      </c>
      <c r="V22" t="n">
        <v>4</v>
      </c>
      <c r="W22" t="n">
        <v>7</v>
      </c>
      <c r="X22" t="n">
        <v>5</v>
      </c>
      <c r="Y22" t="n">
        <v>3</v>
      </c>
      <c r="Z22" t="n">
        <v>4</v>
      </c>
      <c r="AA22" t="n">
        <v>5</v>
      </c>
      <c r="AB22" t="n">
        <v>4</v>
      </c>
      <c r="AC22" t="n">
        <v>3</v>
      </c>
      <c r="AD22" t="n">
        <v>3</v>
      </c>
      <c r="AE22" t="n">
        <v>2</v>
      </c>
      <c r="AF22" t="n">
        <v>2</v>
      </c>
    </row>
    <row r="23">
      <c r="A23" t="s">
        <v>28</v>
      </c>
      <c r="B23" t="s">
        <v>316</v>
      </c>
      <c r="C23" t="s">
        <v>236</v>
      </c>
      <c r="D23" t="s">
        <v>317</v>
      </c>
      <c r="E23" t="s">
        <v>237</v>
      </c>
      <c r="F23" t="n">
        <v>2</v>
      </c>
      <c r="G23" t="n">
        <v>2</v>
      </c>
      <c r="H23" t="n">
        <v>2</v>
      </c>
      <c r="I23" t="n">
        <v>2</v>
      </c>
      <c r="J23" t="n">
        <v>4</v>
      </c>
      <c r="K23" t="n">
        <v>3</v>
      </c>
      <c r="L23" t="n">
        <v>3</v>
      </c>
      <c r="M23" t="n">
        <v>2</v>
      </c>
      <c r="N23" t="n">
        <v>5</v>
      </c>
      <c r="O23" t="n">
        <v>6</v>
      </c>
      <c r="P23" t="n">
        <v>6</v>
      </c>
      <c r="Q23" t="n">
        <v>17</v>
      </c>
      <c r="R23" t="n">
        <v>10</v>
      </c>
      <c r="S23" t="n">
        <v>13</v>
      </c>
      <c r="T23" t="n">
        <v>8</v>
      </c>
      <c r="U23" t="n">
        <v>9</v>
      </c>
      <c r="V23" t="n">
        <v>9</v>
      </c>
      <c r="W23" t="n">
        <v>9</v>
      </c>
      <c r="X23" t="n">
        <v>6</v>
      </c>
      <c r="Y23" t="n">
        <v>6</v>
      </c>
      <c r="Z23" t="n">
        <v>6</v>
      </c>
      <c r="AA23" t="n">
        <v>8</v>
      </c>
      <c r="AB23" t="n">
        <v>6</v>
      </c>
      <c r="AC23" t="n">
        <v>6</v>
      </c>
      <c r="AD23" t="n">
        <v>4</v>
      </c>
      <c r="AE23" t="n">
        <v>3</v>
      </c>
      <c r="AF23" t="n">
        <v>2</v>
      </c>
    </row>
    <row r="24">
      <c r="A24" t="s">
        <v>28</v>
      </c>
      <c r="B24" t="s">
        <v>318</v>
      </c>
      <c r="C24" t="s">
        <v>236</v>
      </c>
      <c r="D24" t="s">
        <v>319</v>
      </c>
      <c r="E24" t="s">
        <v>237</v>
      </c>
      <c r="F24" t="n">
        <v>25</v>
      </c>
      <c r="G24" t="n">
        <v>24</v>
      </c>
      <c r="H24" t="n">
        <v>44</v>
      </c>
      <c r="I24" t="n">
        <v>50</v>
      </c>
      <c r="J24" t="n">
        <v>60</v>
      </c>
      <c r="K24" t="n">
        <v>42</v>
      </c>
      <c r="L24" t="n">
        <v>43</v>
      </c>
      <c r="M24" t="n">
        <v>25</v>
      </c>
      <c r="N24" t="n">
        <v>52</v>
      </c>
      <c r="O24" t="n">
        <v>54</v>
      </c>
      <c r="P24" t="n">
        <v>48</v>
      </c>
      <c r="Q24" t="n">
        <v>42</v>
      </c>
      <c r="R24" t="n">
        <v>65</v>
      </c>
      <c r="S24" t="n">
        <v>78</v>
      </c>
      <c r="T24" t="n">
        <v>51</v>
      </c>
      <c r="U24" t="n">
        <v>53</v>
      </c>
      <c r="V24" t="n">
        <v>34</v>
      </c>
      <c r="W24" t="n">
        <v>43</v>
      </c>
      <c r="X24" t="n">
        <v>30</v>
      </c>
      <c r="Y24" t="n">
        <v>35</v>
      </c>
      <c r="Z24" t="n">
        <v>31</v>
      </c>
      <c r="AA24" t="n">
        <v>35</v>
      </c>
      <c r="AB24" t="n">
        <v>23</v>
      </c>
      <c r="AC24" t="n">
        <v>26</v>
      </c>
      <c r="AD24" t="n">
        <v>19</v>
      </c>
      <c r="AE24" t="n">
        <v>15</v>
      </c>
      <c r="AF24" t="n">
        <v>11</v>
      </c>
    </row>
    <row r="25">
      <c r="A25" t="s">
        <v>28</v>
      </c>
      <c r="B25" t="s">
        <v>320</v>
      </c>
      <c r="C25" t="s">
        <v>236</v>
      </c>
      <c r="D25" t="s">
        <v>321</v>
      </c>
      <c r="E25" t="s">
        <v>237</v>
      </c>
      <c r="F25" t="n">
        <v>2</v>
      </c>
      <c r="G25" t="n">
        <v>1</v>
      </c>
      <c r="H25" t="n">
        <v>2</v>
      </c>
      <c r="I25" t="n">
        <v>2</v>
      </c>
      <c r="J25" t="n">
        <v>3</v>
      </c>
      <c r="K25" t="n">
        <v>2</v>
      </c>
      <c r="L25" t="n">
        <v>2</v>
      </c>
      <c r="M25" t="n">
        <v>1</v>
      </c>
      <c r="N25" t="n">
        <v>2</v>
      </c>
      <c r="O25" t="n">
        <v>2</v>
      </c>
      <c r="P25" t="n">
        <v>2</v>
      </c>
      <c r="Q25" t="n">
        <v>5</v>
      </c>
      <c r="R25" t="n">
        <v>3</v>
      </c>
      <c r="S25" t="n">
        <v>13</v>
      </c>
      <c r="T25" t="n">
        <v>4</v>
      </c>
      <c r="U25" t="n">
        <v>7</v>
      </c>
      <c r="V25" t="n">
        <v>7</v>
      </c>
      <c r="W25" t="n">
        <v>4</v>
      </c>
      <c r="X25" t="n">
        <v>2</v>
      </c>
      <c r="Y25" t="n">
        <v>4</v>
      </c>
      <c r="Z25" t="n">
        <v>3</v>
      </c>
      <c r="AA25" t="n">
        <v>4</v>
      </c>
      <c r="AB25" t="n">
        <v>2</v>
      </c>
      <c r="AC25" t="n">
        <v>2</v>
      </c>
      <c r="AD25" t="n">
        <v>2</v>
      </c>
      <c r="AE25" t="n">
        <v>2</v>
      </c>
      <c r="AF25" t="n">
        <v>1</v>
      </c>
    </row>
    <row r="26">
      <c r="A26" t="s">
        <v>28</v>
      </c>
      <c r="B26" t="s">
        <v>322</v>
      </c>
      <c r="C26" t="s">
        <v>236</v>
      </c>
      <c r="D26" t="s">
        <v>323</v>
      </c>
      <c r="E26" t="s">
        <v>237</v>
      </c>
      <c r="F26" t="n">
        <v>13</v>
      </c>
      <c r="G26" t="n">
        <v>15</v>
      </c>
      <c r="H26" t="n">
        <v>27</v>
      </c>
      <c r="I26" t="n">
        <v>30</v>
      </c>
      <c r="J26" t="n">
        <v>32</v>
      </c>
      <c r="K26" t="n">
        <v>23</v>
      </c>
      <c r="L26" t="n">
        <v>24</v>
      </c>
      <c r="M26" t="n">
        <v>14</v>
      </c>
      <c r="N26" t="n">
        <v>27</v>
      </c>
      <c r="O26" t="n">
        <v>28</v>
      </c>
      <c r="P26" t="n">
        <v>25</v>
      </c>
      <c r="Q26" t="n">
        <v>19</v>
      </c>
      <c r="R26" t="n">
        <v>30</v>
      </c>
      <c r="S26" t="n">
        <v>30</v>
      </c>
      <c r="T26" t="n">
        <v>21</v>
      </c>
      <c r="U26" t="n">
        <v>22</v>
      </c>
      <c r="V26" t="n">
        <v>7</v>
      </c>
      <c r="W26" t="n">
        <v>15</v>
      </c>
      <c r="X26" t="n">
        <v>11</v>
      </c>
      <c r="Y26" t="n">
        <v>13</v>
      </c>
      <c r="Z26" t="n">
        <v>11</v>
      </c>
      <c r="AA26" t="n">
        <v>13</v>
      </c>
      <c r="AB26" t="n">
        <v>9</v>
      </c>
      <c r="AC26" t="n">
        <v>11</v>
      </c>
      <c r="AD26" t="n">
        <v>7</v>
      </c>
      <c r="AE26" t="n">
        <v>5</v>
      </c>
      <c r="AF26" t="n">
        <v>3</v>
      </c>
    </row>
    <row r="27">
      <c r="A27" t="s">
        <v>28</v>
      </c>
      <c r="B27" t="s">
        <v>324</v>
      </c>
      <c r="C27" t="s">
        <v>236</v>
      </c>
      <c r="D27" t="s">
        <v>325</v>
      </c>
      <c r="E27" t="s">
        <v>237</v>
      </c>
      <c r="F27" t="n">
        <v>10</v>
      </c>
      <c r="G27" t="n">
        <v>8</v>
      </c>
      <c r="H27" t="n">
        <v>15</v>
      </c>
      <c r="I27" t="n">
        <v>18</v>
      </c>
      <c r="J27" t="n">
        <v>25</v>
      </c>
      <c r="K27" t="n">
        <v>17</v>
      </c>
      <c r="L27" t="n">
        <v>17</v>
      </c>
      <c r="M27" t="n">
        <v>10</v>
      </c>
      <c r="N27" t="n">
        <v>23</v>
      </c>
      <c r="O27" t="n">
        <v>24</v>
      </c>
      <c r="P27" t="n">
        <v>21</v>
      </c>
      <c r="Q27" t="n">
        <v>18</v>
      </c>
      <c r="R27" t="n">
        <v>32</v>
      </c>
      <c r="S27" t="n">
        <v>35</v>
      </c>
      <c r="T27" t="n">
        <v>26</v>
      </c>
      <c r="U27" t="n">
        <v>24</v>
      </c>
      <c r="V27" t="n">
        <v>20</v>
      </c>
      <c r="W27" t="n">
        <v>24</v>
      </c>
      <c r="X27" t="n">
        <v>17</v>
      </c>
      <c r="Y27" t="n">
        <v>18</v>
      </c>
      <c r="Z27" t="n">
        <v>17</v>
      </c>
      <c r="AA27" t="n">
        <v>18</v>
      </c>
      <c r="AB27" t="n">
        <v>12</v>
      </c>
      <c r="AC27" t="n">
        <v>13</v>
      </c>
      <c r="AD27" t="n">
        <v>10</v>
      </c>
      <c r="AE27" t="n">
        <v>8</v>
      </c>
      <c r="AF27" t="n">
        <v>7</v>
      </c>
    </row>
    <row r="28">
      <c r="A28" t="s">
        <v>28</v>
      </c>
      <c r="B28" t="s">
        <v>326</v>
      </c>
      <c r="C28" t="s">
        <v>236</v>
      </c>
      <c r="D28" t="s">
        <v>327</v>
      </c>
      <c r="E28" t="s">
        <v>237</v>
      </c>
      <c r="F28" t="n">
        <v>33</v>
      </c>
      <c r="G28" t="n">
        <v>27</v>
      </c>
      <c r="H28" t="n">
        <v>34</v>
      </c>
      <c r="I28" t="n">
        <v>48</v>
      </c>
      <c r="J28" t="n">
        <v>51</v>
      </c>
      <c r="K28" t="n">
        <v>39</v>
      </c>
      <c r="L28" t="n">
        <v>38</v>
      </c>
      <c r="M28" t="n">
        <v>26</v>
      </c>
      <c r="N28" t="n">
        <v>61</v>
      </c>
      <c r="O28" t="n">
        <v>61</v>
      </c>
      <c r="P28" t="n">
        <v>38</v>
      </c>
      <c r="Q28" t="n">
        <v>29</v>
      </c>
      <c r="R28" t="n">
        <v>33</v>
      </c>
      <c r="S28" t="n">
        <v>36</v>
      </c>
      <c r="T28" t="n">
        <v>30</v>
      </c>
      <c r="U28" t="n">
        <v>26</v>
      </c>
      <c r="V28" t="n">
        <v>29</v>
      </c>
      <c r="W28" t="n">
        <v>22</v>
      </c>
      <c r="X28" t="n">
        <v>22</v>
      </c>
      <c r="Y28" t="n">
        <v>26</v>
      </c>
      <c r="Z28" t="n">
        <v>20</v>
      </c>
      <c r="AA28" t="n">
        <v>27</v>
      </c>
      <c r="AB28" t="n">
        <v>21</v>
      </c>
      <c r="AC28" t="n">
        <v>18</v>
      </c>
      <c r="AD28" t="n">
        <v>18</v>
      </c>
      <c r="AE28" t="n">
        <v>15</v>
      </c>
      <c r="AF28" t="n">
        <v>14</v>
      </c>
    </row>
    <row r="29">
      <c r="A29" t="s">
        <v>28</v>
      </c>
      <c r="B29" t="s">
        <v>328</v>
      </c>
      <c r="C29" t="s">
        <v>236</v>
      </c>
      <c r="D29" t="s">
        <v>329</v>
      </c>
      <c r="E29" t="s">
        <v>237</v>
      </c>
      <c r="F29" t="n">
        <v>15</v>
      </c>
      <c r="G29" t="n">
        <v>13</v>
      </c>
      <c r="H29" t="n">
        <v>17</v>
      </c>
      <c r="I29" t="n">
        <v>24</v>
      </c>
      <c r="J29" t="n">
        <v>19</v>
      </c>
      <c r="K29" t="n">
        <v>15</v>
      </c>
      <c r="L29" t="n">
        <v>17</v>
      </c>
      <c r="M29" t="n">
        <v>12</v>
      </c>
      <c r="N29" t="n">
        <v>28</v>
      </c>
      <c r="O29" t="n">
        <v>34</v>
      </c>
      <c r="P29" t="n">
        <v>13</v>
      </c>
      <c r="Q29" t="n">
        <v>13</v>
      </c>
      <c r="R29" t="n">
        <v>15</v>
      </c>
      <c r="S29" t="n">
        <v>14</v>
      </c>
      <c r="T29" t="n">
        <v>11</v>
      </c>
      <c r="U29" t="n">
        <v>9</v>
      </c>
      <c r="V29" t="n">
        <v>12</v>
      </c>
      <c r="W29" t="n">
        <v>9</v>
      </c>
      <c r="X29" t="n">
        <v>7</v>
      </c>
      <c r="Y29" t="n">
        <v>8</v>
      </c>
      <c r="Z29" t="n">
        <v>8</v>
      </c>
      <c r="AA29" t="n">
        <v>13</v>
      </c>
      <c r="AB29" t="n">
        <v>12</v>
      </c>
      <c r="AC29" t="n">
        <v>12</v>
      </c>
      <c r="AD29" t="n">
        <v>10</v>
      </c>
      <c r="AE29" t="n">
        <v>8</v>
      </c>
      <c r="AF29" t="n">
        <v>8</v>
      </c>
    </row>
    <row r="30">
      <c r="A30" t="s">
        <v>28</v>
      </c>
      <c r="B30" t="s">
        <v>330</v>
      </c>
      <c r="C30" t="s">
        <v>236</v>
      </c>
      <c r="D30" t="s">
        <v>331</v>
      </c>
      <c r="E30" t="s">
        <v>237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1</v>
      </c>
      <c r="N30" t="n">
        <v>2</v>
      </c>
      <c r="O30" t="n">
        <v>2</v>
      </c>
      <c r="P30" t="n">
        <v>3</v>
      </c>
      <c r="Q30" t="n">
        <v>3</v>
      </c>
      <c r="R30" t="n">
        <v>1</v>
      </c>
      <c r="S30" t="n">
        <v>1</v>
      </c>
      <c r="T30" t="n">
        <v>1</v>
      </c>
      <c r="U30" t="n">
        <v>1</v>
      </c>
      <c r="V30" t="n">
        <v>5</v>
      </c>
      <c r="W30" t="n">
        <v>3</v>
      </c>
      <c r="X30" t="n">
        <v>3</v>
      </c>
      <c r="Y30" t="n">
        <v>2</v>
      </c>
      <c r="Z30" t="n">
        <v>2</v>
      </c>
      <c r="AA30" t="n">
        <v>2</v>
      </c>
      <c r="AB30" t="n">
        <v>1</v>
      </c>
      <c r="AC30" t="n">
        <v>1</v>
      </c>
      <c r="AD30" t="n">
        <v>1</v>
      </c>
      <c r="AE30" t="n">
        <v>2</v>
      </c>
      <c r="AF30" t="n">
        <v>0</v>
      </c>
    </row>
    <row r="31">
      <c r="A31" t="s">
        <v>28</v>
      </c>
      <c r="B31" t="s">
        <v>332</v>
      </c>
      <c r="C31" t="s">
        <v>236</v>
      </c>
      <c r="D31" t="s">
        <v>333</v>
      </c>
      <c r="E31" t="s">
        <v>237</v>
      </c>
      <c r="F31" t="n">
        <v>2</v>
      </c>
      <c r="G31" t="n">
        <v>2</v>
      </c>
      <c r="H31" t="n">
        <v>3</v>
      </c>
      <c r="I31" t="n">
        <v>5</v>
      </c>
      <c r="J31" t="n">
        <v>5</v>
      </c>
      <c r="K31" t="n">
        <v>2</v>
      </c>
      <c r="L31" t="n">
        <v>4</v>
      </c>
      <c r="M31" t="n">
        <v>1</v>
      </c>
      <c r="N31" t="n">
        <v>1</v>
      </c>
      <c r="O31" t="n">
        <v>2</v>
      </c>
      <c r="P31" t="n">
        <v>2</v>
      </c>
      <c r="Q31" t="n">
        <v>1</v>
      </c>
      <c r="R31" t="n">
        <v>1</v>
      </c>
      <c r="S31" t="n">
        <v>6</v>
      </c>
      <c r="T31" t="n">
        <v>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28</v>
      </c>
      <c r="B32" t="s">
        <v>334</v>
      </c>
      <c r="C32" t="s">
        <v>236</v>
      </c>
      <c r="D32" t="s">
        <v>335</v>
      </c>
      <c r="E32" t="s">
        <v>237</v>
      </c>
      <c r="F32" t="n">
        <v>12</v>
      </c>
      <c r="G32" t="n">
        <v>10</v>
      </c>
      <c r="H32" t="n">
        <v>10</v>
      </c>
      <c r="I32" t="n">
        <v>13</v>
      </c>
      <c r="J32" t="n">
        <v>18</v>
      </c>
      <c r="K32" t="n">
        <v>16</v>
      </c>
      <c r="L32" t="n">
        <v>11</v>
      </c>
      <c r="M32" t="n">
        <v>8</v>
      </c>
      <c r="N32" t="n">
        <v>25</v>
      </c>
      <c r="O32" t="n">
        <v>22</v>
      </c>
      <c r="P32" t="n">
        <v>20</v>
      </c>
      <c r="Q32" t="n">
        <v>12</v>
      </c>
      <c r="R32" t="n">
        <v>15</v>
      </c>
      <c r="S32" t="n">
        <v>14</v>
      </c>
      <c r="T32" t="n">
        <v>15</v>
      </c>
      <c r="U32" t="n">
        <v>13</v>
      </c>
      <c r="V32" t="n">
        <v>11</v>
      </c>
      <c r="W32" t="n">
        <v>9</v>
      </c>
      <c r="X32" t="n">
        <v>11</v>
      </c>
      <c r="Y32" t="n">
        <v>14</v>
      </c>
      <c r="Z32" t="n">
        <v>9</v>
      </c>
      <c r="AA32" t="n">
        <v>10</v>
      </c>
      <c r="AB32" t="n">
        <v>5</v>
      </c>
      <c r="AC32" t="n">
        <v>3</v>
      </c>
      <c r="AD32" t="n">
        <v>6</v>
      </c>
      <c r="AE32" t="n">
        <v>4</v>
      </c>
      <c r="AF32" t="n">
        <v>5</v>
      </c>
    </row>
    <row r="33">
      <c r="A33" t="s">
        <v>28</v>
      </c>
      <c r="B33" t="s">
        <v>336</v>
      </c>
      <c r="C33" t="s">
        <v>236</v>
      </c>
      <c r="D33" t="s">
        <v>337</v>
      </c>
      <c r="E33" t="s">
        <v>237</v>
      </c>
      <c r="F33" t="n">
        <v>4</v>
      </c>
      <c r="G33" t="n">
        <v>2</v>
      </c>
      <c r="H33" t="n">
        <v>4</v>
      </c>
      <c r="I33" t="n">
        <v>6</v>
      </c>
      <c r="J33" t="n">
        <v>9</v>
      </c>
      <c r="K33" t="n">
        <v>6</v>
      </c>
      <c r="L33" t="n">
        <v>5</v>
      </c>
      <c r="M33" t="n">
        <v>4</v>
      </c>
      <c r="N33" t="n">
        <v>5</v>
      </c>
      <c r="O33" t="n">
        <v>1</v>
      </c>
      <c r="P33" t="n">
        <v>0</v>
      </c>
      <c r="Q33" t="n">
        <v>0</v>
      </c>
      <c r="R33" t="n">
        <v>1</v>
      </c>
      <c r="S33" t="n">
        <v>1</v>
      </c>
      <c r="T33" t="n">
        <v>2</v>
      </c>
      <c r="U33" t="n">
        <v>3</v>
      </c>
      <c r="V33" t="n">
        <v>1</v>
      </c>
      <c r="W33" t="n">
        <v>1</v>
      </c>
      <c r="X33" t="n">
        <v>1</v>
      </c>
      <c r="Y33" t="n">
        <v>2</v>
      </c>
      <c r="Z33" t="n">
        <v>1</v>
      </c>
      <c r="AA33" t="n">
        <v>2</v>
      </c>
      <c r="AB33" t="n">
        <v>3</v>
      </c>
      <c r="AC33" t="n">
        <v>2</v>
      </c>
      <c r="AD33" t="n">
        <v>1</v>
      </c>
      <c r="AE33" t="n">
        <v>1</v>
      </c>
      <c r="AF33" t="n">
        <v>1</v>
      </c>
    </row>
    <row r="34">
      <c r="A34" t="s">
        <v>28</v>
      </c>
      <c r="B34" t="s">
        <v>338</v>
      </c>
      <c r="C34" t="s">
        <v>236</v>
      </c>
      <c r="D34" t="s">
        <v>339</v>
      </c>
      <c r="E34" t="s">
        <v>237</v>
      </c>
      <c r="F34" t="n">
        <v>5</v>
      </c>
      <c r="G34" t="n">
        <v>6</v>
      </c>
      <c r="H34" t="n">
        <v>9</v>
      </c>
      <c r="I34" t="n">
        <v>14</v>
      </c>
      <c r="J34" t="n">
        <v>13</v>
      </c>
      <c r="K34" t="n">
        <v>10</v>
      </c>
      <c r="L34" t="n">
        <v>10</v>
      </c>
      <c r="M34" t="n">
        <v>6</v>
      </c>
      <c r="N34" t="n">
        <v>13</v>
      </c>
      <c r="O34" t="n">
        <v>15</v>
      </c>
      <c r="P34" t="n">
        <v>13</v>
      </c>
      <c r="Q34" t="n">
        <v>11</v>
      </c>
      <c r="R34" t="n">
        <v>12</v>
      </c>
      <c r="S34" t="n">
        <v>11</v>
      </c>
      <c r="T34" t="n">
        <v>8</v>
      </c>
      <c r="U34" t="n">
        <v>9</v>
      </c>
      <c r="V34" t="n">
        <v>10</v>
      </c>
      <c r="W34" t="n">
        <v>10</v>
      </c>
      <c r="X34" t="n">
        <v>5</v>
      </c>
      <c r="Y34" t="n">
        <v>5</v>
      </c>
      <c r="Z34" t="n">
        <v>5</v>
      </c>
      <c r="AA34" t="n">
        <v>6</v>
      </c>
      <c r="AB34" t="n">
        <v>3</v>
      </c>
      <c r="AC34" t="n">
        <v>6</v>
      </c>
      <c r="AD34" t="n">
        <v>4</v>
      </c>
      <c r="AE34" t="n">
        <v>3</v>
      </c>
      <c r="AF34" t="n">
        <v>3</v>
      </c>
    </row>
    <row r="35">
      <c r="A35" t="s">
        <v>28</v>
      </c>
      <c r="B35" t="s">
        <v>340</v>
      </c>
      <c r="C35" t="s">
        <v>236</v>
      </c>
      <c r="D35" t="s">
        <v>341</v>
      </c>
      <c r="E35" t="s">
        <v>237</v>
      </c>
      <c r="F35" t="n">
        <v>33</v>
      </c>
      <c r="G35" t="n">
        <v>30</v>
      </c>
      <c r="H35" t="n">
        <v>40</v>
      </c>
      <c r="I35" t="n">
        <v>47</v>
      </c>
      <c r="J35" t="n">
        <v>54</v>
      </c>
      <c r="K35" t="n">
        <v>46</v>
      </c>
      <c r="L35" t="n">
        <v>49</v>
      </c>
      <c r="M35" t="n">
        <v>31</v>
      </c>
      <c r="N35" t="n">
        <v>29</v>
      </c>
      <c r="O35" t="n">
        <v>89</v>
      </c>
      <c r="P35" t="n">
        <v>62</v>
      </c>
      <c r="Q35" t="n">
        <v>69</v>
      </c>
      <c r="R35" t="n">
        <v>70</v>
      </c>
      <c r="S35" t="n">
        <v>76</v>
      </c>
      <c r="T35" t="n">
        <v>40</v>
      </c>
      <c r="U35" t="n">
        <v>64</v>
      </c>
      <c r="V35" t="n">
        <v>114</v>
      </c>
      <c r="W35" t="n">
        <v>114</v>
      </c>
      <c r="X35" t="n">
        <v>93</v>
      </c>
      <c r="Y35" t="n">
        <v>102</v>
      </c>
      <c r="Z35" t="n">
        <v>109</v>
      </c>
      <c r="AA35" t="n">
        <v>118</v>
      </c>
      <c r="AB35" t="n">
        <v>107</v>
      </c>
      <c r="AC35" t="n">
        <v>149</v>
      </c>
      <c r="AD35" t="n">
        <v>99</v>
      </c>
      <c r="AE35" t="n">
        <v>115</v>
      </c>
      <c r="AF35" t="n">
        <v>124</v>
      </c>
    </row>
    <row r="36">
      <c r="A36" t="s">
        <v>28</v>
      </c>
      <c r="B36" t="s">
        <v>342</v>
      </c>
      <c r="C36" t="s">
        <v>236</v>
      </c>
      <c r="D36" t="s">
        <v>343</v>
      </c>
      <c r="E36" t="s">
        <v>237</v>
      </c>
      <c r="F36" t="n">
        <v>5</v>
      </c>
      <c r="G36" t="n">
        <v>4</v>
      </c>
      <c r="H36" t="n">
        <v>9</v>
      </c>
      <c r="I36" t="n">
        <v>8</v>
      </c>
      <c r="J36" t="n">
        <v>3</v>
      </c>
      <c r="K36" t="n">
        <v>4</v>
      </c>
      <c r="L36" t="n">
        <v>5</v>
      </c>
      <c r="M36" t="n">
        <v>4</v>
      </c>
      <c r="N36" t="n">
        <v>5</v>
      </c>
      <c r="O36" t="n">
        <v>4</v>
      </c>
      <c r="P36" t="n">
        <v>5</v>
      </c>
      <c r="Q36" t="n">
        <v>7</v>
      </c>
      <c r="R36" t="n">
        <v>9</v>
      </c>
      <c r="S36" t="n">
        <v>8</v>
      </c>
      <c r="T36" t="n">
        <v>9</v>
      </c>
      <c r="U36" t="n">
        <v>10</v>
      </c>
      <c r="V36" t="n">
        <v>9</v>
      </c>
      <c r="W36" t="n">
        <v>9</v>
      </c>
      <c r="X36" t="n">
        <v>4</v>
      </c>
      <c r="Y36" t="n">
        <v>3</v>
      </c>
      <c r="Z36" t="n">
        <v>3</v>
      </c>
      <c r="AA36" t="n">
        <v>4</v>
      </c>
      <c r="AB36" t="n">
        <v>5</v>
      </c>
      <c r="AC36" t="n">
        <v>4</v>
      </c>
      <c r="AD36" t="n">
        <v>3</v>
      </c>
      <c r="AE36" t="n">
        <v>2</v>
      </c>
      <c r="AF36" t="n">
        <v>5</v>
      </c>
    </row>
    <row r="37">
      <c r="A37" t="s">
        <v>28</v>
      </c>
      <c r="B37" t="s">
        <v>344</v>
      </c>
      <c r="C37" t="s">
        <v>236</v>
      </c>
      <c r="D37" t="s">
        <v>345</v>
      </c>
      <c r="E37" t="s">
        <v>237</v>
      </c>
      <c r="F37" t="n">
        <v>23</v>
      </c>
      <c r="G37" t="n">
        <v>22</v>
      </c>
      <c r="H37" t="n">
        <v>28</v>
      </c>
      <c r="I37" t="n">
        <v>35</v>
      </c>
      <c r="J37" t="n">
        <v>44</v>
      </c>
      <c r="K37" t="n">
        <v>36</v>
      </c>
      <c r="L37" t="n">
        <v>37</v>
      </c>
      <c r="M37" t="n">
        <v>23</v>
      </c>
      <c r="N37" t="n">
        <v>18</v>
      </c>
      <c r="O37" t="n">
        <v>69</v>
      </c>
      <c r="P37" t="n">
        <v>49</v>
      </c>
      <c r="Q37" t="n">
        <v>40</v>
      </c>
      <c r="R37" t="n">
        <v>34</v>
      </c>
      <c r="S37" t="n">
        <v>47</v>
      </c>
      <c r="T37" t="n">
        <v>21</v>
      </c>
      <c r="U37" t="n">
        <v>39</v>
      </c>
      <c r="V37" t="n">
        <v>91</v>
      </c>
      <c r="W37" t="n">
        <v>91</v>
      </c>
      <c r="X37" t="n">
        <v>73</v>
      </c>
      <c r="Y37" t="n">
        <v>78</v>
      </c>
      <c r="Z37" t="n">
        <v>75</v>
      </c>
      <c r="AA37" t="n">
        <v>88</v>
      </c>
      <c r="AB37" t="n">
        <v>68</v>
      </c>
      <c r="AC37" t="n">
        <v>108</v>
      </c>
      <c r="AD37" t="n">
        <v>84</v>
      </c>
      <c r="AE37" t="n">
        <v>104</v>
      </c>
      <c r="AF37" t="n">
        <v>109</v>
      </c>
    </row>
    <row r="38">
      <c r="A38" t="s">
        <v>28</v>
      </c>
      <c r="B38" t="s">
        <v>346</v>
      </c>
      <c r="C38" t="s">
        <v>236</v>
      </c>
      <c r="D38" t="s">
        <v>347</v>
      </c>
      <c r="E38" t="s">
        <v>237</v>
      </c>
      <c r="F38" t="n">
        <v>5</v>
      </c>
      <c r="G38" t="n">
        <v>4</v>
      </c>
      <c r="H38" t="n">
        <v>3</v>
      </c>
      <c r="I38" t="n">
        <v>4</v>
      </c>
      <c r="J38" t="n">
        <v>7</v>
      </c>
      <c r="K38" t="n">
        <v>6</v>
      </c>
      <c r="L38" t="n">
        <v>7</v>
      </c>
      <c r="M38" t="n">
        <v>4</v>
      </c>
      <c r="N38" t="n">
        <v>6</v>
      </c>
      <c r="O38" t="n">
        <v>16</v>
      </c>
      <c r="P38" t="n">
        <v>8</v>
      </c>
      <c r="Q38" t="n">
        <v>22</v>
      </c>
      <c r="R38" t="n">
        <v>27</v>
      </c>
      <c r="S38" t="n">
        <v>21</v>
      </c>
      <c r="T38" t="n">
        <v>10</v>
      </c>
      <c r="U38" t="n">
        <v>15</v>
      </c>
      <c r="V38" t="n">
        <v>14</v>
      </c>
      <c r="W38" t="n">
        <v>14</v>
      </c>
      <c r="X38" t="n">
        <v>16</v>
      </c>
      <c r="Y38" t="n">
        <v>21</v>
      </c>
      <c r="Z38" t="n">
        <v>31</v>
      </c>
      <c r="AA38" t="n">
        <v>26</v>
      </c>
      <c r="AB38" t="n">
        <v>34</v>
      </c>
      <c r="AC38" t="n">
        <v>37</v>
      </c>
      <c r="AD38" t="n">
        <v>12</v>
      </c>
      <c r="AE38" t="n">
        <v>9</v>
      </c>
      <c r="AF38" t="n">
        <v>10</v>
      </c>
    </row>
    <row r="39">
      <c r="A39" t="s">
        <v>28</v>
      </c>
      <c r="B39" t="s">
        <v>348</v>
      </c>
      <c r="C39" t="s">
        <v>236</v>
      </c>
      <c r="D39" t="s">
        <v>349</v>
      </c>
      <c r="E39" t="s">
        <v>237</v>
      </c>
      <c r="F39" t="n">
        <v>2</v>
      </c>
      <c r="G39" t="n">
        <v>5</v>
      </c>
      <c r="H39" t="n">
        <v>3</v>
      </c>
      <c r="I39" t="n">
        <v>4</v>
      </c>
      <c r="J39" t="n">
        <v>4</v>
      </c>
      <c r="K39" t="n">
        <v>6</v>
      </c>
      <c r="L39" t="n">
        <v>4</v>
      </c>
      <c r="M39" t="n">
        <v>6</v>
      </c>
      <c r="N39" t="n">
        <v>6</v>
      </c>
      <c r="O39" t="n">
        <v>3</v>
      </c>
      <c r="P39" t="n">
        <v>6</v>
      </c>
      <c r="Q39" t="n">
        <v>11</v>
      </c>
      <c r="R39" t="n">
        <v>17</v>
      </c>
      <c r="S39" t="n">
        <v>20</v>
      </c>
      <c r="T39" t="n">
        <v>12</v>
      </c>
      <c r="U39" t="n">
        <v>9</v>
      </c>
      <c r="V39" t="n">
        <v>8</v>
      </c>
      <c r="W39" t="n">
        <v>4</v>
      </c>
      <c r="X39" t="n">
        <v>7</v>
      </c>
      <c r="Y39" t="n">
        <v>2</v>
      </c>
      <c r="Z39" t="n">
        <v>3</v>
      </c>
      <c r="AA39" t="n">
        <v>3</v>
      </c>
      <c r="AB39" t="n">
        <v>52</v>
      </c>
      <c r="AC39" t="n">
        <v>28</v>
      </c>
      <c r="AD39" t="n">
        <v>46</v>
      </c>
      <c r="AE39" t="n">
        <v>36</v>
      </c>
      <c r="AF39" t="n">
        <v>34</v>
      </c>
    </row>
    <row r="40">
      <c r="A40" t="s">
        <v>28</v>
      </c>
      <c r="B40" t="s">
        <v>350</v>
      </c>
      <c r="C40" t="s">
        <v>236</v>
      </c>
      <c r="D40" t="s">
        <v>351</v>
      </c>
      <c r="E40" t="s">
        <v>237</v>
      </c>
      <c r="F40" t="n">
        <v>0</v>
      </c>
      <c r="G40" t="n">
        <v>0</v>
      </c>
      <c r="H40" t="n">
        <v>0</v>
      </c>
      <c r="I40" t="n">
        <v>1</v>
      </c>
      <c r="J40" t="n">
        <v>1</v>
      </c>
      <c r="K40" t="n">
        <v>3</v>
      </c>
      <c r="L40" t="n">
        <v>2</v>
      </c>
      <c r="M40" t="n">
        <v>2</v>
      </c>
      <c r="N40" t="n">
        <v>4</v>
      </c>
      <c r="O40" t="n">
        <v>5</v>
      </c>
      <c r="P40" t="n">
        <v>6</v>
      </c>
      <c r="Q40" t="n">
        <v>6</v>
      </c>
      <c r="R40" t="n">
        <v>7</v>
      </c>
      <c r="S40" t="n">
        <v>16</v>
      </c>
      <c r="T40" t="n">
        <v>7</v>
      </c>
      <c r="U40" t="n">
        <v>3</v>
      </c>
      <c r="V40" t="n">
        <v>2</v>
      </c>
      <c r="W40" t="n">
        <v>1</v>
      </c>
      <c r="X40" t="n">
        <v>4</v>
      </c>
      <c r="Y40" t="n">
        <v>4</v>
      </c>
      <c r="Z40" t="n">
        <v>4</v>
      </c>
      <c r="AA40" t="n">
        <v>5</v>
      </c>
      <c r="AB40" t="n">
        <v>5</v>
      </c>
      <c r="AC40" t="n">
        <v>5</v>
      </c>
      <c r="AD40" t="n">
        <v>4</v>
      </c>
      <c r="AE40" t="n">
        <v>4</v>
      </c>
      <c r="AF40" t="n">
        <v>4</v>
      </c>
    </row>
    <row r="41">
      <c r="A41" t="s">
        <v>28</v>
      </c>
      <c r="B41" t="s">
        <v>352</v>
      </c>
      <c r="C41" t="s">
        <v>236</v>
      </c>
      <c r="D41" t="s">
        <v>353</v>
      </c>
      <c r="E41" t="s">
        <v>237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/>
      <c r="AD41"/>
      <c r="AE41"/>
      <c r="AF41"/>
    </row>
    <row r="42">
      <c r="A42" t="s">
        <v>28</v>
      </c>
      <c r="B42" t="s">
        <v>354</v>
      </c>
      <c r="C42" t="s">
        <v>236</v>
      </c>
      <c r="D42" t="s">
        <v>355</v>
      </c>
      <c r="E42" t="s">
        <v>237</v>
      </c>
      <c r="F42" t="n">
        <v>9</v>
      </c>
      <c r="G42" t="n">
        <v>10</v>
      </c>
      <c r="H42" t="n">
        <v>13</v>
      </c>
      <c r="I42" t="n">
        <v>16</v>
      </c>
      <c r="J42" t="n">
        <v>20</v>
      </c>
      <c r="K42" t="n">
        <v>17</v>
      </c>
      <c r="L42" t="n">
        <v>17</v>
      </c>
      <c r="M42" t="n">
        <v>11</v>
      </c>
      <c r="N42" t="n">
        <v>21</v>
      </c>
      <c r="O42" t="n">
        <v>19</v>
      </c>
      <c r="P42" t="n">
        <v>21</v>
      </c>
      <c r="Q42" t="n">
        <v>26</v>
      </c>
      <c r="R42" t="n">
        <v>29</v>
      </c>
      <c r="S42" t="n">
        <v>38</v>
      </c>
      <c r="T42" t="n">
        <v>10</v>
      </c>
      <c r="U42" t="n">
        <v>17</v>
      </c>
      <c r="V42" t="n">
        <v>21</v>
      </c>
      <c r="W42" t="n">
        <v>12</v>
      </c>
      <c r="X42" t="n">
        <v>14</v>
      </c>
      <c r="Y42" t="n">
        <v>10</v>
      </c>
      <c r="Z42" t="n">
        <v>9</v>
      </c>
      <c r="AA42" t="n">
        <v>12</v>
      </c>
      <c r="AB42" t="n">
        <v>12</v>
      </c>
      <c r="AC42" t="n">
        <v>10</v>
      </c>
      <c r="AD42" t="n">
        <v>9</v>
      </c>
      <c r="AE42" t="n">
        <v>9</v>
      </c>
      <c r="AF42" t="n">
        <v>9</v>
      </c>
    </row>
    <row r="43">
      <c r="A43" t="s">
        <v>28</v>
      </c>
      <c r="B43" t="s">
        <v>356</v>
      </c>
      <c r="C43" t="s">
        <v>236</v>
      </c>
      <c r="D43" t="s">
        <v>357</v>
      </c>
      <c r="E43" t="s">
        <v>237</v>
      </c>
      <c r="F43" t="n">
        <v>14</v>
      </c>
      <c r="G43" t="n">
        <v>16</v>
      </c>
      <c r="H43" t="n">
        <v>20</v>
      </c>
      <c r="I43" t="n">
        <v>26</v>
      </c>
      <c r="J43" t="n">
        <v>31</v>
      </c>
      <c r="K43" t="n">
        <v>29</v>
      </c>
      <c r="L43" t="n">
        <v>26</v>
      </c>
      <c r="M43" t="n">
        <v>17</v>
      </c>
      <c r="N43" t="n">
        <v>39</v>
      </c>
      <c r="O43" t="n">
        <v>37</v>
      </c>
      <c r="P43" t="n">
        <v>40</v>
      </c>
      <c r="Q43" t="n">
        <v>49</v>
      </c>
      <c r="R43" t="n">
        <v>55</v>
      </c>
      <c r="S43" t="n">
        <v>73</v>
      </c>
      <c r="T43" t="n">
        <v>36</v>
      </c>
      <c r="U43" t="n">
        <v>40</v>
      </c>
      <c r="V43" t="n">
        <v>48</v>
      </c>
      <c r="W43" t="n">
        <v>37</v>
      </c>
      <c r="X43" t="n">
        <v>34</v>
      </c>
      <c r="Y43" t="n">
        <v>26</v>
      </c>
      <c r="Z43" t="n">
        <v>22</v>
      </c>
      <c r="AA43" t="n">
        <v>31</v>
      </c>
      <c r="AB43" t="n">
        <v>26</v>
      </c>
      <c r="AC43" t="n">
        <v>25</v>
      </c>
      <c r="AD43" t="n">
        <v>24</v>
      </c>
      <c r="AE43" t="n">
        <v>21</v>
      </c>
      <c r="AF43" t="n">
        <v>21</v>
      </c>
    </row>
    <row r="44">
      <c r="A44" t="s">
        <v>28</v>
      </c>
      <c r="B44" t="s">
        <v>358</v>
      </c>
      <c r="C44" t="s">
        <v>236</v>
      </c>
      <c r="D44" t="s">
        <v>359</v>
      </c>
      <c r="E44" t="s">
        <v>237</v>
      </c>
      <c r="F44" t="n">
        <v>249</v>
      </c>
      <c r="G44" t="n">
        <v>240</v>
      </c>
      <c r="H44" t="n">
        <v>315</v>
      </c>
      <c r="I44" t="n">
        <v>377</v>
      </c>
      <c r="J44" t="n">
        <v>403</v>
      </c>
      <c r="K44" t="n">
        <v>333</v>
      </c>
      <c r="L44" t="n">
        <v>367</v>
      </c>
      <c r="M44" t="n">
        <v>214</v>
      </c>
      <c r="N44" t="n">
        <v>389</v>
      </c>
      <c r="O44" t="n">
        <v>492</v>
      </c>
      <c r="P44" t="n">
        <v>408</v>
      </c>
      <c r="Q44" t="n">
        <v>563</v>
      </c>
      <c r="R44" t="n">
        <v>720</v>
      </c>
      <c r="S44" t="n">
        <v>694</v>
      </c>
      <c r="T44" t="n">
        <v>495</v>
      </c>
      <c r="U44" t="n">
        <v>460</v>
      </c>
      <c r="V44" t="n">
        <v>475</v>
      </c>
      <c r="W44" t="n">
        <v>487</v>
      </c>
      <c r="X44" t="n">
        <v>405</v>
      </c>
      <c r="Y44" t="n">
        <v>412</v>
      </c>
      <c r="Z44" t="n">
        <v>463</v>
      </c>
      <c r="AA44" t="n">
        <v>499</v>
      </c>
      <c r="AB44" t="n">
        <v>546</v>
      </c>
      <c r="AC44" t="n">
        <v>501</v>
      </c>
      <c r="AD44" t="n">
        <v>437</v>
      </c>
      <c r="AE44" t="n">
        <v>428</v>
      </c>
      <c r="AF44" t="n">
        <v>456</v>
      </c>
    </row>
    <row r="45">
      <c r="A45" t="s">
        <v>28</v>
      </c>
      <c r="B45" t="s">
        <v>360</v>
      </c>
      <c r="C45" t="s">
        <v>236</v>
      </c>
      <c r="D45" t="s">
        <v>361</v>
      </c>
      <c r="E45" t="s">
        <v>237</v>
      </c>
      <c r="F45" t="n">
        <v>238</v>
      </c>
      <c r="G45" t="n">
        <v>232</v>
      </c>
      <c r="H45" t="n">
        <v>303</v>
      </c>
      <c r="I45" t="n">
        <v>363</v>
      </c>
      <c r="J45" t="n">
        <v>387</v>
      </c>
      <c r="K45" t="n">
        <v>322</v>
      </c>
      <c r="L45" t="n">
        <v>356</v>
      </c>
      <c r="M45" t="n">
        <v>207</v>
      </c>
      <c r="N45" t="n">
        <v>375</v>
      </c>
      <c r="O45" t="n">
        <v>472</v>
      </c>
      <c r="P45" t="n">
        <v>393</v>
      </c>
      <c r="Q45" t="n">
        <v>553</v>
      </c>
      <c r="R45" t="n">
        <v>709</v>
      </c>
      <c r="S45" t="n">
        <v>686</v>
      </c>
      <c r="T45" t="n">
        <v>485</v>
      </c>
      <c r="U45" t="n">
        <v>452</v>
      </c>
      <c r="V45" t="n">
        <v>468</v>
      </c>
      <c r="W45" t="n">
        <v>478</v>
      </c>
      <c r="X45" t="n">
        <v>396</v>
      </c>
      <c r="Y45" t="n">
        <v>403</v>
      </c>
      <c r="Z45" t="n">
        <v>454</v>
      </c>
      <c r="AA45" t="n">
        <v>491</v>
      </c>
      <c r="AB45" t="n">
        <v>538</v>
      </c>
      <c r="AC45" t="n">
        <v>493</v>
      </c>
      <c r="AD45" t="n">
        <v>429</v>
      </c>
      <c r="AE45" t="n">
        <v>420</v>
      </c>
      <c r="AF45" t="n">
        <v>448</v>
      </c>
    </row>
    <row r="46">
      <c r="A46" t="s">
        <v>28</v>
      </c>
      <c r="B46" t="s">
        <v>362</v>
      </c>
      <c r="C46" t="s">
        <v>236</v>
      </c>
      <c r="D46" t="s">
        <v>363</v>
      </c>
      <c r="E46" t="s">
        <v>237</v>
      </c>
      <c r="F46" t="n">
        <v>5</v>
      </c>
      <c r="G46" t="n">
        <v>6</v>
      </c>
      <c r="H46" t="n">
        <v>7</v>
      </c>
      <c r="I46" t="n">
        <v>10</v>
      </c>
      <c r="J46" t="n">
        <v>11</v>
      </c>
      <c r="K46" t="n">
        <v>12</v>
      </c>
      <c r="L46" t="n">
        <v>9</v>
      </c>
      <c r="M46" t="n">
        <v>6</v>
      </c>
      <c r="N46" t="n">
        <v>18</v>
      </c>
      <c r="O46" t="n">
        <v>18</v>
      </c>
      <c r="P46" t="n">
        <v>19</v>
      </c>
      <c r="Q46" t="n">
        <v>23</v>
      </c>
      <c r="R46" t="n">
        <v>26</v>
      </c>
      <c r="S46" t="n">
        <v>35</v>
      </c>
      <c r="T46" t="n">
        <v>26</v>
      </c>
      <c r="U46" t="n">
        <v>23</v>
      </c>
      <c r="V46" t="n">
        <v>27</v>
      </c>
      <c r="W46" t="n">
        <v>25</v>
      </c>
      <c r="X46" t="n">
        <v>20</v>
      </c>
      <c r="Y46" t="n">
        <v>16</v>
      </c>
      <c r="Z46" t="n">
        <v>13</v>
      </c>
      <c r="AA46" t="n">
        <v>19</v>
      </c>
      <c r="AB46" t="n">
        <v>14</v>
      </c>
      <c r="AC46" t="n">
        <v>15</v>
      </c>
      <c r="AD46" t="n">
        <v>15</v>
      </c>
      <c r="AE46" t="n">
        <v>12</v>
      </c>
      <c r="AF46" t="n">
        <v>12</v>
      </c>
    </row>
    <row r="47">
      <c r="A47" t="s">
        <v>28</v>
      </c>
      <c r="B47" t="s">
        <v>364</v>
      </c>
      <c r="C47" t="s">
        <v>236</v>
      </c>
      <c r="D47" t="s">
        <v>365</v>
      </c>
      <c r="E47" t="s">
        <v>237</v>
      </c>
      <c r="F47" t="n">
        <v>12</v>
      </c>
      <c r="G47" t="n">
        <v>13</v>
      </c>
      <c r="H47" t="n">
        <v>14</v>
      </c>
      <c r="I47" t="n">
        <v>19</v>
      </c>
      <c r="J47" t="n">
        <v>27</v>
      </c>
      <c r="K47" t="n">
        <v>21</v>
      </c>
      <c r="L47" t="n">
        <v>25</v>
      </c>
      <c r="M47" t="n">
        <v>14</v>
      </c>
      <c r="N47" t="n">
        <v>26</v>
      </c>
      <c r="O47" t="n">
        <v>33</v>
      </c>
      <c r="P47" t="n">
        <v>26</v>
      </c>
      <c r="Q47" t="n">
        <v>9</v>
      </c>
      <c r="R47" t="n">
        <v>14</v>
      </c>
      <c r="S47" t="n">
        <v>13</v>
      </c>
      <c r="T47" t="n">
        <v>8</v>
      </c>
      <c r="U47" t="n">
        <v>8</v>
      </c>
      <c r="V47" t="n">
        <v>4</v>
      </c>
      <c r="W47" t="n">
        <v>7</v>
      </c>
      <c r="X47" t="n">
        <v>6</v>
      </c>
      <c r="Y47" t="n">
        <v>4</v>
      </c>
      <c r="Z47" t="n">
        <v>7</v>
      </c>
      <c r="AA47" t="n">
        <v>7</v>
      </c>
      <c r="AB47" t="n">
        <v>8</v>
      </c>
      <c r="AC47" t="n">
        <v>6</v>
      </c>
      <c r="AD47" t="n">
        <v>8</v>
      </c>
      <c r="AE47" t="n">
        <v>6</v>
      </c>
      <c r="AF47" t="n">
        <v>7</v>
      </c>
    </row>
    <row r="48">
      <c r="A48" t="s">
        <v>28</v>
      </c>
      <c r="B48" t="s">
        <v>366</v>
      </c>
      <c r="C48" t="s">
        <v>236</v>
      </c>
      <c r="D48" t="s">
        <v>367</v>
      </c>
      <c r="E48" t="s">
        <v>237</v>
      </c>
      <c r="F48" t="n">
        <v>35</v>
      </c>
      <c r="G48" t="n">
        <v>34</v>
      </c>
      <c r="H48" t="n">
        <v>43</v>
      </c>
      <c r="I48" t="n">
        <v>53</v>
      </c>
      <c r="J48" t="n">
        <v>69</v>
      </c>
      <c r="K48" t="n">
        <v>58</v>
      </c>
      <c r="L48" t="n">
        <v>66</v>
      </c>
      <c r="M48" t="n">
        <v>42</v>
      </c>
      <c r="N48" t="n">
        <v>77</v>
      </c>
      <c r="O48" t="n">
        <v>98</v>
      </c>
      <c r="P48" t="n">
        <v>83</v>
      </c>
      <c r="Q48" t="n">
        <v>41</v>
      </c>
      <c r="R48" t="n">
        <v>47</v>
      </c>
      <c r="S48" t="n">
        <v>45</v>
      </c>
      <c r="T48" t="n">
        <v>44</v>
      </c>
      <c r="U48" t="n">
        <v>33</v>
      </c>
      <c r="V48" t="n">
        <v>26</v>
      </c>
      <c r="W48" t="n">
        <v>30</v>
      </c>
      <c r="X48" t="n">
        <v>30</v>
      </c>
      <c r="Y48" t="n">
        <v>27</v>
      </c>
      <c r="Z48" t="n">
        <v>27</v>
      </c>
      <c r="AA48" t="n">
        <v>27</v>
      </c>
      <c r="AB48" t="n">
        <v>25</v>
      </c>
      <c r="AC48" t="n">
        <v>24</v>
      </c>
      <c r="AD48" t="n">
        <v>25</v>
      </c>
      <c r="AE48" t="n">
        <v>22</v>
      </c>
      <c r="AF48" t="n">
        <v>26</v>
      </c>
    </row>
    <row r="49">
      <c r="A49" t="s">
        <v>28</v>
      </c>
      <c r="B49" t="s">
        <v>368</v>
      </c>
      <c r="C49" t="s">
        <v>236</v>
      </c>
      <c r="D49" t="s">
        <v>369</v>
      </c>
      <c r="E49" t="s">
        <v>237</v>
      </c>
      <c r="F49" t="n">
        <v>11</v>
      </c>
      <c r="G49" t="n">
        <v>8</v>
      </c>
      <c r="H49" t="n">
        <v>11</v>
      </c>
      <c r="I49" t="n">
        <v>13</v>
      </c>
      <c r="J49" t="n">
        <v>16</v>
      </c>
      <c r="K49" t="n">
        <v>13</v>
      </c>
      <c r="L49" t="n">
        <v>15</v>
      </c>
      <c r="M49" t="n">
        <v>10</v>
      </c>
      <c r="N49" t="n">
        <v>17</v>
      </c>
      <c r="O49" t="n">
        <v>21</v>
      </c>
      <c r="P49" t="n">
        <v>15</v>
      </c>
      <c r="Q49" t="n">
        <v>15</v>
      </c>
      <c r="R49" t="n">
        <v>14</v>
      </c>
      <c r="S49" t="n">
        <v>14</v>
      </c>
      <c r="T49" t="n">
        <v>6</v>
      </c>
      <c r="U49" t="n">
        <v>5</v>
      </c>
      <c r="V49" t="n">
        <v>5</v>
      </c>
      <c r="W49" t="n">
        <v>7</v>
      </c>
      <c r="X49" t="n">
        <v>7</v>
      </c>
      <c r="Y49" t="n">
        <v>5</v>
      </c>
      <c r="Z49" t="n">
        <v>7</v>
      </c>
      <c r="AA49" t="n">
        <v>8</v>
      </c>
      <c r="AB49" t="n">
        <v>9</v>
      </c>
      <c r="AC49" t="n">
        <v>10</v>
      </c>
      <c r="AD49" t="n">
        <v>9</v>
      </c>
      <c r="AE49" t="n">
        <v>8</v>
      </c>
      <c r="AF49" t="n">
        <v>9</v>
      </c>
    </row>
    <row r="50">
      <c r="A50" t="s">
        <v>28</v>
      </c>
      <c r="B50" t="s">
        <v>370</v>
      </c>
      <c r="C50" t="s">
        <v>236</v>
      </c>
      <c r="D50" t="s">
        <v>371</v>
      </c>
      <c r="E50" t="s">
        <v>237</v>
      </c>
      <c r="F50" t="n">
        <v>12</v>
      </c>
      <c r="G50" t="n">
        <v>13</v>
      </c>
      <c r="H50" t="n">
        <v>18</v>
      </c>
      <c r="I50" t="n">
        <v>21</v>
      </c>
      <c r="J50" t="n">
        <v>26</v>
      </c>
      <c r="K50" t="n">
        <v>24</v>
      </c>
      <c r="L50" t="n">
        <v>26</v>
      </c>
      <c r="M50" t="n">
        <v>18</v>
      </c>
      <c r="N50" t="n">
        <v>34</v>
      </c>
      <c r="O50" t="n">
        <v>44</v>
      </c>
      <c r="P50" t="n">
        <v>42</v>
      </c>
      <c r="Q50" t="n">
        <v>17</v>
      </c>
      <c r="R50" t="n">
        <v>19</v>
      </c>
      <c r="S50" t="n">
        <v>18</v>
      </c>
      <c r="T50" t="n">
        <v>30</v>
      </c>
      <c r="U50" t="n">
        <v>20</v>
      </c>
      <c r="V50" t="n">
        <v>17</v>
      </c>
      <c r="W50" t="n">
        <v>16</v>
      </c>
      <c r="X50" t="n">
        <v>17</v>
      </c>
      <c r="Y50" t="n">
        <v>18</v>
      </c>
      <c r="Z50" t="n">
        <v>13</v>
      </c>
      <c r="AA50" t="n">
        <v>12</v>
      </c>
      <c r="AB50" t="n">
        <v>8</v>
      </c>
      <c r="AC50" t="n">
        <v>8</v>
      </c>
      <c r="AD50" t="n">
        <v>8</v>
      </c>
      <c r="AE50" t="n">
        <v>8</v>
      </c>
      <c r="AF50" t="n">
        <v>10</v>
      </c>
    </row>
    <row r="51">
      <c r="A51" t="s">
        <v>28</v>
      </c>
      <c r="B51" t="s">
        <v>372</v>
      </c>
      <c r="C51" t="s">
        <v>236</v>
      </c>
      <c r="D51" t="s">
        <v>373</v>
      </c>
      <c r="E51" t="s">
        <v>237</v>
      </c>
      <c r="F51" t="n">
        <v>12</v>
      </c>
      <c r="G51" t="n">
        <v>13</v>
      </c>
      <c r="H51" t="n">
        <v>17</v>
      </c>
      <c r="I51" t="n">
        <v>20</v>
      </c>
      <c r="J51" t="n">
        <v>25</v>
      </c>
      <c r="K51" t="n">
        <v>24</v>
      </c>
      <c r="L51" t="n">
        <v>25</v>
      </c>
      <c r="M51" t="n">
        <v>18</v>
      </c>
      <c r="N51" t="n">
        <v>32</v>
      </c>
      <c r="O51" t="n">
        <v>41</v>
      </c>
      <c r="P51" t="n">
        <v>39</v>
      </c>
      <c r="Q51" t="n">
        <v>17</v>
      </c>
      <c r="R51" t="n">
        <v>19</v>
      </c>
      <c r="S51" t="n">
        <v>18</v>
      </c>
      <c r="T51" t="n">
        <v>29</v>
      </c>
      <c r="U51" t="n">
        <v>19</v>
      </c>
      <c r="V51" t="n">
        <v>17</v>
      </c>
      <c r="W51" t="n">
        <v>15</v>
      </c>
      <c r="X51" t="n">
        <v>15</v>
      </c>
      <c r="Y51" t="n">
        <v>16</v>
      </c>
      <c r="Z51" t="n">
        <v>11</v>
      </c>
      <c r="AA51" t="n">
        <v>9</v>
      </c>
      <c r="AB51" t="n">
        <v>7</v>
      </c>
      <c r="AC51" t="n">
        <v>7</v>
      </c>
      <c r="AD51" t="n">
        <v>6</v>
      </c>
      <c r="AE51" t="n">
        <v>6</v>
      </c>
      <c r="AF51" t="n">
        <v>7</v>
      </c>
    </row>
    <row r="52">
      <c r="A52" t="s">
        <v>28</v>
      </c>
      <c r="B52" t="s">
        <v>374</v>
      </c>
      <c r="C52" t="s">
        <v>236</v>
      </c>
      <c r="D52" t="s">
        <v>375</v>
      </c>
      <c r="E52" t="s">
        <v>237</v>
      </c>
      <c r="F52" t="n">
        <v>0</v>
      </c>
      <c r="G52" t="n">
        <v>0</v>
      </c>
      <c r="H52" t="n">
        <v>1</v>
      </c>
      <c r="I52" t="n">
        <v>1</v>
      </c>
      <c r="J52" t="n">
        <v>1</v>
      </c>
      <c r="K52" t="n">
        <v>0</v>
      </c>
      <c r="L52" t="n">
        <v>1</v>
      </c>
      <c r="M52" t="n">
        <v>0</v>
      </c>
      <c r="N52" t="n">
        <v>2</v>
      </c>
      <c r="O52" t="n">
        <v>3</v>
      </c>
      <c r="P52" t="n">
        <v>3</v>
      </c>
      <c r="Q52" t="n">
        <v>0</v>
      </c>
      <c r="R52" t="n">
        <v>0</v>
      </c>
      <c r="S52" t="n">
        <v>0</v>
      </c>
      <c r="T52" t="n">
        <v>1</v>
      </c>
      <c r="U52" t="n">
        <v>1</v>
      </c>
      <c r="V52" t="n">
        <v>0</v>
      </c>
      <c r="W52" t="n">
        <v>1</v>
      </c>
      <c r="X52" t="n">
        <v>2</v>
      </c>
      <c r="Y52" t="n">
        <v>2</v>
      </c>
      <c r="Z52" t="n">
        <v>2</v>
      </c>
      <c r="AA52" t="n">
        <v>3</v>
      </c>
      <c r="AB52" t="n">
        <v>1</v>
      </c>
      <c r="AC52" t="n">
        <v>1</v>
      </c>
      <c r="AD52" t="n">
        <v>2</v>
      </c>
      <c r="AE52" t="n">
        <v>2</v>
      </c>
      <c r="AF52" t="n">
        <v>3</v>
      </c>
    </row>
    <row r="53">
      <c r="A53" t="s">
        <v>28</v>
      </c>
      <c r="B53" t="s">
        <v>376</v>
      </c>
      <c r="C53" t="s">
        <v>236</v>
      </c>
      <c r="D53" t="s">
        <v>377</v>
      </c>
      <c r="E53" t="s">
        <v>237</v>
      </c>
      <c r="F53" t="n">
        <v>4</v>
      </c>
      <c r="G53" t="n">
        <v>7</v>
      </c>
      <c r="H53" t="n">
        <v>10</v>
      </c>
      <c r="I53" t="n">
        <v>11</v>
      </c>
      <c r="J53" t="n">
        <v>1</v>
      </c>
      <c r="K53" t="n">
        <v>11</v>
      </c>
      <c r="L53" t="n">
        <v>10</v>
      </c>
      <c r="M53" t="n">
        <v>6</v>
      </c>
      <c r="N53" t="n">
        <v>12</v>
      </c>
      <c r="O53" t="n">
        <v>16</v>
      </c>
      <c r="P53" t="n">
        <v>13</v>
      </c>
      <c r="Q53" t="n">
        <v>13</v>
      </c>
      <c r="R53" t="n">
        <v>21</v>
      </c>
      <c r="S53" t="n">
        <v>17</v>
      </c>
      <c r="T53" t="n">
        <v>18</v>
      </c>
      <c r="U53" t="n">
        <v>11</v>
      </c>
      <c r="V53" t="n">
        <v>16</v>
      </c>
      <c r="W53" t="n">
        <v>17</v>
      </c>
      <c r="X53" t="n">
        <v>17</v>
      </c>
      <c r="Y53" t="n">
        <v>14</v>
      </c>
      <c r="Z53" t="n">
        <v>14</v>
      </c>
      <c r="AA53" t="n">
        <v>16</v>
      </c>
      <c r="AB53" t="n">
        <v>15</v>
      </c>
      <c r="AC53" t="n">
        <v>10</v>
      </c>
      <c r="AD53" t="n">
        <v>8</v>
      </c>
      <c r="AE53" t="n">
        <v>7</v>
      </c>
      <c r="AF53" t="n">
        <v>4</v>
      </c>
    </row>
    <row r="54">
      <c r="A54" t="s">
        <v>28</v>
      </c>
      <c r="B54" t="s">
        <v>378</v>
      </c>
      <c r="C54" t="s">
        <v>236</v>
      </c>
      <c r="D54" t="s">
        <v>379</v>
      </c>
      <c r="E54" t="s">
        <v>237</v>
      </c>
      <c r="F54" t="n">
        <v>5</v>
      </c>
      <c r="G54" t="n">
        <v>8</v>
      </c>
      <c r="H54" t="n">
        <v>11</v>
      </c>
      <c r="I54" t="n">
        <v>12</v>
      </c>
      <c r="J54" t="n">
        <v>4</v>
      </c>
      <c r="K54" t="n">
        <v>13</v>
      </c>
      <c r="L54" t="n">
        <v>12</v>
      </c>
      <c r="M54" t="n">
        <v>7</v>
      </c>
      <c r="N54" t="n">
        <v>17</v>
      </c>
      <c r="O54" t="n">
        <v>21</v>
      </c>
      <c r="P54" t="n">
        <v>17</v>
      </c>
      <c r="Q54" t="n">
        <v>19</v>
      </c>
      <c r="R54" t="n">
        <v>28</v>
      </c>
      <c r="S54" t="n">
        <v>23</v>
      </c>
      <c r="T54" t="n">
        <v>24</v>
      </c>
      <c r="U54" t="n">
        <v>18</v>
      </c>
      <c r="V54" t="n">
        <v>24</v>
      </c>
      <c r="W54" t="n">
        <v>28</v>
      </c>
      <c r="X54" t="n">
        <v>27</v>
      </c>
      <c r="Y54" t="n">
        <v>22</v>
      </c>
      <c r="Z54" t="n">
        <v>22</v>
      </c>
      <c r="AA54" t="n">
        <v>24</v>
      </c>
      <c r="AB54" t="n">
        <v>24</v>
      </c>
      <c r="AC54" t="n">
        <v>18</v>
      </c>
      <c r="AD54" t="n">
        <v>16</v>
      </c>
      <c r="AE54" t="n">
        <v>11</v>
      </c>
      <c r="AF54" t="n">
        <v>9</v>
      </c>
    </row>
    <row r="55">
      <c r="A55" t="s">
        <v>28</v>
      </c>
      <c r="B55" t="s">
        <v>380</v>
      </c>
      <c r="C55" t="s">
        <v>236</v>
      </c>
      <c r="D55" t="s">
        <v>381</v>
      </c>
      <c r="E55" t="s">
        <v>237</v>
      </c>
      <c r="F55" t="n">
        <v>1</v>
      </c>
      <c r="G55" t="n">
        <v>1</v>
      </c>
      <c r="H55" t="n">
        <v>1</v>
      </c>
      <c r="I55" t="n">
        <v>1</v>
      </c>
      <c r="J55" t="n">
        <v>3</v>
      </c>
      <c r="K55" t="n">
        <v>2</v>
      </c>
      <c r="L55" t="n">
        <v>2</v>
      </c>
      <c r="M55" t="n">
        <v>1</v>
      </c>
      <c r="N55" t="n">
        <v>5</v>
      </c>
      <c r="O55" t="n">
        <v>5</v>
      </c>
      <c r="P55" t="n">
        <v>4</v>
      </c>
      <c r="Q55" t="n">
        <v>6</v>
      </c>
      <c r="R55" t="n">
        <v>7</v>
      </c>
      <c r="S55" t="n">
        <v>6</v>
      </c>
      <c r="T55" t="n">
        <v>6</v>
      </c>
      <c r="U55" t="n">
        <v>7</v>
      </c>
      <c r="V55" t="n">
        <v>8</v>
      </c>
      <c r="W55" t="n">
        <v>11</v>
      </c>
      <c r="X55" t="n">
        <v>10</v>
      </c>
      <c r="Y55" t="n">
        <v>8</v>
      </c>
      <c r="Z55" t="n">
        <v>8</v>
      </c>
      <c r="AA55" t="n">
        <v>8</v>
      </c>
      <c r="AB55" t="n">
        <v>9</v>
      </c>
      <c r="AC55" t="n">
        <v>8</v>
      </c>
      <c r="AD55" t="n">
        <v>8</v>
      </c>
      <c r="AE55" t="n">
        <v>4</v>
      </c>
      <c r="AF55" t="n">
        <v>5</v>
      </c>
    </row>
    <row r="56">
      <c r="A56" t="s">
        <v>28</v>
      </c>
      <c r="B56" t="s">
        <v>382</v>
      </c>
      <c r="C56" t="s">
        <v>236</v>
      </c>
      <c r="D56" t="s">
        <v>383</v>
      </c>
      <c r="E56" t="s">
        <v>237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28</v>
      </c>
      <c r="B57" t="s">
        <v>384</v>
      </c>
      <c r="C57" t="s">
        <v>236</v>
      </c>
      <c r="D57" t="s">
        <v>385</v>
      </c>
      <c r="E57" t="s">
        <v>237</v>
      </c>
      <c r="F57" t="n">
        <v>284</v>
      </c>
      <c r="G57" t="n">
        <v>274</v>
      </c>
      <c r="H57" t="n">
        <v>358</v>
      </c>
      <c r="I57" t="n">
        <v>431</v>
      </c>
      <c r="J57" t="n">
        <v>473</v>
      </c>
      <c r="K57" t="n">
        <v>394</v>
      </c>
      <c r="L57" t="n">
        <v>435</v>
      </c>
      <c r="M57" t="n">
        <v>258</v>
      </c>
      <c r="N57" t="n">
        <v>470</v>
      </c>
      <c r="O57" t="n">
        <v>595</v>
      </c>
      <c r="P57" t="n">
        <v>497</v>
      </c>
      <c r="Q57" t="n">
        <v>610</v>
      </c>
      <c r="R57" t="n">
        <v>774</v>
      </c>
      <c r="S57" t="n">
        <v>755</v>
      </c>
      <c r="T57" t="n">
        <v>546</v>
      </c>
      <c r="U57" t="n">
        <v>496</v>
      </c>
      <c r="V57" t="n">
        <v>503</v>
      </c>
      <c r="W57" t="n">
        <v>518</v>
      </c>
      <c r="X57" t="n">
        <v>439</v>
      </c>
      <c r="Y57" t="n">
        <v>443</v>
      </c>
      <c r="Z57" t="n">
        <v>494</v>
      </c>
      <c r="AA57" t="n">
        <v>531</v>
      </c>
      <c r="AB57" t="n">
        <v>576</v>
      </c>
      <c r="AC57" t="n">
        <v>530</v>
      </c>
      <c r="AD57" t="n">
        <v>466</v>
      </c>
      <c r="AE57" t="n">
        <v>454</v>
      </c>
      <c r="AF57" t="n">
        <v>486</v>
      </c>
    </row>
    <row r="58">
      <c r="A58" t="s">
        <v>28</v>
      </c>
      <c r="B58" t="s">
        <v>386</v>
      </c>
      <c r="C58" t="s">
        <v>236</v>
      </c>
      <c r="D58" t="s">
        <v>387</v>
      </c>
      <c r="E58" t="s">
        <v>237</v>
      </c>
      <c r="F58" t="n">
        <v>284</v>
      </c>
      <c r="G58" t="n">
        <v>274</v>
      </c>
      <c r="H58" t="n">
        <v>358</v>
      </c>
      <c r="I58" t="n">
        <v>431</v>
      </c>
      <c r="J58" t="n">
        <v>473</v>
      </c>
      <c r="K58" t="n">
        <v>394</v>
      </c>
      <c r="L58" t="n">
        <v>435</v>
      </c>
      <c r="M58" t="n">
        <v>258</v>
      </c>
      <c r="N58" t="n">
        <v>470</v>
      </c>
      <c r="O58" t="n">
        <v>595</v>
      </c>
      <c r="P58" t="n">
        <v>497</v>
      </c>
      <c r="Q58" t="n">
        <v>610</v>
      </c>
      <c r="R58" t="n">
        <v>774</v>
      </c>
      <c r="S58" t="n">
        <v>755</v>
      </c>
      <c r="T58" t="n">
        <v>546</v>
      </c>
      <c r="U58" t="n">
        <v>496</v>
      </c>
      <c r="V58" t="n">
        <v>503</v>
      </c>
      <c r="W58" t="n">
        <v>518</v>
      </c>
      <c r="X58" t="n">
        <v>439</v>
      </c>
      <c r="Y58" t="n">
        <v>443</v>
      </c>
      <c r="Z58" t="n">
        <v>494</v>
      </c>
      <c r="AA58" t="n">
        <v>531</v>
      </c>
      <c r="AB58" t="n">
        <v>576</v>
      </c>
      <c r="AC58" t="n">
        <v>530</v>
      </c>
      <c r="AD58" t="n">
        <v>466</v>
      </c>
      <c r="AE58" t="n">
        <v>454</v>
      </c>
      <c r="AF58" t="n">
        <v>486</v>
      </c>
    </row>
    <row r="59">
      <c r="A59" t="s">
        <v>28</v>
      </c>
      <c r="B59" t="s">
        <v>388</v>
      </c>
      <c r="C59" t="s">
        <v>236</v>
      </c>
      <c r="D59" t="s">
        <v>389</v>
      </c>
      <c r="E59" t="s">
        <v>237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30</v>
      </c>
      <c r="B2" t="s">
        <v>197</v>
      </c>
      <c r="C2" t="s">
        <v>236</v>
      </c>
      <c r="D2" t="s">
        <v>199</v>
      </c>
      <c r="E2" t="s">
        <v>237</v>
      </c>
      <c r="F2" t="n">
        <v>2</v>
      </c>
      <c r="G2" t="n">
        <v>1</v>
      </c>
      <c r="H2" t="n">
        <v>2</v>
      </c>
      <c r="I2" t="n">
        <v>2</v>
      </c>
      <c r="J2" t="n">
        <v>2</v>
      </c>
      <c r="K2" t="n">
        <v>3</v>
      </c>
      <c r="L2" t="n">
        <v>3</v>
      </c>
      <c r="M2" t="n">
        <v>3</v>
      </c>
      <c r="N2" t="n">
        <v>3</v>
      </c>
      <c r="O2" t="n">
        <v>3</v>
      </c>
      <c r="P2" t="n">
        <v>4</v>
      </c>
      <c r="Q2" t="n">
        <v>6</v>
      </c>
      <c r="R2" t="n">
        <v>5</v>
      </c>
      <c r="S2" t="n">
        <v>5</v>
      </c>
      <c r="T2" t="n">
        <v>5</v>
      </c>
      <c r="U2" t="n">
        <v>6</v>
      </c>
      <c r="V2" t="n">
        <v>5</v>
      </c>
      <c r="W2" t="n">
        <v>5</v>
      </c>
      <c r="X2" t="n">
        <v>7</v>
      </c>
      <c r="Y2" t="n">
        <v>6</v>
      </c>
      <c r="Z2" t="n">
        <v>5</v>
      </c>
      <c r="AA2" t="n">
        <v>4</v>
      </c>
      <c r="AB2" t="n">
        <v>4</v>
      </c>
      <c r="AC2" t="n">
        <v>5</v>
      </c>
      <c r="AD2" t="n">
        <v>5</v>
      </c>
      <c r="AE2" t="n">
        <v>5</v>
      </c>
      <c r="AF2" t="n">
        <v>5</v>
      </c>
    </row>
    <row r="3">
      <c r="A3" t="s">
        <v>30</v>
      </c>
      <c r="B3" t="s">
        <v>276</v>
      </c>
      <c r="C3" t="s">
        <v>236</v>
      </c>
      <c r="D3" t="s">
        <v>277</v>
      </c>
      <c r="E3" t="s">
        <v>237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2</v>
      </c>
      <c r="Q3" t="n">
        <v>2</v>
      </c>
      <c r="R3" t="n">
        <v>2</v>
      </c>
      <c r="S3" t="n">
        <v>2</v>
      </c>
      <c r="T3" t="n">
        <v>6</v>
      </c>
      <c r="U3" t="n">
        <v>8</v>
      </c>
      <c r="V3" t="n">
        <v>5</v>
      </c>
      <c r="W3" t="n">
        <v>3</v>
      </c>
      <c r="X3" t="n">
        <v>1</v>
      </c>
      <c r="Y3" t="n">
        <v>1</v>
      </c>
      <c r="Z3" t="n">
        <v>2</v>
      </c>
      <c r="AA3" t="n">
        <v>2</v>
      </c>
      <c r="AB3" t="n">
        <v>4</v>
      </c>
      <c r="AC3" t="n">
        <v>4</v>
      </c>
      <c r="AD3" t="n">
        <v>5</v>
      </c>
      <c r="AE3" t="n">
        <v>7</v>
      </c>
      <c r="AF3" t="n">
        <v>11</v>
      </c>
    </row>
    <row r="4">
      <c r="A4" t="s">
        <v>30</v>
      </c>
      <c r="B4" t="s">
        <v>278</v>
      </c>
      <c r="C4" t="s">
        <v>236</v>
      </c>
      <c r="D4" t="s">
        <v>279</v>
      </c>
      <c r="E4" t="s">
        <v>237</v>
      </c>
      <c r="F4" t="n">
        <v>206</v>
      </c>
      <c r="G4" t="n">
        <v>189</v>
      </c>
      <c r="H4" t="n">
        <v>236</v>
      </c>
      <c r="I4" t="n">
        <v>311</v>
      </c>
      <c r="J4" t="n">
        <v>345</v>
      </c>
      <c r="K4" t="n">
        <v>398</v>
      </c>
      <c r="L4" t="n">
        <v>482</v>
      </c>
      <c r="M4" t="n">
        <v>403</v>
      </c>
      <c r="N4" t="n">
        <v>526</v>
      </c>
      <c r="O4" t="n">
        <v>482</v>
      </c>
      <c r="P4" t="n">
        <v>601</v>
      </c>
      <c r="Q4" t="n">
        <v>682</v>
      </c>
      <c r="R4" t="n">
        <v>682</v>
      </c>
      <c r="S4" t="n">
        <v>683</v>
      </c>
      <c r="T4" t="n">
        <v>766</v>
      </c>
      <c r="U4" t="n">
        <v>791</v>
      </c>
      <c r="V4" t="n">
        <v>804</v>
      </c>
      <c r="W4" t="n">
        <v>818</v>
      </c>
      <c r="X4" t="n">
        <v>717</v>
      </c>
      <c r="Y4" t="n">
        <v>739</v>
      </c>
      <c r="Z4" t="n">
        <v>718</v>
      </c>
      <c r="AA4" t="n">
        <v>679</v>
      </c>
      <c r="AB4" t="n">
        <v>756</v>
      </c>
      <c r="AC4" t="n">
        <v>924</v>
      </c>
      <c r="AD4" t="n">
        <v>1063</v>
      </c>
      <c r="AE4" t="n">
        <v>1075</v>
      </c>
      <c r="AF4" t="n">
        <v>1078</v>
      </c>
    </row>
    <row r="5">
      <c r="A5" t="s">
        <v>30</v>
      </c>
      <c r="B5" t="s">
        <v>280</v>
      </c>
      <c r="C5" t="s">
        <v>236</v>
      </c>
      <c r="D5" t="s">
        <v>281</v>
      </c>
      <c r="E5" t="s">
        <v>237</v>
      </c>
      <c r="F5" t="n">
        <v>13</v>
      </c>
      <c r="G5" t="n">
        <v>14</v>
      </c>
      <c r="H5" t="n">
        <v>14</v>
      </c>
      <c r="I5" t="n">
        <v>18</v>
      </c>
      <c r="J5" t="n">
        <v>25</v>
      </c>
      <c r="K5" t="n">
        <v>32</v>
      </c>
      <c r="L5" t="n">
        <v>26</v>
      </c>
      <c r="M5" t="n">
        <v>19</v>
      </c>
      <c r="N5" t="n">
        <v>40</v>
      </c>
      <c r="O5" t="n">
        <v>34</v>
      </c>
      <c r="P5" t="n">
        <v>44</v>
      </c>
      <c r="Q5" t="n">
        <v>37</v>
      </c>
      <c r="R5" t="n">
        <v>33</v>
      </c>
      <c r="S5" t="n">
        <v>36</v>
      </c>
      <c r="T5" t="n">
        <v>36</v>
      </c>
      <c r="U5" t="n">
        <v>44</v>
      </c>
      <c r="V5" t="n">
        <v>51</v>
      </c>
      <c r="W5" t="n">
        <v>52</v>
      </c>
      <c r="X5" t="n">
        <v>55</v>
      </c>
      <c r="Y5" t="n">
        <v>52</v>
      </c>
      <c r="Z5" t="n">
        <v>48</v>
      </c>
      <c r="AA5" t="n">
        <v>55</v>
      </c>
      <c r="AB5" t="n">
        <v>52</v>
      </c>
      <c r="AC5" t="n">
        <v>50</v>
      </c>
      <c r="AD5" t="n">
        <v>42</v>
      </c>
      <c r="AE5" t="n">
        <v>67</v>
      </c>
      <c r="AF5" t="n">
        <v>67</v>
      </c>
    </row>
    <row r="6">
      <c r="A6" t="s">
        <v>30</v>
      </c>
      <c r="B6" t="s">
        <v>282</v>
      </c>
      <c r="C6" t="s">
        <v>236</v>
      </c>
      <c r="D6" t="s">
        <v>283</v>
      </c>
      <c r="E6" t="s">
        <v>237</v>
      </c>
      <c r="F6" t="n">
        <v>1</v>
      </c>
      <c r="G6" t="n">
        <v>2</v>
      </c>
      <c r="H6" t="n">
        <v>2</v>
      </c>
      <c r="I6" t="n">
        <v>2</v>
      </c>
      <c r="J6" t="n">
        <v>1</v>
      </c>
      <c r="K6" t="n">
        <v>1</v>
      </c>
      <c r="L6" t="n">
        <v>2</v>
      </c>
      <c r="M6" t="n">
        <v>1</v>
      </c>
      <c r="N6" t="n">
        <v>3</v>
      </c>
      <c r="O6" t="n">
        <v>3</v>
      </c>
      <c r="P6" t="n">
        <v>3</v>
      </c>
      <c r="Q6" t="n">
        <v>3</v>
      </c>
      <c r="R6" t="n">
        <v>4</v>
      </c>
      <c r="S6" t="n">
        <v>3</v>
      </c>
      <c r="T6" t="n">
        <v>2</v>
      </c>
      <c r="U6" t="n">
        <v>2</v>
      </c>
      <c r="V6" t="n">
        <v>2</v>
      </c>
      <c r="W6" t="n">
        <v>4</v>
      </c>
      <c r="X6" t="n">
        <v>3</v>
      </c>
      <c r="Y6" t="n">
        <v>3</v>
      </c>
      <c r="Z6" t="n">
        <v>4</v>
      </c>
      <c r="AA6" t="n">
        <v>5</v>
      </c>
      <c r="AB6" t="n">
        <v>7</v>
      </c>
      <c r="AC6" t="n">
        <v>18</v>
      </c>
      <c r="AD6" t="n">
        <v>4</v>
      </c>
      <c r="AE6" t="n">
        <v>6</v>
      </c>
      <c r="AF6" t="n">
        <v>5</v>
      </c>
    </row>
    <row r="7">
      <c r="A7" t="s">
        <v>30</v>
      </c>
      <c r="B7" t="s">
        <v>284</v>
      </c>
      <c r="C7" t="s">
        <v>236</v>
      </c>
      <c r="D7" t="s">
        <v>285</v>
      </c>
      <c r="E7" t="s">
        <v>237</v>
      </c>
      <c r="F7" t="n">
        <v>45</v>
      </c>
      <c r="G7" t="n">
        <v>51</v>
      </c>
      <c r="H7" t="n">
        <v>60</v>
      </c>
      <c r="I7" t="n">
        <v>81</v>
      </c>
      <c r="J7" t="n">
        <v>80</v>
      </c>
      <c r="K7" t="n">
        <v>114</v>
      </c>
      <c r="L7" t="n">
        <v>150</v>
      </c>
      <c r="M7" t="n">
        <v>119</v>
      </c>
      <c r="N7" t="n">
        <v>119</v>
      </c>
      <c r="O7" t="n">
        <v>103</v>
      </c>
      <c r="P7" t="n">
        <v>161</v>
      </c>
      <c r="Q7" t="n">
        <v>205</v>
      </c>
      <c r="R7" t="n">
        <v>156</v>
      </c>
      <c r="S7" t="n">
        <v>118</v>
      </c>
      <c r="T7" t="n">
        <v>131</v>
      </c>
      <c r="U7" t="n">
        <v>122</v>
      </c>
      <c r="V7" t="n">
        <v>99</v>
      </c>
      <c r="W7" t="n">
        <v>112</v>
      </c>
      <c r="X7" t="n">
        <v>54</v>
      </c>
      <c r="Y7" t="n">
        <v>61</v>
      </c>
      <c r="Z7" t="n">
        <v>55</v>
      </c>
      <c r="AA7" t="n">
        <v>79</v>
      </c>
      <c r="AB7" t="n">
        <v>73</v>
      </c>
      <c r="AC7" t="n">
        <v>70</v>
      </c>
      <c r="AD7" t="n">
        <v>89</v>
      </c>
      <c r="AE7" t="n">
        <v>113</v>
      </c>
      <c r="AF7" t="n">
        <v>81</v>
      </c>
    </row>
    <row r="8">
      <c r="A8" t="s">
        <v>30</v>
      </c>
      <c r="B8" t="s">
        <v>286</v>
      </c>
      <c r="C8" t="s">
        <v>236</v>
      </c>
      <c r="D8" t="s">
        <v>287</v>
      </c>
      <c r="E8" t="s">
        <v>237</v>
      </c>
      <c r="F8" t="n">
        <v>8</v>
      </c>
      <c r="G8" t="n">
        <v>6</v>
      </c>
      <c r="H8" t="n">
        <v>8</v>
      </c>
      <c r="I8" t="n">
        <v>8</v>
      </c>
      <c r="J8" t="n">
        <v>9</v>
      </c>
      <c r="K8" t="n">
        <v>9</v>
      </c>
      <c r="L8" t="n">
        <v>18</v>
      </c>
      <c r="M8" t="n">
        <v>5</v>
      </c>
      <c r="N8" t="n">
        <v>17</v>
      </c>
      <c r="O8" t="n">
        <v>22</v>
      </c>
      <c r="P8" t="n">
        <v>22</v>
      </c>
      <c r="Q8" t="n">
        <v>7</v>
      </c>
      <c r="R8" t="n">
        <v>11</v>
      </c>
      <c r="S8" t="n">
        <v>14</v>
      </c>
      <c r="T8" t="n">
        <v>10</v>
      </c>
      <c r="U8" t="n">
        <v>10</v>
      </c>
      <c r="V8" t="n">
        <v>9</v>
      </c>
      <c r="W8" t="n">
        <v>7</v>
      </c>
      <c r="X8" t="n">
        <v>16</v>
      </c>
      <c r="Y8" t="n">
        <v>28</v>
      </c>
      <c r="Z8" t="n">
        <v>19</v>
      </c>
      <c r="AA8" t="n">
        <v>18</v>
      </c>
      <c r="AB8" t="n">
        <v>25</v>
      </c>
      <c r="AC8" t="n">
        <v>46</v>
      </c>
      <c r="AD8" t="n">
        <v>53</v>
      </c>
      <c r="AE8" t="n">
        <v>38</v>
      </c>
      <c r="AF8" t="n">
        <v>25</v>
      </c>
    </row>
    <row r="9">
      <c r="A9" t="s">
        <v>30</v>
      </c>
      <c r="B9" t="s">
        <v>288</v>
      </c>
      <c r="C9" t="s">
        <v>236</v>
      </c>
      <c r="D9" t="s">
        <v>289</v>
      </c>
      <c r="E9" t="s">
        <v>237</v>
      </c>
      <c r="F9" t="n">
        <v>6</v>
      </c>
      <c r="G9" t="n">
        <v>10</v>
      </c>
      <c r="H9" t="n">
        <v>8</v>
      </c>
      <c r="I9" t="n">
        <v>15</v>
      </c>
      <c r="J9" t="n">
        <v>11</v>
      </c>
      <c r="K9" t="n">
        <v>8</v>
      </c>
      <c r="L9" t="n">
        <v>13</v>
      </c>
      <c r="M9" t="n">
        <v>17</v>
      </c>
      <c r="N9" t="n">
        <v>16</v>
      </c>
      <c r="O9" t="n">
        <v>14</v>
      </c>
      <c r="P9" t="n">
        <v>16</v>
      </c>
      <c r="Q9" t="n">
        <v>14</v>
      </c>
      <c r="R9" t="n">
        <v>15</v>
      </c>
      <c r="S9" t="n">
        <v>20</v>
      </c>
      <c r="T9" t="n">
        <v>29</v>
      </c>
      <c r="U9" t="n">
        <v>19</v>
      </c>
      <c r="V9" t="n">
        <v>17</v>
      </c>
      <c r="W9" t="n">
        <v>24</v>
      </c>
      <c r="X9" t="n">
        <v>21</v>
      </c>
      <c r="Y9" t="n">
        <v>18</v>
      </c>
      <c r="Z9" t="n">
        <v>23</v>
      </c>
      <c r="AA9" t="n">
        <v>17</v>
      </c>
      <c r="AB9" t="n">
        <v>36</v>
      </c>
      <c r="AC9" t="n">
        <v>38</v>
      </c>
      <c r="AD9" t="n">
        <v>35</v>
      </c>
      <c r="AE9" t="n">
        <v>45</v>
      </c>
      <c r="AF9" t="n">
        <v>43</v>
      </c>
    </row>
    <row r="10">
      <c r="A10" t="s">
        <v>30</v>
      </c>
      <c r="B10" t="s">
        <v>290</v>
      </c>
      <c r="C10" t="s">
        <v>236</v>
      </c>
      <c r="D10" t="s">
        <v>291</v>
      </c>
      <c r="E10" t="s">
        <v>237</v>
      </c>
      <c r="F10" t="n">
        <v>8</v>
      </c>
      <c r="G10" t="n">
        <v>11</v>
      </c>
      <c r="H10" t="n">
        <v>12</v>
      </c>
      <c r="I10" t="n">
        <v>22</v>
      </c>
      <c r="J10" t="n">
        <v>15</v>
      </c>
      <c r="K10" t="n">
        <v>11</v>
      </c>
      <c r="L10" t="n">
        <v>18</v>
      </c>
      <c r="M10" t="n">
        <v>27</v>
      </c>
      <c r="N10" t="n">
        <v>22</v>
      </c>
      <c r="O10" t="n">
        <v>20</v>
      </c>
      <c r="P10" t="n">
        <v>22</v>
      </c>
      <c r="Q10" t="n">
        <v>18</v>
      </c>
      <c r="R10" t="n">
        <v>19</v>
      </c>
      <c r="S10" t="n">
        <v>25</v>
      </c>
      <c r="T10" t="n">
        <v>34</v>
      </c>
      <c r="U10" t="n">
        <v>26</v>
      </c>
      <c r="V10" t="n">
        <v>24</v>
      </c>
      <c r="W10" t="n">
        <v>32</v>
      </c>
      <c r="X10" t="n">
        <v>29</v>
      </c>
      <c r="Y10" t="n">
        <v>26</v>
      </c>
      <c r="Z10" t="n">
        <v>31</v>
      </c>
      <c r="AA10" t="n">
        <v>26</v>
      </c>
      <c r="AB10" t="n">
        <v>44</v>
      </c>
      <c r="AC10" t="n">
        <v>45</v>
      </c>
      <c r="AD10" t="n">
        <v>52</v>
      </c>
      <c r="AE10" t="n">
        <v>54</v>
      </c>
      <c r="AF10" t="n">
        <v>54</v>
      </c>
    </row>
    <row r="11">
      <c r="A11" t="s">
        <v>30</v>
      </c>
      <c r="B11" t="s">
        <v>292</v>
      </c>
      <c r="C11" t="s">
        <v>236</v>
      </c>
      <c r="D11" t="s">
        <v>293</v>
      </c>
      <c r="E11" t="s">
        <v>237</v>
      </c>
      <c r="F11" t="n">
        <v>2</v>
      </c>
      <c r="G11" t="n">
        <v>1</v>
      </c>
      <c r="H11" t="n">
        <v>4</v>
      </c>
      <c r="I11" t="n">
        <v>7</v>
      </c>
      <c r="J11" t="n">
        <v>4</v>
      </c>
      <c r="K11" t="n">
        <v>3</v>
      </c>
      <c r="L11" t="n">
        <v>5</v>
      </c>
      <c r="M11" t="n">
        <v>10</v>
      </c>
      <c r="N11" t="n">
        <v>6</v>
      </c>
      <c r="O11" t="n">
        <v>6</v>
      </c>
      <c r="P11" t="n">
        <v>6</v>
      </c>
      <c r="Q11" t="n">
        <v>4</v>
      </c>
      <c r="R11" t="n">
        <v>4</v>
      </c>
      <c r="S11" t="n">
        <v>5</v>
      </c>
      <c r="T11" t="n">
        <v>5</v>
      </c>
      <c r="U11" t="n">
        <v>7</v>
      </c>
      <c r="V11" t="n">
        <v>7</v>
      </c>
      <c r="W11" t="n">
        <v>8</v>
      </c>
      <c r="X11" t="n">
        <v>8</v>
      </c>
      <c r="Y11" t="n">
        <v>8</v>
      </c>
      <c r="Z11" t="n">
        <v>8</v>
      </c>
      <c r="AA11" t="n">
        <v>9</v>
      </c>
      <c r="AB11" t="n">
        <v>8</v>
      </c>
      <c r="AC11" t="n">
        <v>7</v>
      </c>
      <c r="AD11" t="n">
        <v>17</v>
      </c>
      <c r="AE11" t="n">
        <v>9</v>
      </c>
      <c r="AF11" t="n">
        <v>11</v>
      </c>
    </row>
    <row r="12">
      <c r="A12" t="s">
        <v>30</v>
      </c>
      <c r="B12" t="s">
        <v>294</v>
      </c>
      <c r="C12" t="s">
        <v>236</v>
      </c>
      <c r="D12" t="s">
        <v>295</v>
      </c>
      <c r="E12" t="s">
        <v>237</v>
      </c>
      <c r="F12" t="n">
        <v>19</v>
      </c>
      <c r="G12" t="n">
        <v>18</v>
      </c>
      <c r="H12" t="n">
        <v>25</v>
      </c>
      <c r="I12" t="n">
        <v>26</v>
      </c>
      <c r="J12" t="n">
        <v>30</v>
      </c>
      <c r="K12" t="n">
        <v>32</v>
      </c>
      <c r="L12" t="n">
        <v>29</v>
      </c>
      <c r="M12" t="n">
        <v>16</v>
      </c>
      <c r="N12" t="n">
        <v>19</v>
      </c>
      <c r="O12" t="n">
        <v>24</v>
      </c>
      <c r="P12" t="n">
        <v>23</v>
      </c>
      <c r="Q12" t="n">
        <v>47</v>
      </c>
      <c r="R12" t="n">
        <v>35</v>
      </c>
      <c r="S12" t="n">
        <v>36</v>
      </c>
      <c r="T12" t="n">
        <v>28</v>
      </c>
      <c r="U12" t="n">
        <v>26</v>
      </c>
      <c r="V12" t="n">
        <v>33</v>
      </c>
      <c r="W12" t="n">
        <v>26</v>
      </c>
      <c r="X12" t="n">
        <v>25</v>
      </c>
      <c r="Y12" t="n">
        <v>27</v>
      </c>
      <c r="Z12" t="n">
        <v>28</v>
      </c>
      <c r="AA12" t="n">
        <v>22</v>
      </c>
      <c r="AB12" t="n">
        <v>27</v>
      </c>
      <c r="AC12" t="n">
        <v>39</v>
      </c>
      <c r="AD12" t="n">
        <v>51</v>
      </c>
      <c r="AE12" t="n">
        <v>53</v>
      </c>
      <c r="AF12" t="n">
        <v>52</v>
      </c>
    </row>
    <row r="13">
      <c r="A13" t="s">
        <v>30</v>
      </c>
      <c r="B13" t="s">
        <v>296</v>
      </c>
      <c r="C13" t="s">
        <v>236</v>
      </c>
      <c r="D13" t="s">
        <v>297</v>
      </c>
      <c r="E13" t="s">
        <v>237</v>
      </c>
      <c r="F13" t="n">
        <v>19</v>
      </c>
      <c r="G13" t="n">
        <v>13</v>
      </c>
      <c r="H13" t="n">
        <v>18</v>
      </c>
      <c r="I13" t="n">
        <v>24</v>
      </c>
      <c r="J13" t="n">
        <v>21</v>
      </c>
      <c r="K13" t="n">
        <v>20</v>
      </c>
      <c r="L13" t="n">
        <v>43</v>
      </c>
      <c r="M13" t="n">
        <v>27</v>
      </c>
      <c r="N13" t="n">
        <v>51</v>
      </c>
      <c r="O13" t="n">
        <v>43</v>
      </c>
      <c r="P13" t="n">
        <v>59</v>
      </c>
      <c r="Q13" t="n">
        <v>51</v>
      </c>
      <c r="R13" t="n">
        <v>64</v>
      </c>
      <c r="S13" t="n">
        <v>55</v>
      </c>
      <c r="T13" t="n">
        <v>51</v>
      </c>
      <c r="U13" t="n">
        <v>47</v>
      </c>
      <c r="V13" t="n">
        <v>47</v>
      </c>
      <c r="W13" t="n">
        <v>58</v>
      </c>
      <c r="X13" t="n">
        <v>40</v>
      </c>
      <c r="Y13" t="n">
        <v>67</v>
      </c>
      <c r="Z13" t="n">
        <v>64</v>
      </c>
      <c r="AA13" t="n">
        <v>65</v>
      </c>
      <c r="AB13" t="n">
        <v>74</v>
      </c>
      <c r="AC13" t="n">
        <v>64</v>
      </c>
      <c r="AD13" t="n">
        <v>86</v>
      </c>
      <c r="AE13" t="n">
        <v>90</v>
      </c>
      <c r="AF13" t="n">
        <v>115</v>
      </c>
    </row>
    <row r="14">
      <c r="A14" t="s">
        <v>30</v>
      </c>
      <c r="B14" t="s">
        <v>298</v>
      </c>
      <c r="C14" t="s">
        <v>236</v>
      </c>
      <c r="D14" t="s">
        <v>299</v>
      </c>
      <c r="E14" t="s">
        <v>237</v>
      </c>
      <c r="F14" t="n">
        <v>19</v>
      </c>
      <c r="G14" t="n">
        <v>11</v>
      </c>
      <c r="H14" t="n">
        <v>14</v>
      </c>
      <c r="I14" t="n">
        <v>38</v>
      </c>
      <c r="J14" t="n">
        <v>81</v>
      </c>
      <c r="K14" t="n">
        <v>90</v>
      </c>
      <c r="L14" t="n">
        <v>104</v>
      </c>
      <c r="M14" t="n">
        <v>143</v>
      </c>
      <c r="N14" t="n">
        <v>150</v>
      </c>
      <c r="O14" t="n">
        <v>130</v>
      </c>
      <c r="P14" t="n">
        <v>157</v>
      </c>
      <c r="Q14" t="n">
        <v>217</v>
      </c>
      <c r="R14" t="n">
        <v>231</v>
      </c>
      <c r="S14" t="n">
        <v>263</v>
      </c>
      <c r="T14" t="n">
        <v>285</v>
      </c>
      <c r="U14" t="n">
        <v>323</v>
      </c>
      <c r="V14" t="n">
        <v>366</v>
      </c>
      <c r="W14" t="n">
        <v>339</v>
      </c>
      <c r="X14" t="n">
        <v>298</v>
      </c>
      <c r="Y14" t="n">
        <v>254</v>
      </c>
      <c r="Z14" t="n">
        <v>222</v>
      </c>
      <c r="AA14" t="n">
        <v>196</v>
      </c>
      <c r="AB14" t="n">
        <v>217</v>
      </c>
      <c r="AC14" t="n">
        <v>296</v>
      </c>
      <c r="AD14" t="n">
        <v>404</v>
      </c>
      <c r="AE14" t="n">
        <v>340</v>
      </c>
      <c r="AF14" t="n">
        <v>339</v>
      </c>
    </row>
    <row r="15">
      <c r="A15" t="s">
        <v>30</v>
      </c>
      <c r="B15" t="s">
        <v>300</v>
      </c>
      <c r="C15" t="s">
        <v>236</v>
      </c>
      <c r="D15" t="s">
        <v>301</v>
      </c>
      <c r="E15" t="s">
        <v>237</v>
      </c>
      <c r="F15" t="n">
        <v>38</v>
      </c>
      <c r="G15" t="n">
        <v>29</v>
      </c>
      <c r="H15" t="n">
        <v>30</v>
      </c>
      <c r="I15" t="n">
        <v>56</v>
      </c>
      <c r="J15" t="n">
        <v>100</v>
      </c>
      <c r="K15" t="n">
        <v>106</v>
      </c>
      <c r="L15" t="n">
        <v>118</v>
      </c>
      <c r="M15" t="n">
        <v>149</v>
      </c>
      <c r="N15" t="n">
        <v>170</v>
      </c>
      <c r="O15" t="n">
        <v>144</v>
      </c>
      <c r="P15" t="n">
        <v>174</v>
      </c>
      <c r="Q15" t="n">
        <v>239</v>
      </c>
      <c r="R15" t="n">
        <v>253</v>
      </c>
      <c r="S15" t="n">
        <v>297</v>
      </c>
      <c r="T15" t="n">
        <v>327</v>
      </c>
      <c r="U15" t="n">
        <v>358</v>
      </c>
      <c r="V15" t="n">
        <v>399</v>
      </c>
      <c r="W15" t="n">
        <v>370</v>
      </c>
      <c r="X15" t="n">
        <v>316</v>
      </c>
      <c r="Y15" t="n">
        <v>282</v>
      </c>
      <c r="Z15" t="n">
        <v>241</v>
      </c>
      <c r="AA15" t="n">
        <v>215</v>
      </c>
      <c r="AB15" t="n">
        <v>247</v>
      </c>
      <c r="AC15" t="n">
        <v>329</v>
      </c>
      <c r="AD15" t="n">
        <v>442</v>
      </c>
      <c r="AE15" t="n">
        <v>372</v>
      </c>
      <c r="AF15" t="n">
        <v>373</v>
      </c>
    </row>
    <row r="16">
      <c r="A16" t="s">
        <v>30</v>
      </c>
      <c r="B16" t="s">
        <v>302</v>
      </c>
      <c r="C16" t="s">
        <v>236</v>
      </c>
      <c r="D16" t="s">
        <v>303</v>
      </c>
      <c r="E16" t="s">
        <v>237</v>
      </c>
      <c r="F16" t="n">
        <v>19</v>
      </c>
      <c r="G16" t="n">
        <v>18</v>
      </c>
      <c r="H16" t="n">
        <v>16</v>
      </c>
      <c r="I16" t="n">
        <v>18</v>
      </c>
      <c r="J16" t="n">
        <v>19</v>
      </c>
      <c r="K16" t="n">
        <v>16</v>
      </c>
      <c r="L16" t="n">
        <v>14</v>
      </c>
      <c r="M16" t="n">
        <v>6</v>
      </c>
      <c r="N16" t="n">
        <v>20</v>
      </c>
      <c r="O16" t="n">
        <v>14</v>
      </c>
      <c r="P16" t="n">
        <v>17</v>
      </c>
      <c r="Q16" t="n">
        <v>22</v>
      </c>
      <c r="R16" t="n">
        <v>22</v>
      </c>
      <c r="S16" t="n">
        <v>34</v>
      </c>
      <c r="T16" t="n">
        <v>42</v>
      </c>
      <c r="U16" t="n">
        <v>35</v>
      </c>
      <c r="V16" t="n">
        <v>33</v>
      </c>
      <c r="W16" t="n">
        <v>31</v>
      </c>
      <c r="X16" t="n">
        <v>18</v>
      </c>
      <c r="Y16" t="n">
        <v>28</v>
      </c>
      <c r="Z16" t="n">
        <v>19</v>
      </c>
      <c r="AA16" t="n">
        <v>19</v>
      </c>
      <c r="AB16" t="n">
        <v>30</v>
      </c>
      <c r="AC16" t="n">
        <v>33</v>
      </c>
      <c r="AD16" t="n">
        <v>38</v>
      </c>
      <c r="AE16" t="n">
        <v>32</v>
      </c>
      <c r="AF16" t="n">
        <v>34</v>
      </c>
    </row>
    <row r="17">
      <c r="A17" t="s">
        <v>30</v>
      </c>
      <c r="B17" t="s">
        <v>304</v>
      </c>
      <c r="C17" t="s">
        <v>236</v>
      </c>
      <c r="D17" t="s">
        <v>305</v>
      </c>
      <c r="E17" t="s">
        <v>237</v>
      </c>
      <c r="F17" t="n">
        <v>33</v>
      </c>
      <c r="G17" t="n">
        <v>27</v>
      </c>
      <c r="H17" t="n">
        <v>44</v>
      </c>
      <c r="I17" t="n">
        <v>35</v>
      </c>
      <c r="J17" t="n">
        <v>34</v>
      </c>
      <c r="K17" t="n">
        <v>44</v>
      </c>
      <c r="L17" t="n">
        <v>44</v>
      </c>
      <c r="M17" t="n">
        <v>23</v>
      </c>
      <c r="N17" t="n">
        <v>56</v>
      </c>
      <c r="O17" t="n">
        <v>61</v>
      </c>
      <c r="P17" t="n">
        <v>65</v>
      </c>
      <c r="Q17" t="n">
        <v>55</v>
      </c>
      <c r="R17" t="n">
        <v>78</v>
      </c>
      <c r="S17" t="n">
        <v>78</v>
      </c>
      <c r="T17" t="n">
        <v>121</v>
      </c>
      <c r="U17" t="n">
        <v>123</v>
      </c>
      <c r="V17" t="n">
        <v>109</v>
      </c>
      <c r="W17" t="n">
        <v>114</v>
      </c>
      <c r="X17" t="n">
        <v>136</v>
      </c>
      <c r="Y17" t="n">
        <v>157</v>
      </c>
      <c r="Z17" t="n">
        <v>189</v>
      </c>
      <c r="AA17" t="n">
        <v>151</v>
      </c>
      <c r="AB17" t="n">
        <v>167</v>
      </c>
      <c r="AC17" t="n">
        <v>212</v>
      </c>
      <c r="AD17" t="n">
        <v>178</v>
      </c>
      <c r="AE17" t="n">
        <v>211</v>
      </c>
      <c r="AF17" t="n">
        <v>225</v>
      </c>
    </row>
    <row r="18">
      <c r="A18" t="s">
        <v>30</v>
      </c>
      <c r="B18" t="s">
        <v>306</v>
      </c>
      <c r="C18" t="s">
        <v>236</v>
      </c>
      <c r="D18" t="s">
        <v>307</v>
      </c>
      <c r="E18" t="s">
        <v>237</v>
      </c>
      <c r="F18" t="n">
        <v>8</v>
      </c>
      <c r="G18" t="n">
        <v>6</v>
      </c>
      <c r="H18" t="n">
        <v>7</v>
      </c>
      <c r="I18" t="n">
        <v>24</v>
      </c>
      <c r="J18" t="n">
        <v>11</v>
      </c>
      <c r="K18" t="n">
        <v>10</v>
      </c>
      <c r="L18" t="n">
        <v>12</v>
      </c>
      <c r="M18" t="n">
        <v>4</v>
      </c>
      <c r="N18" t="n">
        <v>10</v>
      </c>
      <c r="O18" t="n">
        <v>9</v>
      </c>
      <c r="P18" t="n">
        <v>8</v>
      </c>
      <c r="Q18" t="n">
        <v>6</v>
      </c>
      <c r="R18" t="n">
        <v>8</v>
      </c>
      <c r="S18" t="n">
        <v>8</v>
      </c>
      <c r="T18" t="n">
        <v>10</v>
      </c>
      <c r="U18" t="n">
        <v>9</v>
      </c>
      <c r="V18" t="n">
        <v>13</v>
      </c>
      <c r="W18" t="n">
        <v>19</v>
      </c>
      <c r="X18" t="n">
        <v>15</v>
      </c>
      <c r="Y18" t="n">
        <v>13</v>
      </c>
      <c r="Z18" t="n">
        <v>12</v>
      </c>
      <c r="AA18" t="n">
        <v>17</v>
      </c>
      <c r="AB18" t="n">
        <v>18</v>
      </c>
      <c r="AC18" t="n">
        <v>17</v>
      </c>
      <c r="AD18" t="n">
        <v>17</v>
      </c>
      <c r="AE18" t="n">
        <v>15</v>
      </c>
      <c r="AF18" t="n">
        <v>20</v>
      </c>
    </row>
    <row r="19">
      <c r="A19" t="s">
        <v>30</v>
      </c>
      <c r="B19" t="s">
        <v>308</v>
      </c>
      <c r="C19" t="s">
        <v>236</v>
      </c>
      <c r="D19" t="s">
        <v>309</v>
      </c>
      <c r="E19" t="s">
        <v>237</v>
      </c>
      <c r="F19" t="n">
        <v>14</v>
      </c>
      <c r="G19" t="n">
        <v>12</v>
      </c>
      <c r="H19" t="n">
        <v>16</v>
      </c>
      <c r="I19" t="n">
        <v>15</v>
      </c>
      <c r="J19" t="n">
        <v>19</v>
      </c>
      <c r="K19" t="n">
        <v>19</v>
      </c>
      <c r="L19" t="n">
        <v>22</v>
      </c>
      <c r="M19" t="n">
        <v>13</v>
      </c>
      <c r="N19" t="n">
        <v>19</v>
      </c>
      <c r="O19" t="n">
        <v>19</v>
      </c>
      <c r="P19" t="n">
        <v>20</v>
      </c>
      <c r="Q19" t="n">
        <v>14</v>
      </c>
      <c r="R19" t="n">
        <v>21</v>
      </c>
      <c r="S19" t="n">
        <v>13</v>
      </c>
      <c r="T19" t="n">
        <v>16</v>
      </c>
      <c r="U19" t="n">
        <v>24</v>
      </c>
      <c r="V19" t="n">
        <v>18</v>
      </c>
      <c r="W19" t="n">
        <v>24</v>
      </c>
      <c r="X19" t="n">
        <v>28</v>
      </c>
      <c r="Y19" t="n">
        <v>23</v>
      </c>
      <c r="Z19" t="n">
        <v>27</v>
      </c>
      <c r="AA19" t="n">
        <v>26</v>
      </c>
      <c r="AB19" t="n">
        <v>22</v>
      </c>
      <c r="AC19" t="n">
        <v>34</v>
      </c>
      <c r="AD19" t="n">
        <v>49</v>
      </c>
      <c r="AE19" t="n">
        <v>56</v>
      </c>
      <c r="AF19" t="n">
        <v>61</v>
      </c>
    </row>
    <row r="20">
      <c r="A20" t="s">
        <v>30</v>
      </c>
      <c r="B20" t="s">
        <v>310</v>
      </c>
      <c r="C20" t="s">
        <v>236</v>
      </c>
      <c r="D20" t="s">
        <v>311</v>
      </c>
      <c r="E20" t="s">
        <v>237</v>
      </c>
      <c r="F20" t="n">
        <v>15</v>
      </c>
      <c r="G20" t="n">
        <v>13</v>
      </c>
      <c r="H20" t="n">
        <v>15</v>
      </c>
      <c r="I20" t="n">
        <v>23</v>
      </c>
      <c r="J20" t="n">
        <v>26</v>
      </c>
      <c r="K20" t="n">
        <v>27</v>
      </c>
      <c r="L20" t="n">
        <v>30</v>
      </c>
      <c r="M20" t="n">
        <v>30</v>
      </c>
      <c r="N20" t="n">
        <v>24</v>
      </c>
      <c r="O20" t="n">
        <v>27</v>
      </c>
      <c r="P20" t="n">
        <v>49</v>
      </c>
      <c r="Q20" t="n">
        <v>42</v>
      </c>
      <c r="R20" t="n">
        <v>44</v>
      </c>
      <c r="S20" t="n">
        <v>48</v>
      </c>
      <c r="T20" t="n">
        <v>59</v>
      </c>
      <c r="U20" t="n">
        <v>56</v>
      </c>
      <c r="V20" t="n">
        <v>69</v>
      </c>
      <c r="W20" t="n">
        <v>73</v>
      </c>
      <c r="X20" t="n">
        <v>92</v>
      </c>
      <c r="Y20" t="n">
        <v>88</v>
      </c>
      <c r="Z20" t="n">
        <v>89</v>
      </c>
      <c r="AA20" t="n">
        <v>98</v>
      </c>
      <c r="AB20" t="n">
        <v>94</v>
      </c>
      <c r="AC20" t="n">
        <v>117</v>
      </c>
      <c r="AD20" t="n">
        <v>118</v>
      </c>
      <c r="AE20" t="n">
        <v>119</v>
      </c>
      <c r="AF20" t="n">
        <v>147</v>
      </c>
    </row>
    <row r="21">
      <c r="A21" t="s">
        <v>30</v>
      </c>
      <c r="B21" t="s">
        <v>312</v>
      </c>
      <c r="C21" t="s">
        <v>236</v>
      </c>
      <c r="D21" t="s">
        <v>313</v>
      </c>
      <c r="E21" t="s">
        <v>237</v>
      </c>
      <c r="F21" t="n">
        <v>15</v>
      </c>
      <c r="G21" t="n">
        <v>13</v>
      </c>
      <c r="H21" t="n">
        <v>15</v>
      </c>
      <c r="I21" t="n">
        <v>23</v>
      </c>
      <c r="J21" t="n">
        <v>27</v>
      </c>
      <c r="K21" t="n">
        <v>28</v>
      </c>
      <c r="L21" t="n">
        <v>32</v>
      </c>
      <c r="M21" t="n">
        <v>31</v>
      </c>
      <c r="N21" t="n">
        <v>27</v>
      </c>
      <c r="O21" t="n">
        <v>29</v>
      </c>
      <c r="P21" t="n">
        <v>52</v>
      </c>
      <c r="Q21" t="n">
        <v>44</v>
      </c>
      <c r="R21" t="n">
        <v>48</v>
      </c>
      <c r="S21" t="n">
        <v>51</v>
      </c>
      <c r="T21" t="n">
        <v>62</v>
      </c>
      <c r="U21" t="n">
        <v>63</v>
      </c>
      <c r="V21" t="n">
        <v>72</v>
      </c>
      <c r="W21" t="n">
        <v>76</v>
      </c>
      <c r="X21" t="n">
        <v>98</v>
      </c>
      <c r="Y21" t="n">
        <v>99</v>
      </c>
      <c r="Z21" t="n">
        <v>99</v>
      </c>
      <c r="AA21" t="n">
        <v>107</v>
      </c>
      <c r="AB21" t="n">
        <v>105</v>
      </c>
      <c r="AC21" t="n">
        <v>127</v>
      </c>
      <c r="AD21" t="n">
        <v>130</v>
      </c>
      <c r="AE21" t="n">
        <v>128</v>
      </c>
      <c r="AF21" t="n">
        <v>157</v>
      </c>
    </row>
    <row r="22">
      <c r="A22" t="s">
        <v>30</v>
      </c>
      <c r="B22" t="s">
        <v>314</v>
      </c>
      <c r="C22" t="s">
        <v>236</v>
      </c>
      <c r="D22" t="s">
        <v>315</v>
      </c>
      <c r="E22" t="s">
        <v>237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1</v>
      </c>
      <c r="L22" t="n">
        <v>2</v>
      </c>
      <c r="M22" t="n">
        <v>1</v>
      </c>
      <c r="N22" t="n">
        <v>3</v>
      </c>
      <c r="O22" t="n">
        <v>2</v>
      </c>
      <c r="P22" t="n">
        <v>3</v>
      </c>
      <c r="Q22" t="n">
        <v>2</v>
      </c>
      <c r="R22" t="n">
        <v>4</v>
      </c>
      <c r="S22" t="n">
        <v>3</v>
      </c>
      <c r="T22" t="n">
        <v>3</v>
      </c>
      <c r="U22" t="n">
        <v>7</v>
      </c>
      <c r="V22" t="n">
        <v>3</v>
      </c>
      <c r="W22" t="n">
        <v>3</v>
      </c>
      <c r="X22" t="n">
        <v>6</v>
      </c>
      <c r="Y22" t="n">
        <v>11</v>
      </c>
      <c r="Z22" t="n">
        <v>10</v>
      </c>
      <c r="AA22" t="n">
        <v>9</v>
      </c>
      <c r="AB22" t="n">
        <v>11</v>
      </c>
      <c r="AC22" t="n">
        <v>10</v>
      </c>
      <c r="AD22" t="n">
        <v>12</v>
      </c>
      <c r="AE22" t="n">
        <v>9</v>
      </c>
      <c r="AF22" t="n">
        <v>10</v>
      </c>
    </row>
    <row r="23">
      <c r="A23" t="s">
        <v>30</v>
      </c>
      <c r="B23" t="s">
        <v>316</v>
      </c>
      <c r="C23" t="s">
        <v>236</v>
      </c>
      <c r="D23" t="s">
        <v>317</v>
      </c>
      <c r="E23" t="s">
        <v>237</v>
      </c>
      <c r="F23" t="n">
        <v>19</v>
      </c>
      <c r="G23" t="n">
        <v>17</v>
      </c>
      <c r="H23" t="n">
        <v>19</v>
      </c>
      <c r="I23" t="n">
        <v>25</v>
      </c>
      <c r="J23" t="n">
        <v>27</v>
      </c>
      <c r="K23" t="n">
        <v>30</v>
      </c>
      <c r="L23" t="n">
        <v>31</v>
      </c>
      <c r="M23" t="n">
        <v>33</v>
      </c>
      <c r="N23" t="n">
        <v>37</v>
      </c>
      <c r="O23" t="n">
        <v>35</v>
      </c>
      <c r="P23" t="n">
        <v>42</v>
      </c>
      <c r="Q23" t="n">
        <v>43</v>
      </c>
      <c r="R23" t="n">
        <v>26</v>
      </c>
      <c r="S23" t="n">
        <v>58</v>
      </c>
      <c r="T23" t="n">
        <v>37</v>
      </c>
      <c r="U23" t="n">
        <v>43</v>
      </c>
      <c r="V23" t="n">
        <v>33</v>
      </c>
      <c r="W23" t="n">
        <v>55</v>
      </c>
      <c r="X23" t="n">
        <v>49</v>
      </c>
      <c r="Y23" t="n">
        <v>77</v>
      </c>
      <c r="Z23" t="n">
        <v>86</v>
      </c>
      <c r="AA23" t="n">
        <v>91</v>
      </c>
      <c r="AB23" t="n">
        <v>132</v>
      </c>
      <c r="AC23" t="n">
        <v>94</v>
      </c>
      <c r="AD23" t="n">
        <v>115</v>
      </c>
      <c r="AE23" t="n">
        <v>105</v>
      </c>
      <c r="AF23" t="n">
        <v>106</v>
      </c>
    </row>
    <row r="24">
      <c r="A24" t="s">
        <v>30</v>
      </c>
      <c r="B24" t="s">
        <v>318</v>
      </c>
      <c r="C24" t="s">
        <v>236</v>
      </c>
      <c r="D24" t="s">
        <v>319</v>
      </c>
      <c r="E24" t="s">
        <v>237</v>
      </c>
      <c r="F24" t="n">
        <v>36</v>
      </c>
      <c r="G24" t="n">
        <v>38</v>
      </c>
      <c r="H24" t="n">
        <v>48</v>
      </c>
      <c r="I24" t="n">
        <v>72</v>
      </c>
      <c r="J24" t="n">
        <v>92</v>
      </c>
      <c r="K24" t="n">
        <v>119</v>
      </c>
      <c r="L24" t="n">
        <v>149</v>
      </c>
      <c r="M24" t="n">
        <v>174</v>
      </c>
      <c r="N24" t="n">
        <v>257</v>
      </c>
      <c r="O24" t="n">
        <v>225</v>
      </c>
      <c r="P24" t="n">
        <v>232</v>
      </c>
      <c r="Q24" t="n">
        <v>200</v>
      </c>
      <c r="R24" t="n">
        <v>204</v>
      </c>
      <c r="S24" t="n">
        <v>242</v>
      </c>
      <c r="T24" t="n">
        <v>238</v>
      </c>
      <c r="U24" t="n">
        <v>223</v>
      </c>
      <c r="V24" t="n">
        <v>245</v>
      </c>
      <c r="W24" t="n">
        <v>328</v>
      </c>
      <c r="X24" t="n">
        <v>378</v>
      </c>
      <c r="Y24" t="n">
        <v>425</v>
      </c>
      <c r="Z24" t="n">
        <v>378</v>
      </c>
      <c r="AA24" t="n">
        <v>360</v>
      </c>
      <c r="AB24" t="n">
        <v>375</v>
      </c>
      <c r="AC24" t="n">
        <v>417</v>
      </c>
      <c r="AD24" t="n">
        <v>411</v>
      </c>
      <c r="AE24" t="n">
        <v>467</v>
      </c>
      <c r="AF24" t="n">
        <v>479</v>
      </c>
    </row>
    <row r="25">
      <c r="A25" t="s">
        <v>30</v>
      </c>
      <c r="B25" t="s">
        <v>320</v>
      </c>
      <c r="C25" t="s">
        <v>236</v>
      </c>
      <c r="D25" t="s">
        <v>321</v>
      </c>
      <c r="E25" t="s">
        <v>237</v>
      </c>
      <c r="F25" t="n">
        <v>5</v>
      </c>
      <c r="G25" t="n">
        <v>5</v>
      </c>
      <c r="H25" t="n">
        <v>6</v>
      </c>
      <c r="I25" t="n">
        <v>10</v>
      </c>
      <c r="J25" t="n">
        <v>12</v>
      </c>
      <c r="K25" t="n">
        <v>10</v>
      </c>
      <c r="L25" t="n">
        <v>13</v>
      </c>
      <c r="M25" t="n">
        <v>13</v>
      </c>
      <c r="N25" t="n">
        <v>16</v>
      </c>
      <c r="O25" t="n">
        <v>14</v>
      </c>
      <c r="P25" t="n">
        <v>14</v>
      </c>
      <c r="Q25" t="n">
        <v>14</v>
      </c>
      <c r="R25" t="n">
        <v>18</v>
      </c>
      <c r="S25" t="n">
        <v>21</v>
      </c>
      <c r="T25" t="n">
        <v>21</v>
      </c>
      <c r="U25" t="n">
        <v>22</v>
      </c>
      <c r="V25" t="n">
        <v>16</v>
      </c>
      <c r="W25" t="n">
        <v>24</v>
      </c>
      <c r="X25" t="n">
        <v>23</v>
      </c>
      <c r="Y25" t="n">
        <v>27</v>
      </c>
      <c r="Z25" t="n">
        <v>23</v>
      </c>
      <c r="AA25" t="n">
        <v>27</v>
      </c>
      <c r="AB25" t="n">
        <v>27</v>
      </c>
      <c r="AC25" t="n">
        <v>43</v>
      </c>
      <c r="AD25" t="n">
        <v>39</v>
      </c>
      <c r="AE25" t="n">
        <v>44</v>
      </c>
      <c r="AF25" t="n">
        <v>40</v>
      </c>
    </row>
    <row r="26">
      <c r="A26" t="s">
        <v>30</v>
      </c>
      <c r="B26" t="s">
        <v>322</v>
      </c>
      <c r="C26" t="s">
        <v>236</v>
      </c>
      <c r="D26" t="s">
        <v>323</v>
      </c>
      <c r="E26" t="s">
        <v>237</v>
      </c>
      <c r="F26" t="n">
        <v>25</v>
      </c>
      <c r="G26" t="n">
        <v>26</v>
      </c>
      <c r="H26" t="n">
        <v>33</v>
      </c>
      <c r="I26" t="n">
        <v>49</v>
      </c>
      <c r="J26" t="n">
        <v>64</v>
      </c>
      <c r="K26" t="n">
        <v>87</v>
      </c>
      <c r="L26" t="n">
        <v>109</v>
      </c>
      <c r="M26" t="n">
        <v>129</v>
      </c>
      <c r="N26" t="n">
        <v>200</v>
      </c>
      <c r="O26" t="n">
        <v>172</v>
      </c>
      <c r="P26" t="n">
        <v>171</v>
      </c>
      <c r="Q26" t="n">
        <v>141</v>
      </c>
      <c r="R26" t="n">
        <v>133</v>
      </c>
      <c r="S26" t="n">
        <v>162</v>
      </c>
      <c r="T26" t="n">
        <v>168</v>
      </c>
      <c r="U26" t="n">
        <v>142</v>
      </c>
      <c r="V26" t="n">
        <v>175</v>
      </c>
      <c r="W26" t="n">
        <v>222</v>
      </c>
      <c r="X26" t="n">
        <v>245</v>
      </c>
      <c r="Y26" t="n">
        <v>260</v>
      </c>
      <c r="Z26" t="n">
        <v>266</v>
      </c>
      <c r="AA26" t="n">
        <v>232</v>
      </c>
      <c r="AB26" t="n">
        <v>264</v>
      </c>
      <c r="AC26" t="n">
        <v>272</v>
      </c>
      <c r="AD26" t="n">
        <v>249</v>
      </c>
      <c r="AE26" t="n">
        <v>299</v>
      </c>
      <c r="AF26" t="n">
        <v>291</v>
      </c>
    </row>
    <row r="27">
      <c r="A27" t="s">
        <v>30</v>
      </c>
      <c r="B27" t="s">
        <v>324</v>
      </c>
      <c r="C27" t="s">
        <v>236</v>
      </c>
      <c r="D27" t="s">
        <v>325</v>
      </c>
      <c r="E27" t="s">
        <v>237</v>
      </c>
      <c r="F27" t="n">
        <v>6</v>
      </c>
      <c r="G27" t="n">
        <v>7</v>
      </c>
      <c r="H27" t="n">
        <v>9</v>
      </c>
      <c r="I27" t="n">
        <v>13</v>
      </c>
      <c r="J27" t="n">
        <v>16</v>
      </c>
      <c r="K27" t="n">
        <v>22</v>
      </c>
      <c r="L27" t="n">
        <v>27</v>
      </c>
      <c r="M27" t="n">
        <v>32</v>
      </c>
      <c r="N27" t="n">
        <v>41</v>
      </c>
      <c r="O27" t="n">
        <v>39</v>
      </c>
      <c r="P27" t="n">
        <v>47</v>
      </c>
      <c r="Q27" t="n">
        <v>45</v>
      </c>
      <c r="R27" t="n">
        <v>53</v>
      </c>
      <c r="S27" t="n">
        <v>59</v>
      </c>
      <c r="T27" t="n">
        <v>49</v>
      </c>
      <c r="U27" t="n">
        <v>59</v>
      </c>
      <c r="V27" t="n">
        <v>54</v>
      </c>
      <c r="W27" t="n">
        <v>82</v>
      </c>
      <c r="X27" t="n">
        <v>110</v>
      </c>
      <c r="Y27" t="n">
        <v>138</v>
      </c>
      <c r="Z27" t="n">
        <v>89</v>
      </c>
      <c r="AA27" t="n">
        <v>101</v>
      </c>
      <c r="AB27" t="n">
        <v>84</v>
      </c>
      <c r="AC27" t="n">
        <v>102</v>
      </c>
      <c r="AD27" t="n">
        <v>123</v>
      </c>
      <c r="AE27" t="n">
        <v>124</v>
      </c>
      <c r="AF27" t="n">
        <v>148</v>
      </c>
    </row>
    <row r="28">
      <c r="A28" t="s">
        <v>30</v>
      </c>
      <c r="B28" t="s">
        <v>326</v>
      </c>
      <c r="C28" t="s">
        <v>236</v>
      </c>
      <c r="D28" t="s">
        <v>327</v>
      </c>
      <c r="E28" t="s">
        <v>237</v>
      </c>
      <c r="F28" t="n">
        <v>56</v>
      </c>
      <c r="G28" t="n">
        <v>61</v>
      </c>
      <c r="H28" t="n">
        <v>72</v>
      </c>
      <c r="I28" t="n">
        <v>89</v>
      </c>
      <c r="J28" t="n">
        <v>99</v>
      </c>
      <c r="K28" t="n">
        <v>95</v>
      </c>
      <c r="L28" t="n">
        <v>90</v>
      </c>
      <c r="M28" t="n">
        <v>78</v>
      </c>
      <c r="N28" t="n">
        <v>77</v>
      </c>
      <c r="O28" t="n">
        <v>97</v>
      </c>
      <c r="P28" t="n">
        <v>89</v>
      </c>
      <c r="Q28" t="n">
        <v>90</v>
      </c>
      <c r="R28" t="n">
        <v>83</v>
      </c>
      <c r="S28" t="n">
        <v>78</v>
      </c>
      <c r="T28" t="n">
        <v>127</v>
      </c>
      <c r="U28" t="n">
        <v>86</v>
      </c>
      <c r="V28" t="n">
        <v>92</v>
      </c>
      <c r="W28" t="n">
        <v>102</v>
      </c>
      <c r="X28" t="n">
        <v>89</v>
      </c>
      <c r="Y28" t="n">
        <v>102</v>
      </c>
      <c r="Z28" t="n">
        <v>105</v>
      </c>
      <c r="AA28" t="n">
        <v>119</v>
      </c>
      <c r="AB28" t="n">
        <v>143</v>
      </c>
      <c r="AC28" t="n">
        <v>147</v>
      </c>
      <c r="AD28" t="n">
        <v>155</v>
      </c>
      <c r="AE28" t="n">
        <v>164</v>
      </c>
      <c r="AF28" t="n">
        <v>152</v>
      </c>
    </row>
    <row r="29">
      <c r="A29" t="s">
        <v>30</v>
      </c>
      <c r="B29" t="s">
        <v>328</v>
      </c>
      <c r="C29" t="s">
        <v>236</v>
      </c>
      <c r="D29" t="s">
        <v>329</v>
      </c>
      <c r="E29" t="s">
        <v>237</v>
      </c>
      <c r="F29" t="n">
        <v>11</v>
      </c>
      <c r="G29" t="n">
        <v>8</v>
      </c>
      <c r="H29" t="n">
        <v>11</v>
      </c>
      <c r="I29" t="n">
        <v>9</v>
      </c>
      <c r="J29" t="n">
        <v>10</v>
      </c>
      <c r="K29" t="n">
        <v>10</v>
      </c>
      <c r="L29" t="n">
        <v>13</v>
      </c>
      <c r="M29" t="n">
        <v>13</v>
      </c>
      <c r="N29" t="n">
        <v>12</v>
      </c>
      <c r="O29" t="n">
        <v>16</v>
      </c>
      <c r="P29" t="n">
        <v>13</v>
      </c>
      <c r="Q29" t="n">
        <v>18</v>
      </c>
      <c r="R29" t="n">
        <v>18</v>
      </c>
      <c r="S29" t="n">
        <v>11</v>
      </c>
      <c r="T29" t="n">
        <v>45</v>
      </c>
      <c r="U29" t="n">
        <v>20</v>
      </c>
      <c r="V29" t="n">
        <v>9</v>
      </c>
      <c r="W29" t="n">
        <v>11</v>
      </c>
      <c r="X29" t="n">
        <v>12</v>
      </c>
      <c r="Y29" t="n">
        <v>25</v>
      </c>
      <c r="Z29" t="n">
        <v>17</v>
      </c>
      <c r="AA29" t="n">
        <v>19</v>
      </c>
      <c r="AB29" t="n">
        <v>44</v>
      </c>
      <c r="AC29" t="n">
        <v>35</v>
      </c>
      <c r="AD29" t="n">
        <v>34</v>
      </c>
      <c r="AE29" t="n">
        <v>31</v>
      </c>
      <c r="AF29" t="n">
        <v>27</v>
      </c>
    </row>
    <row r="30">
      <c r="A30" t="s">
        <v>30</v>
      </c>
      <c r="B30" t="s">
        <v>330</v>
      </c>
      <c r="C30" t="s">
        <v>236</v>
      </c>
      <c r="D30" t="s">
        <v>331</v>
      </c>
      <c r="E30" t="s">
        <v>237</v>
      </c>
      <c r="F30" t="n">
        <v>2</v>
      </c>
      <c r="G30" t="n">
        <v>2</v>
      </c>
      <c r="H30" t="n">
        <v>3</v>
      </c>
      <c r="I30" t="n">
        <v>3</v>
      </c>
      <c r="J30" t="n">
        <v>4</v>
      </c>
      <c r="K30" t="n">
        <v>4</v>
      </c>
      <c r="L30" t="n">
        <v>5</v>
      </c>
      <c r="M30" t="n">
        <v>5</v>
      </c>
      <c r="N30" t="n">
        <v>5</v>
      </c>
      <c r="O30" t="n">
        <v>5</v>
      </c>
      <c r="P30" t="n">
        <v>7</v>
      </c>
      <c r="Q30" t="n">
        <v>5</v>
      </c>
      <c r="R30" t="n">
        <v>6</v>
      </c>
      <c r="S30" t="n">
        <v>7</v>
      </c>
      <c r="T30" t="n">
        <v>7</v>
      </c>
      <c r="U30" t="n">
        <v>6</v>
      </c>
      <c r="V30" t="n">
        <v>4</v>
      </c>
      <c r="W30" t="n">
        <v>4</v>
      </c>
      <c r="X30" t="n">
        <v>4</v>
      </c>
      <c r="Y30" t="n">
        <v>4</v>
      </c>
      <c r="Z30" t="n">
        <v>6</v>
      </c>
      <c r="AA30" t="n">
        <v>5</v>
      </c>
      <c r="AB30" t="n">
        <v>5</v>
      </c>
      <c r="AC30" t="n">
        <v>6</v>
      </c>
      <c r="AD30" t="n">
        <v>5</v>
      </c>
      <c r="AE30" t="n">
        <v>5</v>
      </c>
      <c r="AF30" t="n">
        <v>3</v>
      </c>
    </row>
    <row r="31">
      <c r="A31" t="s">
        <v>30</v>
      </c>
      <c r="B31" t="s">
        <v>332</v>
      </c>
      <c r="C31" t="s">
        <v>236</v>
      </c>
      <c r="D31" t="s">
        <v>333</v>
      </c>
      <c r="E31" t="s">
        <v>237</v>
      </c>
      <c r="F31" t="n">
        <v>17</v>
      </c>
      <c r="G31" t="n">
        <v>14</v>
      </c>
      <c r="H31" t="n">
        <v>16</v>
      </c>
      <c r="I31" t="n">
        <v>21</v>
      </c>
      <c r="J31" t="n">
        <v>23</v>
      </c>
      <c r="K31" t="n">
        <v>26</v>
      </c>
      <c r="L31" t="n">
        <v>29</v>
      </c>
      <c r="M31" t="n">
        <v>28</v>
      </c>
      <c r="N31" t="n">
        <v>27</v>
      </c>
      <c r="O31" t="n">
        <v>42</v>
      </c>
      <c r="P31" t="n">
        <v>34</v>
      </c>
      <c r="Q31" t="n">
        <v>31</v>
      </c>
      <c r="R31" t="n">
        <v>27</v>
      </c>
      <c r="S31" t="n">
        <v>21</v>
      </c>
      <c r="T31" t="n">
        <v>23</v>
      </c>
      <c r="U31" t="n">
        <v>14</v>
      </c>
      <c r="V31" t="n">
        <v>15</v>
      </c>
      <c r="W31" t="n">
        <v>18</v>
      </c>
      <c r="X31" t="n">
        <v>18</v>
      </c>
      <c r="Y31" t="n">
        <v>16</v>
      </c>
      <c r="Z31" t="n">
        <v>30</v>
      </c>
      <c r="AA31" t="n">
        <v>42</v>
      </c>
      <c r="AB31" t="n">
        <v>34</v>
      </c>
      <c r="AC31" t="n">
        <v>44</v>
      </c>
      <c r="AD31" t="n">
        <v>43</v>
      </c>
      <c r="AE31" t="n">
        <v>27</v>
      </c>
      <c r="AF31" t="n">
        <v>23</v>
      </c>
    </row>
    <row r="32">
      <c r="A32" t="s">
        <v>30</v>
      </c>
      <c r="B32" t="s">
        <v>334</v>
      </c>
      <c r="C32" t="s">
        <v>236</v>
      </c>
      <c r="D32" t="s">
        <v>335</v>
      </c>
      <c r="E32" t="s">
        <v>237</v>
      </c>
      <c r="F32" t="n">
        <v>8</v>
      </c>
      <c r="G32" t="n">
        <v>7</v>
      </c>
      <c r="H32" t="n">
        <v>8</v>
      </c>
      <c r="I32" t="n">
        <v>13</v>
      </c>
      <c r="J32" t="n">
        <v>15</v>
      </c>
      <c r="K32" t="n">
        <v>17</v>
      </c>
      <c r="L32" t="n">
        <v>17</v>
      </c>
      <c r="M32" t="n">
        <v>19</v>
      </c>
      <c r="N32" t="n">
        <v>15</v>
      </c>
      <c r="O32" t="n">
        <v>19</v>
      </c>
      <c r="P32" t="n">
        <v>19</v>
      </c>
      <c r="Q32" t="n">
        <v>19</v>
      </c>
      <c r="R32" t="n">
        <v>18</v>
      </c>
      <c r="S32" t="n">
        <v>22</v>
      </c>
      <c r="T32" t="n">
        <v>30</v>
      </c>
      <c r="U32" t="n">
        <v>24</v>
      </c>
      <c r="V32" t="n">
        <v>39</v>
      </c>
      <c r="W32" t="n">
        <v>34</v>
      </c>
      <c r="X32" t="n">
        <v>24</v>
      </c>
      <c r="Y32" t="n">
        <v>27</v>
      </c>
      <c r="Z32" t="n">
        <v>26</v>
      </c>
      <c r="AA32" t="n">
        <v>37</v>
      </c>
      <c r="AB32" t="n">
        <v>51</v>
      </c>
      <c r="AC32" t="n">
        <v>39</v>
      </c>
      <c r="AD32" t="n">
        <v>57</v>
      </c>
      <c r="AE32" t="n">
        <v>73</v>
      </c>
      <c r="AF32" t="n">
        <v>63</v>
      </c>
    </row>
    <row r="33">
      <c r="A33" t="s">
        <v>30</v>
      </c>
      <c r="B33" t="s">
        <v>336</v>
      </c>
      <c r="C33" t="s">
        <v>236</v>
      </c>
      <c r="D33" t="s">
        <v>337</v>
      </c>
      <c r="E33" t="s">
        <v>237</v>
      </c>
      <c r="F33" t="n">
        <v>18</v>
      </c>
      <c r="G33" t="n">
        <v>30</v>
      </c>
      <c r="H33" t="n">
        <v>34</v>
      </c>
      <c r="I33" t="n">
        <v>43</v>
      </c>
      <c r="J33" t="n">
        <v>47</v>
      </c>
      <c r="K33" t="n">
        <v>38</v>
      </c>
      <c r="L33" t="n">
        <v>26</v>
      </c>
      <c r="M33" t="n">
        <v>13</v>
      </c>
      <c r="N33" t="n">
        <v>18</v>
      </c>
      <c r="O33" t="n">
        <v>15</v>
      </c>
      <c r="P33" t="n">
        <v>16</v>
      </c>
      <c r="Q33" t="n">
        <v>17</v>
      </c>
      <c r="R33" t="n">
        <v>14</v>
      </c>
      <c r="S33" t="n">
        <v>17</v>
      </c>
      <c r="T33" t="n">
        <v>22</v>
      </c>
      <c r="U33" t="n">
        <v>22</v>
      </c>
      <c r="V33" t="n">
        <v>25</v>
      </c>
      <c r="W33" t="n">
        <v>35</v>
      </c>
      <c r="X33" t="n">
        <v>31</v>
      </c>
      <c r="Y33" t="n">
        <v>30</v>
      </c>
      <c r="Z33" t="n">
        <v>26</v>
      </c>
      <c r="AA33" t="n">
        <v>16</v>
      </c>
      <c r="AB33" t="n">
        <v>9</v>
      </c>
      <c r="AC33" t="n">
        <v>23</v>
      </c>
      <c r="AD33" t="n">
        <v>16</v>
      </c>
      <c r="AE33" t="n">
        <v>28</v>
      </c>
      <c r="AF33" t="n">
        <v>36</v>
      </c>
    </row>
    <row r="34">
      <c r="A34" t="s">
        <v>30</v>
      </c>
      <c r="B34" t="s">
        <v>338</v>
      </c>
      <c r="C34" t="s">
        <v>236</v>
      </c>
      <c r="D34" t="s">
        <v>339</v>
      </c>
      <c r="E34" t="s">
        <v>237</v>
      </c>
      <c r="F34" t="n">
        <v>4</v>
      </c>
      <c r="G34" t="n">
        <v>3</v>
      </c>
      <c r="H34" t="n">
        <v>4</v>
      </c>
      <c r="I34" t="n">
        <v>5</v>
      </c>
      <c r="J34" t="n">
        <v>6</v>
      </c>
      <c r="K34" t="n">
        <v>7</v>
      </c>
      <c r="L34" t="n">
        <v>8</v>
      </c>
      <c r="M34" t="n">
        <v>7</v>
      </c>
      <c r="N34" t="n">
        <v>10</v>
      </c>
      <c r="O34" t="n">
        <v>9</v>
      </c>
      <c r="P34" t="n">
        <v>8</v>
      </c>
      <c r="Q34" t="n">
        <v>9</v>
      </c>
      <c r="R34" t="n">
        <v>12</v>
      </c>
      <c r="S34" t="n">
        <v>14</v>
      </c>
      <c r="T34" t="n">
        <v>16</v>
      </c>
      <c r="U34" t="n">
        <v>22</v>
      </c>
      <c r="V34" t="n">
        <v>20</v>
      </c>
      <c r="W34" t="n">
        <v>22</v>
      </c>
      <c r="X34" t="n">
        <v>23</v>
      </c>
      <c r="Y34" t="n">
        <v>20</v>
      </c>
      <c r="Z34" t="n">
        <v>21</v>
      </c>
      <c r="AA34" t="n">
        <v>24</v>
      </c>
      <c r="AB34" t="n">
        <v>25</v>
      </c>
      <c r="AC34" t="n">
        <v>26</v>
      </c>
      <c r="AD34" t="n">
        <v>36</v>
      </c>
      <c r="AE34" t="n">
        <v>28</v>
      </c>
      <c r="AF34" t="n">
        <v>30</v>
      </c>
    </row>
    <row r="35">
      <c r="A35" t="s">
        <v>30</v>
      </c>
      <c r="B35" t="s">
        <v>340</v>
      </c>
      <c r="C35" t="s">
        <v>236</v>
      </c>
      <c r="D35" t="s">
        <v>341</v>
      </c>
      <c r="E35" t="s">
        <v>237</v>
      </c>
      <c r="F35" t="n">
        <v>175</v>
      </c>
      <c r="G35" t="n">
        <v>158</v>
      </c>
      <c r="H35" t="n">
        <v>168</v>
      </c>
      <c r="I35" t="n">
        <v>212</v>
      </c>
      <c r="J35" t="n">
        <v>247</v>
      </c>
      <c r="K35" t="n">
        <v>287</v>
      </c>
      <c r="L35" t="n">
        <v>322</v>
      </c>
      <c r="M35" t="n">
        <v>300</v>
      </c>
      <c r="N35" t="n">
        <v>387</v>
      </c>
      <c r="O35" t="n">
        <v>293</v>
      </c>
      <c r="P35" t="n">
        <v>424</v>
      </c>
      <c r="Q35" t="n">
        <v>410</v>
      </c>
      <c r="R35" t="n">
        <v>476</v>
      </c>
      <c r="S35" t="n">
        <v>424</v>
      </c>
      <c r="T35" t="n">
        <v>446</v>
      </c>
      <c r="U35" t="n">
        <v>416</v>
      </c>
      <c r="V35" t="n">
        <v>386</v>
      </c>
      <c r="W35" t="n">
        <v>362</v>
      </c>
      <c r="X35" t="n">
        <v>455</v>
      </c>
      <c r="Y35" t="n">
        <v>500</v>
      </c>
      <c r="Z35" t="n">
        <v>530</v>
      </c>
      <c r="AA35" t="n">
        <v>563</v>
      </c>
      <c r="AB35" t="n">
        <v>554</v>
      </c>
      <c r="AC35" t="n">
        <v>726</v>
      </c>
      <c r="AD35" t="n">
        <v>744</v>
      </c>
      <c r="AE35" t="n">
        <v>688</v>
      </c>
      <c r="AF35" t="n">
        <v>812</v>
      </c>
    </row>
    <row r="36">
      <c r="A36" t="s">
        <v>30</v>
      </c>
      <c r="B36" t="s">
        <v>342</v>
      </c>
      <c r="C36" t="s">
        <v>236</v>
      </c>
      <c r="D36" t="s">
        <v>343</v>
      </c>
      <c r="E36" t="s">
        <v>237</v>
      </c>
      <c r="F36" t="n">
        <v>36</v>
      </c>
      <c r="G36" t="n">
        <v>31</v>
      </c>
      <c r="H36" t="n">
        <v>29</v>
      </c>
      <c r="I36" t="n">
        <v>33</v>
      </c>
      <c r="J36" t="n">
        <v>44</v>
      </c>
      <c r="K36" t="n">
        <v>42</v>
      </c>
      <c r="L36" t="n">
        <v>53</v>
      </c>
      <c r="M36" t="n">
        <v>33</v>
      </c>
      <c r="N36" t="n">
        <v>46</v>
      </c>
      <c r="O36" t="n">
        <v>56</v>
      </c>
      <c r="P36" t="n">
        <v>58</v>
      </c>
      <c r="Q36" t="n">
        <v>52</v>
      </c>
      <c r="R36" t="n">
        <v>83</v>
      </c>
      <c r="S36" t="n">
        <v>68</v>
      </c>
      <c r="T36" t="n">
        <v>100</v>
      </c>
      <c r="U36" t="n">
        <v>102</v>
      </c>
      <c r="V36" t="n">
        <v>99</v>
      </c>
      <c r="W36" t="n">
        <v>109</v>
      </c>
      <c r="X36" t="n">
        <v>96</v>
      </c>
      <c r="Y36" t="n">
        <v>98</v>
      </c>
      <c r="Z36" t="n">
        <v>108</v>
      </c>
      <c r="AA36" t="n">
        <v>118</v>
      </c>
      <c r="AB36" t="n">
        <v>110</v>
      </c>
      <c r="AC36" t="n">
        <v>136</v>
      </c>
      <c r="AD36" t="n">
        <v>132</v>
      </c>
      <c r="AE36" t="n">
        <v>139</v>
      </c>
      <c r="AF36" t="n">
        <v>157</v>
      </c>
    </row>
    <row r="37">
      <c r="A37" t="s">
        <v>30</v>
      </c>
      <c r="B37" t="s">
        <v>344</v>
      </c>
      <c r="C37" t="s">
        <v>236</v>
      </c>
      <c r="D37" t="s">
        <v>345</v>
      </c>
      <c r="E37" t="s">
        <v>237</v>
      </c>
      <c r="F37" t="n">
        <v>56</v>
      </c>
      <c r="G37" t="n">
        <v>44</v>
      </c>
      <c r="H37" t="n">
        <v>49</v>
      </c>
      <c r="I37" t="n">
        <v>64</v>
      </c>
      <c r="J37" t="n">
        <v>71</v>
      </c>
      <c r="K37" t="n">
        <v>95</v>
      </c>
      <c r="L37" t="n">
        <v>98</v>
      </c>
      <c r="M37" t="n">
        <v>100</v>
      </c>
      <c r="N37" t="n">
        <v>172</v>
      </c>
      <c r="O37" t="n">
        <v>71</v>
      </c>
      <c r="P37" t="n">
        <v>131</v>
      </c>
      <c r="Q37" t="n">
        <v>112</v>
      </c>
      <c r="R37" t="n">
        <v>141</v>
      </c>
      <c r="S37" t="n">
        <v>75</v>
      </c>
      <c r="T37" t="n">
        <v>106</v>
      </c>
      <c r="U37" t="n">
        <v>91</v>
      </c>
      <c r="V37" t="n">
        <v>58</v>
      </c>
      <c r="W37" t="n">
        <v>56</v>
      </c>
      <c r="X37" t="n">
        <v>72</v>
      </c>
      <c r="Y37" t="n">
        <v>80</v>
      </c>
      <c r="Z37" t="n">
        <v>80</v>
      </c>
      <c r="AA37" t="n">
        <v>93</v>
      </c>
      <c r="AB37" t="n">
        <v>118</v>
      </c>
      <c r="AC37" t="n">
        <v>122</v>
      </c>
      <c r="AD37" t="n">
        <v>104</v>
      </c>
      <c r="AE37" t="n">
        <v>89</v>
      </c>
      <c r="AF37" t="n">
        <v>179</v>
      </c>
    </row>
    <row r="38">
      <c r="A38" t="s">
        <v>30</v>
      </c>
      <c r="B38" t="s">
        <v>346</v>
      </c>
      <c r="C38" t="s">
        <v>236</v>
      </c>
      <c r="D38" t="s">
        <v>347</v>
      </c>
      <c r="E38" t="s">
        <v>237</v>
      </c>
      <c r="F38" t="n">
        <v>83</v>
      </c>
      <c r="G38" t="n">
        <v>83</v>
      </c>
      <c r="H38" t="n">
        <v>90</v>
      </c>
      <c r="I38" t="n">
        <v>115</v>
      </c>
      <c r="J38" t="n">
        <v>132</v>
      </c>
      <c r="K38" t="n">
        <v>150</v>
      </c>
      <c r="L38" t="n">
        <v>171</v>
      </c>
      <c r="M38" t="n">
        <v>167</v>
      </c>
      <c r="N38" t="n">
        <v>169</v>
      </c>
      <c r="O38" t="n">
        <v>166</v>
      </c>
      <c r="P38" t="n">
        <v>235</v>
      </c>
      <c r="Q38" t="n">
        <v>246</v>
      </c>
      <c r="R38" t="n">
        <v>252</v>
      </c>
      <c r="S38" t="n">
        <v>281</v>
      </c>
      <c r="T38" t="n">
        <v>240</v>
      </c>
      <c r="U38" t="n">
        <v>223</v>
      </c>
      <c r="V38" t="n">
        <v>229</v>
      </c>
      <c r="W38" t="n">
        <v>197</v>
      </c>
      <c r="X38" t="n">
        <v>287</v>
      </c>
      <c r="Y38" t="n">
        <v>322</v>
      </c>
      <c r="Z38" t="n">
        <v>342</v>
      </c>
      <c r="AA38" t="n">
        <v>352</v>
      </c>
      <c r="AB38" t="n">
        <v>326</v>
      </c>
      <c r="AC38" t="n">
        <v>468</v>
      </c>
      <c r="AD38" t="n">
        <v>508</v>
      </c>
      <c r="AE38" t="n">
        <v>460</v>
      </c>
      <c r="AF38" t="n">
        <v>476</v>
      </c>
    </row>
    <row r="39">
      <c r="A39" t="s">
        <v>30</v>
      </c>
      <c r="B39" t="s">
        <v>348</v>
      </c>
      <c r="C39" t="s">
        <v>236</v>
      </c>
      <c r="D39" t="s">
        <v>349</v>
      </c>
      <c r="E39" t="s">
        <v>237</v>
      </c>
      <c r="F39" t="n">
        <v>213</v>
      </c>
      <c r="G39" t="n">
        <v>151</v>
      </c>
      <c r="H39" t="n">
        <v>149</v>
      </c>
      <c r="I39" t="n">
        <v>168</v>
      </c>
      <c r="J39" t="n">
        <v>190</v>
      </c>
      <c r="K39" t="n">
        <v>203</v>
      </c>
      <c r="L39" t="n">
        <v>237</v>
      </c>
      <c r="M39" t="n">
        <v>213</v>
      </c>
      <c r="N39" t="n">
        <v>267</v>
      </c>
      <c r="O39" t="n">
        <v>293</v>
      </c>
      <c r="P39" t="n">
        <v>304</v>
      </c>
      <c r="Q39" t="n">
        <v>333</v>
      </c>
      <c r="R39" t="n">
        <v>412</v>
      </c>
      <c r="S39" t="n">
        <v>401</v>
      </c>
      <c r="T39" t="n">
        <v>379</v>
      </c>
      <c r="U39" t="n">
        <v>377</v>
      </c>
      <c r="V39" t="n">
        <v>368</v>
      </c>
      <c r="W39" t="n">
        <v>262</v>
      </c>
      <c r="X39" t="n">
        <v>268</v>
      </c>
      <c r="Y39" t="n">
        <v>362</v>
      </c>
      <c r="Z39" t="n">
        <v>354</v>
      </c>
      <c r="AA39" t="n">
        <v>363</v>
      </c>
      <c r="AB39" t="n">
        <v>355</v>
      </c>
      <c r="AC39" t="n">
        <v>353</v>
      </c>
      <c r="AD39" t="n">
        <v>400</v>
      </c>
      <c r="AE39" t="n">
        <v>280</v>
      </c>
      <c r="AF39" t="n">
        <v>254</v>
      </c>
    </row>
    <row r="40">
      <c r="A40" t="s">
        <v>30</v>
      </c>
      <c r="B40" t="s">
        <v>350</v>
      </c>
      <c r="C40" t="s">
        <v>236</v>
      </c>
      <c r="D40" t="s">
        <v>351</v>
      </c>
      <c r="E40" t="s">
        <v>237</v>
      </c>
      <c r="F40" t="n">
        <v>3</v>
      </c>
      <c r="G40" t="n">
        <v>3</v>
      </c>
      <c r="H40" t="n">
        <v>3</v>
      </c>
      <c r="I40" t="n">
        <v>3</v>
      </c>
      <c r="J40" t="n">
        <v>2</v>
      </c>
      <c r="K40" t="n">
        <v>2</v>
      </c>
      <c r="L40" t="n">
        <v>3</v>
      </c>
      <c r="M40" t="n">
        <v>4</v>
      </c>
      <c r="N40" t="n">
        <v>2</v>
      </c>
      <c r="O40" t="n">
        <v>2</v>
      </c>
      <c r="P40" t="n">
        <v>3</v>
      </c>
      <c r="Q40" t="n">
        <v>6</v>
      </c>
      <c r="R40" t="n">
        <v>5</v>
      </c>
      <c r="S40" t="n">
        <v>11</v>
      </c>
      <c r="T40" t="n">
        <v>14</v>
      </c>
      <c r="U40" t="n">
        <v>27</v>
      </c>
      <c r="V40" t="n">
        <v>17</v>
      </c>
      <c r="W40" t="n">
        <v>19</v>
      </c>
      <c r="X40" t="n">
        <v>24</v>
      </c>
      <c r="Y40" t="n">
        <v>32</v>
      </c>
      <c r="Z40" t="n">
        <v>29</v>
      </c>
      <c r="AA40" t="n">
        <v>25</v>
      </c>
      <c r="AB40" t="n">
        <v>29</v>
      </c>
      <c r="AC40" t="n">
        <v>35</v>
      </c>
      <c r="AD40" t="n">
        <v>27</v>
      </c>
      <c r="AE40" t="n">
        <v>31</v>
      </c>
      <c r="AF40" t="n">
        <v>38</v>
      </c>
    </row>
    <row r="41">
      <c r="A41" t="s">
        <v>30</v>
      </c>
      <c r="B41" t="s">
        <v>352</v>
      </c>
      <c r="C41" t="s">
        <v>236</v>
      </c>
      <c r="D41" t="s">
        <v>353</v>
      </c>
      <c r="E41" t="s">
        <v>237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/>
      <c r="AD41"/>
      <c r="AE41"/>
      <c r="AF41"/>
    </row>
    <row r="42">
      <c r="A42" t="s">
        <v>30</v>
      </c>
      <c r="B42" t="s">
        <v>354</v>
      </c>
      <c r="C42" t="s">
        <v>236</v>
      </c>
      <c r="D42" t="s">
        <v>355</v>
      </c>
      <c r="E42" t="s">
        <v>237</v>
      </c>
      <c r="F42" t="n">
        <v>43</v>
      </c>
      <c r="G42" t="n">
        <v>34</v>
      </c>
      <c r="H42" t="n">
        <v>39</v>
      </c>
      <c r="I42" t="n">
        <v>50</v>
      </c>
      <c r="J42" t="n">
        <v>61</v>
      </c>
      <c r="K42" t="n">
        <v>74</v>
      </c>
      <c r="L42" t="n">
        <v>77</v>
      </c>
      <c r="M42" t="n">
        <v>78</v>
      </c>
      <c r="N42" t="n">
        <v>92</v>
      </c>
      <c r="O42" t="n">
        <v>88</v>
      </c>
      <c r="P42" t="n">
        <v>111</v>
      </c>
      <c r="Q42" t="n">
        <v>99</v>
      </c>
      <c r="R42" t="n">
        <v>140</v>
      </c>
      <c r="S42" t="n">
        <v>151</v>
      </c>
      <c r="T42" t="n">
        <v>122</v>
      </c>
      <c r="U42" t="n">
        <v>138</v>
      </c>
      <c r="V42" t="n">
        <v>150</v>
      </c>
      <c r="W42" t="n">
        <v>135</v>
      </c>
      <c r="X42" t="n">
        <v>157</v>
      </c>
      <c r="Y42" t="n">
        <v>168</v>
      </c>
      <c r="Z42" t="n">
        <v>177</v>
      </c>
      <c r="AA42" t="n">
        <v>172</v>
      </c>
      <c r="AB42" t="n">
        <v>172</v>
      </c>
      <c r="AC42" t="n">
        <v>163</v>
      </c>
      <c r="AD42" t="n">
        <v>257</v>
      </c>
      <c r="AE42" t="n">
        <v>244</v>
      </c>
      <c r="AF42" t="n">
        <v>276</v>
      </c>
    </row>
    <row r="43">
      <c r="A43" t="s">
        <v>30</v>
      </c>
      <c r="B43" t="s">
        <v>356</v>
      </c>
      <c r="C43" t="s">
        <v>236</v>
      </c>
      <c r="D43" t="s">
        <v>357</v>
      </c>
      <c r="E43" t="s">
        <v>237</v>
      </c>
      <c r="F43" t="n">
        <v>65</v>
      </c>
      <c r="G43" t="n">
        <v>48</v>
      </c>
      <c r="H43" t="n">
        <v>58</v>
      </c>
      <c r="I43" t="n">
        <v>73</v>
      </c>
      <c r="J43" t="n">
        <v>86</v>
      </c>
      <c r="K43" t="n">
        <v>99</v>
      </c>
      <c r="L43" t="n">
        <v>108</v>
      </c>
      <c r="M43" t="n">
        <v>104</v>
      </c>
      <c r="N43" t="n">
        <v>126</v>
      </c>
      <c r="O43" t="n">
        <v>117</v>
      </c>
      <c r="P43" t="n">
        <v>149</v>
      </c>
      <c r="Q43" t="n">
        <v>138</v>
      </c>
      <c r="R43" t="n">
        <v>179</v>
      </c>
      <c r="S43" t="n">
        <v>196</v>
      </c>
      <c r="T43" t="n">
        <v>173</v>
      </c>
      <c r="U43" t="n">
        <v>191</v>
      </c>
      <c r="V43" t="n">
        <v>204</v>
      </c>
      <c r="W43" t="n">
        <v>205</v>
      </c>
      <c r="X43" t="n">
        <v>223</v>
      </c>
      <c r="Y43" t="n">
        <v>247</v>
      </c>
      <c r="Z43" t="n">
        <v>247</v>
      </c>
      <c r="AA43" t="n">
        <v>265</v>
      </c>
      <c r="AB43" t="n">
        <v>276</v>
      </c>
      <c r="AC43" t="n">
        <v>264</v>
      </c>
      <c r="AD43" t="n">
        <v>385</v>
      </c>
      <c r="AE43" t="n">
        <v>353</v>
      </c>
      <c r="AF43" t="n">
        <v>397</v>
      </c>
    </row>
    <row r="44">
      <c r="A44" t="s">
        <v>30</v>
      </c>
      <c r="B44" t="s">
        <v>358</v>
      </c>
      <c r="C44" t="s">
        <v>236</v>
      </c>
      <c r="D44" t="s">
        <v>359</v>
      </c>
      <c r="E44" t="s">
        <v>237</v>
      </c>
      <c r="F44" t="n">
        <v>807</v>
      </c>
      <c r="G44" t="n">
        <v>694</v>
      </c>
      <c r="H44" t="n">
        <v>789</v>
      </c>
      <c r="I44" t="n">
        <v>1002</v>
      </c>
      <c r="J44" t="n">
        <v>1146</v>
      </c>
      <c r="K44" t="n">
        <v>1299</v>
      </c>
      <c r="L44" t="n">
        <v>1492</v>
      </c>
      <c r="M44" t="n">
        <v>1382</v>
      </c>
      <c r="N44" t="n">
        <v>1743</v>
      </c>
      <c r="O44" t="n">
        <v>1610</v>
      </c>
      <c r="P44" t="n">
        <v>1944</v>
      </c>
      <c r="Q44" t="n">
        <v>1999</v>
      </c>
      <c r="R44" t="n">
        <v>2171</v>
      </c>
      <c r="S44" t="n">
        <v>2217</v>
      </c>
      <c r="T44" t="n">
        <v>2304</v>
      </c>
      <c r="U44" t="n">
        <v>2293</v>
      </c>
      <c r="V44" t="n">
        <v>2277</v>
      </c>
      <c r="W44" t="n">
        <v>2280</v>
      </c>
      <c r="X44" t="n">
        <v>2357</v>
      </c>
      <c r="Y44" t="n">
        <v>2626</v>
      </c>
      <c r="Z44" t="n">
        <v>2581</v>
      </c>
      <c r="AA44" t="n">
        <v>2617</v>
      </c>
      <c r="AB44" t="n">
        <v>2787</v>
      </c>
      <c r="AC44" t="n">
        <v>3141</v>
      </c>
      <c r="AD44" t="n">
        <v>3516</v>
      </c>
      <c r="AE44" t="n">
        <v>3345</v>
      </c>
      <c r="AF44" t="n">
        <v>3566</v>
      </c>
    </row>
    <row r="45">
      <c r="A45" t="s">
        <v>30</v>
      </c>
      <c r="B45" t="s">
        <v>360</v>
      </c>
      <c r="C45" t="s">
        <v>236</v>
      </c>
      <c r="D45" t="s">
        <v>361</v>
      </c>
      <c r="E45" t="s">
        <v>237</v>
      </c>
      <c r="F45" t="n">
        <v>805</v>
      </c>
      <c r="G45" t="n">
        <v>693</v>
      </c>
      <c r="H45" t="n">
        <v>787</v>
      </c>
      <c r="I45" t="n">
        <v>1000</v>
      </c>
      <c r="J45" t="n">
        <v>1144</v>
      </c>
      <c r="K45" t="n">
        <v>1296</v>
      </c>
      <c r="L45" t="n">
        <v>1489</v>
      </c>
      <c r="M45" t="n">
        <v>1379</v>
      </c>
      <c r="N45" t="n">
        <v>1740</v>
      </c>
      <c r="O45" t="n">
        <v>1607</v>
      </c>
      <c r="P45" t="n">
        <v>1940</v>
      </c>
      <c r="Q45" t="n">
        <v>1993</v>
      </c>
      <c r="R45" t="n">
        <v>2166</v>
      </c>
      <c r="S45" t="n">
        <v>2212</v>
      </c>
      <c r="T45" t="n">
        <v>2299</v>
      </c>
      <c r="U45" t="n">
        <v>2287</v>
      </c>
      <c r="V45" t="n">
        <v>2272</v>
      </c>
      <c r="W45" t="n">
        <v>2275</v>
      </c>
      <c r="X45" t="n">
        <v>2350</v>
      </c>
      <c r="Y45" t="n">
        <v>2620</v>
      </c>
      <c r="Z45" t="n">
        <v>2576</v>
      </c>
      <c r="AA45" t="n">
        <v>2613</v>
      </c>
      <c r="AB45" t="n">
        <v>2783</v>
      </c>
      <c r="AC45" t="n">
        <v>3136</v>
      </c>
      <c r="AD45" t="n">
        <v>3511</v>
      </c>
      <c r="AE45" t="n">
        <v>3340</v>
      </c>
      <c r="AF45" t="n">
        <v>3561</v>
      </c>
    </row>
    <row r="46">
      <c r="A46" t="s">
        <v>30</v>
      </c>
      <c r="B46" t="s">
        <v>362</v>
      </c>
      <c r="C46" t="s">
        <v>236</v>
      </c>
      <c r="D46" t="s">
        <v>363</v>
      </c>
      <c r="E46" t="s">
        <v>237</v>
      </c>
      <c r="F46" t="n">
        <v>22</v>
      </c>
      <c r="G46" t="n">
        <v>14</v>
      </c>
      <c r="H46" t="n">
        <v>19</v>
      </c>
      <c r="I46" t="n">
        <v>23</v>
      </c>
      <c r="J46" t="n">
        <v>25</v>
      </c>
      <c r="K46" t="n">
        <v>25</v>
      </c>
      <c r="L46" t="n">
        <v>31</v>
      </c>
      <c r="M46" t="n">
        <v>26</v>
      </c>
      <c r="N46" t="n">
        <v>34</v>
      </c>
      <c r="O46" t="n">
        <v>29</v>
      </c>
      <c r="P46" t="n">
        <v>38</v>
      </c>
      <c r="Q46" t="n">
        <v>39</v>
      </c>
      <c r="R46" t="n">
        <v>39</v>
      </c>
      <c r="S46" t="n">
        <v>45</v>
      </c>
      <c r="T46" t="n">
        <v>51</v>
      </c>
      <c r="U46" t="n">
        <v>53</v>
      </c>
      <c r="V46" t="n">
        <v>54</v>
      </c>
      <c r="W46" t="n">
        <v>70</v>
      </c>
      <c r="X46" t="n">
        <v>66</v>
      </c>
      <c r="Y46" t="n">
        <v>79</v>
      </c>
      <c r="Z46" t="n">
        <v>70</v>
      </c>
      <c r="AA46" t="n">
        <v>93</v>
      </c>
      <c r="AB46" t="n">
        <v>104</v>
      </c>
      <c r="AC46" t="n">
        <v>101</v>
      </c>
      <c r="AD46" t="n">
        <v>128</v>
      </c>
      <c r="AE46" t="n">
        <v>109</v>
      </c>
      <c r="AF46" t="n">
        <v>121</v>
      </c>
    </row>
    <row r="47">
      <c r="A47" t="s">
        <v>30</v>
      </c>
      <c r="B47" t="s">
        <v>364</v>
      </c>
      <c r="C47" t="s">
        <v>236</v>
      </c>
      <c r="D47" t="s">
        <v>365</v>
      </c>
      <c r="E47" t="s">
        <v>237</v>
      </c>
      <c r="F47" t="n">
        <v>57</v>
      </c>
      <c r="G47" t="n">
        <v>52</v>
      </c>
      <c r="H47" t="n">
        <v>56</v>
      </c>
      <c r="I47" t="n">
        <v>63</v>
      </c>
      <c r="J47" t="n">
        <v>70</v>
      </c>
      <c r="K47" t="n">
        <v>84</v>
      </c>
      <c r="L47" t="n">
        <v>111</v>
      </c>
      <c r="M47" t="n">
        <v>113</v>
      </c>
      <c r="N47" t="n">
        <v>139</v>
      </c>
      <c r="O47" t="n">
        <v>142</v>
      </c>
      <c r="P47" t="n">
        <v>148</v>
      </c>
      <c r="Q47" t="n">
        <v>134</v>
      </c>
      <c r="R47" t="n">
        <v>135</v>
      </c>
      <c r="S47" t="n">
        <v>149</v>
      </c>
      <c r="T47" t="n">
        <v>149</v>
      </c>
      <c r="U47" t="n">
        <v>174</v>
      </c>
      <c r="V47" t="n">
        <v>177</v>
      </c>
      <c r="W47" t="n">
        <v>163</v>
      </c>
      <c r="X47" t="n">
        <v>159</v>
      </c>
      <c r="Y47" t="n">
        <v>163</v>
      </c>
      <c r="Z47" t="n">
        <v>196</v>
      </c>
      <c r="AA47" t="n">
        <v>209</v>
      </c>
      <c r="AB47" t="n">
        <v>196</v>
      </c>
      <c r="AC47" t="n">
        <v>228</v>
      </c>
      <c r="AD47" t="n">
        <v>225</v>
      </c>
      <c r="AE47" t="n">
        <v>190</v>
      </c>
      <c r="AF47" t="n">
        <v>171</v>
      </c>
    </row>
    <row r="48">
      <c r="A48" t="s">
        <v>30</v>
      </c>
      <c r="B48" t="s">
        <v>366</v>
      </c>
      <c r="C48" t="s">
        <v>236</v>
      </c>
      <c r="D48" t="s">
        <v>367</v>
      </c>
      <c r="E48" t="s">
        <v>237</v>
      </c>
      <c r="F48" t="n">
        <v>87</v>
      </c>
      <c r="G48" t="n">
        <v>81</v>
      </c>
      <c r="H48" t="n">
        <v>87</v>
      </c>
      <c r="I48" t="n">
        <v>104</v>
      </c>
      <c r="J48" t="n">
        <v>116</v>
      </c>
      <c r="K48" t="n">
        <v>133</v>
      </c>
      <c r="L48" t="n">
        <v>161</v>
      </c>
      <c r="M48" t="n">
        <v>175</v>
      </c>
      <c r="N48" t="n">
        <v>196</v>
      </c>
      <c r="O48" t="n">
        <v>196</v>
      </c>
      <c r="P48" t="n">
        <v>209</v>
      </c>
      <c r="Q48" t="n">
        <v>208</v>
      </c>
      <c r="R48" t="n">
        <v>205</v>
      </c>
      <c r="S48" t="n">
        <v>218</v>
      </c>
      <c r="T48" t="n">
        <v>212</v>
      </c>
      <c r="U48" t="n">
        <v>258</v>
      </c>
      <c r="V48" t="n">
        <v>254</v>
      </c>
      <c r="W48" t="n">
        <v>263</v>
      </c>
      <c r="X48" t="n">
        <v>271</v>
      </c>
      <c r="Y48" t="n">
        <v>295</v>
      </c>
      <c r="Z48" t="n">
        <v>301</v>
      </c>
      <c r="AA48" t="n">
        <v>353</v>
      </c>
      <c r="AB48" t="n">
        <v>362</v>
      </c>
      <c r="AC48" t="n">
        <v>405</v>
      </c>
      <c r="AD48" t="n">
        <v>423</v>
      </c>
      <c r="AE48" t="n">
        <v>409</v>
      </c>
      <c r="AF48" t="n">
        <v>418</v>
      </c>
    </row>
    <row r="49">
      <c r="A49" t="s">
        <v>30</v>
      </c>
      <c r="B49" t="s">
        <v>368</v>
      </c>
      <c r="C49" t="s">
        <v>236</v>
      </c>
      <c r="D49" t="s">
        <v>369</v>
      </c>
      <c r="E49" t="s">
        <v>237</v>
      </c>
      <c r="F49" t="n">
        <v>14</v>
      </c>
      <c r="G49" t="n">
        <v>14</v>
      </c>
      <c r="H49" t="n">
        <v>15</v>
      </c>
      <c r="I49" t="n">
        <v>20</v>
      </c>
      <c r="J49" t="n">
        <v>23</v>
      </c>
      <c r="K49" t="n">
        <v>24</v>
      </c>
      <c r="L49" t="n">
        <v>21</v>
      </c>
      <c r="M49" t="n">
        <v>32</v>
      </c>
      <c r="N49" t="n">
        <v>26</v>
      </c>
      <c r="O49" t="n">
        <v>23</v>
      </c>
      <c r="P49" t="n">
        <v>23</v>
      </c>
      <c r="Q49" t="n">
        <v>22</v>
      </c>
      <c r="R49" t="n">
        <v>19</v>
      </c>
      <c r="S49" t="n">
        <v>26</v>
      </c>
      <c r="T49" t="n">
        <v>19</v>
      </c>
      <c r="U49" t="n">
        <v>28</v>
      </c>
      <c r="V49" t="n">
        <v>28</v>
      </c>
      <c r="W49" t="n">
        <v>29</v>
      </c>
      <c r="X49" t="n">
        <v>30</v>
      </c>
      <c r="Y49" t="n">
        <v>44</v>
      </c>
      <c r="Z49" t="n">
        <v>42</v>
      </c>
      <c r="AA49" t="n">
        <v>57</v>
      </c>
      <c r="AB49" t="n">
        <v>63</v>
      </c>
      <c r="AC49" t="n">
        <v>61</v>
      </c>
      <c r="AD49" t="n">
        <v>67</v>
      </c>
      <c r="AE49" t="n">
        <v>76</v>
      </c>
      <c r="AF49" t="n">
        <v>58</v>
      </c>
    </row>
    <row r="50">
      <c r="A50" t="s">
        <v>30</v>
      </c>
      <c r="B50" t="s">
        <v>370</v>
      </c>
      <c r="C50" t="s">
        <v>236</v>
      </c>
      <c r="D50" t="s">
        <v>371</v>
      </c>
      <c r="E50" t="s">
        <v>237</v>
      </c>
      <c r="F50" t="n">
        <v>16</v>
      </c>
      <c r="G50" t="n">
        <v>15</v>
      </c>
      <c r="H50" t="n">
        <v>16</v>
      </c>
      <c r="I50" t="n">
        <v>21</v>
      </c>
      <c r="J50" t="n">
        <v>23</v>
      </c>
      <c r="K50" t="n">
        <v>25</v>
      </c>
      <c r="L50" t="n">
        <v>29</v>
      </c>
      <c r="M50" t="n">
        <v>30</v>
      </c>
      <c r="N50" t="n">
        <v>31</v>
      </c>
      <c r="O50" t="n">
        <v>31</v>
      </c>
      <c r="P50" t="n">
        <v>38</v>
      </c>
      <c r="Q50" t="n">
        <v>52</v>
      </c>
      <c r="R50" t="n">
        <v>51</v>
      </c>
      <c r="S50" t="n">
        <v>43</v>
      </c>
      <c r="T50" t="n">
        <v>44</v>
      </c>
      <c r="U50" t="n">
        <v>56</v>
      </c>
      <c r="V50" t="n">
        <v>49</v>
      </c>
      <c r="W50" t="n">
        <v>71</v>
      </c>
      <c r="X50" t="n">
        <v>82</v>
      </c>
      <c r="Y50" t="n">
        <v>88</v>
      </c>
      <c r="Z50" t="n">
        <v>63</v>
      </c>
      <c r="AA50" t="n">
        <v>87</v>
      </c>
      <c r="AB50" t="n">
        <v>103</v>
      </c>
      <c r="AC50" t="n">
        <v>116</v>
      </c>
      <c r="AD50" t="n">
        <v>131</v>
      </c>
      <c r="AE50" t="n">
        <v>143</v>
      </c>
      <c r="AF50" t="n">
        <v>189</v>
      </c>
    </row>
    <row r="51">
      <c r="A51" t="s">
        <v>30</v>
      </c>
      <c r="B51" t="s">
        <v>372</v>
      </c>
      <c r="C51" t="s">
        <v>236</v>
      </c>
      <c r="D51" t="s">
        <v>373</v>
      </c>
      <c r="E51" t="s">
        <v>237</v>
      </c>
      <c r="F51" t="n">
        <v>15</v>
      </c>
      <c r="G51" t="n">
        <v>14</v>
      </c>
      <c r="H51" t="n">
        <v>15</v>
      </c>
      <c r="I51" t="n">
        <v>19</v>
      </c>
      <c r="J51" t="n">
        <v>21</v>
      </c>
      <c r="K51" t="n">
        <v>23</v>
      </c>
      <c r="L51" t="n">
        <v>27</v>
      </c>
      <c r="M51" t="n">
        <v>28</v>
      </c>
      <c r="N51" t="n">
        <v>29</v>
      </c>
      <c r="O51" t="n">
        <v>28</v>
      </c>
      <c r="P51" t="n">
        <v>36</v>
      </c>
      <c r="Q51" t="n">
        <v>51</v>
      </c>
      <c r="R51" t="n">
        <v>50</v>
      </c>
      <c r="S51" t="n">
        <v>42</v>
      </c>
      <c r="T51" t="n">
        <v>42</v>
      </c>
      <c r="U51" t="n">
        <v>51</v>
      </c>
      <c r="V51" t="n">
        <v>45</v>
      </c>
      <c r="W51" t="n">
        <v>66</v>
      </c>
      <c r="X51" t="n">
        <v>76</v>
      </c>
      <c r="Y51" t="n">
        <v>83</v>
      </c>
      <c r="Z51" t="n">
        <v>54</v>
      </c>
      <c r="AA51" t="n">
        <v>79</v>
      </c>
      <c r="AB51" t="n">
        <v>90</v>
      </c>
      <c r="AC51" t="n">
        <v>105</v>
      </c>
      <c r="AD51" t="n">
        <v>115</v>
      </c>
      <c r="AE51" t="n">
        <v>123</v>
      </c>
      <c r="AF51" t="n">
        <v>163</v>
      </c>
    </row>
    <row r="52">
      <c r="A52" t="s">
        <v>30</v>
      </c>
      <c r="B52" t="s">
        <v>374</v>
      </c>
      <c r="C52" t="s">
        <v>236</v>
      </c>
      <c r="D52" t="s">
        <v>375</v>
      </c>
      <c r="E52" t="s">
        <v>237</v>
      </c>
      <c r="F52" t="n">
        <v>1</v>
      </c>
      <c r="G52" t="n">
        <v>1</v>
      </c>
      <c r="H52" t="n">
        <v>1</v>
      </c>
      <c r="I52" t="n">
        <v>2</v>
      </c>
      <c r="J52" t="n">
        <v>2</v>
      </c>
      <c r="K52" t="n">
        <v>2</v>
      </c>
      <c r="L52" t="n">
        <v>2</v>
      </c>
      <c r="M52" t="n">
        <v>2</v>
      </c>
      <c r="N52" t="n">
        <v>2</v>
      </c>
      <c r="O52" t="n">
        <v>3</v>
      </c>
      <c r="P52" t="n">
        <v>2</v>
      </c>
      <c r="Q52" t="n">
        <v>1</v>
      </c>
      <c r="R52" t="n">
        <v>1</v>
      </c>
      <c r="S52" t="n">
        <v>1</v>
      </c>
      <c r="T52" t="n">
        <v>2</v>
      </c>
      <c r="U52" t="n">
        <v>5</v>
      </c>
      <c r="V52" t="n">
        <v>4</v>
      </c>
      <c r="W52" t="n">
        <v>5</v>
      </c>
      <c r="X52" t="n">
        <v>6</v>
      </c>
      <c r="Y52" t="n">
        <v>5</v>
      </c>
      <c r="Z52" t="n">
        <v>9</v>
      </c>
      <c r="AA52" t="n">
        <v>8</v>
      </c>
      <c r="AB52" t="n">
        <v>13</v>
      </c>
      <c r="AC52" t="n">
        <v>11</v>
      </c>
      <c r="AD52" t="n">
        <v>16</v>
      </c>
      <c r="AE52" t="n">
        <v>20</v>
      </c>
      <c r="AF52" t="n">
        <v>26</v>
      </c>
    </row>
    <row r="53">
      <c r="A53" t="s">
        <v>30</v>
      </c>
      <c r="B53" t="s">
        <v>376</v>
      </c>
      <c r="C53" t="s">
        <v>236</v>
      </c>
      <c r="D53" t="s">
        <v>377</v>
      </c>
      <c r="E53" t="s">
        <v>237</v>
      </c>
      <c r="F53" t="n">
        <v>9</v>
      </c>
      <c r="G53" t="n">
        <v>8</v>
      </c>
      <c r="H53" t="n">
        <v>10</v>
      </c>
      <c r="I53" t="n">
        <v>12</v>
      </c>
      <c r="J53" t="n">
        <v>13</v>
      </c>
      <c r="K53" t="n">
        <v>15</v>
      </c>
      <c r="L53" t="n">
        <v>14</v>
      </c>
      <c r="M53" t="n">
        <v>16</v>
      </c>
      <c r="N53" t="n">
        <v>14</v>
      </c>
      <c r="O53" t="n">
        <v>17</v>
      </c>
      <c r="P53" t="n">
        <v>24</v>
      </c>
      <c r="Q53" t="n">
        <v>37</v>
      </c>
      <c r="R53" t="n">
        <v>28</v>
      </c>
      <c r="S53" t="n">
        <v>48</v>
      </c>
      <c r="T53" t="n">
        <v>27</v>
      </c>
      <c r="U53" t="n">
        <v>49</v>
      </c>
      <c r="V53" t="n">
        <v>27</v>
      </c>
      <c r="W53" t="n">
        <v>22</v>
      </c>
      <c r="X53" t="n">
        <v>28</v>
      </c>
      <c r="Y53" t="n">
        <v>27</v>
      </c>
      <c r="Z53" t="n">
        <v>13</v>
      </c>
      <c r="AA53" t="n">
        <v>18</v>
      </c>
      <c r="AB53" t="n">
        <v>37</v>
      </c>
      <c r="AC53" t="n">
        <v>23</v>
      </c>
      <c r="AD53" t="n">
        <v>33</v>
      </c>
      <c r="AE53" t="n">
        <v>25</v>
      </c>
      <c r="AF53" t="n">
        <v>38</v>
      </c>
    </row>
    <row r="54">
      <c r="A54" t="s">
        <v>30</v>
      </c>
      <c r="B54" t="s">
        <v>378</v>
      </c>
      <c r="C54" t="s">
        <v>236</v>
      </c>
      <c r="D54" t="s">
        <v>379</v>
      </c>
      <c r="E54" t="s">
        <v>237</v>
      </c>
      <c r="F54" t="n">
        <v>16</v>
      </c>
      <c r="G54" t="n">
        <v>15</v>
      </c>
      <c r="H54" t="n">
        <v>18</v>
      </c>
      <c r="I54" t="n">
        <v>22</v>
      </c>
      <c r="J54" t="n">
        <v>24</v>
      </c>
      <c r="K54" t="n">
        <v>29</v>
      </c>
      <c r="L54" t="n">
        <v>29</v>
      </c>
      <c r="M54" t="n">
        <v>35</v>
      </c>
      <c r="N54" t="n">
        <v>25</v>
      </c>
      <c r="O54" t="n">
        <v>26</v>
      </c>
      <c r="P54" t="n">
        <v>37</v>
      </c>
      <c r="Q54" t="n">
        <v>42</v>
      </c>
      <c r="R54" t="n">
        <v>42</v>
      </c>
      <c r="S54" t="n">
        <v>63</v>
      </c>
      <c r="T54" t="n">
        <v>49</v>
      </c>
      <c r="U54" t="n">
        <v>67</v>
      </c>
      <c r="V54" t="n">
        <v>43</v>
      </c>
      <c r="W54" t="n">
        <v>42</v>
      </c>
      <c r="X54" t="n">
        <v>49</v>
      </c>
      <c r="Y54" t="n">
        <v>48</v>
      </c>
      <c r="Z54" t="n">
        <v>36</v>
      </c>
      <c r="AA54" t="n">
        <v>40</v>
      </c>
      <c r="AB54" t="n">
        <v>58</v>
      </c>
      <c r="AC54" t="n">
        <v>54</v>
      </c>
      <c r="AD54" t="n">
        <v>67</v>
      </c>
      <c r="AE54" t="n">
        <v>45</v>
      </c>
      <c r="AF54" t="n">
        <v>85</v>
      </c>
    </row>
    <row r="55">
      <c r="A55" t="s">
        <v>30</v>
      </c>
      <c r="B55" t="s">
        <v>380</v>
      </c>
      <c r="C55" t="s">
        <v>236</v>
      </c>
      <c r="D55" t="s">
        <v>381</v>
      </c>
      <c r="E55" t="s">
        <v>237</v>
      </c>
      <c r="F55" t="n">
        <v>7</v>
      </c>
      <c r="G55" t="n">
        <v>7</v>
      </c>
      <c r="H55" t="n">
        <v>8</v>
      </c>
      <c r="I55" t="n">
        <v>10</v>
      </c>
      <c r="J55" t="n">
        <v>11</v>
      </c>
      <c r="K55" t="n">
        <v>14</v>
      </c>
      <c r="L55" t="n">
        <v>15</v>
      </c>
      <c r="M55" t="n">
        <v>19</v>
      </c>
      <c r="N55" t="n">
        <v>11</v>
      </c>
      <c r="O55" t="n">
        <v>9</v>
      </c>
      <c r="P55" t="n">
        <v>13</v>
      </c>
      <c r="Q55" t="n">
        <v>5</v>
      </c>
      <c r="R55" t="n">
        <v>14</v>
      </c>
      <c r="S55" t="n">
        <v>15</v>
      </c>
      <c r="T55" t="n">
        <v>22</v>
      </c>
      <c r="U55" t="n">
        <v>18</v>
      </c>
      <c r="V55" t="n">
        <v>16</v>
      </c>
      <c r="W55" t="n">
        <v>20</v>
      </c>
      <c r="X55" t="n">
        <v>21</v>
      </c>
      <c r="Y55" t="n">
        <v>21</v>
      </c>
      <c r="Z55" t="n">
        <v>23</v>
      </c>
      <c r="AA55" t="n">
        <v>22</v>
      </c>
      <c r="AB55" t="n">
        <v>21</v>
      </c>
      <c r="AC55" t="n">
        <v>31</v>
      </c>
      <c r="AD55" t="n">
        <v>34</v>
      </c>
      <c r="AE55" t="n">
        <v>20</v>
      </c>
      <c r="AF55" t="n">
        <v>47</v>
      </c>
    </row>
    <row r="56">
      <c r="A56" t="s">
        <v>30</v>
      </c>
      <c r="B56" t="s">
        <v>382</v>
      </c>
      <c r="C56" t="s">
        <v>236</v>
      </c>
      <c r="D56" t="s">
        <v>383</v>
      </c>
      <c r="E56" t="s">
        <v>237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30</v>
      </c>
      <c r="B57" t="s">
        <v>384</v>
      </c>
      <c r="C57" t="s">
        <v>236</v>
      </c>
      <c r="D57" t="s">
        <v>385</v>
      </c>
      <c r="E57" t="s">
        <v>237</v>
      </c>
      <c r="F57" t="n">
        <v>897</v>
      </c>
      <c r="G57" t="n">
        <v>778</v>
      </c>
      <c r="H57" t="n">
        <v>879</v>
      </c>
      <c r="I57" t="n">
        <v>1109</v>
      </c>
      <c r="J57" t="n">
        <v>1264</v>
      </c>
      <c r="K57" t="n">
        <v>1434</v>
      </c>
      <c r="L57" t="n">
        <v>1656</v>
      </c>
      <c r="M57" t="n">
        <v>1561</v>
      </c>
      <c r="N57" t="n">
        <v>1941</v>
      </c>
      <c r="O57" t="n">
        <v>1808</v>
      </c>
      <c r="P57" t="n">
        <v>2156</v>
      </c>
      <c r="Q57" t="n">
        <v>2213</v>
      </c>
      <c r="R57" t="n">
        <v>2381</v>
      </c>
      <c r="S57" t="n">
        <v>2446</v>
      </c>
      <c r="T57" t="n">
        <v>2530</v>
      </c>
      <c r="U57" t="n">
        <v>2578</v>
      </c>
      <c r="V57" t="n">
        <v>2548</v>
      </c>
      <c r="W57" t="n">
        <v>2562</v>
      </c>
      <c r="X57" t="n">
        <v>2652</v>
      </c>
      <c r="Y57" t="n">
        <v>2953</v>
      </c>
      <c r="Z57" t="n">
        <v>2911</v>
      </c>
      <c r="AA57" t="n">
        <v>2995</v>
      </c>
      <c r="AB57" t="n">
        <v>3178</v>
      </c>
      <c r="AC57" t="n">
        <v>3581</v>
      </c>
      <c r="AD57" t="n">
        <v>3966</v>
      </c>
      <c r="AE57" t="n">
        <v>3785</v>
      </c>
      <c r="AF57" t="n">
        <v>4022</v>
      </c>
    </row>
    <row r="58">
      <c r="A58" t="s">
        <v>30</v>
      </c>
      <c r="B58" t="s">
        <v>386</v>
      </c>
      <c r="C58" t="s">
        <v>236</v>
      </c>
      <c r="D58" t="s">
        <v>387</v>
      </c>
      <c r="E58" t="s">
        <v>237</v>
      </c>
      <c r="F58" t="n">
        <v>897</v>
      </c>
      <c r="G58" t="n">
        <v>778</v>
      </c>
      <c r="H58" t="n">
        <v>879</v>
      </c>
      <c r="I58" t="n">
        <v>1109</v>
      </c>
      <c r="J58" t="n">
        <v>1264</v>
      </c>
      <c r="K58" t="n">
        <v>1434</v>
      </c>
      <c r="L58" t="n">
        <v>1656</v>
      </c>
      <c r="M58" t="n">
        <v>1561</v>
      </c>
      <c r="N58" t="n">
        <v>1941</v>
      </c>
      <c r="O58" t="n">
        <v>1808</v>
      </c>
      <c r="P58" t="n">
        <v>2156</v>
      </c>
      <c r="Q58" t="n">
        <v>2213</v>
      </c>
      <c r="R58" t="n">
        <v>2381</v>
      </c>
      <c r="S58" t="n">
        <v>2446</v>
      </c>
      <c r="T58" t="n">
        <v>2530</v>
      </c>
      <c r="U58" t="n">
        <v>2578</v>
      </c>
      <c r="V58" t="n">
        <v>2548</v>
      </c>
      <c r="W58" t="n">
        <v>2562</v>
      </c>
      <c r="X58" t="n">
        <v>2652</v>
      </c>
      <c r="Y58" t="n">
        <v>2953</v>
      </c>
      <c r="Z58" t="n">
        <v>2911</v>
      </c>
      <c r="AA58" t="n">
        <v>2995</v>
      </c>
      <c r="AB58" t="n">
        <v>3178</v>
      </c>
      <c r="AC58" t="n">
        <v>3581</v>
      </c>
      <c r="AD58" t="n">
        <v>3966</v>
      </c>
      <c r="AE58" t="n">
        <v>3785</v>
      </c>
      <c r="AF58" t="n">
        <v>4022</v>
      </c>
    </row>
    <row r="59">
      <c r="A59" t="s">
        <v>30</v>
      </c>
      <c r="B59" t="s">
        <v>388</v>
      </c>
      <c r="C59" t="s">
        <v>236</v>
      </c>
      <c r="D59" t="s">
        <v>389</v>
      </c>
      <c r="E59" t="s">
        <v>237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32</v>
      </c>
      <c r="B2" t="s">
        <v>197</v>
      </c>
      <c r="C2" t="s">
        <v>236</v>
      </c>
      <c r="D2" t="s">
        <v>199</v>
      </c>
      <c r="E2" t="s">
        <v>237</v>
      </c>
      <c r="F2" t="n">
        <v>216</v>
      </c>
      <c r="G2" t="n">
        <v>174</v>
      </c>
      <c r="H2" t="n">
        <v>201</v>
      </c>
      <c r="I2" t="n">
        <v>186</v>
      </c>
      <c r="J2" t="n">
        <v>210</v>
      </c>
      <c r="K2" t="n">
        <v>230</v>
      </c>
      <c r="L2" t="n">
        <v>241</v>
      </c>
      <c r="M2" t="n">
        <v>269</v>
      </c>
      <c r="N2" t="n">
        <v>268</v>
      </c>
      <c r="O2" t="n">
        <v>255</v>
      </c>
      <c r="P2" t="n">
        <v>240</v>
      </c>
      <c r="Q2" t="n">
        <v>210</v>
      </c>
      <c r="R2" t="n">
        <v>249</v>
      </c>
      <c r="S2" t="n">
        <v>296</v>
      </c>
      <c r="T2" t="n">
        <v>281</v>
      </c>
      <c r="U2" t="n">
        <v>257</v>
      </c>
      <c r="V2" t="n">
        <v>280</v>
      </c>
      <c r="W2" t="n">
        <v>270</v>
      </c>
      <c r="X2" t="n">
        <v>269</v>
      </c>
      <c r="Y2" t="n">
        <v>232</v>
      </c>
      <c r="Z2" t="n">
        <v>216</v>
      </c>
      <c r="AA2" t="n">
        <v>261</v>
      </c>
      <c r="AB2" t="n">
        <v>297</v>
      </c>
      <c r="AC2" t="n">
        <v>227</v>
      </c>
      <c r="AD2" t="n">
        <v>245</v>
      </c>
      <c r="AE2" t="n">
        <v>253</v>
      </c>
      <c r="AF2" t="n">
        <v>245</v>
      </c>
    </row>
    <row r="3">
      <c r="A3" t="s">
        <v>32</v>
      </c>
      <c r="B3" t="s">
        <v>276</v>
      </c>
      <c r="C3" t="s">
        <v>236</v>
      </c>
      <c r="D3" t="s">
        <v>277</v>
      </c>
      <c r="E3" t="s">
        <v>237</v>
      </c>
      <c r="F3" t="n">
        <v>4</v>
      </c>
      <c r="G3" t="n">
        <v>4</v>
      </c>
      <c r="H3" t="n">
        <v>3</v>
      </c>
      <c r="I3" t="n">
        <v>5</v>
      </c>
      <c r="J3" t="n">
        <v>6</v>
      </c>
      <c r="K3" t="n">
        <v>4</v>
      </c>
      <c r="L3" t="n">
        <v>3</v>
      </c>
      <c r="M3" t="n">
        <v>5</v>
      </c>
      <c r="N3" t="n">
        <v>6</v>
      </c>
      <c r="O3" t="n">
        <v>6</v>
      </c>
      <c r="P3" t="n">
        <v>8</v>
      </c>
      <c r="Q3" t="n">
        <v>6</v>
      </c>
      <c r="R3" t="n">
        <v>8</v>
      </c>
      <c r="S3" t="n">
        <v>11</v>
      </c>
      <c r="T3" t="n">
        <v>6</v>
      </c>
      <c r="U3" t="n">
        <v>6</v>
      </c>
      <c r="V3" t="n">
        <v>11</v>
      </c>
      <c r="W3" t="n">
        <v>34</v>
      </c>
      <c r="X3" t="n">
        <v>29</v>
      </c>
      <c r="Y3" t="n">
        <v>22</v>
      </c>
      <c r="Z3" t="n">
        <v>17</v>
      </c>
      <c r="AA3" t="n">
        <v>11</v>
      </c>
      <c r="AB3" t="n">
        <v>13</v>
      </c>
      <c r="AC3" t="n">
        <v>13</v>
      </c>
      <c r="AD3" t="n">
        <v>9</v>
      </c>
      <c r="AE3" t="n">
        <v>15</v>
      </c>
      <c r="AF3" t="n">
        <v>19</v>
      </c>
    </row>
    <row r="4">
      <c r="A4" t="s">
        <v>32</v>
      </c>
      <c r="B4" t="s">
        <v>278</v>
      </c>
      <c r="C4" t="s">
        <v>236</v>
      </c>
      <c r="D4" t="s">
        <v>279</v>
      </c>
      <c r="E4" t="s">
        <v>237</v>
      </c>
      <c r="F4" t="n">
        <v>61</v>
      </c>
      <c r="G4" t="n">
        <v>72</v>
      </c>
      <c r="H4" t="n">
        <v>84</v>
      </c>
      <c r="I4" t="n">
        <v>102</v>
      </c>
      <c r="J4" t="n">
        <v>99</v>
      </c>
      <c r="K4" t="n">
        <v>105</v>
      </c>
      <c r="L4" t="n">
        <v>103</v>
      </c>
      <c r="M4" t="n">
        <v>93</v>
      </c>
      <c r="N4" t="n">
        <v>102</v>
      </c>
      <c r="O4" t="n">
        <v>111</v>
      </c>
      <c r="P4" t="n">
        <v>114</v>
      </c>
      <c r="Q4" t="n">
        <v>179</v>
      </c>
      <c r="R4" t="n">
        <v>162</v>
      </c>
      <c r="S4" t="n">
        <v>223</v>
      </c>
      <c r="T4" t="n">
        <v>137</v>
      </c>
      <c r="U4" t="n">
        <v>96</v>
      </c>
      <c r="V4" t="n">
        <v>101</v>
      </c>
      <c r="W4" t="n">
        <v>109</v>
      </c>
      <c r="X4" t="n">
        <v>75</v>
      </c>
      <c r="Y4" t="n">
        <v>90</v>
      </c>
      <c r="Z4" t="n">
        <v>121</v>
      </c>
      <c r="AA4" t="n">
        <v>108</v>
      </c>
      <c r="AB4" t="n">
        <v>134</v>
      </c>
      <c r="AC4" t="n">
        <v>128</v>
      </c>
      <c r="AD4" t="n">
        <v>134</v>
      </c>
      <c r="AE4" t="n">
        <v>114</v>
      </c>
      <c r="AF4" t="n">
        <v>275</v>
      </c>
    </row>
    <row r="5">
      <c r="A5" t="s">
        <v>32</v>
      </c>
      <c r="B5" t="s">
        <v>280</v>
      </c>
      <c r="C5" t="s">
        <v>236</v>
      </c>
      <c r="D5" t="s">
        <v>281</v>
      </c>
      <c r="E5" t="s">
        <v>237</v>
      </c>
      <c r="F5" t="n">
        <v>10</v>
      </c>
      <c r="G5" t="n">
        <v>9</v>
      </c>
      <c r="H5" t="n">
        <v>11</v>
      </c>
      <c r="I5" t="n">
        <v>11</v>
      </c>
      <c r="J5" t="n">
        <v>11</v>
      </c>
      <c r="K5" t="n">
        <v>11</v>
      </c>
      <c r="L5" t="n">
        <v>10</v>
      </c>
      <c r="M5" t="n">
        <v>10</v>
      </c>
      <c r="N5" t="n">
        <v>10</v>
      </c>
      <c r="O5" t="n">
        <v>11</v>
      </c>
      <c r="P5" t="n">
        <v>10</v>
      </c>
      <c r="Q5" t="n">
        <v>15</v>
      </c>
      <c r="R5" t="n">
        <v>11</v>
      </c>
      <c r="S5" t="n">
        <v>15</v>
      </c>
      <c r="T5" t="n">
        <v>13</v>
      </c>
      <c r="U5" t="n">
        <v>10</v>
      </c>
      <c r="V5" t="n">
        <v>10</v>
      </c>
      <c r="W5" t="n">
        <v>11</v>
      </c>
      <c r="X5" t="n">
        <v>10</v>
      </c>
      <c r="Y5" t="n">
        <v>13</v>
      </c>
      <c r="Z5" t="n">
        <v>13</v>
      </c>
      <c r="AA5" t="n">
        <v>12</v>
      </c>
      <c r="AB5" t="n">
        <v>25</v>
      </c>
      <c r="AC5" t="n">
        <v>13</v>
      </c>
      <c r="AD5" t="n">
        <v>10</v>
      </c>
      <c r="AE5" t="n">
        <v>11</v>
      </c>
      <c r="AF5" t="n">
        <v>11</v>
      </c>
    </row>
    <row r="6">
      <c r="A6" t="s">
        <v>32</v>
      </c>
      <c r="B6" t="s">
        <v>282</v>
      </c>
      <c r="C6" t="s">
        <v>236</v>
      </c>
      <c r="D6" t="s">
        <v>283</v>
      </c>
      <c r="E6" t="s">
        <v>237</v>
      </c>
      <c r="F6" t="n">
        <v>3</v>
      </c>
      <c r="G6" t="n">
        <v>3</v>
      </c>
      <c r="H6" t="n">
        <v>4</v>
      </c>
      <c r="I6" t="n">
        <v>4</v>
      </c>
      <c r="J6" t="n">
        <v>3</v>
      </c>
      <c r="K6" t="n">
        <v>4</v>
      </c>
      <c r="L6" t="n">
        <v>4</v>
      </c>
      <c r="M6" t="n">
        <v>3</v>
      </c>
      <c r="N6" t="n">
        <v>2</v>
      </c>
      <c r="O6" t="n">
        <v>2</v>
      </c>
      <c r="P6" t="n">
        <v>3</v>
      </c>
      <c r="Q6" t="n">
        <v>3</v>
      </c>
      <c r="R6" t="n">
        <v>3</v>
      </c>
      <c r="S6" t="n">
        <v>3</v>
      </c>
      <c r="T6" t="n">
        <v>1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32</v>
      </c>
      <c r="B7" t="s">
        <v>284</v>
      </c>
      <c r="C7" t="s">
        <v>236</v>
      </c>
      <c r="D7" t="s">
        <v>285</v>
      </c>
      <c r="E7" t="s">
        <v>237</v>
      </c>
      <c r="F7" t="n">
        <v>17</v>
      </c>
      <c r="G7" t="n">
        <v>18</v>
      </c>
      <c r="H7" t="n">
        <v>22</v>
      </c>
      <c r="I7" t="n">
        <v>26</v>
      </c>
      <c r="J7" t="n">
        <v>26</v>
      </c>
      <c r="K7" t="n">
        <v>25</v>
      </c>
      <c r="L7" t="n">
        <v>24</v>
      </c>
      <c r="M7" t="n">
        <v>23</v>
      </c>
      <c r="N7" t="n">
        <v>26</v>
      </c>
      <c r="O7" t="n">
        <v>26</v>
      </c>
      <c r="P7" t="n">
        <v>26</v>
      </c>
      <c r="Q7" t="n">
        <v>41</v>
      </c>
      <c r="R7" t="n">
        <v>34</v>
      </c>
      <c r="S7" t="n">
        <v>37</v>
      </c>
      <c r="T7" t="n">
        <v>16</v>
      </c>
      <c r="U7" t="n">
        <v>15</v>
      </c>
      <c r="V7" t="n">
        <v>19</v>
      </c>
      <c r="W7" t="n">
        <v>16</v>
      </c>
      <c r="X7" t="n">
        <v>13</v>
      </c>
      <c r="Y7" t="n">
        <v>12</v>
      </c>
      <c r="Z7" t="n">
        <v>17</v>
      </c>
      <c r="AA7" t="n">
        <v>22</v>
      </c>
      <c r="AB7" t="n">
        <v>39</v>
      </c>
      <c r="AC7" t="n">
        <v>18</v>
      </c>
      <c r="AD7" t="n">
        <v>17</v>
      </c>
      <c r="AE7" t="n">
        <v>14</v>
      </c>
      <c r="AF7" t="n">
        <v>20</v>
      </c>
    </row>
    <row r="8">
      <c r="A8" t="s">
        <v>32</v>
      </c>
      <c r="B8" t="s">
        <v>286</v>
      </c>
      <c r="C8" t="s">
        <v>236</v>
      </c>
      <c r="D8" t="s">
        <v>287</v>
      </c>
      <c r="E8" t="s">
        <v>237</v>
      </c>
      <c r="F8" t="n">
        <v>1</v>
      </c>
      <c r="G8" t="n">
        <v>2</v>
      </c>
      <c r="H8" t="n">
        <v>2</v>
      </c>
      <c r="I8" t="n">
        <v>2</v>
      </c>
      <c r="J8" t="n">
        <v>2</v>
      </c>
      <c r="K8" t="n">
        <v>1</v>
      </c>
      <c r="L8" t="n">
        <v>2</v>
      </c>
      <c r="M8" t="n">
        <v>1</v>
      </c>
      <c r="N8" t="n">
        <v>1</v>
      </c>
      <c r="O8" t="n">
        <v>1</v>
      </c>
      <c r="P8" t="n">
        <v>1</v>
      </c>
      <c r="Q8" t="n">
        <v>2</v>
      </c>
      <c r="R8" t="n">
        <v>2</v>
      </c>
      <c r="S8" t="n">
        <v>2</v>
      </c>
      <c r="T8" t="n">
        <v>2</v>
      </c>
      <c r="U8" t="n">
        <v>5</v>
      </c>
      <c r="V8" t="n">
        <v>1</v>
      </c>
      <c r="W8" t="n">
        <v>2</v>
      </c>
      <c r="X8" t="n">
        <v>2</v>
      </c>
      <c r="Y8" t="n">
        <v>2</v>
      </c>
      <c r="Z8" t="n">
        <v>8</v>
      </c>
      <c r="AA8" t="n">
        <v>-2</v>
      </c>
      <c r="AB8" t="n">
        <v>-15</v>
      </c>
      <c r="AC8" t="n">
        <v>2</v>
      </c>
      <c r="AD8" t="n">
        <v>1</v>
      </c>
      <c r="AE8" t="n">
        <v>1</v>
      </c>
      <c r="AF8" t="n">
        <v>126</v>
      </c>
    </row>
    <row r="9">
      <c r="A9" t="s">
        <v>32</v>
      </c>
      <c r="B9" t="s">
        <v>288</v>
      </c>
      <c r="C9" t="s">
        <v>236</v>
      </c>
      <c r="D9" t="s">
        <v>289</v>
      </c>
      <c r="E9" t="s">
        <v>237</v>
      </c>
      <c r="F9" t="n">
        <v>5</v>
      </c>
      <c r="G9" t="n">
        <v>5</v>
      </c>
      <c r="H9" t="n">
        <v>6</v>
      </c>
      <c r="I9" t="n">
        <v>6</v>
      </c>
      <c r="J9" t="n">
        <v>5</v>
      </c>
      <c r="K9" t="n">
        <v>5</v>
      </c>
      <c r="L9" t="n">
        <v>6</v>
      </c>
      <c r="M9" t="n">
        <v>5</v>
      </c>
      <c r="N9" t="n">
        <v>4</v>
      </c>
      <c r="O9" t="n">
        <v>6</v>
      </c>
      <c r="P9" t="n">
        <v>5</v>
      </c>
      <c r="Q9" t="n">
        <v>5</v>
      </c>
      <c r="R9" t="n">
        <v>7</v>
      </c>
      <c r="S9" t="n">
        <v>6</v>
      </c>
      <c r="T9" t="n">
        <v>3</v>
      </c>
      <c r="U9" t="n">
        <v>2</v>
      </c>
      <c r="V9" t="n">
        <v>3</v>
      </c>
      <c r="W9" t="n">
        <v>4</v>
      </c>
      <c r="X9" t="n">
        <v>6</v>
      </c>
      <c r="Y9" t="n">
        <v>4</v>
      </c>
      <c r="Z9" t="n">
        <v>9</v>
      </c>
      <c r="AA9" t="n">
        <v>13</v>
      </c>
      <c r="AB9" t="n">
        <v>16</v>
      </c>
      <c r="AC9" t="n">
        <v>13</v>
      </c>
      <c r="AD9" t="n">
        <v>10</v>
      </c>
      <c r="AE9" t="n">
        <v>10</v>
      </c>
      <c r="AF9" t="n">
        <v>15</v>
      </c>
    </row>
    <row r="10">
      <c r="A10" t="s">
        <v>32</v>
      </c>
      <c r="B10" t="s">
        <v>290</v>
      </c>
      <c r="C10" t="s">
        <v>236</v>
      </c>
      <c r="D10" t="s">
        <v>291</v>
      </c>
      <c r="E10" t="s">
        <v>237</v>
      </c>
      <c r="F10" t="n">
        <v>5</v>
      </c>
      <c r="G10" t="n">
        <v>6</v>
      </c>
      <c r="H10" t="n">
        <v>6</v>
      </c>
      <c r="I10" t="n">
        <v>7</v>
      </c>
      <c r="J10" t="n">
        <v>6</v>
      </c>
      <c r="K10" t="n">
        <v>6</v>
      </c>
      <c r="L10" t="n">
        <v>6</v>
      </c>
      <c r="M10" t="n">
        <v>6</v>
      </c>
      <c r="N10" t="n">
        <v>5</v>
      </c>
      <c r="O10" t="n">
        <v>6</v>
      </c>
      <c r="P10" t="n">
        <v>6</v>
      </c>
      <c r="Q10" t="n">
        <v>6</v>
      </c>
      <c r="R10" t="n">
        <v>7</v>
      </c>
      <c r="S10" t="n">
        <v>8</v>
      </c>
      <c r="T10" t="n">
        <v>3</v>
      </c>
      <c r="U10" t="n">
        <v>2</v>
      </c>
      <c r="V10" t="n">
        <v>3</v>
      </c>
      <c r="W10" t="n">
        <v>4</v>
      </c>
      <c r="X10" t="n">
        <v>6</v>
      </c>
      <c r="Y10" t="n">
        <v>4</v>
      </c>
      <c r="Z10" t="n">
        <v>9</v>
      </c>
      <c r="AA10" t="n">
        <v>13</v>
      </c>
      <c r="AB10" t="n">
        <v>16</v>
      </c>
      <c r="AC10" t="n">
        <v>13</v>
      </c>
      <c r="AD10" t="n">
        <v>10</v>
      </c>
      <c r="AE10" t="n">
        <v>10</v>
      </c>
      <c r="AF10" t="n">
        <v>15</v>
      </c>
    </row>
    <row r="11">
      <c r="A11" t="s">
        <v>32</v>
      </c>
      <c r="B11" t="s">
        <v>292</v>
      </c>
      <c r="C11" t="s">
        <v>236</v>
      </c>
      <c r="D11" t="s">
        <v>293</v>
      </c>
      <c r="E11" t="s">
        <v>237</v>
      </c>
      <c r="F11" t="n">
        <v>0</v>
      </c>
      <c r="G11" t="n">
        <v>1</v>
      </c>
      <c r="H11" t="n">
        <v>0</v>
      </c>
      <c r="I11" t="n">
        <v>1</v>
      </c>
      <c r="J11" t="n">
        <v>1</v>
      </c>
      <c r="K11" t="n">
        <v>1</v>
      </c>
      <c r="L11" t="n">
        <v>0</v>
      </c>
      <c r="M11" t="n">
        <v>1</v>
      </c>
      <c r="N11" t="n">
        <v>1</v>
      </c>
      <c r="O11" t="n">
        <v>0</v>
      </c>
      <c r="P11" t="n">
        <v>1</v>
      </c>
      <c r="Q11" t="n">
        <v>1</v>
      </c>
      <c r="R11" t="n">
        <v>0</v>
      </c>
      <c r="S11" t="n">
        <v>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32</v>
      </c>
      <c r="B12" t="s">
        <v>294</v>
      </c>
      <c r="C12" t="s">
        <v>236</v>
      </c>
      <c r="D12" t="s">
        <v>295</v>
      </c>
      <c r="E12" t="s">
        <v>237</v>
      </c>
      <c r="F12" t="n">
        <v>5</v>
      </c>
      <c r="G12" t="n">
        <v>6</v>
      </c>
      <c r="H12" t="n">
        <v>8</v>
      </c>
      <c r="I12" t="n">
        <v>10</v>
      </c>
      <c r="J12" t="n">
        <v>10</v>
      </c>
      <c r="K12" t="n">
        <v>10</v>
      </c>
      <c r="L12" t="n">
        <v>10</v>
      </c>
      <c r="M12" t="n">
        <v>8</v>
      </c>
      <c r="N12" t="n">
        <v>9</v>
      </c>
      <c r="O12" t="n">
        <v>9</v>
      </c>
      <c r="P12" t="n">
        <v>10</v>
      </c>
      <c r="Q12" t="n">
        <v>14</v>
      </c>
      <c r="R12" t="n">
        <v>11</v>
      </c>
      <c r="S12" t="n">
        <v>15</v>
      </c>
      <c r="T12" t="n">
        <v>9</v>
      </c>
      <c r="U12" t="n">
        <v>6</v>
      </c>
      <c r="V12" t="n">
        <v>7</v>
      </c>
      <c r="W12" t="n">
        <v>7</v>
      </c>
      <c r="X12" t="n">
        <v>6</v>
      </c>
      <c r="Y12" t="n">
        <v>6</v>
      </c>
      <c r="Z12" t="n">
        <v>7</v>
      </c>
      <c r="AA12" t="n">
        <v>6</v>
      </c>
      <c r="AB12" t="n">
        <v>5</v>
      </c>
      <c r="AC12" t="n">
        <v>7</v>
      </c>
      <c r="AD12" t="n">
        <v>8</v>
      </c>
      <c r="AE12" t="n">
        <v>6</v>
      </c>
      <c r="AF12" t="n">
        <v>8</v>
      </c>
    </row>
    <row r="13">
      <c r="A13" t="s">
        <v>32</v>
      </c>
      <c r="B13" t="s">
        <v>296</v>
      </c>
      <c r="C13" t="s">
        <v>236</v>
      </c>
      <c r="D13" t="s">
        <v>297</v>
      </c>
      <c r="E13" t="s">
        <v>237</v>
      </c>
      <c r="F13" t="n">
        <v>4</v>
      </c>
      <c r="G13" t="n">
        <v>5</v>
      </c>
      <c r="H13" t="n">
        <v>6</v>
      </c>
      <c r="I13" t="n">
        <v>10</v>
      </c>
      <c r="J13" t="n">
        <v>10</v>
      </c>
      <c r="K13" t="n">
        <v>13</v>
      </c>
      <c r="L13" t="n">
        <v>10</v>
      </c>
      <c r="M13" t="n">
        <v>10</v>
      </c>
      <c r="N13" t="n">
        <v>10</v>
      </c>
      <c r="O13" t="n">
        <v>13</v>
      </c>
      <c r="P13" t="n">
        <v>13</v>
      </c>
      <c r="Q13" t="n">
        <v>25</v>
      </c>
      <c r="R13" t="n">
        <v>34</v>
      </c>
      <c r="S13" t="n">
        <v>41</v>
      </c>
      <c r="T13" t="n">
        <v>36</v>
      </c>
      <c r="U13" t="n">
        <v>22</v>
      </c>
      <c r="V13" t="n">
        <v>20</v>
      </c>
      <c r="W13" t="n">
        <v>34</v>
      </c>
      <c r="X13" t="n">
        <v>13</v>
      </c>
      <c r="Y13" t="n">
        <v>16</v>
      </c>
      <c r="Z13" t="n">
        <v>19</v>
      </c>
      <c r="AA13" t="n">
        <v>17</v>
      </c>
      <c r="AB13" t="n">
        <v>20</v>
      </c>
      <c r="AC13" t="n">
        <v>28</v>
      </c>
      <c r="AD13" t="n">
        <v>33</v>
      </c>
      <c r="AE13" t="n">
        <v>25</v>
      </c>
      <c r="AF13" t="n">
        <v>39</v>
      </c>
    </row>
    <row r="14">
      <c r="A14" t="s">
        <v>32</v>
      </c>
      <c r="B14" t="s">
        <v>298</v>
      </c>
      <c r="C14" t="s">
        <v>236</v>
      </c>
      <c r="D14" t="s">
        <v>299</v>
      </c>
      <c r="E14" t="s">
        <v>237</v>
      </c>
      <c r="F14" t="n">
        <v>3</v>
      </c>
      <c r="G14" t="n">
        <v>5</v>
      </c>
      <c r="H14" t="n">
        <v>7</v>
      </c>
      <c r="I14" t="n">
        <v>10</v>
      </c>
      <c r="J14" t="n">
        <v>10</v>
      </c>
      <c r="K14" t="n">
        <v>11</v>
      </c>
      <c r="L14" t="n">
        <v>13</v>
      </c>
      <c r="M14" t="n">
        <v>12</v>
      </c>
      <c r="N14" t="n">
        <v>15</v>
      </c>
      <c r="O14" t="n">
        <v>17</v>
      </c>
      <c r="P14" t="n">
        <v>18</v>
      </c>
      <c r="Q14" t="n">
        <v>26</v>
      </c>
      <c r="R14" t="n">
        <v>19</v>
      </c>
      <c r="S14" t="n">
        <v>47</v>
      </c>
      <c r="T14" t="n">
        <v>11</v>
      </c>
      <c r="U14" t="n">
        <v>14</v>
      </c>
      <c r="V14" t="n">
        <v>14</v>
      </c>
      <c r="W14" t="n">
        <v>11</v>
      </c>
      <c r="X14" t="n">
        <v>7</v>
      </c>
      <c r="Y14" t="n">
        <v>13</v>
      </c>
      <c r="Z14" t="n">
        <v>16</v>
      </c>
      <c r="AA14" t="n">
        <v>14</v>
      </c>
      <c r="AB14" t="n">
        <v>17</v>
      </c>
      <c r="AC14" t="n">
        <v>14</v>
      </c>
      <c r="AD14" t="n">
        <v>14</v>
      </c>
      <c r="AE14" t="n">
        <v>19</v>
      </c>
      <c r="AF14" t="n">
        <v>17</v>
      </c>
    </row>
    <row r="15">
      <c r="A15" t="s">
        <v>32</v>
      </c>
      <c r="B15" t="s">
        <v>300</v>
      </c>
      <c r="C15" t="s">
        <v>236</v>
      </c>
      <c r="D15" t="s">
        <v>301</v>
      </c>
      <c r="E15" t="s">
        <v>237</v>
      </c>
      <c r="F15" t="n">
        <v>5</v>
      </c>
      <c r="G15" t="n">
        <v>8</v>
      </c>
      <c r="H15" t="n">
        <v>10</v>
      </c>
      <c r="I15" t="n">
        <v>14</v>
      </c>
      <c r="J15" t="n">
        <v>13</v>
      </c>
      <c r="K15" t="n">
        <v>15</v>
      </c>
      <c r="L15" t="n">
        <v>17</v>
      </c>
      <c r="M15" t="n">
        <v>14</v>
      </c>
      <c r="N15" t="n">
        <v>20</v>
      </c>
      <c r="O15" t="n">
        <v>22</v>
      </c>
      <c r="P15" t="n">
        <v>22</v>
      </c>
      <c r="Q15" t="n">
        <v>31</v>
      </c>
      <c r="R15" t="n">
        <v>24</v>
      </c>
      <c r="S15" t="n">
        <v>55</v>
      </c>
      <c r="T15" t="n">
        <v>16</v>
      </c>
      <c r="U15" t="n">
        <v>17</v>
      </c>
      <c r="V15" t="n">
        <v>18</v>
      </c>
      <c r="W15" t="n">
        <v>14</v>
      </c>
      <c r="X15" t="n">
        <v>11</v>
      </c>
      <c r="Y15" t="n">
        <v>14</v>
      </c>
      <c r="Z15" t="n">
        <v>18</v>
      </c>
      <c r="AA15" t="n">
        <v>16</v>
      </c>
      <c r="AB15" t="n">
        <v>19</v>
      </c>
      <c r="AC15" t="n">
        <v>16</v>
      </c>
      <c r="AD15" t="n">
        <v>16</v>
      </c>
      <c r="AE15" t="n">
        <v>21</v>
      </c>
      <c r="AF15" t="n">
        <v>19</v>
      </c>
    </row>
    <row r="16">
      <c r="A16" t="s">
        <v>32</v>
      </c>
      <c r="B16" t="s">
        <v>302</v>
      </c>
      <c r="C16" t="s">
        <v>236</v>
      </c>
      <c r="D16" t="s">
        <v>303</v>
      </c>
      <c r="E16" t="s">
        <v>237</v>
      </c>
      <c r="F16" t="n">
        <v>2</v>
      </c>
      <c r="G16" t="n">
        <v>3</v>
      </c>
      <c r="H16" t="n">
        <v>3</v>
      </c>
      <c r="I16" t="n">
        <v>4</v>
      </c>
      <c r="J16" t="n">
        <v>3</v>
      </c>
      <c r="K16" t="n">
        <v>4</v>
      </c>
      <c r="L16" t="n">
        <v>4</v>
      </c>
      <c r="M16" t="n">
        <v>2</v>
      </c>
      <c r="N16" t="n">
        <v>5</v>
      </c>
      <c r="O16" t="n">
        <v>5</v>
      </c>
      <c r="P16" t="n">
        <v>4</v>
      </c>
      <c r="Q16" t="n">
        <v>5</v>
      </c>
      <c r="R16" t="n">
        <v>5</v>
      </c>
      <c r="S16" t="n">
        <v>8</v>
      </c>
      <c r="T16" t="n">
        <v>5</v>
      </c>
      <c r="U16" t="n">
        <v>3</v>
      </c>
      <c r="V16" t="n">
        <v>4</v>
      </c>
      <c r="W16" t="n">
        <v>3</v>
      </c>
      <c r="X16" t="n">
        <v>4</v>
      </c>
      <c r="Y16" t="n">
        <v>1</v>
      </c>
      <c r="Z16" t="n">
        <v>2</v>
      </c>
      <c r="AA16" t="n">
        <v>2</v>
      </c>
      <c r="AB16" t="n">
        <v>2</v>
      </c>
      <c r="AC16" t="n">
        <v>2</v>
      </c>
      <c r="AD16" t="n">
        <v>2</v>
      </c>
      <c r="AE16" t="n">
        <v>2</v>
      </c>
      <c r="AF16" t="n">
        <v>2</v>
      </c>
    </row>
    <row r="17">
      <c r="A17" t="s">
        <v>32</v>
      </c>
      <c r="B17" t="s">
        <v>304</v>
      </c>
      <c r="C17" t="s">
        <v>236</v>
      </c>
      <c r="D17" t="s">
        <v>305</v>
      </c>
      <c r="E17" t="s">
        <v>237</v>
      </c>
      <c r="F17" t="n">
        <v>7</v>
      </c>
      <c r="G17" t="n">
        <v>8</v>
      </c>
      <c r="H17" t="n">
        <v>8</v>
      </c>
      <c r="I17" t="n">
        <v>10</v>
      </c>
      <c r="J17" t="n">
        <v>10</v>
      </c>
      <c r="K17" t="n">
        <v>10</v>
      </c>
      <c r="L17" t="n">
        <v>10</v>
      </c>
      <c r="M17" t="n">
        <v>8</v>
      </c>
      <c r="N17" t="n">
        <v>10</v>
      </c>
      <c r="O17" t="n">
        <v>10</v>
      </c>
      <c r="P17" t="n">
        <v>13</v>
      </c>
      <c r="Q17" t="n">
        <v>24</v>
      </c>
      <c r="R17" t="n">
        <v>20</v>
      </c>
      <c r="S17" t="n">
        <v>29</v>
      </c>
      <c r="T17" t="n">
        <v>28</v>
      </c>
      <c r="U17" t="n">
        <v>10</v>
      </c>
      <c r="V17" t="n">
        <v>14</v>
      </c>
      <c r="W17" t="n">
        <v>15</v>
      </c>
      <c r="X17" t="n">
        <v>10</v>
      </c>
      <c r="Y17" t="n">
        <v>13</v>
      </c>
      <c r="Z17" t="n">
        <v>14</v>
      </c>
      <c r="AA17" t="n">
        <v>11</v>
      </c>
      <c r="AB17" t="n">
        <v>10</v>
      </c>
      <c r="AC17" t="n">
        <v>14</v>
      </c>
      <c r="AD17" t="n">
        <v>17</v>
      </c>
      <c r="AE17" t="n">
        <v>10</v>
      </c>
      <c r="AF17" t="n">
        <v>13</v>
      </c>
    </row>
    <row r="18">
      <c r="A18" t="s">
        <v>32</v>
      </c>
      <c r="B18" t="s">
        <v>306</v>
      </c>
      <c r="C18" t="s">
        <v>236</v>
      </c>
      <c r="D18" t="s">
        <v>307</v>
      </c>
      <c r="E18" t="s">
        <v>237</v>
      </c>
      <c r="F18" t="n">
        <v>2</v>
      </c>
      <c r="G18" t="n">
        <v>2</v>
      </c>
      <c r="H18" t="n">
        <v>2</v>
      </c>
      <c r="I18" t="n">
        <v>3</v>
      </c>
      <c r="J18" t="n">
        <v>3</v>
      </c>
      <c r="K18" t="n">
        <v>4</v>
      </c>
      <c r="L18" t="n">
        <v>3</v>
      </c>
      <c r="M18" t="n">
        <v>3</v>
      </c>
      <c r="N18" t="n">
        <v>3</v>
      </c>
      <c r="O18" t="n">
        <v>4</v>
      </c>
      <c r="P18" t="n">
        <v>4</v>
      </c>
      <c r="Q18" t="n">
        <v>8</v>
      </c>
      <c r="R18" t="n">
        <v>6</v>
      </c>
      <c r="S18" t="n">
        <v>6</v>
      </c>
      <c r="T18" t="n">
        <v>7</v>
      </c>
      <c r="U18" t="n">
        <v>3</v>
      </c>
      <c r="V18" t="n">
        <v>2</v>
      </c>
      <c r="W18" t="n">
        <v>2</v>
      </c>
      <c r="X18" t="n">
        <v>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32</v>
      </c>
      <c r="B19" t="s">
        <v>308</v>
      </c>
      <c r="C19" t="s">
        <v>236</v>
      </c>
      <c r="D19" t="s">
        <v>309</v>
      </c>
      <c r="E19" t="s">
        <v>237</v>
      </c>
      <c r="F19" t="n">
        <v>2</v>
      </c>
      <c r="G19" t="n">
        <v>5</v>
      </c>
      <c r="H19" t="n">
        <v>5</v>
      </c>
      <c r="I19" t="n">
        <v>5</v>
      </c>
      <c r="J19" t="n">
        <v>5</v>
      </c>
      <c r="K19" t="n">
        <v>6</v>
      </c>
      <c r="L19" t="n">
        <v>7</v>
      </c>
      <c r="M19" t="n">
        <v>7</v>
      </c>
      <c r="N19" t="n">
        <v>6</v>
      </c>
      <c r="O19" t="n">
        <v>7</v>
      </c>
      <c r="P19" t="n">
        <v>6</v>
      </c>
      <c r="Q19" t="n">
        <v>10</v>
      </c>
      <c r="R19" t="n">
        <v>10</v>
      </c>
      <c r="S19" t="n">
        <v>12</v>
      </c>
      <c r="T19" t="n">
        <v>6</v>
      </c>
      <c r="U19" t="n">
        <v>6</v>
      </c>
      <c r="V19" t="n">
        <v>7</v>
      </c>
      <c r="W19" t="n">
        <v>4</v>
      </c>
      <c r="X19" t="n">
        <v>3</v>
      </c>
      <c r="Y19" t="n">
        <v>10</v>
      </c>
      <c r="Z19" t="n">
        <v>16</v>
      </c>
      <c r="AA19" t="n">
        <v>13</v>
      </c>
      <c r="AB19" t="n">
        <v>15</v>
      </c>
      <c r="AC19" t="n">
        <v>17</v>
      </c>
      <c r="AD19" t="n">
        <v>22</v>
      </c>
      <c r="AE19" t="n">
        <v>16</v>
      </c>
      <c r="AF19" t="n">
        <v>24</v>
      </c>
    </row>
    <row r="20">
      <c r="A20" t="s">
        <v>32</v>
      </c>
      <c r="B20" t="s">
        <v>310</v>
      </c>
      <c r="C20" t="s">
        <v>236</v>
      </c>
      <c r="D20" t="s">
        <v>311</v>
      </c>
      <c r="E20" t="s">
        <v>237</v>
      </c>
      <c r="F20" t="n">
        <v>8</v>
      </c>
      <c r="G20" t="n">
        <v>9</v>
      </c>
      <c r="H20" t="n">
        <v>11</v>
      </c>
      <c r="I20" t="n">
        <v>12</v>
      </c>
      <c r="J20" t="n">
        <v>12</v>
      </c>
      <c r="K20" t="n">
        <v>11</v>
      </c>
      <c r="L20" t="n">
        <v>11</v>
      </c>
      <c r="M20" t="n">
        <v>10</v>
      </c>
      <c r="N20" t="n">
        <v>12</v>
      </c>
      <c r="O20" t="n">
        <v>12</v>
      </c>
      <c r="P20" t="n">
        <v>12</v>
      </c>
      <c r="Q20" t="n">
        <v>13</v>
      </c>
      <c r="R20" t="n">
        <v>11</v>
      </c>
      <c r="S20" t="n">
        <v>18</v>
      </c>
      <c r="T20" t="n">
        <v>13</v>
      </c>
      <c r="U20" t="n">
        <v>44</v>
      </c>
      <c r="V20" t="n">
        <v>8</v>
      </c>
      <c r="W20" t="n">
        <v>39</v>
      </c>
      <c r="X20" t="n">
        <v>47</v>
      </c>
      <c r="Y20" t="n">
        <v>56</v>
      </c>
      <c r="Z20" t="n">
        <v>62</v>
      </c>
      <c r="AA20" t="n">
        <v>76</v>
      </c>
      <c r="AB20" t="n">
        <v>63</v>
      </c>
      <c r="AC20" t="n">
        <v>57</v>
      </c>
      <c r="AD20" t="n">
        <v>47</v>
      </c>
      <c r="AE20" t="n">
        <v>71</v>
      </c>
      <c r="AF20" t="n">
        <v>64</v>
      </c>
    </row>
    <row r="21">
      <c r="A21" t="s">
        <v>32</v>
      </c>
      <c r="B21" t="s">
        <v>312</v>
      </c>
      <c r="C21" t="s">
        <v>236</v>
      </c>
      <c r="D21" t="s">
        <v>313</v>
      </c>
      <c r="E21" t="s">
        <v>237</v>
      </c>
      <c r="F21" t="n">
        <v>32</v>
      </c>
      <c r="G21" t="n">
        <v>34</v>
      </c>
      <c r="H21" t="n">
        <v>37</v>
      </c>
      <c r="I21" t="n">
        <v>53</v>
      </c>
      <c r="J21" t="n">
        <v>53</v>
      </c>
      <c r="K21" t="n">
        <v>46</v>
      </c>
      <c r="L21" t="n">
        <v>48</v>
      </c>
      <c r="M21" t="n">
        <v>26</v>
      </c>
      <c r="N21" t="n">
        <v>28</v>
      </c>
      <c r="O21" t="n">
        <v>28</v>
      </c>
      <c r="P21" t="n">
        <v>33</v>
      </c>
      <c r="Q21" t="n">
        <v>29</v>
      </c>
      <c r="R21" t="n">
        <v>31</v>
      </c>
      <c r="S21" t="n">
        <v>38</v>
      </c>
      <c r="T21" t="n">
        <v>30</v>
      </c>
      <c r="U21" t="n">
        <v>69</v>
      </c>
      <c r="V21" t="n">
        <v>24</v>
      </c>
      <c r="W21" t="n">
        <v>81</v>
      </c>
      <c r="X21" t="n">
        <v>69</v>
      </c>
      <c r="Y21" t="n">
        <v>78</v>
      </c>
      <c r="Z21" t="n">
        <v>87</v>
      </c>
      <c r="AA21" t="n">
        <v>109</v>
      </c>
      <c r="AB21" t="n">
        <v>93</v>
      </c>
      <c r="AC21" t="n">
        <v>81</v>
      </c>
      <c r="AD21" t="n">
        <v>65</v>
      </c>
      <c r="AE21" t="n">
        <v>90</v>
      </c>
      <c r="AF21" t="n">
        <v>86</v>
      </c>
    </row>
    <row r="22">
      <c r="A22" t="s">
        <v>32</v>
      </c>
      <c r="B22" t="s">
        <v>314</v>
      </c>
      <c r="C22" t="s">
        <v>236</v>
      </c>
      <c r="D22" t="s">
        <v>315</v>
      </c>
      <c r="E22" t="s">
        <v>237</v>
      </c>
      <c r="F22" t="n">
        <v>24</v>
      </c>
      <c r="G22" t="n">
        <v>25</v>
      </c>
      <c r="H22" t="n">
        <v>26</v>
      </c>
      <c r="I22" t="n">
        <v>41</v>
      </c>
      <c r="J22" t="n">
        <v>41</v>
      </c>
      <c r="K22" t="n">
        <v>35</v>
      </c>
      <c r="L22" t="n">
        <v>37</v>
      </c>
      <c r="M22" t="n">
        <v>16</v>
      </c>
      <c r="N22" t="n">
        <v>16</v>
      </c>
      <c r="O22" t="n">
        <v>16</v>
      </c>
      <c r="P22" t="n">
        <v>21</v>
      </c>
      <c r="Q22" t="n">
        <v>16</v>
      </c>
      <c r="R22" t="n">
        <v>20</v>
      </c>
      <c r="S22" t="n">
        <v>20</v>
      </c>
      <c r="T22" t="n">
        <v>17</v>
      </c>
      <c r="U22" t="n">
        <v>25</v>
      </c>
      <c r="V22" t="n">
        <v>16</v>
      </c>
      <c r="W22" t="n">
        <v>42</v>
      </c>
      <c r="X22" t="n">
        <v>22</v>
      </c>
      <c r="Y22" t="n">
        <v>22</v>
      </c>
      <c r="Z22" t="n">
        <v>25</v>
      </c>
      <c r="AA22" t="n">
        <v>33</v>
      </c>
      <c r="AB22" t="n">
        <v>30</v>
      </c>
      <c r="AC22" t="n">
        <v>24</v>
      </c>
      <c r="AD22" t="n">
        <v>18</v>
      </c>
      <c r="AE22" t="n">
        <v>19</v>
      </c>
      <c r="AF22" t="n">
        <v>22</v>
      </c>
    </row>
    <row r="23">
      <c r="A23" t="s">
        <v>32</v>
      </c>
      <c r="B23" t="s">
        <v>316</v>
      </c>
      <c r="C23" t="s">
        <v>236</v>
      </c>
      <c r="D23" t="s">
        <v>317</v>
      </c>
      <c r="E23" t="s">
        <v>237</v>
      </c>
      <c r="F23" t="n">
        <v>67</v>
      </c>
      <c r="G23" t="n">
        <v>68</v>
      </c>
      <c r="H23" t="n">
        <v>79</v>
      </c>
      <c r="I23" t="n">
        <v>97</v>
      </c>
      <c r="J23" t="n">
        <v>107</v>
      </c>
      <c r="K23" t="n">
        <v>109</v>
      </c>
      <c r="L23" t="n">
        <v>106</v>
      </c>
      <c r="M23" t="n">
        <v>111</v>
      </c>
      <c r="N23" t="n">
        <v>122</v>
      </c>
      <c r="O23" t="n">
        <v>133</v>
      </c>
      <c r="P23" t="n">
        <v>141</v>
      </c>
      <c r="Q23" t="n">
        <v>147</v>
      </c>
      <c r="R23" t="n">
        <v>164</v>
      </c>
      <c r="S23" t="n">
        <v>166</v>
      </c>
      <c r="T23" t="n">
        <v>132</v>
      </c>
      <c r="U23" t="n">
        <v>193</v>
      </c>
      <c r="V23" t="n">
        <v>146</v>
      </c>
      <c r="W23" t="n">
        <v>138</v>
      </c>
      <c r="X23" t="n">
        <v>115</v>
      </c>
      <c r="Y23" t="n">
        <v>115</v>
      </c>
      <c r="Z23" t="n">
        <v>133</v>
      </c>
      <c r="AA23" t="n">
        <v>145</v>
      </c>
      <c r="AB23" t="n">
        <v>169</v>
      </c>
      <c r="AC23" t="n">
        <v>199</v>
      </c>
      <c r="AD23" t="n">
        <v>219</v>
      </c>
      <c r="AE23" t="n">
        <v>227</v>
      </c>
      <c r="AF23" t="n">
        <v>258</v>
      </c>
    </row>
    <row r="24">
      <c r="A24" t="s">
        <v>32</v>
      </c>
      <c r="B24" t="s">
        <v>318</v>
      </c>
      <c r="C24" t="s">
        <v>236</v>
      </c>
      <c r="D24" t="s">
        <v>319</v>
      </c>
      <c r="E24" t="s">
        <v>237</v>
      </c>
      <c r="F24" t="n">
        <v>134</v>
      </c>
      <c r="G24" t="n">
        <v>157</v>
      </c>
      <c r="H24" t="n">
        <v>157</v>
      </c>
      <c r="I24" t="n">
        <v>202</v>
      </c>
      <c r="J24" t="n">
        <v>206</v>
      </c>
      <c r="K24" t="n">
        <v>230</v>
      </c>
      <c r="L24" t="n">
        <v>274</v>
      </c>
      <c r="M24" t="n">
        <v>246</v>
      </c>
      <c r="N24" t="n">
        <v>265</v>
      </c>
      <c r="O24" t="n">
        <v>259</v>
      </c>
      <c r="P24" t="n">
        <v>270</v>
      </c>
      <c r="Q24" t="n">
        <v>231</v>
      </c>
      <c r="R24" t="n">
        <v>272</v>
      </c>
      <c r="S24" t="n">
        <v>299</v>
      </c>
      <c r="T24" t="n">
        <v>224</v>
      </c>
      <c r="U24" t="n">
        <v>300</v>
      </c>
      <c r="V24" t="n">
        <v>242</v>
      </c>
      <c r="W24" t="n">
        <v>266</v>
      </c>
      <c r="X24" t="n">
        <v>182</v>
      </c>
      <c r="Y24" t="n">
        <v>169</v>
      </c>
      <c r="Z24" t="n">
        <v>176</v>
      </c>
      <c r="AA24" t="n">
        <v>145</v>
      </c>
      <c r="AB24" t="n">
        <v>106</v>
      </c>
      <c r="AC24" t="n">
        <v>94</v>
      </c>
      <c r="AD24" t="n">
        <v>69</v>
      </c>
      <c r="AE24" t="n">
        <v>49</v>
      </c>
      <c r="AF24" t="n">
        <v>43</v>
      </c>
    </row>
    <row r="25">
      <c r="A25" t="s">
        <v>32</v>
      </c>
      <c r="B25" t="s">
        <v>320</v>
      </c>
      <c r="C25" t="s">
        <v>236</v>
      </c>
      <c r="D25" t="s">
        <v>321</v>
      </c>
      <c r="E25" t="s">
        <v>237</v>
      </c>
      <c r="F25" t="n">
        <v>18</v>
      </c>
      <c r="G25" t="n">
        <v>20</v>
      </c>
      <c r="H25" t="n">
        <v>20</v>
      </c>
      <c r="I25" t="n">
        <v>23</v>
      </c>
      <c r="J25" t="n">
        <v>21</v>
      </c>
      <c r="K25" t="n">
        <v>38</v>
      </c>
      <c r="L25" t="n">
        <v>37</v>
      </c>
      <c r="M25" t="n">
        <v>32</v>
      </c>
      <c r="N25" t="n">
        <v>33</v>
      </c>
      <c r="O25" t="n">
        <v>35</v>
      </c>
      <c r="P25" t="n">
        <v>28</v>
      </c>
      <c r="Q25" t="n">
        <v>38</v>
      </c>
      <c r="R25" t="n">
        <v>30</v>
      </c>
      <c r="S25" t="n">
        <v>46</v>
      </c>
      <c r="T25" t="n">
        <v>31</v>
      </c>
      <c r="U25" t="n">
        <v>50</v>
      </c>
      <c r="V25" t="n">
        <v>46</v>
      </c>
      <c r="W25" t="n">
        <v>37</v>
      </c>
      <c r="X25" t="n">
        <v>17</v>
      </c>
      <c r="Y25" t="n">
        <v>20</v>
      </c>
      <c r="Z25" t="n">
        <v>24</v>
      </c>
      <c r="AA25" t="n">
        <v>26</v>
      </c>
      <c r="AB25" t="n">
        <v>15</v>
      </c>
      <c r="AC25" t="n">
        <v>15</v>
      </c>
      <c r="AD25" t="n">
        <v>13</v>
      </c>
      <c r="AE25" t="n">
        <v>10</v>
      </c>
      <c r="AF25" t="n">
        <v>8</v>
      </c>
    </row>
    <row r="26">
      <c r="A26" t="s">
        <v>32</v>
      </c>
      <c r="B26" t="s">
        <v>322</v>
      </c>
      <c r="C26" t="s">
        <v>236</v>
      </c>
      <c r="D26" t="s">
        <v>323</v>
      </c>
      <c r="E26" t="s">
        <v>237</v>
      </c>
      <c r="F26" t="n">
        <v>82</v>
      </c>
      <c r="G26" t="n">
        <v>104</v>
      </c>
      <c r="H26" t="n">
        <v>105</v>
      </c>
      <c r="I26" t="n">
        <v>136</v>
      </c>
      <c r="J26" t="n">
        <v>134</v>
      </c>
      <c r="K26" t="n">
        <v>134</v>
      </c>
      <c r="L26" t="n">
        <v>162</v>
      </c>
      <c r="M26" t="n">
        <v>148</v>
      </c>
      <c r="N26" t="n">
        <v>142</v>
      </c>
      <c r="O26" t="n">
        <v>142</v>
      </c>
      <c r="P26" t="n">
        <v>153</v>
      </c>
      <c r="Q26" t="n">
        <v>113</v>
      </c>
      <c r="R26" t="n">
        <v>152</v>
      </c>
      <c r="S26" t="n">
        <v>158</v>
      </c>
      <c r="T26" t="n">
        <v>107</v>
      </c>
      <c r="U26" t="n">
        <v>131</v>
      </c>
      <c r="V26" t="n">
        <v>112</v>
      </c>
      <c r="W26" t="n">
        <v>130</v>
      </c>
      <c r="X26" t="n">
        <v>92</v>
      </c>
      <c r="Y26" t="n">
        <v>80</v>
      </c>
      <c r="Z26" t="n">
        <v>73</v>
      </c>
      <c r="AA26" t="n">
        <v>60</v>
      </c>
      <c r="AB26" t="n">
        <v>49</v>
      </c>
      <c r="AC26" t="n">
        <v>38</v>
      </c>
      <c r="AD26" t="n">
        <v>24</v>
      </c>
      <c r="AE26" t="n">
        <v>15</v>
      </c>
      <c r="AF26" t="n">
        <v>10</v>
      </c>
    </row>
    <row r="27">
      <c r="A27" t="s">
        <v>32</v>
      </c>
      <c r="B27" t="s">
        <v>324</v>
      </c>
      <c r="C27" t="s">
        <v>236</v>
      </c>
      <c r="D27" t="s">
        <v>325</v>
      </c>
      <c r="E27" t="s">
        <v>237</v>
      </c>
      <c r="F27" t="n">
        <v>34</v>
      </c>
      <c r="G27" t="n">
        <v>33</v>
      </c>
      <c r="H27" t="n">
        <v>32</v>
      </c>
      <c r="I27" t="n">
        <v>43</v>
      </c>
      <c r="J27" t="n">
        <v>51</v>
      </c>
      <c r="K27" t="n">
        <v>58</v>
      </c>
      <c r="L27" t="n">
        <v>75</v>
      </c>
      <c r="M27" t="n">
        <v>66</v>
      </c>
      <c r="N27" t="n">
        <v>90</v>
      </c>
      <c r="O27" t="n">
        <v>82</v>
      </c>
      <c r="P27" t="n">
        <v>89</v>
      </c>
      <c r="Q27" t="n">
        <v>80</v>
      </c>
      <c r="R27" t="n">
        <v>90</v>
      </c>
      <c r="S27" t="n">
        <v>95</v>
      </c>
      <c r="T27" t="n">
        <v>86</v>
      </c>
      <c r="U27" t="n">
        <v>119</v>
      </c>
      <c r="V27" t="n">
        <v>84</v>
      </c>
      <c r="W27" t="n">
        <v>99</v>
      </c>
      <c r="X27" t="n">
        <v>73</v>
      </c>
      <c r="Y27" t="n">
        <v>69</v>
      </c>
      <c r="Z27" t="n">
        <v>79</v>
      </c>
      <c r="AA27" t="n">
        <v>59</v>
      </c>
      <c r="AB27" t="n">
        <v>42</v>
      </c>
      <c r="AC27" t="n">
        <v>41</v>
      </c>
      <c r="AD27" t="n">
        <v>32</v>
      </c>
      <c r="AE27" t="n">
        <v>24</v>
      </c>
      <c r="AF27" t="n">
        <v>25</v>
      </c>
    </row>
    <row r="28">
      <c r="A28" t="s">
        <v>32</v>
      </c>
      <c r="B28" t="s">
        <v>326</v>
      </c>
      <c r="C28" t="s">
        <v>236</v>
      </c>
      <c r="D28" t="s">
        <v>327</v>
      </c>
      <c r="E28" t="s">
        <v>237</v>
      </c>
      <c r="F28" t="n">
        <v>503</v>
      </c>
      <c r="G28" t="n">
        <v>438</v>
      </c>
      <c r="H28" t="n">
        <v>707</v>
      </c>
      <c r="I28" t="n">
        <v>807</v>
      </c>
      <c r="J28" t="n">
        <v>828</v>
      </c>
      <c r="K28" t="n">
        <v>589</v>
      </c>
      <c r="L28" t="n">
        <v>825</v>
      </c>
      <c r="M28" t="n">
        <v>577</v>
      </c>
      <c r="N28" t="n">
        <v>462</v>
      </c>
      <c r="O28" t="n">
        <v>966</v>
      </c>
      <c r="P28" t="n">
        <v>895</v>
      </c>
      <c r="Q28" t="n">
        <v>988</v>
      </c>
      <c r="R28" t="n">
        <v>1049</v>
      </c>
      <c r="S28" t="n">
        <v>721</v>
      </c>
      <c r="T28" t="n">
        <v>966</v>
      </c>
      <c r="U28" t="n">
        <v>667</v>
      </c>
      <c r="V28" t="n">
        <v>810</v>
      </c>
      <c r="W28" t="n">
        <v>817</v>
      </c>
      <c r="X28" t="n">
        <v>927</v>
      </c>
      <c r="Y28" t="n">
        <v>599</v>
      </c>
      <c r="Z28" t="n">
        <v>795</v>
      </c>
      <c r="AA28" t="n">
        <v>1222</v>
      </c>
      <c r="AB28" t="n">
        <v>1049</v>
      </c>
      <c r="AC28" t="n">
        <v>1082</v>
      </c>
      <c r="AD28" t="n">
        <v>1239</v>
      </c>
      <c r="AE28" t="n">
        <v>926</v>
      </c>
      <c r="AF28" t="n">
        <v>622</v>
      </c>
    </row>
    <row r="29">
      <c r="A29" t="s">
        <v>32</v>
      </c>
      <c r="B29" t="s">
        <v>328</v>
      </c>
      <c r="C29" t="s">
        <v>236</v>
      </c>
      <c r="D29" t="s">
        <v>329</v>
      </c>
      <c r="E29" t="s">
        <v>237</v>
      </c>
      <c r="F29" t="n">
        <v>422</v>
      </c>
      <c r="G29" t="n">
        <v>354</v>
      </c>
      <c r="H29" t="n">
        <v>388</v>
      </c>
      <c r="I29" t="n">
        <v>455</v>
      </c>
      <c r="J29" t="n">
        <v>481</v>
      </c>
      <c r="K29" t="n">
        <v>415</v>
      </c>
      <c r="L29" t="n">
        <v>452</v>
      </c>
      <c r="M29" t="n">
        <v>439</v>
      </c>
      <c r="N29" t="n">
        <v>454</v>
      </c>
      <c r="O29" t="n">
        <v>523</v>
      </c>
      <c r="P29" t="n">
        <v>563</v>
      </c>
      <c r="Q29" t="n">
        <v>438</v>
      </c>
      <c r="R29" t="n">
        <v>416</v>
      </c>
      <c r="S29" t="n">
        <v>521</v>
      </c>
      <c r="T29" t="n">
        <v>408</v>
      </c>
      <c r="U29" t="n">
        <v>415</v>
      </c>
      <c r="V29" t="n">
        <v>476</v>
      </c>
      <c r="W29" t="n">
        <v>379</v>
      </c>
      <c r="X29" t="n">
        <v>388</v>
      </c>
      <c r="Y29" t="n">
        <v>442</v>
      </c>
      <c r="Z29" t="n">
        <v>530</v>
      </c>
      <c r="AA29" t="n">
        <v>672</v>
      </c>
      <c r="AB29" t="n">
        <v>662</v>
      </c>
      <c r="AC29" t="n">
        <v>658</v>
      </c>
      <c r="AD29" t="n">
        <v>664</v>
      </c>
      <c r="AE29" t="n">
        <v>632</v>
      </c>
      <c r="AF29" t="n">
        <v>696</v>
      </c>
    </row>
    <row r="30">
      <c r="A30" t="s">
        <v>32</v>
      </c>
      <c r="B30" t="s">
        <v>330</v>
      </c>
      <c r="C30" t="s">
        <v>236</v>
      </c>
      <c r="D30" t="s">
        <v>331</v>
      </c>
      <c r="E30" t="s">
        <v>237</v>
      </c>
      <c r="F30" t="n">
        <v>-7</v>
      </c>
      <c r="G30" t="n">
        <v>-7</v>
      </c>
      <c r="H30" t="n">
        <v>225</v>
      </c>
      <c r="I30" t="n">
        <v>190</v>
      </c>
      <c r="J30" t="n">
        <v>104</v>
      </c>
      <c r="K30" t="n">
        <v>21</v>
      </c>
      <c r="L30" t="n">
        <v>165</v>
      </c>
      <c r="M30" t="n">
        <v>71</v>
      </c>
      <c r="N30" t="n">
        <v>-47</v>
      </c>
      <c r="O30" t="n">
        <v>318</v>
      </c>
      <c r="P30" t="n">
        <v>90</v>
      </c>
      <c r="Q30" t="n">
        <v>207</v>
      </c>
      <c r="R30" t="n">
        <v>344</v>
      </c>
      <c r="S30" t="n">
        <v>-10</v>
      </c>
      <c r="T30" t="n">
        <v>88</v>
      </c>
      <c r="U30" t="n">
        <v>38</v>
      </c>
      <c r="V30" t="n">
        <v>195</v>
      </c>
      <c r="W30" t="n">
        <v>306</v>
      </c>
      <c r="X30" t="n">
        <v>214</v>
      </c>
      <c r="Y30" t="n">
        <v>6</v>
      </c>
      <c r="Z30" t="n">
        <v>75</v>
      </c>
      <c r="AA30" t="n">
        <v>78</v>
      </c>
      <c r="AB30" t="n">
        <v>-65</v>
      </c>
      <c r="AC30" t="n">
        <v>143</v>
      </c>
      <c r="AD30" t="n">
        <v>118</v>
      </c>
      <c r="AE30" t="n">
        <v>81</v>
      </c>
      <c r="AF30" t="n">
        <v>35</v>
      </c>
    </row>
    <row r="31">
      <c r="A31" t="s">
        <v>32</v>
      </c>
      <c r="B31" t="s">
        <v>332</v>
      </c>
      <c r="C31" t="s">
        <v>236</v>
      </c>
      <c r="D31" t="s">
        <v>333</v>
      </c>
      <c r="E31" t="s">
        <v>237</v>
      </c>
      <c r="F31" t="n">
        <v>57</v>
      </c>
      <c r="G31" t="n">
        <v>75</v>
      </c>
      <c r="H31" t="n">
        <v>41</v>
      </c>
      <c r="I31" t="n">
        <v>83</v>
      </c>
      <c r="J31" t="n">
        <v>224</v>
      </c>
      <c r="K31" t="n">
        <v>118</v>
      </c>
      <c r="L31" t="n">
        <v>179</v>
      </c>
      <c r="M31" t="n">
        <v>41</v>
      </c>
      <c r="N31" t="n">
        <v>28</v>
      </c>
      <c r="O31" t="n">
        <v>86</v>
      </c>
      <c r="P31" t="n">
        <v>221</v>
      </c>
      <c r="Q31" t="n">
        <v>275</v>
      </c>
      <c r="R31" t="n">
        <v>255</v>
      </c>
      <c r="S31" t="n">
        <v>179</v>
      </c>
      <c r="T31" t="n">
        <v>410</v>
      </c>
      <c r="U31" t="n">
        <v>118</v>
      </c>
      <c r="V31" t="n">
        <v>81</v>
      </c>
      <c r="W31" t="n">
        <v>102</v>
      </c>
      <c r="X31" t="n">
        <v>282</v>
      </c>
      <c r="Y31" t="n">
        <v>87</v>
      </c>
      <c r="Z31" t="n">
        <v>133</v>
      </c>
      <c r="AA31" t="n">
        <v>316</v>
      </c>
      <c r="AB31" t="n">
        <v>354</v>
      </c>
      <c r="AC31" t="n">
        <v>213</v>
      </c>
      <c r="AD31" t="n">
        <v>355</v>
      </c>
      <c r="AE31" t="n">
        <v>130</v>
      </c>
      <c r="AF31" t="n">
        <v>-263</v>
      </c>
    </row>
    <row r="32">
      <c r="A32" t="s">
        <v>32</v>
      </c>
      <c r="B32" t="s">
        <v>334</v>
      </c>
      <c r="C32" t="s">
        <v>236</v>
      </c>
      <c r="D32" t="s">
        <v>335</v>
      </c>
      <c r="E32" t="s">
        <v>237</v>
      </c>
      <c r="F32" t="n">
        <v>25</v>
      </c>
      <c r="G32" t="n">
        <v>13</v>
      </c>
      <c r="H32" t="n">
        <v>50</v>
      </c>
      <c r="I32" t="n">
        <v>75</v>
      </c>
      <c r="J32" t="n">
        <v>15</v>
      </c>
      <c r="K32" t="n">
        <v>19</v>
      </c>
      <c r="L32" t="n">
        <v>21</v>
      </c>
      <c r="M32" t="n">
        <v>16</v>
      </c>
      <c r="N32" t="n">
        <v>20</v>
      </c>
      <c r="O32" t="n">
        <v>23</v>
      </c>
      <c r="P32" t="n">
        <v>19</v>
      </c>
      <c r="Q32" t="n">
        <v>39</v>
      </c>
      <c r="R32" t="n">
        <v>21</v>
      </c>
      <c r="S32" t="n">
        <v>21</v>
      </c>
      <c r="T32" t="n">
        <v>37</v>
      </c>
      <c r="U32" t="n">
        <v>57</v>
      </c>
      <c r="V32" t="n">
        <v>37</v>
      </c>
      <c r="W32" t="n">
        <v>20</v>
      </c>
      <c r="X32" t="n">
        <v>27</v>
      </c>
      <c r="Y32" t="n">
        <v>44</v>
      </c>
      <c r="Z32" t="n">
        <v>47</v>
      </c>
      <c r="AA32" t="n">
        <v>139</v>
      </c>
      <c r="AB32" t="n">
        <v>78</v>
      </c>
      <c r="AC32" t="n">
        <v>55</v>
      </c>
      <c r="AD32" t="n">
        <v>91</v>
      </c>
      <c r="AE32" t="n">
        <v>75</v>
      </c>
      <c r="AF32" t="n">
        <v>147</v>
      </c>
    </row>
    <row r="33">
      <c r="A33" t="s">
        <v>32</v>
      </c>
      <c r="B33" t="s">
        <v>336</v>
      </c>
      <c r="C33" t="s">
        <v>236</v>
      </c>
      <c r="D33" t="s">
        <v>337</v>
      </c>
      <c r="E33" t="s">
        <v>237</v>
      </c>
      <c r="F33" t="n">
        <v>6</v>
      </c>
      <c r="G33" t="n">
        <v>3</v>
      </c>
      <c r="H33" t="n">
        <v>3</v>
      </c>
      <c r="I33" t="n">
        <v>4</v>
      </c>
      <c r="J33" t="n">
        <v>4</v>
      </c>
      <c r="K33" t="n">
        <v>16</v>
      </c>
      <c r="L33" t="n">
        <v>8</v>
      </c>
      <c r="M33" t="n">
        <v>10</v>
      </c>
      <c r="N33" t="n">
        <v>7</v>
      </c>
      <c r="O33" t="n">
        <v>16</v>
      </c>
      <c r="P33" t="n">
        <v>2</v>
      </c>
      <c r="Q33" t="n">
        <v>29</v>
      </c>
      <c r="R33" t="n">
        <v>13</v>
      </c>
      <c r="S33" t="n">
        <v>10</v>
      </c>
      <c r="T33" t="n">
        <v>23</v>
      </c>
      <c r="U33" t="n">
        <v>39</v>
      </c>
      <c r="V33" t="n">
        <v>21</v>
      </c>
      <c r="W33" t="n">
        <v>10</v>
      </c>
      <c r="X33" t="n">
        <v>16</v>
      </c>
      <c r="Y33" t="n">
        <v>20</v>
      </c>
      <c r="Z33" t="n">
        <v>10</v>
      </c>
      <c r="AA33" t="n">
        <v>17</v>
      </c>
      <c r="AB33" t="n">
        <v>20</v>
      </c>
      <c r="AC33" t="n">
        <v>13</v>
      </c>
      <c r="AD33" t="n">
        <v>11</v>
      </c>
      <c r="AE33" t="n">
        <v>8</v>
      </c>
      <c r="AF33" t="n">
        <v>7</v>
      </c>
    </row>
    <row r="34">
      <c r="A34" t="s">
        <v>32</v>
      </c>
      <c r="B34" t="s">
        <v>338</v>
      </c>
      <c r="C34" t="s">
        <v>236</v>
      </c>
      <c r="D34" t="s">
        <v>339</v>
      </c>
      <c r="E34" t="s">
        <v>237</v>
      </c>
      <c r="F34" t="n">
        <v>10</v>
      </c>
      <c r="G34" t="n">
        <v>12</v>
      </c>
      <c r="H34" t="n">
        <v>7</v>
      </c>
      <c r="I34" t="n">
        <v>14</v>
      </c>
      <c r="J34" t="n">
        <v>15</v>
      </c>
      <c r="K34" t="n">
        <v>14</v>
      </c>
      <c r="L34" t="n">
        <v>14</v>
      </c>
      <c r="M34" t="n">
        <v>16</v>
      </c>
      <c r="N34" t="n">
        <v>18</v>
      </c>
      <c r="O34" t="n">
        <v>19</v>
      </c>
      <c r="P34" t="n">
        <v>21</v>
      </c>
      <c r="Q34" t="n">
        <v>24</v>
      </c>
      <c r="R34" t="n">
        <v>16</v>
      </c>
      <c r="S34" t="n">
        <v>13</v>
      </c>
      <c r="T34" t="n">
        <v>14</v>
      </c>
      <c r="U34" t="n">
        <v>22</v>
      </c>
      <c r="V34" t="n">
        <v>16</v>
      </c>
      <c r="W34" t="n">
        <v>23</v>
      </c>
      <c r="X34" t="n">
        <v>15</v>
      </c>
      <c r="Y34" t="n">
        <v>15</v>
      </c>
      <c r="Z34" t="n">
        <v>13</v>
      </c>
      <c r="AA34" t="n">
        <v>14</v>
      </c>
      <c r="AB34" t="n">
        <v>13</v>
      </c>
      <c r="AC34" t="n">
        <v>20</v>
      </c>
      <c r="AD34" t="n">
        <v>20</v>
      </c>
      <c r="AE34" t="n">
        <v>20</v>
      </c>
      <c r="AF34" t="n">
        <v>33</v>
      </c>
    </row>
    <row r="35">
      <c r="A35" t="s">
        <v>32</v>
      </c>
      <c r="B35" t="s">
        <v>340</v>
      </c>
      <c r="C35" t="s">
        <v>236</v>
      </c>
      <c r="D35" t="s">
        <v>341</v>
      </c>
      <c r="E35" t="s">
        <v>237</v>
      </c>
      <c r="F35" t="n">
        <v>24</v>
      </c>
      <c r="G35" t="n">
        <v>30</v>
      </c>
      <c r="H35" t="n">
        <v>33</v>
      </c>
      <c r="I35" t="n">
        <v>39</v>
      </c>
      <c r="J35" t="n">
        <v>43</v>
      </c>
      <c r="K35" t="n">
        <v>53</v>
      </c>
      <c r="L35" t="n">
        <v>53</v>
      </c>
      <c r="M35" t="n">
        <v>49</v>
      </c>
      <c r="N35" t="n">
        <v>39</v>
      </c>
      <c r="O35" t="n">
        <v>88</v>
      </c>
      <c r="P35" t="n">
        <v>78</v>
      </c>
      <c r="Q35" t="n">
        <v>67</v>
      </c>
      <c r="R35" t="n">
        <v>69</v>
      </c>
      <c r="S35" t="n">
        <v>95</v>
      </c>
      <c r="T35" t="n">
        <v>84</v>
      </c>
      <c r="U35" t="n">
        <v>128</v>
      </c>
      <c r="V35" t="n">
        <v>56</v>
      </c>
      <c r="W35" t="n">
        <v>61</v>
      </c>
      <c r="X35" t="n">
        <v>43</v>
      </c>
      <c r="Y35" t="n">
        <v>37</v>
      </c>
      <c r="Z35" t="n">
        <v>34</v>
      </c>
      <c r="AA35" t="n">
        <v>34</v>
      </c>
      <c r="AB35" t="n">
        <v>30</v>
      </c>
      <c r="AC35" t="n">
        <v>40</v>
      </c>
      <c r="AD35" t="n">
        <v>31</v>
      </c>
      <c r="AE35" t="n">
        <v>40</v>
      </c>
      <c r="AF35" t="n">
        <v>38</v>
      </c>
    </row>
    <row r="36">
      <c r="A36" t="s">
        <v>32</v>
      </c>
      <c r="B36" t="s">
        <v>342</v>
      </c>
      <c r="C36" t="s">
        <v>236</v>
      </c>
      <c r="D36" t="s">
        <v>343</v>
      </c>
      <c r="E36" t="s">
        <v>237</v>
      </c>
      <c r="F36" t="n">
        <v>5</v>
      </c>
      <c r="G36" t="n">
        <v>7</v>
      </c>
      <c r="H36" t="n">
        <v>9</v>
      </c>
      <c r="I36" t="n">
        <v>11</v>
      </c>
      <c r="J36" t="n">
        <v>11</v>
      </c>
      <c r="K36" t="n">
        <v>12</v>
      </c>
      <c r="L36" t="n">
        <v>12</v>
      </c>
      <c r="M36" t="n">
        <v>12</v>
      </c>
      <c r="N36" t="n">
        <v>10</v>
      </c>
      <c r="O36" t="n">
        <v>10</v>
      </c>
      <c r="P36" t="n">
        <v>14</v>
      </c>
      <c r="Q36" t="n">
        <v>13</v>
      </c>
      <c r="R36" t="n">
        <v>12</v>
      </c>
      <c r="S36" t="n">
        <v>10</v>
      </c>
      <c r="T36" t="n">
        <v>14</v>
      </c>
      <c r="U36" t="n">
        <v>15</v>
      </c>
      <c r="V36" t="n">
        <v>13</v>
      </c>
      <c r="W36" t="n">
        <v>13</v>
      </c>
      <c r="X36" t="n">
        <v>5</v>
      </c>
      <c r="Y36" t="n">
        <v>5</v>
      </c>
      <c r="Z36" t="n">
        <v>3</v>
      </c>
      <c r="AA36" t="n">
        <v>4</v>
      </c>
      <c r="AB36" t="n">
        <v>5</v>
      </c>
      <c r="AC36" t="n">
        <v>6</v>
      </c>
      <c r="AD36" t="n">
        <v>4</v>
      </c>
      <c r="AE36" t="n">
        <v>3</v>
      </c>
      <c r="AF36" t="n">
        <v>3</v>
      </c>
    </row>
    <row r="37">
      <c r="A37" t="s">
        <v>32</v>
      </c>
      <c r="B37" t="s">
        <v>344</v>
      </c>
      <c r="C37" t="s">
        <v>236</v>
      </c>
      <c r="D37" t="s">
        <v>345</v>
      </c>
      <c r="E37" t="s">
        <v>237</v>
      </c>
      <c r="F37" t="n">
        <v>8</v>
      </c>
      <c r="G37" t="n">
        <v>8</v>
      </c>
      <c r="H37" t="n">
        <v>12</v>
      </c>
      <c r="I37" t="n">
        <v>14</v>
      </c>
      <c r="J37" t="n">
        <v>14</v>
      </c>
      <c r="K37" t="n">
        <v>23</v>
      </c>
      <c r="L37" t="n">
        <v>20</v>
      </c>
      <c r="M37" t="n">
        <v>16</v>
      </c>
      <c r="N37" t="n">
        <v>13</v>
      </c>
      <c r="O37" t="n">
        <v>60</v>
      </c>
      <c r="P37" t="n">
        <v>47</v>
      </c>
      <c r="Q37" t="n">
        <v>33</v>
      </c>
      <c r="R37" t="n">
        <v>57</v>
      </c>
      <c r="S37" t="n">
        <v>70</v>
      </c>
      <c r="T37" t="n">
        <v>70</v>
      </c>
      <c r="U37" t="n">
        <v>99</v>
      </c>
      <c r="V37" t="n">
        <v>38</v>
      </c>
      <c r="W37" t="n">
        <v>33</v>
      </c>
      <c r="X37" t="n">
        <v>27</v>
      </c>
      <c r="Y37" t="n">
        <v>25</v>
      </c>
      <c r="Z37" t="n">
        <v>20</v>
      </c>
      <c r="AA37" t="n">
        <v>21</v>
      </c>
      <c r="AB37" t="n">
        <v>17</v>
      </c>
      <c r="AC37" t="n">
        <v>19</v>
      </c>
      <c r="AD37" t="n">
        <v>15</v>
      </c>
      <c r="AE37" t="n">
        <v>18</v>
      </c>
      <c r="AF37" t="n">
        <v>18</v>
      </c>
    </row>
    <row r="38">
      <c r="A38" t="s">
        <v>32</v>
      </c>
      <c r="B38" t="s">
        <v>346</v>
      </c>
      <c r="C38" t="s">
        <v>236</v>
      </c>
      <c r="D38" t="s">
        <v>347</v>
      </c>
      <c r="E38" t="s">
        <v>237</v>
      </c>
      <c r="F38" t="n">
        <v>11</v>
      </c>
      <c r="G38" t="n">
        <v>15</v>
      </c>
      <c r="H38" t="n">
        <v>12</v>
      </c>
      <c r="I38" t="n">
        <v>14</v>
      </c>
      <c r="J38" t="n">
        <v>18</v>
      </c>
      <c r="K38" t="n">
        <v>18</v>
      </c>
      <c r="L38" t="n">
        <v>21</v>
      </c>
      <c r="M38" t="n">
        <v>21</v>
      </c>
      <c r="N38" t="n">
        <v>16</v>
      </c>
      <c r="O38" t="n">
        <v>18</v>
      </c>
      <c r="P38" t="n">
        <v>17</v>
      </c>
      <c r="Q38" t="n">
        <v>21</v>
      </c>
      <c r="R38" t="n">
        <v>0</v>
      </c>
      <c r="S38" t="n">
        <v>15</v>
      </c>
      <c r="T38" t="n">
        <v>0</v>
      </c>
      <c r="U38" t="n">
        <v>14</v>
      </c>
      <c r="V38" t="n">
        <v>5</v>
      </c>
      <c r="W38" t="n">
        <v>15</v>
      </c>
      <c r="X38" t="n">
        <v>11</v>
      </c>
      <c r="Y38" t="n">
        <v>7</v>
      </c>
      <c r="Z38" t="n">
        <v>11</v>
      </c>
      <c r="AA38" t="n">
        <v>9</v>
      </c>
      <c r="AB38" t="n">
        <v>8</v>
      </c>
      <c r="AC38" t="n">
        <v>15</v>
      </c>
      <c r="AD38" t="n">
        <v>12</v>
      </c>
      <c r="AE38" t="n">
        <v>19</v>
      </c>
      <c r="AF38" t="n">
        <v>17</v>
      </c>
    </row>
    <row r="39">
      <c r="A39" t="s">
        <v>32</v>
      </c>
      <c r="B39" t="s">
        <v>348</v>
      </c>
      <c r="C39" t="s">
        <v>236</v>
      </c>
      <c r="D39" t="s">
        <v>349</v>
      </c>
      <c r="E39" t="s">
        <v>237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32</v>
      </c>
      <c r="B40" t="s">
        <v>350</v>
      </c>
      <c r="C40" t="s">
        <v>236</v>
      </c>
      <c r="D40" t="s">
        <v>351</v>
      </c>
      <c r="E40" t="s">
        <v>237</v>
      </c>
      <c r="F40" t="n">
        <v>8</v>
      </c>
      <c r="G40" t="n">
        <v>14</v>
      </c>
      <c r="H40" t="n">
        <v>9</v>
      </c>
      <c r="I40" t="n">
        <v>8</v>
      </c>
      <c r="J40" t="n">
        <v>10</v>
      </c>
      <c r="K40" t="n">
        <v>12</v>
      </c>
      <c r="L40" t="n">
        <v>8</v>
      </c>
      <c r="M40" t="n">
        <v>17</v>
      </c>
      <c r="N40" t="n">
        <v>21</v>
      </c>
      <c r="O40" t="n">
        <v>20</v>
      </c>
      <c r="P40" t="n">
        <v>31</v>
      </c>
      <c r="Q40" t="n">
        <v>34</v>
      </c>
      <c r="R40" t="n">
        <v>32</v>
      </c>
      <c r="S40" t="n">
        <v>49</v>
      </c>
      <c r="T40" t="n">
        <v>55</v>
      </c>
      <c r="U40" t="n">
        <v>49</v>
      </c>
      <c r="V40" t="n">
        <v>35</v>
      </c>
      <c r="W40" t="n">
        <v>48</v>
      </c>
      <c r="X40" t="n">
        <v>52</v>
      </c>
      <c r="Y40" t="n">
        <v>49</v>
      </c>
      <c r="Z40" t="n">
        <v>47</v>
      </c>
      <c r="AA40" t="n">
        <v>54</v>
      </c>
      <c r="AB40" t="n">
        <v>43</v>
      </c>
      <c r="AC40" t="n">
        <v>51</v>
      </c>
      <c r="AD40" t="n">
        <v>42</v>
      </c>
      <c r="AE40" t="n">
        <v>39</v>
      </c>
      <c r="AF40" t="n">
        <v>39</v>
      </c>
    </row>
    <row r="41">
      <c r="A41" t="s">
        <v>32</v>
      </c>
      <c r="B41" t="s">
        <v>352</v>
      </c>
      <c r="C41" t="s">
        <v>236</v>
      </c>
      <c r="D41" t="s">
        <v>353</v>
      </c>
      <c r="E41" t="s">
        <v>237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/>
      <c r="AD41"/>
      <c r="AE41"/>
      <c r="AF41"/>
    </row>
    <row r="42">
      <c r="A42" t="s">
        <v>32</v>
      </c>
      <c r="B42" t="s">
        <v>354</v>
      </c>
      <c r="C42" t="s">
        <v>236</v>
      </c>
      <c r="D42" t="s">
        <v>355</v>
      </c>
      <c r="E42" t="s">
        <v>237</v>
      </c>
      <c r="F42" t="n">
        <v>27</v>
      </c>
      <c r="G42" t="n">
        <v>35</v>
      </c>
      <c r="H42" t="n">
        <v>54</v>
      </c>
      <c r="I42" t="n">
        <v>47</v>
      </c>
      <c r="J42" t="n">
        <v>56</v>
      </c>
      <c r="K42" t="n">
        <v>51</v>
      </c>
      <c r="L42" t="n">
        <v>51</v>
      </c>
      <c r="M42" t="n">
        <v>50</v>
      </c>
      <c r="N42" t="n">
        <v>53</v>
      </c>
      <c r="O42" t="n">
        <v>57</v>
      </c>
      <c r="P42" t="n">
        <v>51</v>
      </c>
      <c r="Q42" t="n">
        <v>51</v>
      </c>
      <c r="R42" t="n">
        <v>65</v>
      </c>
      <c r="S42" t="n">
        <v>70</v>
      </c>
      <c r="T42" t="n">
        <v>29</v>
      </c>
      <c r="U42" t="n">
        <v>42</v>
      </c>
      <c r="V42" t="n">
        <v>55</v>
      </c>
      <c r="W42" t="n">
        <v>35</v>
      </c>
      <c r="X42" t="n">
        <v>28</v>
      </c>
      <c r="Y42" t="n">
        <v>27</v>
      </c>
      <c r="Z42" t="n">
        <v>20</v>
      </c>
      <c r="AA42" t="n">
        <v>24</v>
      </c>
      <c r="AB42" t="n">
        <v>29</v>
      </c>
      <c r="AC42" t="n">
        <v>47</v>
      </c>
      <c r="AD42" t="n">
        <v>64</v>
      </c>
      <c r="AE42" t="n">
        <v>58</v>
      </c>
      <c r="AF42" t="n">
        <v>79</v>
      </c>
    </row>
    <row r="43">
      <c r="A43" t="s">
        <v>32</v>
      </c>
      <c r="B43" t="s">
        <v>356</v>
      </c>
      <c r="C43" t="s">
        <v>236</v>
      </c>
      <c r="D43" t="s">
        <v>357</v>
      </c>
      <c r="E43" t="s">
        <v>237</v>
      </c>
      <c r="F43" t="n">
        <v>52</v>
      </c>
      <c r="G43" t="n">
        <v>74</v>
      </c>
      <c r="H43" t="n">
        <v>107</v>
      </c>
      <c r="I43" t="n">
        <v>110</v>
      </c>
      <c r="J43" t="n">
        <v>114</v>
      </c>
      <c r="K43" t="n">
        <v>117</v>
      </c>
      <c r="L43" t="n">
        <v>114</v>
      </c>
      <c r="M43" t="n">
        <v>147</v>
      </c>
      <c r="N43" t="n">
        <v>206</v>
      </c>
      <c r="O43" t="n">
        <v>214</v>
      </c>
      <c r="P43" t="n">
        <v>213</v>
      </c>
      <c r="Q43" t="n">
        <v>352</v>
      </c>
      <c r="R43" t="n">
        <v>257</v>
      </c>
      <c r="S43" t="n">
        <v>231</v>
      </c>
      <c r="T43" t="n">
        <v>151</v>
      </c>
      <c r="U43" t="n">
        <v>181</v>
      </c>
      <c r="V43" t="n">
        <v>211</v>
      </c>
      <c r="W43" t="n">
        <v>211</v>
      </c>
      <c r="X43" t="n">
        <v>184</v>
      </c>
      <c r="Y43" t="n">
        <v>210</v>
      </c>
      <c r="Z43" t="n">
        <v>218</v>
      </c>
      <c r="AA43" t="n">
        <v>235</v>
      </c>
      <c r="AB43" t="n">
        <v>340</v>
      </c>
      <c r="AC43" t="n">
        <v>288</v>
      </c>
      <c r="AD43" t="n">
        <v>328</v>
      </c>
      <c r="AE43" t="n">
        <v>288</v>
      </c>
      <c r="AF43" t="n">
        <v>314</v>
      </c>
    </row>
    <row r="44">
      <c r="A44" t="s">
        <v>32</v>
      </c>
      <c r="B44" t="s">
        <v>358</v>
      </c>
      <c r="C44" t="s">
        <v>236</v>
      </c>
      <c r="D44" t="s">
        <v>359</v>
      </c>
      <c r="E44" t="s">
        <v>237</v>
      </c>
      <c r="F44" t="n">
        <v>1116</v>
      </c>
      <c r="G44" t="n">
        <v>1080</v>
      </c>
      <c r="H44" t="n">
        <v>1433</v>
      </c>
      <c r="I44" t="n">
        <v>1638</v>
      </c>
      <c r="J44" t="n">
        <v>1706</v>
      </c>
      <c r="K44" t="n">
        <v>1520</v>
      </c>
      <c r="L44" t="n">
        <v>1807</v>
      </c>
      <c r="M44" t="n">
        <v>1567</v>
      </c>
      <c r="N44" t="n">
        <v>1550</v>
      </c>
      <c r="O44" t="n">
        <v>2121</v>
      </c>
      <c r="P44" t="n">
        <v>2060</v>
      </c>
      <c r="Q44" t="n">
        <v>2275</v>
      </c>
      <c r="R44" t="n">
        <v>2331</v>
      </c>
      <c r="S44" t="n">
        <v>2136</v>
      </c>
      <c r="T44" t="n">
        <v>2070</v>
      </c>
      <c r="U44" t="n">
        <v>1954</v>
      </c>
      <c r="V44" t="n">
        <v>1934</v>
      </c>
      <c r="W44" t="n">
        <v>2045</v>
      </c>
      <c r="X44" t="n">
        <v>1935</v>
      </c>
      <c r="Y44" t="n">
        <v>1590</v>
      </c>
      <c r="Z44" t="n">
        <v>1835</v>
      </c>
      <c r="AA44" t="n">
        <v>2311</v>
      </c>
      <c r="AB44" t="n">
        <v>2268</v>
      </c>
      <c r="AC44" t="n">
        <v>2197</v>
      </c>
      <c r="AD44" t="n">
        <v>2388</v>
      </c>
      <c r="AE44" t="n">
        <v>2049</v>
      </c>
      <c r="AF44" t="n">
        <v>1963</v>
      </c>
    </row>
    <row r="45">
      <c r="A45" t="s">
        <v>32</v>
      </c>
      <c r="B45" t="s">
        <v>360</v>
      </c>
      <c r="C45" t="s">
        <v>236</v>
      </c>
      <c r="D45" t="s">
        <v>361</v>
      </c>
      <c r="E45" t="s">
        <v>237</v>
      </c>
      <c r="F45" t="n">
        <v>900</v>
      </c>
      <c r="G45" t="n">
        <v>906</v>
      </c>
      <c r="H45" t="n">
        <v>1232</v>
      </c>
      <c r="I45" t="n">
        <v>1452</v>
      </c>
      <c r="J45" t="n">
        <v>1496</v>
      </c>
      <c r="K45" t="n">
        <v>1290</v>
      </c>
      <c r="L45" t="n">
        <v>1566</v>
      </c>
      <c r="M45" t="n">
        <v>1298</v>
      </c>
      <c r="N45" t="n">
        <v>1282</v>
      </c>
      <c r="O45" t="n">
        <v>1866</v>
      </c>
      <c r="P45" t="n">
        <v>1820</v>
      </c>
      <c r="Q45" t="n">
        <v>2065</v>
      </c>
      <c r="R45" t="n">
        <v>2082</v>
      </c>
      <c r="S45" t="n">
        <v>1840</v>
      </c>
      <c r="T45" t="n">
        <v>1789</v>
      </c>
      <c r="U45" t="n">
        <v>1697</v>
      </c>
      <c r="V45" t="n">
        <v>1654</v>
      </c>
      <c r="W45" t="n">
        <v>1775</v>
      </c>
      <c r="X45" t="n">
        <v>1666</v>
      </c>
      <c r="Y45" t="n">
        <v>1358</v>
      </c>
      <c r="Z45" t="n">
        <v>1619</v>
      </c>
      <c r="AA45" t="n">
        <v>2050</v>
      </c>
      <c r="AB45" t="n">
        <v>1971</v>
      </c>
      <c r="AC45" t="n">
        <v>1970</v>
      </c>
      <c r="AD45" t="n">
        <v>2143</v>
      </c>
      <c r="AE45" t="n">
        <v>1796</v>
      </c>
      <c r="AF45" t="n">
        <v>1718</v>
      </c>
    </row>
    <row r="46">
      <c r="A46" t="s">
        <v>32</v>
      </c>
      <c r="B46" t="s">
        <v>362</v>
      </c>
      <c r="C46" t="s">
        <v>236</v>
      </c>
      <c r="D46" t="s">
        <v>363</v>
      </c>
      <c r="E46" t="s">
        <v>237</v>
      </c>
      <c r="F46" t="n">
        <v>25</v>
      </c>
      <c r="G46" t="n">
        <v>39</v>
      </c>
      <c r="H46" t="n">
        <v>53</v>
      </c>
      <c r="I46" t="n">
        <v>63</v>
      </c>
      <c r="J46" t="n">
        <v>58</v>
      </c>
      <c r="K46" t="n">
        <v>66</v>
      </c>
      <c r="L46" t="n">
        <v>63</v>
      </c>
      <c r="M46" t="n">
        <v>97</v>
      </c>
      <c r="N46" t="n">
        <v>153</v>
      </c>
      <c r="O46" t="n">
        <v>157</v>
      </c>
      <c r="P46" t="n">
        <v>162</v>
      </c>
      <c r="Q46" t="n">
        <v>301</v>
      </c>
      <c r="R46" t="n">
        <v>192</v>
      </c>
      <c r="S46" t="n">
        <v>161</v>
      </c>
      <c r="T46" t="n">
        <v>122</v>
      </c>
      <c r="U46" t="n">
        <v>139</v>
      </c>
      <c r="V46" t="n">
        <v>156</v>
      </c>
      <c r="W46" t="n">
        <v>176</v>
      </c>
      <c r="X46" t="n">
        <v>156</v>
      </c>
      <c r="Y46" t="n">
        <v>183</v>
      </c>
      <c r="Z46" t="n">
        <v>198</v>
      </c>
      <c r="AA46" t="n">
        <v>211</v>
      </c>
      <c r="AB46" t="n">
        <v>311</v>
      </c>
      <c r="AC46" t="n">
        <v>241</v>
      </c>
      <c r="AD46" t="n">
        <v>264</v>
      </c>
      <c r="AE46" t="n">
        <v>230</v>
      </c>
      <c r="AF46" t="n">
        <v>235</v>
      </c>
    </row>
    <row r="47">
      <c r="A47" t="s">
        <v>32</v>
      </c>
      <c r="B47" t="s">
        <v>364</v>
      </c>
      <c r="C47" t="s">
        <v>236</v>
      </c>
      <c r="D47" t="s">
        <v>365</v>
      </c>
      <c r="E47" t="s">
        <v>237</v>
      </c>
      <c r="F47" t="n">
        <v>46</v>
      </c>
      <c r="G47" t="n">
        <v>45</v>
      </c>
      <c r="H47" t="n">
        <v>31</v>
      </c>
      <c r="I47" t="n">
        <v>37</v>
      </c>
      <c r="J47" t="n">
        <v>51</v>
      </c>
      <c r="K47" t="n">
        <v>58</v>
      </c>
      <c r="L47" t="n">
        <v>45</v>
      </c>
      <c r="M47" t="n">
        <v>65</v>
      </c>
      <c r="N47" t="n">
        <v>60</v>
      </c>
      <c r="O47" t="n">
        <v>61</v>
      </c>
      <c r="P47" t="n">
        <v>76</v>
      </c>
      <c r="Q47" t="n">
        <v>59</v>
      </c>
      <c r="R47" t="n">
        <v>45</v>
      </c>
      <c r="S47" t="n">
        <v>57</v>
      </c>
      <c r="T47" t="n">
        <v>54</v>
      </c>
      <c r="U47" t="n">
        <v>97</v>
      </c>
      <c r="V47" t="n">
        <v>93</v>
      </c>
      <c r="W47" t="n">
        <v>97</v>
      </c>
      <c r="X47" t="n">
        <v>103</v>
      </c>
      <c r="Y47" t="n">
        <v>88</v>
      </c>
      <c r="Z47" t="n">
        <v>107</v>
      </c>
      <c r="AA47" t="n">
        <v>111</v>
      </c>
      <c r="AB47" t="n">
        <v>90</v>
      </c>
      <c r="AC47" t="n">
        <v>78</v>
      </c>
      <c r="AD47" t="n">
        <v>86</v>
      </c>
      <c r="AE47" t="n">
        <v>114</v>
      </c>
      <c r="AF47" t="n">
        <v>122</v>
      </c>
    </row>
    <row r="48">
      <c r="A48" t="s">
        <v>32</v>
      </c>
      <c r="B48" t="s">
        <v>366</v>
      </c>
      <c r="C48" t="s">
        <v>236</v>
      </c>
      <c r="D48" t="s">
        <v>367</v>
      </c>
      <c r="E48" t="s">
        <v>237</v>
      </c>
      <c r="F48" t="n">
        <v>70</v>
      </c>
      <c r="G48" t="n">
        <v>66</v>
      </c>
      <c r="H48" t="n">
        <v>51</v>
      </c>
      <c r="I48" t="n">
        <v>62</v>
      </c>
      <c r="J48" t="n">
        <v>75</v>
      </c>
      <c r="K48" t="n">
        <v>84</v>
      </c>
      <c r="L48" t="n">
        <v>69</v>
      </c>
      <c r="M48" t="n">
        <v>97</v>
      </c>
      <c r="N48" t="n">
        <v>98</v>
      </c>
      <c r="O48" t="n">
        <v>109</v>
      </c>
      <c r="P48" t="n">
        <v>126</v>
      </c>
      <c r="Q48" t="n">
        <v>110</v>
      </c>
      <c r="R48" t="n">
        <v>111</v>
      </c>
      <c r="S48" t="n">
        <v>117</v>
      </c>
      <c r="T48" t="n">
        <v>112</v>
      </c>
      <c r="U48" t="n">
        <v>158</v>
      </c>
      <c r="V48" t="n">
        <v>152</v>
      </c>
      <c r="W48" t="n">
        <v>152</v>
      </c>
      <c r="X48" t="n">
        <v>152</v>
      </c>
      <c r="Y48" t="n">
        <v>133</v>
      </c>
      <c r="Z48" t="n">
        <v>159</v>
      </c>
      <c r="AA48" t="n">
        <v>152</v>
      </c>
      <c r="AB48" t="n">
        <v>126</v>
      </c>
      <c r="AC48" t="n">
        <v>119</v>
      </c>
      <c r="AD48" t="n">
        <v>134</v>
      </c>
      <c r="AE48" t="n">
        <v>158</v>
      </c>
      <c r="AF48" t="n">
        <v>194</v>
      </c>
    </row>
    <row r="49">
      <c r="A49" t="s">
        <v>32</v>
      </c>
      <c r="B49" t="s">
        <v>368</v>
      </c>
      <c r="C49" t="s">
        <v>236</v>
      </c>
      <c r="D49" t="s">
        <v>369</v>
      </c>
      <c r="E49" t="s">
        <v>237</v>
      </c>
      <c r="F49" t="n">
        <v>18</v>
      </c>
      <c r="G49" t="n">
        <v>14</v>
      </c>
      <c r="H49" t="n">
        <v>13</v>
      </c>
      <c r="I49" t="n">
        <v>15</v>
      </c>
      <c r="J49" t="n">
        <v>15</v>
      </c>
      <c r="K49" t="n">
        <v>17</v>
      </c>
      <c r="L49" t="n">
        <v>13</v>
      </c>
      <c r="M49" t="n">
        <v>19</v>
      </c>
      <c r="N49" t="n">
        <v>17</v>
      </c>
      <c r="O49" t="n">
        <v>19</v>
      </c>
      <c r="P49" t="n">
        <v>19</v>
      </c>
      <c r="Q49" t="n">
        <v>18</v>
      </c>
      <c r="R49" t="n">
        <v>21</v>
      </c>
      <c r="S49" t="n">
        <v>22</v>
      </c>
      <c r="T49" t="n">
        <v>22</v>
      </c>
      <c r="U49" t="n">
        <v>18</v>
      </c>
      <c r="V49" t="n">
        <v>17</v>
      </c>
      <c r="W49" t="n">
        <v>18</v>
      </c>
      <c r="X49" t="n">
        <v>14</v>
      </c>
      <c r="Y49" t="n">
        <v>15</v>
      </c>
      <c r="Z49" t="n">
        <v>19</v>
      </c>
      <c r="AA49" t="n">
        <v>13</v>
      </c>
      <c r="AB49" t="n">
        <v>13</v>
      </c>
      <c r="AC49" t="n">
        <v>13</v>
      </c>
      <c r="AD49" t="n">
        <v>15</v>
      </c>
      <c r="AE49" t="n">
        <v>17</v>
      </c>
      <c r="AF49" t="n">
        <v>30</v>
      </c>
    </row>
    <row r="50">
      <c r="A50" t="s">
        <v>32</v>
      </c>
      <c r="B50" t="s">
        <v>370</v>
      </c>
      <c r="C50" t="s">
        <v>236</v>
      </c>
      <c r="D50" t="s">
        <v>371</v>
      </c>
      <c r="E50" t="s">
        <v>237</v>
      </c>
      <c r="F50" t="n">
        <v>6</v>
      </c>
      <c r="G50" t="n">
        <v>7</v>
      </c>
      <c r="H50" t="n">
        <v>7</v>
      </c>
      <c r="I50" t="n">
        <v>10</v>
      </c>
      <c r="J50" t="n">
        <v>9</v>
      </c>
      <c r="K50" t="n">
        <v>9</v>
      </c>
      <c r="L50" t="n">
        <v>11</v>
      </c>
      <c r="M50" t="n">
        <v>13</v>
      </c>
      <c r="N50" t="n">
        <v>21</v>
      </c>
      <c r="O50" t="n">
        <v>29</v>
      </c>
      <c r="P50" t="n">
        <v>31</v>
      </c>
      <c r="Q50" t="n">
        <v>33</v>
      </c>
      <c r="R50" t="n">
        <v>45</v>
      </c>
      <c r="S50" t="n">
        <v>38</v>
      </c>
      <c r="T50" t="n">
        <v>36</v>
      </c>
      <c r="U50" t="n">
        <v>43</v>
      </c>
      <c r="V50" t="n">
        <v>42</v>
      </c>
      <c r="W50" t="n">
        <v>37</v>
      </c>
      <c r="X50" t="n">
        <v>35</v>
      </c>
      <c r="Y50" t="n">
        <v>30</v>
      </c>
      <c r="Z50" t="n">
        <v>33</v>
      </c>
      <c r="AA50" t="n">
        <v>28</v>
      </c>
      <c r="AB50" t="n">
        <v>23</v>
      </c>
      <c r="AC50" t="n">
        <v>28</v>
      </c>
      <c r="AD50" t="n">
        <v>33</v>
      </c>
      <c r="AE50" t="n">
        <v>27</v>
      </c>
      <c r="AF50" t="n">
        <v>42</v>
      </c>
    </row>
    <row r="51">
      <c r="A51" t="s">
        <v>32</v>
      </c>
      <c r="B51" t="s">
        <v>372</v>
      </c>
      <c r="C51" t="s">
        <v>236</v>
      </c>
      <c r="D51" t="s">
        <v>373</v>
      </c>
      <c r="E51" t="s">
        <v>237</v>
      </c>
      <c r="F51" t="n">
        <v>5</v>
      </c>
      <c r="G51" t="n">
        <v>5</v>
      </c>
      <c r="H51" t="n">
        <v>6</v>
      </c>
      <c r="I51" t="n">
        <v>7</v>
      </c>
      <c r="J51" t="n">
        <v>7</v>
      </c>
      <c r="K51" t="n">
        <v>6</v>
      </c>
      <c r="L51" t="n">
        <v>7</v>
      </c>
      <c r="M51" t="n">
        <v>8</v>
      </c>
      <c r="N51" t="n">
        <v>14</v>
      </c>
      <c r="O51" t="n">
        <v>19</v>
      </c>
      <c r="P51" t="n">
        <v>20</v>
      </c>
      <c r="Q51" t="n">
        <v>20</v>
      </c>
      <c r="R51" t="n">
        <v>28</v>
      </c>
      <c r="S51" t="n">
        <v>24</v>
      </c>
      <c r="T51" t="n">
        <v>25</v>
      </c>
      <c r="U51" t="n">
        <v>29</v>
      </c>
      <c r="V51" t="n">
        <v>28</v>
      </c>
      <c r="W51" t="n">
        <v>23</v>
      </c>
      <c r="X51" t="n">
        <v>24</v>
      </c>
      <c r="Y51" t="n">
        <v>20</v>
      </c>
      <c r="Z51" t="n">
        <v>22</v>
      </c>
      <c r="AA51" t="n">
        <v>18</v>
      </c>
      <c r="AB51" t="n">
        <v>18</v>
      </c>
      <c r="AC51" t="n">
        <v>17</v>
      </c>
      <c r="AD51" t="n">
        <v>20</v>
      </c>
      <c r="AE51" t="n">
        <v>18</v>
      </c>
      <c r="AF51" t="n">
        <v>19</v>
      </c>
    </row>
    <row r="52">
      <c r="A52" t="s">
        <v>32</v>
      </c>
      <c r="B52" t="s">
        <v>374</v>
      </c>
      <c r="C52" t="s">
        <v>236</v>
      </c>
      <c r="D52" t="s">
        <v>375</v>
      </c>
      <c r="E52" t="s">
        <v>237</v>
      </c>
      <c r="F52" t="n">
        <v>1</v>
      </c>
      <c r="G52" t="n">
        <v>2</v>
      </c>
      <c r="H52" t="n">
        <v>1</v>
      </c>
      <c r="I52" t="n">
        <v>3</v>
      </c>
      <c r="J52" t="n">
        <v>2</v>
      </c>
      <c r="K52" t="n">
        <v>3</v>
      </c>
      <c r="L52" t="n">
        <v>4</v>
      </c>
      <c r="M52" t="n">
        <v>5</v>
      </c>
      <c r="N52" t="n">
        <v>7</v>
      </c>
      <c r="O52" t="n">
        <v>10</v>
      </c>
      <c r="P52" t="n">
        <v>11</v>
      </c>
      <c r="Q52" t="n">
        <v>13</v>
      </c>
      <c r="R52" t="n">
        <v>17</v>
      </c>
      <c r="S52" t="n">
        <v>14</v>
      </c>
      <c r="T52" t="n">
        <v>11</v>
      </c>
      <c r="U52" t="n">
        <v>14</v>
      </c>
      <c r="V52" t="n">
        <v>14</v>
      </c>
      <c r="W52" t="n">
        <v>14</v>
      </c>
      <c r="X52" t="n">
        <v>11</v>
      </c>
      <c r="Y52" t="n">
        <v>10</v>
      </c>
      <c r="Z52" t="n">
        <v>11</v>
      </c>
      <c r="AA52" t="n">
        <v>10</v>
      </c>
      <c r="AB52" t="n">
        <v>5</v>
      </c>
      <c r="AC52" t="n">
        <v>11</v>
      </c>
      <c r="AD52" t="n">
        <v>13</v>
      </c>
      <c r="AE52" t="n">
        <v>9</v>
      </c>
      <c r="AF52" t="n">
        <v>23</v>
      </c>
    </row>
    <row r="53">
      <c r="A53" t="s">
        <v>32</v>
      </c>
      <c r="B53" t="s">
        <v>376</v>
      </c>
      <c r="C53" t="s">
        <v>236</v>
      </c>
      <c r="D53" t="s">
        <v>377</v>
      </c>
      <c r="E53" t="s">
        <v>237</v>
      </c>
      <c r="F53" t="n">
        <v>4</v>
      </c>
      <c r="G53" t="n">
        <v>9</v>
      </c>
      <c r="H53" t="n">
        <v>10</v>
      </c>
      <c r="I53" t="n">
        <v>12</v>
      </c>
      <c r="J53" t="n">
        <v>13</v>
      </c>
      <c r="K53" t="n">
        <v>12</v>
      </c>
      <c r="L53" t="n">
        <v>13</v>
      </c>
      <c r="M53" t="n">
        <v>13</v>
      </c>
      <c r="N53" t="n">
        <v>21</v>
      </c>
      <c r="O53" t="n">
        <v>25</v>
      </c>
      <c r="P53" t="n">
        <v>28</v>
      </c>
      <c r="Q53" t="n">
        <v>28</v>
      </c>
      <c r="R53" t="n">
        <v>38</v>
      </c>
      <c r="S53" t="n">
        <v>28</v>
      </c>
      <c r="T53" t="n">
        <v>29</v>
      </c>
      <c r="U53" t="n">
        <v>19</v>
      </c>
      <c r="V53" t="n">
        <v>27</v>
      </c>
      <c r="W53" t="n">
        <v>26</v>
      </c>
      <c r="X53" t="n">
        <v>24</v>
      </c>
      <c r="Y53" t="n">
        <v>20</v>
      </c>
      <c r="Z53" t="n">
        <v>19</v>
      </c>
      <c r="AA53" t="n">
        <v>22</v>
      </c>
      <c r="AB53" t="n">
        <v>20</v>
      </c>
      <c r="AC53" t="n">
        <v>18</v>
      </c>
      <c r="AD53" t="n">
        <v>16</v>
      </c>
      <c r="AE53" t="n">
        <v>16</v>
      </c>
      <c r="AF53" t="n">
        <v>17</v>
      </c>
    </row>
    <row r="54">
      <c r="A54" t="s">
        <v>32</v>
      </c>
      <c r="B54" t="s">
        <v>378</v>
      </c>
      <c r="C54" t="s">
        <v>236</v>
      </c>
      <c r="D54" t="s">
        <v>379</v>
      </c>
      <c r="E54" t="s">
        <v>237</v>
      </c>
      <c r="F54" t="n">
        <v>13</v>
      </c>
      <c r="G54" t="n">
        <v>17</v>
      </c>
      <c r="H54" t="n">
        <v>18</v>
      </c>
      <c r="I54" t="n">
        <v>23</v>
      </c>
      <c r="J54" t="n">
        <v>25</v>
      </c>
      <c r="K54" t="n">
        <v>23</v>
      </c>
      <c r="L54" t="n">
        <v>26</v>
      </c>
      <c r="M54" t="n">
        <v>28</v>
      </c>
      <c r="N54" t="n">
        <v>34</v>
      </c>
      <c r="O54" t="n">
        <v>42</v>
      </c>
      <c r="P54" t="n">
        <v>47</v>
      </c>
      <c r="Q54" t="n">
        <v>42</v>
      </c>
      <c r="R54" t="n">
        <v>54</v>
      </c>
      <c r="S54" t="n">
        <v>43</v>
      </c>
      <c r="T54" t="n">
        <v>45</v>
      </c>
      <c r="U54" t="n">
        <v>35</v>
      </c>
      <c r="V54" t="n">
        <v>37</v>
      </c>
      <c r="W54" t="n">
        <v>35</v>
      </c>
      <c r="X54" t="n">
        <v>27</v>
      </c>
      <c r="Y54" t="n">
        <v>23</v>
      </c>
      <c r="Z54" t="n">
        <v>25</v>
      </c>
      <c r="AA54" t="n">
        <v>27</v>
      </c>
      <c r="AB54" t="n">
        <v>24</v>
      </c>
      <c r="AC54" t="n">
        <v>25</v>
      </c>
      <c r="AD54" t="n">
        <v>29</v>
      </c>
      <c r="AE54" t="n">
        <v>27</v>
      </c>
      <c r="AF54" t="n">
        <v>30</v>
      </c>
    </row>
    <row r="55">
      <c r="A55" t="s">
        <v>32</v>
      </c>
      <c r="B55" t="s">
        <v>380</v>
      </c>
      <c r="C55" t="s">
        <v>236</v>
      </c>
      <c r="D55" t="s">
        <v>381</v>
      </c>
      <c r="E55" t="s">
        <v>237</v>
      </c>
      <c r="F55" t="n">
        <v>9</v>
      </c>
      <c r="G55" t="n">
        <v>8</v>
      </c>
      <c r="H55" t="n">
        <v>8</v>
      </c>
      <c r="I55" t="n">
        <v>11</v>
      </c>
      <c r="J55" t="n">
        <v>12</v>
      </c>
      <c r="K55" t="n">
        <v>11</v>
      </c>
      <c r="L55" t="n">
        <v>13</v>
      </c>
      <c r="M55" t="n">
        <v>15</v>
      </c>
      <c r="N55" t="n">
        <v>13</v>
      </c>
      <c r="O55" t="n">
        <v>17</v>
      </c>
      <c r="P55" t="n">
        <v>19</v>
      </c>
      <c r="Q55" t="n">
        <v>14</v>
      </c>
      <c r="R55" t="n">
        <v>16</v>
      </c>
      <c r="S55" t="n">
        <v>15</v>
      </c>
      <c r="T55" t="n">
        <v>16</v>
      </c>
      <c r="U55" t="n">
        <v>16</v>
      </c>
      <c r="V55" t="n">
        <v>10</v>
      </c>
      <c r="W55" t="n">
        <v>9</v>
      </c>
      <c r="X55" t="n">
        <v>3</v>
      </c>
      <c r="Y55" t="n">
        <v>3</v>
      </c>
      <c r="Z55" t="n">
        <v>6</v>
      </c>
      <c r="AA55" t="n">
        <v>5</v>
      </c>
      <c r="AB55" t="n">
        <v>4</v>
      </c>
      <c r="AC55" t="n">
        <v>7</v>
      </c>
      <c r="AD55" t="n">
        <v>13</v>
      </c>
      <c r="AE55" t="n">
        <v>11</v>
      </c>
      <c r="AF55" t="n">
        <v>13</v>
      </c>
    </row>
    <row r="56">
      <c r="A56" t="s">
        <v>32</v>
      </c>
      <c r="B56" t="s">
        <v>382</v>
      </c>
      <c r="C56" t="s">
        <v>236</v>
      </c>
      <c r="D56" t="s">
        <v>383</v>
      </c>
      <c r="E56" t="s">
        <v>237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32</v>
      </c>
      <c r="B57" t="s">
        <v>384</v>
      </c>
      <c r="C57" t="s">
        <v>236</v>
      </c>
      <c r="D57" t="s">
        <v>385</v>
      </c>
      <c r="E57" t="s">
        <v>237</v>
      </c>
      <c r="F57" t="n">
        <v>1194</v>
      </c>
      <c r="G57" t="n">
        <v>1160</v>
      </c>
      <c r="H57" t="n">
        <v>1493</v>
      </c>
      <c r="I57" t="n">
        <v>1708</v>
      </c>
      <c r="J57" t="n">
        <v>1791</v>
      </c>
      <c r="K57" t="n">
        <v>1616</v>
      </c>
      <c r="L57" t="n">
        <v>1884</v>
      </c>
      <c r="M57" t="n">
        <v>1681</v>
      </c>
      <c r="N57" t="n">
        <v>1669</v>
      </c>
      <c r="O57" t="n">
        <v>2250</v>
      </c>
      <c r="P57" t="n">
        <v>2217</v>
      </c>
      <c r="Q57" t="n">
        <v>2419</v>
      </c>
      <c r="R57" t="n">
        <v>2474</v>
      </c>
      <c r="S57" t="n">
        <v>2302</v>
      </c>
      <c r="T57" t="n">
        <v>2237</v>
      </c>
      <c r="U57" t="n">
        <v>2161</v>
      </c>
      <c r="V57" t="n">
        <v>2121</v>
      </c>
      <c r="W57" t="n">
        <v>2245</v>
      </c>
      <c r="X57" t="n">
        <v>2139</v>
      </c>
      <c r="Y57" t="n">
        <v>1772</v>
      </c>
      <c r="Z57" t="n">
        <v>2041</v>
      </c>
      <c r="AA57" t="n">
        <v>2517</v>
      </c>
      <c r="AB57" t="n">
        <v>2437</v>
      </c>
      <c r="AC57" t="n">
        <v>2367</v>
      </c>
      <c r="AD57" t="n">
        <v>2564</v>
      </c>
      <c r="AE57" t="n">
        <v>2246</v>
      </c>
      <c r="AF57" t="n">
        <v>2196</v>
      </c>
    </row>
    <row r="58">
      <c r="A58" t="s">
        <v>32</v>
      </c>
      <c r="B58" t="s">
        <v>386</v>
      </c>
      <c r="C58" t="s">
        <v>236</v>
      </c>
      <c r="D58" t="s">
        <v>387</v>
      </c>
      <c r="E58" t="s">
        <v>237</v>
      </c>
      <c r="F58" t="n">
        <v>1194</v>
      </c>
      <c r="G58" t="n">
        <v>1160</v>
      </c>
      <c r="H58" t="n">
        <v>1493</v>
      </c>
      <c r="I58" t="n">
        <v>1708</v>
      </c>
      <c r="J58" t="n">
        <v>1791</v>
      </c>
      <c r="K58" t="n">
        <v>1616</v>
      </c>
      <c r="L58" t="n">
        <v>1884</v>
      </c>
      <c r="M58" t="n">
        <v>1681</v>
      </c>
      <c r="N58" t="n">
        <v>1669</v>
      </c>
      <c r="O58" t="n">
        <v>2250</v>
      </c>
      <c r="P58" t="n">
        <v>2217</v>
      </c>
      <c r="Q58" t="n">
        <v>2419</v>
      </c>
      <c r="R58" t="n">
        <v>2474</v>
      </c>
      <c r="S58" t="n">
        <v>2302</v>
      </c>
      <c r="T58" t="n">
        <v>2237</v>
      </c>
      <c r="U58" t="n">
        <v>2161</v>
      </c>
      <c r="V58" t="n">
        <v>2121</v>
      </c>
      <c r="W58" t="n">
        <v>2245</v>
      </c>
      <c r="X58" t="n">
        <v>2139</v>
      </c>
      <c r="Y58" t="n">
        <v>1772</v>
      </c>
      <c r="Z58" t="n">
        <v>2041</v>
      </c>
      <c r="AA58" t="n">
        <v>2517</v>
      </c>
      <c r="AB58" t="n">
        <v>2437</v>
      </c>
      <c r="AC58" t="n">
        <v>2367</v>
      </c>
      <c r="AD58" t="n">
        <v>2564</v>
      </c>
      <c r="AE58" t="n">
        <v>2246</v>
      </c>
      <c r="AF58" t="n">
        <v>2196</v>
      </c>
    </row>
    <row r="59">
      <c r="A59" t="s">
        <v>32</v>
      </c>
      <c r="B59" t="s">
        <v>388</v>
      </c>
      <c r="C59" t="s">
        <v>236</v>
      </c>
      <c r="D59" t="s">
        <v>389</v>
      </c>
      <c r="E59" t="s">
        <v>237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34</v>
      </c>
      <c r="B2" t="s">
        <v>197</v>
      </c>
      <c r="C2" t="s">
        <v>236</v>
      </c>
      <c r="D2" t="s">
        <v>199</v>
      </c>
      <c r="E2" t="s">
        <v>237</v>
      </c>
      <c r="F2" t="n">
        <v>315</v>
      </c>
      <c r="G2" t="n">
        <v>239</v>
      </c>
      <c r="H2" t="n">
        <v>326</v>
      </c>
      <c r="I2" t="n">
        <v>338</v>
      </c>
      <c r="J2" t="n">
        <v>356</v>
      </c>
      <c r="K2" t="n">
        <v>320</v>
      </c>
      <c r="L2" t="n">
        <v>322</v>
      </c>
      <c r="M2" t="n">
        <v>357</v>
      </c>
      <c r="N2" t="n">
        <v>374</v>
      </c>
      <c r="O2" t="n">
        <v>371</v>
      </c>
      <c r="P2" t="n">
        <v>351</v>
      </c>
      <c r="Q2" t="n">
        <v>389</v>
      </c>
      <c r="R2" t="n">
        <v>438</v>
      </c>
      <c r="S2" t="n">
        <v>367</v>
      </c>
      <c r="T2" t="n">
        <v>372</v>
      </c>
      <c r="U2" t="n">
        <v>344</v>
      </c>
      <c r="V2" t="n">
        <v>385</v>
      </c>
      <c r="W2" t="n">
        <v>355</v>
      </c>
      <c r="X2" t="n">
        <v>369</v>
      </c>
      <c r="Y2" t="n">
        <v>342</v>
      </c>
      <c r="Z2" t="n">
        <v>298</v>
      </c>
      <c r="AA2" t="n">
        <v>221</v>
      </c>
      <c r="AB2" t="n">
        <v>255</v>
      </c>
      <c r="AC2" t="n">
        <v>407</v>
      </c>
      <c r="AD2" t="n">
        <v>412</v>
      </c>
      <c r="AE2" t="n">
        <v>382</v>
      </c>
      <c r="AF2" t="n">
        <v>391</v>
      </c>
    </row>
    <row r="3">
      <c r="A3" t="s">
        <v>34</v>
      </c>
      <c r="B3" t="s">
        <v>276</v>
      </c>
      <c r="C3" t="s">
        <v>236</v>
      </c>
      <c r="D3" t="s">
        <v>277</v>
      </c>
      <c r="E3" t="s">
        <v>237</v>
      </c>
      <c r="F3" t="n">
        <v>39</v>
      </c>
      <c r="G3" t="n">
        <v>38</v>
      </c>
      <c r="H3" t="n">
        <v>22</v>
      </c>
      <c r="I3" t="n">
        <v>40</v>
      </c>
      <c r="J3" t="n">
        <v>43</v>
      </c>
      <c r="K3" t="n">
        <v>32</v>
      </c>
      <c r="L3" t="n">
        <v>57</v>
      </c>
      <c r="M3" t="n">
        <v>53</v>
      </c>
      <c r="N3" t="n">
        <v>87</v>
      </c>
      <c r="O3" t="n">
        <v>51</v>
      </c>
      <c r="P3" t="n">
        <v>57</v>
      </c>
      <c r="Q3" t="n">
        <v>74</v>
      </c>
      <c r="R3" t="n">
        <v>68</v>
      </c>
      <c r="S3" t="n">
        <v>355</v>
      </c>
      <c r="T3" t="n">
        <v>146</v>
      </c>
      <c r="U3" t="n">
        <v>106</v>
      </c>
      <c r="V3" t="n">
        <v>178</v>
      </c>
      <c r="W3" t="n">
        <v>161</v>
      </c>
      <c r="X3" t="n">
        <v>151</v>
      </c>
      <c r="Y3" t="n">
        <v>133</v>
      </c>
      <c r="Z3" t="n">
        <v>131</v>
      </c>
      <c r="AA3" t="n">
        <v>102</v>
      </c>
      <c r="AB3" t="n">
        <v>103</v>
      </c>
      <c r="AC3" t="n">
        <v>115</v>
      </c>
      <c r="AD3" t="n">
        <v>88</v>
      </c>
      <c r="AE3" t="n">
        <v>213</v>
      </c>
      <c r="AF3" t="n">
        <v>266</v>
      </c>
    </row>
    <row r="4">
      <c r="A4" t="s">
        <v>34</v>
      </c>
      <c r="B4" t="s">
        <v>278</v>
      </c>
      <c r="C4" t="s">
        <v>236</v>
      </c>
      <c r="D4" t="s">
        <v>279</v>
      </c>
      <c r="E4" t="s">
        <v>237</v>
      </c>
      <c r="F4" t="n">
        <v>2137</v>
      </c>
      <c r="G4" t="n">
        <v>2482</v>
      </c>
      <c r="H4" t="n">
        <v>2530</v>
      </c>
      <c r="I4" t="n">
        <v>2713</v>
      </c>
      <c r="J4" t="n">
        <v>2338</v>
      </c>
      <c r="K4" t="n">
        <v>2409</v>
      </c>
      <c r="L4" t="n">
        <v>3160</v>
      </c>
      <c r="M4" t="n">
        <v>2455</v>
      </c>
      <c r="N4" t="n">
        <v>2334</v>
      </c>
      <c r="O4" t="n">
        <v>2135</v>
      </c>
      <c r="P4" t="n">
        <v>2157</v>
      </c>
      <c r="Q4" t="n">
        <v>1895</v>
      </c>
      <c r="R4" t="n">
        <v>2502</v>
      </c>
      <c r="S4" t="n">
        <v>2179</v>
      </c>
      <c r="T4" t="n">
        <v>1703</v>
      </c>
      <c r="U4" t="n">
        <v>1357</v>
      </c>
      <c r="V4" t="n">
        <v>1425</v>
      </c>
      <c r="W4" t="n">
        <v>1715</v>
      </c>
      <c r="X4" t="n">
        <v>1559</v>
      </c>
      <c r="Y4" t="n">
        <v>1462</v>
      </c>
      <c r="Z4" t="n">
        <v>1810</v>
      </c>
      <c r="AA4" t="n">
        <v>2088</v>
      </c>
      <c r="AB4" t="n">
        <v>2924</v>
      </c>
      <c r="AC4" t="n">
        <v>2223</v>
      </c>
      <c r="AD4" t="n">
        <v>2123</v>
      </c>
      <c r="AE4" t="n">
        <v>1941</v>
      </c>
      <c r="AF4" t="n">
        <v>2759</v>
      </c>
    </row>
    <row r="5">
      <c r="A5" t="s">
        <v>34</v>
      </c>
      <c r="B5" t="s">
        <v>280</v>
      </c>
      <c r="C5" t="s">
        <v>236</v>
      </c>
      <c r="D5" t="s">
        <v>281</v>
      </c>
      <c r="E5" t="s">
        <v>237</v>
      </c>
      <c r="F5" t="n">
        <v>191</v>
      </c>
      <c r="G5" t="n">
        <v>188</v>
      </c>
      <c r="H5" t="n">
        <v>178</v>
      </c>
      <c r="I5" t="n">
        <v>218</v>
      </c>
      <c r="J5" t="n">
        <v>201</v>
      </c>
      <c r="K5" t="n">
        <v>188</v>
      </c>
      <c r="L5" t="n">
        <v>233</v>
      </c>
      <c r="M5" t="n">
        <v>256</v>
      </c>
      <c r="N5" t="n">
        <v>263</v>
      </c>
      <c r="O5" t="n">
        <v>196</v>
      </c>
      <c r="P5" t="n">
        <v>208</v>
      </c>
      <c r="Q5" t="n">
        <v>185</v>
      </c>
      <c r="R5" t="n">
        <v>228</v>
      </c>
      <c r="S5" t="n">
        <v>237</v>
      </c>
      <c r="T5" t="n">
        <v>219</v>
      </c>
      <c r="U5" t="n">
        <v>168</v>
      </c>
      <c r="V5" t="n">
        <v>159</v>
      </c>
      <c r="W5" t="n">
        <v>163</v>
      </c>
      <c r="X5" t="n">
        <v>202</v>
      </c>
      <c r="Y5" t="n">
        <v>216</v>
      </c>
      <c r="Z5" t="n">
        <v>203</v>
      </c>
      <c r="AA5" t="n">
        <v>200</v>
      </c>
      <c r="AB5" t="n">
        <v>345</v>
      </c>
      <c r="AC5" t="n">
        <v>238</v>
      </c>
      <c r="AD5" t="n">
        <v>208</v>
      </c>
      <c r="AE5" t="n">
        <v>213</v>
      </c>
      <c r="AF5" t="n">
        <v>221</v>
      </c>
    </row>
    <row r="6">
      <c r="A6" t="s">
        <v>34</v>
      </c>
      <c r="B6" t="s">
        <v>282</v>
      </c>
      <c r="C6" t="s">
        <v>236</v>
      </c>
      <c r="D6" t="s">
        <v>283</v>
      </c>
      <c r="E6" t="s">
        <v>237</v>
      </c>
      <c r="F6" t="n">
        <v>37</v>
      </c>
      <c r="G6" t="n">
        <v>27</v>
      </c>
      <c r="H6" t="n">
        <v>37</v>
      </c>
      <c r="I6" t="n">
        <v>35</v>
      </c>
      <c r="J6" t="n">
        <v>25</v>
      </c>
      <c r="K6" t="n">
        <v>29</v>
      </c>
      <c r="L6" t="n">
        <v>37</v>
      </c>
      <c r="M6" t="n">
        <v>36</v>
      </c>
      <c r="N6" t="n">
        <v>26</v>
      </c>
      <c r="O6" t="n">
        <v>24</v>
      </c>
      <c r="P6" t="n">
        <v>28</v>
      </c>
      <c r="Q6" t="n">
        <v>24</v>
      </c>
      <c r="R6" t="n">
        <v>30</v>
      </c>
      <c r="S6" t="n">
        <v>16</v>
      </c>
      <c r="T6" t="n">
        <v>11</v>
      </c>
      <c r="U6" t="n">
        <v>13</v>
      </c>
      <c r="V6" t="n">
        <v>15</v>
      </c>
      <c r="W6" t="n">
        <v>11</v>
      </c>
      <c r="X6" t="n">
        <v>7</v>
      </c>
      <c r="Y6" t="n">
        <v>11</v>
      </c>
      <c r="Z6" t="n">
        <v>16</v>
      </c>
      <c r="AA6" t="n">
        <v>34</v>
      </c>
      <c r="AB6" t="n">
        <v>23</v>
      </c>
      <c r="AC6" t="n">
        <v>21</v>
      </c>
      <c r="AD6" t="n">
        <v>31</v>
      </c>
      <c r="AE6" t="n">
        <v>37</v>
      </c>
      <c r="AF6" t="n">
        <v>24</v>
      </c>
    </row>
    <row r="7">
      <c r="A7" t="s">
        <v>34</v>
      </c>
      <c r="B7" t="s">
        <v>284</v>
      </c>
      <c r="C7" t="s">
        <v>236</v>
      </c>
      <c r="D7" t="s">
        <v>285</v>
      </c>
      <c r="E7" t="s">
        <v>237</v>
      </c>
      <c r="F7" t="n">
        <v>652</v>
      </c>
      <c r="G7" t="n">
        <v>1221</v>
      </c>
      <c r="H7" t="n">
        <v>876</v>
      </c>
      <c r="I7" t="n">
        <v>1041</v>
      </c>
      <c r="J7" t="n">
        <v>771</v>
      </c>
      <c r="K7" t="n">
        <v>744</v>
      </c>
      <c r="L7" t="n">
        <v>1363</v>
      </c>
      <c r="M7" t="n">
        <v>653</v>
      </c>
      <c r="N7" t="n">
        <v>848</v>
      </c>
      <c r="O7" t="n">
        <v>604</v>
      </c>
      <c r="P7" t="n">
        <v>630</v>
      </c>
      <c r="Q7" t="n">
        <v>585</v>
      </c>
      <c r="R7" t="n">
        <v>536</v>
      </c>
      <c r="S7" t="n">
        <v>710</v>
      </c>
      <c r="T7" t="n">
        <v>249</v>
      </c>
      <c r="U7" t="n">
        <v>284</v>
      </c>
      <c r="V7" t="n">
        <v>346</v>
      </c>
      <c r="W7" t="n">
        <v>369</v>
      </c>
      <c r="X7" t="n">
        <v>452</v>
      </c>
      <c r="Y7" t="n">
        <v>325</v>
      </c>
      <c r="Z7" t="n">
        <v>401</v>
      </c>
      <c r="AA7" t="n">
        <v>739</v>
      </c>
      <c r="AB7" t="n">
        <v>916</v>
      </c>
      <c r="AC7" t="n">
        <v>494</v>
      </c>
      <c r="AD7" t="n">
        <v>525</v>
      </c>
      <c r="AE7" t="n">
        <v>455</v>
      </c>
      <c r="AF7" t="n">
        <v>810</v>
      </c>
    </row>
    <row r="8">
      <c r="A8" t="s">
        <v>34</v>
      </c>
      <c r="B8" t="s">
        <v>286</v>
      </c>
      <c r="C8" t="s">
        <v>236</v>
      </c>
      <c r="D8" t="s">
        <v>287</v>
      </c>
      <c r="E8" t="s">
        <v>237</v>
      </c>
      <c r="F8" t="n">
        <v>28</v>
      </c>
      <c r="G8" t="n">
        <v>25</v>
      </c>
      <c r="H8" t="n">
        <v>104</v>
      </c>
      <c r="I8" t="n">
        <v>19</v>
      </c>
      <c r="J8" t="n">
        <v>45</v>
      </c>
      <c r="K8" t="n">
        <v>24</v>
      </c>
      <c r="L8" t="n">
        <v>86</v>
      </c>
      <c r="M8" t="n">
        <v>14</v>
      </c>
      <c r="N8" t="n">
        <v>53</v>
      </c>
      <c r="O8" t="n">
        <v>24</v>
      </c>
      <c r="P8" t="n">
        <v>132</v>
      </c>
      <c r="Q8" t="n">
        <v>167</v>
      </c>
      <c r="R8" t="n">
        <v>557</v>
      </c>
      <c r="S8" t="n">
        <v>35</v>
      </c>
      <c r="T8" t="n">
        <v>28</v>
      </c>
      <c r="U8" t="n">
        <v>80</v>
      </c>
      <c r="V8" t="n">
        <v>29</v>
      </c>
      <c r="W8" t="n">
        <v>68</v>
      </c>
      <c r="X8" t="n">
        <v>54</v>
      </c>
      <c r="Y8" t="n">
        <v>61</v>
      </c>
      <c r="Z8" t="n">
        <v>190</v>
      </c>
      <c r="AA8" t="n">
        <v>65</v>
      </c>
      <c r="AB8" t="n">
        <v>465</v>
      </c>
      <c r="AC8" t="n">
        <v>131</v>
      </c>
      <c r="AD8" t="n">
        <v>48</v>
      </c>
      <c r="AE8" t="n">
        <v>60</v>
      </c>
      <c r="AF8" t="n">
        <v>359</v>
      </c>
    </row>
    <row r="9">
      <c r="A9" t="s">
        <v>34</v>
      </c>
      <c r="B9" t="s">
        <v>288</v>
      </c>
      <c r="C9" t="s">
        <v>236</v>
      </c>
      <c r="D9" t="s">
        <v>289</v>
      </c>
      <c r="E9" t="s">
        <v>237</v>
      </c>
      <c r="F9" t="n">
        <v>233</v>
      </c>
      <c r="G9" t="n">
        <v>116</v>
      </c>
      <c r="H9" t="n">
        <v>202</v>
      </c>
      <c r="I9" t="n">
        <v>171</v>
      </c>
      <c r="J9" t="n">
        <v>179</v>
      </c>
      <c r="K9" t="n">
        <v>124</v>
      </c>
      <c r="L9" t="n">
        <v>154</v>
      </c>
      <c r="M9" t="n">
        <v>237</v>
      </c>
      <c r="N9" t="n">
        <v>149</v>
      </c>
      <c r="O9" t="n">
        <v>152</v>
      </c>
      <c r="P9" t="n">
        <v>132</v>
      </c>
      <c r="Q9" t="n">
        <v>123</v>
      </c>
      <c r="R9" t="n">
        <v>233</v>
      </c>
      <c r="S9" t="n">
        <v>183</v>
      </c>
      <c r="T9" t="n">
        <v>186</v>
      </c>
      <c r="U9" t="n">
        <v>72</v>
      </c>
      <c r="V9" t="n">
        <v>115</v>
      </c>
      <c r="W9" t="n">
        <v>139</v>
      </c>
      <c r="X9" t="n">
        <v>177</v>
      </c>
      <c r="Y9" t="n">
        <v>120</v>
      </c>
      <c r="Z9" t="n">
        <v>149</v>
      </c>
      <c r="AA9" t="n">
        <v>177</v>
      </c>
      <c r="AB9" t="n">
        <v>238</v>
      </c>
      <c r="AC9" t="n">
        <v>199</v>
      </c>
      <c r="AD9" t="n">
        <v>171</v>
      </c>
      <c r="AE9" t="n">
        <v>160</v>
      </c>
      <c r="AF9" t="n">
        <v>264</v>
      </c>
    </row>
    <row r="10">
      <c r="A10" t="s">
        <v>34</v>
      </c>
      <c r="B10" t="s">
        <v>290</v>
      </c>
      <c r="C10" t="s">
        <v>236</v>
      </c>
      <c r="D10" t="s">
        <v>291</v>
      </c>
      <c r="E10" t="s">
        <v>237</v>
      </c>
      <c r="F10" t="n">
        <v>255</v>
      </c>
      <c r="G10" t="n">
        <v>132</v>
      </c>
      <c r="H10" t="n">
        <v>219</v>
      </c>
      <c r="I10" t="n">
        <v>195</v>
      </c>
      <c r="J10" t="n">
        <v>197</v>
      </c>
      <c r="K10" t="n">
        <v>147</v>
      </c>
      <c r="L10" t="n">
        <v>164</v>
      </c>
      <c r="M10" t="n">
        <v>275</v>
      </c>
      <c r="N10" t="n">
        <v>167</v>
      </c>
      <c r="O10" t="n">
        <v>167</v>
      </c>
      <c r="P10" t="n">
        <v>146</v>
      </c>
      <c r="Q10" t="n">
        <v>136</v>
      </c>
      <c r="R10" t="n">
        <v>251</v>
      </c>
      <c r="S10" t="n">
        <v>198</v>
      </c>
      <c r="T10" t="n">
        <v>217</v>
      </c>
      <c r="U10" t="n">
        <v>96</v>
      </c>
      <c r="V10" t="n">
        <v>134</v>
      </c>
      <c r="W10" t="n">
        <v>164</v>
      </c>
      <c r="X10" t="n">
        <v>214</v>
      </c>
      <c r="Y10" t="n">
        <v>147</v>
      </c>
      <c r="Z10" t="n">
        <v>172</v>
      </c>
      <c r="AA10" t="n">
        <v>198</v>
      </c>
      <c r="AB10" t="n">
        <v>256</v>
      </c>
      <c r="AC10" t="n">
        <v>226</v>
      </c>
      <c r="AD10" t="n">
        <v>198</v>
      </c>
      <c r="AE10" t="n">
        <v>175</v>
      </c>
      <c r="AF10" t="n">
        <v>289</v>
      </c>
    </row>
    <row r="11">
      <c r="A11" t="s">
        <v>34</v>
      </c>
      <c r="B11" t="s">
        <v>292</v>
      </c>
      <c r="C11" t="s">
        <v>236</v>
      </c>
      <c r="D11" t="s">
        <v>293</v>
      </c>
      <c r="E11" t="s">
        <v>237</v>
      </c>
      <c r="F11" t="n">
        <v>22</v>
      </c>
      <c r="G11" t="n">
        <v>16</v>
      </c>
      <c r="H11" t="n">
        <v>17</v>
      </c>
      <c r="I11" t="n">
        <v>24</v>
      </c>
      <c r="J11" t="n">
        <v>18</v>
      </c>
      <c r="K11" t="n">
        <v>23</v>
      </c>
      <c r="L11" t="n">
        <v>10</v>
      </c>
      <c r="M11" t="n">
        <v>38</v>
      </c>
      <c r="N11" t="n">
        <v>18</v>
      </c>
      <c r="O11" t="n">
        <v>15</v>
      </c>
      <c r="P11" t="n">
        <v>14</v>
      </c>
      <c r="Q11" t="n">
        <v>13</v>
      </c>
      <c r="R11" t="n">
        <v>18</v>
      </c>
      <c r="S11" t="n">
        <v>15</v>
      </c>
      <c r="T11" t="n">
        <v>31</v>
      </c>
      <c r="U11" t="n">
        <v>24</v>
      </c>
      <c r="V11" t="n">
        <v>19</v>
      </c>
      <c r="W11" t="n">
        <v>25</v>
      </c>
      <c r="X11" t="n">
        <v>37</v>
      </c>
      <c r="Y11" t="n">
        <v>27</v>
      </c>
      <c r="Z11" t="n">
        <v>23</v>
      </c>
      <c r="AA11" t="n">
        <v>21</v>
      </c>
      <c r="AB11" t="n">
        <v>18</v>
      </c>
      <c r="AC11" t="n">
        <v>27</v>
      </c>
      <c r="AD11" t="n">
        <v>27</v>
      </c>
      <c r="AE11" t="n">
        <v>15</v>
      </c>
      <c r="AF11" t="n">
        <v>25</v>
      </c>
    </row>
    <row r="12">
      <c r="A12" t="s">
        <v>34</v>
      </c>
      <c r="B12" t="s">
        <v>294</v>
      </c>
      <c r="C12" t="s">
        <v>236</v>
      </c>
      <c r="D12" t="s">
        <v>295</v>
      </c>
      <c r="E12" t="s">
        <v>237</v>
      </c>
      <c r="F12" t="n">
        <v>116</v>
      </c>
      <c r="G12" t="n">
        <v>109</v>
      </c>
      <c r="H12" t="n">
        <v>131</v>
      </c>
      <c r="I12" t="n">
        <v>189</v>
      </c>
      <c r="J12" t="n">
        <v>179</v>
      </c>
      <c r="K12" t="n">
        <v>196</v>
      </c>
      <c r="L12" t="n">
        <v>176</v>
      </c>
      <c r="M12" t="n">
        <v>167</v>
      </c>
      <c r="N12" t="n">
        <v>174</v>
      </c>
      <c r="O12" t="n">
        <v>154</v>
      </c>
      <c r="P12" t="n">
        <v>179</v>
      </c>
      <c r="Q12" t="n">
        <v>153</v>
      </c>
      <c r="R12" t="n">
        <v>161</v>
      </c>
      <c r="S12" t="n">
        <v>161</v>
      </c>
      <c r="T12" t="n">
        <v>148</v>
      </c>
      <c r="U12" t="n">
        <v>93</v>
      </c>
      <c r="V12" t="n">
        <v>123</v>
      </c>
      <c r="W12" t="n">
        <v>97</v>
      </c>
      <c r="X12" t="n">
        <v>107</v>
      </c>
      <c r="Y12" t="n">
        <v>116</v>
      </c>
      <c r="Z12" t="n">
        <v>166</v>
      </c>
      <c r="AA12" t="n">
        <v>192</v>
      </c>
      <c r="AB12" t="n">
        <v>191</v>
      </c>
      <c r="AC12" t="n">
        <v>236</v>
      </c>
      <c r="AD12" t="n">
        <v>227</v>
      </c>
      <c r="AE12" t="n">
        <v>246</v>
      </c>
      <c r="AF12" t="n">
        <v>219</v>
      </c>
    </row>
    <row r="13">
      <c r="A13" t="s">
        <v>34</v>
      </c>
      <c r="B13" t="s">
        <v>296</v>
      </c>
      <c r="C13" t="s">
        <v>236</v>
      </c>
      <c r="D13" t="s">
        <v>297</v>
      </c>
      <c r="E13" t="s">
        <v>237</v>
      </c>
      <c r="F13" t="n">
        <v>345</v>
      </c>
      <c r="G13" t="n">
        <v>321</v>
      </c>
      <c r="H13" t="n">
        <v>449</v>
      </c>
      <c r="I13" t="n">
        <v>403</v>
      </c>
      <c r="J13" t="n">
        <v>261</v>
      </c>
      <c r="K13" t="n">
        <v>384</v>
      </c>
      <c r="L13" t="n">
        <v>353</v>
      </c>
      <c r="M13" t="n">
        <v>525</v>
      </c>
      <c r="N13" t="n">
        <v>316</v>
      </c>
      <c r="O13" t="n">
        <v>552</v>
      </c>
      <c r="P13" t="n">
        <v>289</v>
      </c>
      <c r="Q13" t="n">
        <v>234</v>
      </c>
      <c r="R13" t="n">
        <v>317</v>
      </c>
      <c r="S13" t="n">
        <v>397</v>
      </c>
      <c r="T13" t="n">
        <v>420</v>
      </c>
      <c r="U13" t="n">
        <v>312</v>
      </c>
      <c r="V13" t="n">
        <v>248</v>
      </c>
      <c r="W13" t="n">
        <v>517</v>
      </c>
      <c r="X13" t="n">
        <v>210</v>
      </c>
      <c r="Y13" t="n">
        <v>268</v>
      </c>
      <c r="Z13" t="n">
        <v>309</v>
      </c>
      <c r="AA13" t="n">
        <v>267</v>
      </c>
      <c r="AB13" t="n">
        <v>298</v>
      </c>
      <c r="AC13" t="n">
        <v>371</v>
      </c>
      <c r="AD13" t="n">
        <v>419</v>
      </c>
      <c r="AE13" t="n">
        <v>315</v>
      </c>
      <c r="AF13" t="n">
        <v>281</v>
      </c>
    </row>
    <row r="14">
      <c r="A14" t="s">
        <v>34</v>
      </c>
      <c r="B14" t="s">
        <v>298</v>
      </c>
      <c r="C14" t="s">
        <v>236</v>
      </c>
      <c r="D14" t="s">
        <v>299</v>
      </c>
      <c r="E14" t="s">
        <v>237</v>
      </c>
      <c r="F14" t="n">
        <v>233</v>
      </c>
      <c r="G14" t="n">
        <v>139</v>
      </c>
      <c r="H14" t="n">
        <v>203</v>
      </c>
      <c r="I14" t="n">
        <v>264</v>
      </c>
      <c r="J14" t="n">
        <v>355</v>
      </c>
      <c r="K14" t="n">
        <v>393</v>
      </c>
      <c r="L14" t="n">
        <v>419</v>
      </c>
      <c r="M14" t="n">
        <v>238</v>
      </c>
      <c r="N14" t="n">
        <v>193</v>
      </c>
      <c r="O14" t="n">
        <v>199</v>
      </c>
      <c r="P14" t="n">
        <v>275</v>
      </c>
      <c r="Q14" t="n">
        <v>146</v>
      </c>
      <c r="R14" t="n">
        <v>139</v>
      </c>
      <c r="S14" t="n">
        <v>66</v>
      </c>
      <c r="T14" t="n">
        <v>74</v>
      </c>
      <c r="U14" t="n">
        <v>102</v>
      </c>
      <c r="V14" t="n">
        <v>97</v>
      </c>
      <c r="W14" t="n">
        <v>87</v>
      </c>
      <c r="X14" t="n">
        <v>50</v>
      </c>
      <c r="Y14" t="n">
        <v>89</v>
      </c>
      <c r="Z14" t="n">
        <v>120</v>
      </c>
      <c r="AA14" t="n">
        <v>101</v>
      </c>
      <c r="AB14" t="n">
        <v>113</v>
      </c>
      <c r="AC14" t="n">
        <v>109</v>
      </c>
      <c r="AD14" t="n">
        <v>105</v>
      </c>
      <c r="AE14" t="n">
        <v>134</v>
      </c>
      <c r="AF14" t="n">
        <v>138</v>
      </c>
    </row>
    <row r="15">
      <c r="A15" t="s">
        <v>34</v>
      </c>
      <c r="B15" t="s">
        <v>300</v>
      </c>
      <c r="C15" t="s">
        <v>236</v>
      </c>
      <c r="D15" t="s">
        <v>301</v>
      </c>
      <c r="E15" t="s">
        <v>237</v>
      </c>
      <c r="F15" t="n">
        <v>281</v>
      </c>
      <c r="G15" t="n">
        <v>193</v>
      </c>
      <c r="H15" t="n">
        <v>264</v>
      </c>
      <c r="I15" t="n">
        <v>336</v>
      </c>
      <c r="J15" t="n">
        <v>404</v>
      </c>
      <c r="K15" t="n">
        <v>444</v>
      </c>
      <c r="L15" t="n">
        <v>473</v>
      </c>
      <c r="M15" t="n">
        <v>278</v>
      </c>
      <c r="N15" t="n">
        <v>241</v>
      </c>
      <c r="O15" t="n">
        <v>233</v>
      </c>
      <c r="P15" t="n">
        <v>327</v>
      </c>
      <c r="Q15" t="n">
        <v>179</v>
      </c>
      <c r="R15" t="n">
        <v>183</v>
      </c>
      <c r="S15" t="n">
        <v>123</v>
      </c>
      <c r="T15" t="n">
        <v>120</v>
      </c>
      <c r="U15" t="n">
        <v>146</v>
      </c>
      <c r="V15" t="n">
        <v>136</v>
      </c>
      <c r="W15" t="n">
        <v>124</v>
      </c>
      <c r="X15" t="n">
        <v>91</v>
      </c>
      <c r="Y15" t="n">
        <v>114</v>
      </c>
      <c r="Z15" t="n">
        <v>175</v>
      </c>
      <c r="AA15" t="n">
        <v>188</v>
      </c>
      <c r="AB15" t="n">
        <v>167</v>
      </c>
      <c r="AC15" t="n">
        <v>160</v>
      </c>
      <c r="AD15" t="n">
        <v>162</v>
      </c>
      <c r="AE15" t="n">
        <v>174</v>
      </c>
      <c r="AF15" t="n">
        <v>197</v>
      </c>
    </row>
    <row r="16">
      <c r="A16" t="s">
        <v>34</v>
      </c>
      <c r="B16" t="s">
        <v>302</v>
      </c>
      <c r="C16" t="s">
        <v>236</v>
      </c>
      <c r="D16" t="s">
        <v>303</v>
      </c>
      <c r="E16" t="s">
        <v>237</v>
      </c>
      <c r="F16" t="n">
        <v>48</v>
      </c>
      <c r="G16" t="n">
        <v>54</v>
      </c>
      <c r="H16" t="n">
        <v>61</v>
      </c>
      <c r="I16" t="n">
        <v>72</v>
      </c>
      <c r="J16" t="n">
        <v>49</v>
      </c>
      <c r="K16" t="n">
        <v>51</v>
      </c>
      <c r="L16" t="n">
        <v>54</v>
      </c>
      <c r="M16" t="n">
        <v>40</v>
      </c>
      <c r="N16" t="n">
        <v>48</v>
      </c>
      <c r="O16" t="n">
        <v>34</v>
      </c>
      <c r="P16" t="n">
        <v>52</v>
      </c>
      <c r="Q16" t="n">
        <v>33</v>
      </c>
      <c r="R16" t="n">
        <v>44</v>
      </c>
      <c r="S16" t="n">
        <v>57</v>
      </c>
      <c r="T16" t="n">
        <v>46</v>
      </c>
      <c r="U16" t="n">
        <v>44</v>
      </c>
      <c r="V16" t="n">
        <v>39</v>
      </c>
      <c r="W16" t="n">
        <v>37</v>
      </c>
      <c r="X16" t="n">
        <v>41</v>
      </c>
      <c r="Y16" t="n">
        <v>25</v>
      </c>
      <c r="Z16" t="n">
        <v>55</v>
      </c>
      <c r="AA16" t="n">
        <v>87</v>
      </c>
      <c r="AB16" t="n">
        <v>54</v>
      </c>
      <c r="AC16" t="n">
        <v>51</v>
      </c>
      <c r="AD16" t="n">
        <v>57</v>
      </c>
      <c r="AE16" t="n">
        <v>40</v>
      </c>
      <c r="AF16" t="n">
        <v>59</v>
      </c>
    </row>
    <row r="17">
      <c r="A17" t="s">
        <v>34</v>
      </c>
      <c r="B17" t="s">
        <v>304</v>
      </c>
      <c r="C17" t="s">
        <v>236</v>
      </c>
      <c r="D17" t="s">
        <v>305</v>
      </c>
      <c r="E17" t="s">
        <v>237</v>
      </c>
      <c r="F17" t="n">
        <v>115</v>
      </c>
      <c r="G17" t="n">
        <v>149</v>
      </c>
      <c r="H17" t="n">
        <v>132</v>
      </c>
      <c r="I17" t="n">
        <v>130</v>
      </c>
      <c r="J17" t="n">
        <v>110</v>
      </c>
      <c r="K17" t="n">
        <v>122</v>
      </c>
      <c r="L17" t="n">
        <v>115</v>
      </c>
      <c r="M17" t="n">
        <v>92</v>
      </c>
      <c r="N17" t="n">
        <v>130</v>
      </c>
      <c r="O17" t="n">
        <v>77</v>
      </c>
      <c r="P17" t="n">
        <v>93</v>
      </c>
      <c r="Q17" t="n">
        <v>111</v>
      </c>
      <c r="R17" t="n">
        <v>120</v>
      </c>
      <c r="S17" t="n">
        <v>177</v>
      </c>
      <c r="T17" t="n">
        <v>202</v>
      </c>
      <c r="U17" t="n">
        <v>75</v>
      </c>
      <c r="V17" t="n">
        <v>114</v>
      </c>
      <c r="W17" t="n">
        <v>117</v>
      </c>
      <c r="X17" t="n">
        <v>88</v>
      </c>
      <c r="Y17" t="n">
        <v>129</v>
      </c>
      <c r="Z17" t="n">
        <v>101</v>
      </c>
      <c r="AA17" t="n">
        <v>92</v>
      </c>
      <c r="AB17" t="n">
        <v>75</v>
      </c>
      <c r="AC17" t="n">
        <v>114</v>
      </c>
      <c r="AD17" t="n">
        <v>151</v>
      </c>
      <c r="AE17" t="n">
        <v>109</v>
      </c>
      <c r="AF17" t="n">
        <v>111</v>
      </c>
    </row>
    <row r="18">
      <c r="A18" t="s">
        <v>34</v>
      </c>
      <c r="B18" t="s">
        <v>306</v>
      </c>
      <c r="C18" t="s">
        <v>236</v>
      </c>
      <c r="D18" t="s">
        <v>307</v>
      </c>
      <c r="E18" t="s">
        <v>237</v>
      </c>
      <c r="F18" t="n">
        <v>35</v>
      </c>
      <c r="G18" t="n">
        <v>40</v>
      </c>
      <c r="H18" t="n">
        <v>39</v>
      </c>
      <c r="I18" t="n">
        <v>40</v>
      </c>
      <c r="J18" t="n">
        <v>36</v>
      </c>
      <c r="K18" t="n">
        <v>27</v>
      </c>
      <c r="L18" t="n">
        <v>49</v>
      </c>
      <c r="M18" t="n">
        <v>37</v>
      </c>
      <c r="N18" t="n">
        <v>37</v>
      </c>
      <c r="O18" t="n">
        <v>37</v>
      </c>
      <c r="P18" t="n">
        <v>43</v>
      </c>
      <c r="Q18" t="n">
        <v>38</v>
      </c>
      <c r="R18" t="n">
        <v>36</v>
      </c>
      <c r="S18" t="n">
        <v>44</v>
      </c>
      <c r="T18" t="n">
        <v>45</v>
      </c>
      <c r="U18" t="n">
        <v>43</v>
      </c>
      <c r="V18" t="n">
        <v>61</v>
      </c>
      <c r="W18" t="n">
        <v>44</v>
      </c>
      <c r="X18" t="n">
        <v>111</v>
      </c>
      <c r="Y18" t="n">
        <v>40</v>
      </c>
      <c r="Z18" t="n">
        <v>33</v>
      </c>
      <c r="AA18" t="n">
        <v>49</v>
      </c>
      <c r="AB18" t="n">
        <v>113</v>
      </c>
      <c r="AC18" t="n">
        <v>149</v>
      </c>
      <c r="AD18" t="n">
        <v>73</v>
      </c>
      <c r="AE18" t="n">
        <v>73</v>
      </c>
      <c r="AF18" t="n">
        <v>104</v>
      </c>
    </row>
    <row r="19">
      <c r="A19" t="s">
        <v>34</v>
      </c>
      <c r="B19" t="s">
        <v>308</v>
      </c>
      <c r="C19" t="s">
        <v>236</v>
      </c>
      <c r="D19" t="s">
        <v>309</v>
      </c>
      <c r="E19" t="s">
        <v>237</v>
      </c>
      <c r="F19" t="n">
        <v>82</v>
      </c>
      <c r="G19" t="n">
        <v>77</v>
      </c>
      <c r="H19" t="n">
        <v>101</v>
      </c>
      <c r="I19" t="n">
        <v>107</v>
      </c>
      <c r="J19" t="n">
        <v>109</v>
      </c>
      <c r="K19" t="n">
        <v>104</v>
      </c>
      <c r="L19" t="n">
        <v>111</v>
      </c>
      <c r="M19" t="n">
        <v>122</v>
      </c>
      <c r="N19" t="n">
        <v>79</v>
      </c>
      <c r="O19" t="n">
        <v>67</v>
      </c>
      <c r="P19" t="n">
        <v>82</v>
      </c>
      <c r="Q19" t="n">
        <v>83</v>
      </c>
      <c r="R19" t="n">
        <v>83</v>
      </c>
      <c r="S19" t="n">
        <v>81</v>
      </c>
      <c r="T19" t="n">
        <v>44</v>
      </c>
      <c r="U19" t="n">
        <v>47</v>
      </c>
      <c r="V19" t="n">
        <v>60</v>
      </c>
      <c r="W19" t="n">
        <v>41</v>
      </c>
      <c r="X19" t="n">
        <v>23</v>
      </c>
      <c r="Y19" t="n">
        <v>35</v>
      </c>
      <c r="Z19" t="n">
        <v>44</v>
      </c>
      <c r="AA19" t="n">
        <v>64</v>
      </c>
      <c r="AB19" t="n">
        <v>75</v>
      </c>
      <c r="AC19" t="n">
        <v>83</v>
      </c>
      <c r="AD19" t="n">
        <v>81</v>
      </c>
      <c r="AE19" t="n">
        <v>84</v>
      </c>
      <c r="AF19" t="n">
        <v>144</v>
      </c>
    </row>
    <row r="20">
      <c r="A20" t="s">
        <v>34</v>
      </c>
      <c r="B20" t="s">
        <v>310</v>
      </c>
      <c r="C20" t="s">
        <v>236</v>
      </c>
      <c r="D20" t="s">
        <v>311</v>
      </c>
      <c r="E20" t="s">
        <v>237</v>
      </c>
      <c r="F20" t="n">
        <v>206</v>
      </c>
      <c r="G20" t="n">
        <v>189</v>
      </c>
      <c r="H20" t="n">
        <v>286</v>
      </c>
      <c r="I20" t="n">
        <v>179</v>
      </c>
      <c r="J20" t="n">
        <v>169</v>
      </c>
      <c r="K20" t="n">
        <v>251</v>
      </c>
      <c r="L20" t="n">
        <v>232</v>
      </c>
      <c r="M20" t="n">
        <v>314</v>
      </c>
      <c r="N20" t="n">
        <v>246</v>
      </c>
      <c r="O20" t="n">
        <v>304</v>
      </c>
      <c r="P20" t="n">
        <v>318</v>
      </c>
      <c r="Q20" t="n">
        <v>281</v>
      </c>
      <c r="R20" t="n">
        <v>317</v>
      </c>
      <c r="S20" t="n">
        <v>481</v>
      </c>
      <c r="T20" t="n">
        <v>766</v>
      </c>
      <c r="U20" t="n">
        <v>591</v>
      </c>
      <c r="V20" t="n">
        <v>506</v>
      </c>
      <c r="W20" t="n">
        <v>602</v>
      </c>
      <c r="X20" t="n">
        <v>692</v>
      </c>
      <c r="Y20" t="n">
        <v>946</v>
      </c>
      <c r="Z20" t="n">
        <v>1100</v>
      </c>
      <c r="AA20" t="n">
        <v>1155</v>
      </c>
      <c r="AB20" t="n">
        <v>1174</v>
      </c>
      <c r="AC20" t="n">
        <v>788</v>
      </c>
      <c r="AD20" t="n">
        <v>603</v>
      </c>
      <c r="AE20" t="n">
        <v>1177</v>
      </c>
      <c r="AF20" t="n">
        <v>892</v>
      </c>
    </row>
    <row r="21">
      <c r="A21" t="s">
        <v>34</v>
      </c>
      <c r="B21" t="s">
        <v>312</v>
      </c>
      <c r="C21" t="s">
        <v>236</v>
      </c>
      <c r="D21" t="s">
        <v>313</v>
      </c>
      <c r="E21" t="s">
        <v>237</v>
      </c>
      <c r="F21" t="n">
        <v>241</v>
      </c>
      <c r="G21" t="n">
        <v>229</v>
      </c>
      <c r="H21" t="n">
        <v>327</v>
      </c>
      <c r="I21" t="n">
        <v>215</v>
      </c>
      <c r="J21" t="n">
        <v>215</v>
      </c>
      <c r="K21" t="n">
        <v>291</v>
      </c>
      <c r="L21" t="n">
        <v>269</v>
      </c>
      <c r="M21" t="n">
        <v>369</v>
      </c>
      <c r="N21" t="n">
        <v>298</v>
      </c>
      <c r="O21" t="n">
        <v>339</v>
      </c>
      <c r="P21" t="n">
        <v>368</v>
      </c>
      <c r="Q21" t="n">
        <v>334</v>
      </c>
      <c r="R21" t="n">
        <v>413</v>
      </c>
      <c r="S21" t="n">
        <v>554</v>
      </c>
      <c r="T21" t="n">
        <v>870</v>
      </c>
      <c r="U21" t="n">
        <v>660</v>
      </c>
      <c r="V21" t="n">
        <v>600</v>
      </c>
      <c r="W21" t="n">
        <v>758</v>
      </c>
      <c r="X21" t="n">
        <v>796</v>
      </c>
      <c r="Y21" t="n">
        <v>1029</v>
      </c>
      <c r="Z21" t="n">
        <v>1192</v>
      </c>
      <c r="AA21" t="n">
        <v>1267</v>
      </c>
      <c r="AB21" t="n">
        <v>1301</v>
      </c>
      <c r="AC21" t="n">
        <v>904</v>
      </c>
      <c r="AD21" t="n">
        <v>706</v>
      </c>
      <c r="AE21" t="n">
        <v>1318</v>
      </c>
      <c r="AF21" t="n">
        <v>1150</v>
      </c>
    </row>
    <row r="22">
      <c r="A22" t="s">
        <v>34</v>
      </c>
      <c r="B22" t="s">
        <v>314</v>
      </c>
      <c r="C22" t="s">
        <v>236</v>
      </c>
      <c r="D22" t="s">
        <v>315</v>
      </c>
      <c r="E22" t="s">
        <v>237</v>
      </c>
      <c r="F22" t="n">
        <v>35</v>
      </c>
      <c r="G22" t="n">
        <v>40</v>
      </c>
      <c r="H22" t="n">
        <v>41</v>
      </c>
      <c r="I22" t="n">
        <v>36</v>
      </c>
      <c r="J22" t="n">
        <v>46</v>
      </c>
      <c r="K22" t="n">
        <v>40</v>
      </c>
      <c r="L22" t="n">
        <v>37</v>
      </c>
      <c r="M22" t="n">
        <v>55</v>
      </c>
      <c r="N22" t="n">
        <v>52</v>
      </c>
      <c r="O22" t="n">
        <v>35</v>
      </c>
      <c r="P22" t="n">
        <v>50</v>
      </c>
      <c r="Q22" t="n">
        <v>53</v>
      </c>
      <c r="R22" t="n">
        <v>96</v>
      </c>
      <c r="S22" t="n">
        <v>73</v>
      </c>
      <c r="T22" t="n">
        <v>104</v>
      </c>
      <c r="U22" t="n">
        <v>69</v>
      </c>
      <c r="V22" t="n">
        <v>94</v>
      </c>
      <c r="W22" t="n">
        <v>156</v>
      </c>
      <c r="X22" t="n">
        <v>104</v>
      </c>
      <c r="Y22" t="n">
        <v>83</v>
      </c>
      <c r="Z22" t="n">
        <v>92</v>
      </c>
      <c r="AA22" t="n">
        <v>112</v>
      </c>
      <c r="AB22" t="n">
        <v>127</v>
      </c>
      <c r="AC22" t="n">
        <v>116</v>
      </c>
      <c r="AD22" t="n">
        <v>103</v>
      </c>
      <c r="AE22" t="n">
        <v>141</v>
      </c>
      <c r="AF22" t="n">
        <v>258</v>
      </c>
    </row>
    <row r="23">
      <c r="A23" t="s">
        <v>34</v>
      </c>
      <c r="B23" t="s">
        <v>316</v>
      </c>
      <c r="C23" t="s">
        <v>236</v>
      </c>
      <c r="D23" t="s">
        <v>317</v>
      </c>
      <c r="E23" t="s">
        <v>237</v>
      </c>
      <c r="F23" t="n">
        <v>142</v>
      </c>
      <c r="G23" t="n">
        <v>160</v>
      </c>
      <c r="H23" t="n">
        <v>191</v>
      </c>
      <c r="I23" t="n">
        <v>169</v>
      </c>
      <c r="J23" t="n">
        <v>251</v>
      </c>
      <c r="K23" t="n">
        <v>293</v>
      </c>
      <c r="L23" t="n">
        <v>278</v>
      </c>
      <c r="M23" t="n">
        <v>280</v>
      </c>
      <c r="N23" t="n">
        <v>338</v>
      </c>
      <c r="O23" t="n">
        <v>333</v>
      </c>
      <c r="P23" t="n">
        <v>392</v>
      </c>
      <c r="Q23" t="n">
        <v>424</v>
      </c>
      <c r="R23" t="n">
        <v>487</v>
      </c>
      <c r="S23" t="n">
        <v>538</v>
      </c>
      <c r="T23" t="n">
        <v>373</v>
      </c>
      <c r="U23" t="n">
        <v>310</v>
      </c>
      <c r="V23" t="n">
        <v>455</v>
      </c>
      <c r="W23" t="n">
        <v>475</v>
      </c>
      <c r="X23" t="n">
        <v>461</v>
      </c>
      <c r="Y23" t="n">
        <v>449</v>
      </c>
      <c r="Z23" t="n">
        <v>432</v>
      </c>
      <c r="AA23" t="n">
        <v>566</v>
      </c>
      <c r="AB23" t="n">
        <v>613</v>
      </c>
      <c r="AC23" t="n">
        <v>713</v>
      </c>
      <c r="AD23" t="n">
        <v>787</v>
      </c>
      <c r="AE23" t="n">
        <v>777</v>
      </c>
      <c r="AF23" t="n">
        <v>858</v>
      </c>
    </row>
    <row r="24">
      <c r="A24" t="s">
        <v>34</v>
      </c>
      <c r="B24" t="s">
        <v>318</v>
      </c>
      <c r="C24" t="s">
        <v>236</v>
      </c>
      <c r="D24" t="s">
        <v>319</v>
      </c>
      <c r="E24" t="s">
        <v>237</v>
      </c>
      <c r="F24" t="n">
        <v>246</v>
      </c>
      <c r="G24" t="n">
        <v>280</v>
      </c>
      <c r="H24" t="n">
        <v>436</v>
      </c>
      <c r="I24" t="n">
        <v>435</v>
      </c>
      <c r="J24" t="n">
        <v>436</v>
      </c>
      <c r="K24" t="n">
        <v>422</v>
      </c>
      <c r="L24" t="n">
        <v>435</v>
      </c>
      <c r="M24" t="n">
        <v>431</v>
      </c>
      <c r="N24" t="n">
        <v>433</v>
      </c>
      <c r="O24" t="n">
        <v>333</v>
      </c>
      <c r="P24" t="n">
        <v>357</v>
      </c>
      <c r="Q24" t="n">
        <v>313</v>
      </c>
      <c r="R24" t="n">
        <v>441</v>
      </c>
      <c r="S24" t="n">
        <v>476</v>
      </c>
      <c r="T24" t="n">
        <v>465</v>
      </c>
      <c r="U24" t="n">
        <v>373</v>
      </c>
      <c r="V24" t="n">
        <v>549</v>
      </c>
      <c r="W24" t="n">
        <v>672</v>
      </c>
      <c r="X24" t="n">
        <v>530</v>
      </c>
      <c r="Y24" t="n">
        <v>623</v>
      </c>
      <c r="Z24" t="n">
        <v>482</v>
      </c>
      <c r="AA24" t="n">
        <v>770</v>
      </c>
      <c r="AB24" t="n">
        <v>801</v>
      </c>
      <c r="AC24" t="n">
        <v>893</v>
      </c>
      <c r="AD24" t="n">
        <v>846</v>
      </c>
      <c r="AE24" t="n">
        <v>822</v>
      </c>
      <c r="AF24" t="n">
        <v>877</v>
      </c>
    </row>
    <row r="25">
      <c r="A25" t="s">
        <v>34</v>
      </c>
      <c r="B25" t="s">
        <v>320</v>
      </c>
      <c r="C25" t="s">
        <v>236</v>
      </c>
      <c r="D25" t="s">
        <v>321</v>
      </c>
      <c r="E25" t="s">
        <v>237</v>
      </c>
      <c r="F25" t="n">
        <v>34</v>
      </c>
      <c r="G25" t="n">
        <v>36</v>
      </c>
      <c r="H25" t="n">
        <v>59</v>
      </c>
      <c r="I25" t="n">
        <v>68</v>
      </c>
      <c r="J25" t="n">
        <v>64</v>
      </c>
      <c r="K25" t="n">
        <v>59</v>
      </c>
      <c r="L25" t="n">
        <v>61</v>
      </c>
      <c r="M25" t="n">
        <v>60</v>
      </c>
      <c r="N25" t="n">
        <v>58</v>
      </c>
      <c r="O25" t="n">
        <v>54</v>
      </c>
      <c r="P25" t="n">
        <v>43</v>
      </c>
      <c r="Q25" t="n">
        <v>58</v>
      </c>
      <c r="R25" t="n">
        <v>42</v>
      </c>
      <c r="S25" t="n">
        <v>38</v>
      </c>
      <c r="T25" t="n">
        <v>60</v>
      </c>
      <c r="U25" t="n">
        <v>67</v>
      </c>
      <c r="V25" t="n">
        <v>114</v>
      </c>
      <c r="W25" t="n">
        <v>85</v>
      </c>
      <c r="X25" t="n">
        <v>65</v>
      </c>
      <c r="Y25" t="n">
        <v>88</v>
      </c>
      <c r="Z25" t="n">
        <v>64</v>
      </c>
      <c r="AA25" t="n">
        <v>120</v>
      </c>
      <c r="AB25" t="n">
        <v>93</v>
      </c>
      <c r="AC25" t="n">
        <v>112</v>
      </c>
      <c r="AD25" t="n">
        <v>127</v>
      </c>
      <c r="AE25" t="n">
        <v>132</v>
      </c>
      <c r="AF25" t="n">
        <v>139</v>
      </c>
    </row>
    <row r="26">
      <c r="A26" t="s">
        <v>34</v>
      </c>
      <c r="B26" t="s">
        <v>322</v>
      </c>
      <c r="C26" t="s">
        <v>236</v>
      </c>
      <c r="D26" t="s">
        <v>323</v>
      </c>
      <c r="E26" t="s">
        <v>237</v>
      </c>
      <c r="F26" t="n">
        <v>91</v>
      </c>
      <c r="G26" t="n">
        <v>117</v>
      </c>
      <c r="H26" t="n">
        <v>211</v>
      </c>
      <c r="I26" t="n">
        <v>178</v>
      </c>
      <c r="J26" t="n">
        <v>161</v>
      </c>
      <c r="K26" t="n">
        <v>172</v>
      </c>
      <c r="L26" t="n">
        <v>177</v>
      </c>
      <c r="M26" t="n">
        <v>180</v>
      </c>
      <c r="N26" t="n">
        <v>160</v>
      </c>
      <c r="O26" t="n">
        <v>118</v>
      </c>
      <c r="P26" t="n">
        <v>129</v>
      </c>
      <c r="Q26" t="n">
        <v>91</v>
      </c>
      <c r="R26" t="n">
        <v>217</v>
      </c>
      <c r="S26" t="n">
        <v>251</v>
      </c>
      <c r="T26" t="n">
        <v>206</v>
      </c>
      <c r="U26" t="n">
        <v>153</v>
      </c>
      <c r="V26" t="n">
        <v>236</v>
      </c>
      <c r="W26" t="n">
        <v>296</v>
      </c>
      <c r="X26" t="n">
        <v>241</v>
      </c>
      <c r="Y26" t="n">
        <v>291</v>
      </c>
      <c r="Z26" t="n">
        <v>198</v>
      </c>
      <c r="AA26" t="n">
        <v>357</v>
      </c>
      <c r="AB26" t="n">
        <v>433</v>
      </c>
      <c r="AC26" t="n">
        <v>462</v>
      </c>
      <c r="AD26" t="n">
        <v>408</v>
      </c>
      <c r="AE26" t="n">
        <v>363</v>
      </c>
      <c r="AF26" t="n">
        <v>338</v>
      </c>
    </row>
    <row r="27">
      <c r="A27" t="s">
        <v>34</v>
      </c>
      <c r="B27" t="s">
        <v>324</v>
      </c>
      <c r="C27" t="s">
        <v>236</v>
      </c>
      <c r="D27" t="s">
        <v>325</v>
      </c>
      <c r="E27" t="s">
        <v>237</v>
      </c>
      <c r="F27" t="n">
        <v>121</v>
      </c>
      <c r="G27" t="n">
        <v>127</v>
      </c>
      <c r="H27" t="n">
        <v>166</v>
      </c>
      <c r="I27" t="n">
        <v>189</v>
      </c>
      <c r="J27" t="n">
        <v>211</v>
      </c>
      <c r="K27" t="n">
        <v>191</v>
      </c>
      <c r="L27" t="n">
        <v>197</v>
      </c>
      <c r="M27" t="n">
        <v>191</v>
      </c>
      <c r="N27" t="n">
        <v>215</v>
      </c>
      <c r="O27" t="n">
        <v>161</v>
      </c>
      <c r="P27" t="n">
        <v>185</v>
      </c>
      <c r="Q27" t="n">
        <v>164</v>
      </c>
      <c r="R27" t="n">
        <v>182</v>
      </c>
      <c r="S27" t="n">
        <v>187</v>
      </c>
      <c r="T27" t="n">
        <v>199</v>
      </c>
      <c r="U27" t="n">
        <v>153</v>
      </c>
      <c r="V27" t="n">
        <v>199</v>
      </c>
      <c r="W27" t="n">
        <v>291</v>
      </c>
      <c r="X27" t="n">
        <v>224</v>
      </c>
      <c r="Y27" t="n">
        <v>244</v>
      </c>
      <c r="Z27" t="n">
        <v>220</v>
      </c>
      <c r="AA27" t="n">
        <v>293</v>
      </c>
      <c r="AB27" t="n">
        <v>275</v>
      </c>
      <c r="AC27" t="n">
        <v>319</v>
      </c>
      <c r="AD27" t="n">
        <v>311</v>
      </c>
      <c r="AE27" t="n">
        <v>327</v>
      </c>
      <c r="AF27" t="n">
        <v>400</v>
      </c>
    </row>
    <row r="28">
      <c r="A28" t="s">
        <v>34</v>
      </c>
      <c r="B28" t="s">
        <v>326</v>
      </c>
      <c r="C28" t="s">
        <v>236</v>
      </c>
      <c r="D28" t="s">
        <v>327</v>
      </c>
      <c r="E28" t="s">
        <v>237</v>
      </c>
      <c r="F28" t="n">
        <v>158</v>
      </c>
      <c r="G28" t="n">
        <v>165</v>
      </c>
      <c r="H28" t="n">
        <v>186</v>
      </c>
      <c r="I28" t="n">
        <v>240</v>
      </c>
      <c r="J28" t="n">
        <v>196</v>
      </c>
      <c r="K28" t="n">
        <v>201</v>
      </c>
      <c r="L28" t="n">
        <v>205</v>
      </c>
      <c r="M28" t="n">
        <v>229</v>
      </c>
      <c r="N28" t="n">
        <v>267</v>
      </c>
      <c r="O28" t="n">
        <v>222</v>
      </c>
      <c r="P28" t="n">
        <v>202</v>
      </c>
      <c r="Q28" t="n">
        <v>169</v>
      </c>
      <c r="R28" t="n">
        <v>182</v>
      </c>
      <c r="S28" t="n">
        <v>181</v>
      </c>
      <c r="T28" t="n">
        <v>240</v>
      </c>
      <c r="U28" t="n">
        <v>205</v>
      </c>
      <c r="V28" t="n">
        <v>263</v>
      </c>
      <c r="W28" t="n">
        <v>192</v>
      </c>
      <c r="X28" t="n">
        <v>156</v>
      </c>
      <c r="Y28" t="n">
        <v>253</v>
      </c>
      <c r="Z28" t="n">
        <v>185</v>
      </c>
      <c r="AA28" t="n">
        <v>269</v>
      </c>
      <c r="AB28" t="n">
        <v>216</v>
      </c>
      <c r="AC28" t="n">
        <v>247</v>
      </c>
      <c r="AD28" t="n">
        <v>344</v>
      </c>
      <c r="AE28" t="n">
        <v>268</v>
      </c>
      <c r="AF28" t="n">
        <v>331</v>
      </c>
    </row>
    <row r="29">
      <c r="A29" t="s">
        <v>34</v>
      </c>
      <c r="B29" t="s">
        <v>328</v>
      </c>
      <c r="C29" t="s">
        <v>236</v>
      </c>
      <c r="D29" t="s">
        <v>329</v>
      </c>
      <c r="E29" t="s">
        <v>237</v>
      </c>
      <c r="F29" t="n">
        <v>90</v>
      </c>
      <c r="G29" t="n">
        <v>93</v>
      </c>
      <c r="H29" t="n">
        <v>108</v>
      </c>
      <c r="I29" t="n">
        <v>147</v>
      </c>
      <c r="J29" t="n">
        <v>94</v>
      </c>
      <c r="K29" t="n">
        <v>103</v>
      </c>
      <c r="L29" t="n">
        <v>106</v>
      </c>
      <c r="M29" t="n">
        <v>125</v>
      </c>
      <c r="N29" t="n">
        <v>153</v>
      </c>
      <c r="O29" t="n">
        <v>136</v>
      </c>
      <c r="P29" t="n">
        <v>116</v>
      </c>
      <c r="Q29" t="n">
        <v>82</v>
      </c>
      <c r="R29" t="n">
        <v>74</v>
      </c>
      <c r="S29" t="n">
        <v>96</v>
      </c>
      <c r="T29" t="n">
        <v>84</v>
      </c>
      <c r="U29" t="n">
        <v>81</v>
      </c>
      <c r="V29" t="n">
        <v>108</v>
      </c>
      <c r="W29" t="n">
        <v>75</v>
      </c>
      <c r="X29" t="n">
        <v>64</v>
      </c>
      <c r="Y29" t="n">
        <v>95</v>
      </c>
      <c r="Z29" t="n">
        <v>32</v>
      </c>
      <c r="AA29" t="n">
        <v>70</v>
      </c>
      <c r="AB29" t="n">
        <v>73</v>
      </c>
      <c r="AC29" t="n">
        <v>72</v>
      </c>
      <c r="AD29" t="n">
        <v>130</v>
      </c>
      <c r="AE29" t="n">
        <v>78</v>
      </c>
      <c r="AF29" t="n">
        <v>75</v>
      </c>
    </row>
    <row r="30">
      <c r="A30" t="s">
        <v>34</v>
      </c>
      <c r="B30" t="s">
        <v>330</v>
      </c>
      <c r="C30" t="s">
        <v>236</v>
      </c>
      <c r="D30" t="s">
        <v>331</v>
      </c>
      <c r="E30" t="s">
        <v>237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</v>
      </c>
      <c r="M30" t="n">
        <v>7</v>
      </c>
      <c r="N30" t="n">
        <v>7</v>
      </c>
      <c r="O30" t="n">
        <v>8</v>
      </c>
      <c r="P30" t="n">
        <v>10</v>
      </c>
      <c r="Q30" t="n">
        <v>20</v>
      </c>
      <c r="R30" t="n">
        <v>19</v>
      </c>
      <c r="S30" t="n">
        <v>16</v>
      </c>
      <c r="T30" t="n">
        <v>7</v>
      </c>
      <c r="U30" t="n">
        <v>4</v>
      </c>
      <c r="V30" t="n">
        <v>26</v>
      </c>
      <c r="W30" t="n">
        <v>29</v>
      </c>
      <c r="X30" t="n">
        <v>24</v>
      </c>
      <c r="Y30" t="n">
        <v>10</v>
      </c>
      <c r="Z30" t="n">
        <v>18</v>
      </c>
      <c r="AA30" t="n">
        <v>21</v>
      </c>
      <c r="AB30" t="n">
        <v>8</v>
      </c>
      <c r="AC30" t="n">
        <v>23</v>
      </c>
      <c r="AD30" t="n">
        <v>24</v>
      </c>
      <c r="AE30" t="n">
        <v>13</v>
      </c>
      <c r="AF30" t="n">
        <v>17</v>
      </c>
    </row>
    <row r="31">
      <c r="A31" t="s">
        <v>34</v>
      </c>
      <c r="B31" t="s">
        <v>332</v>
      </c>
      <c r="C31" t="s">
        <v>236</v>
      </c>
      <c r="D31" t="s">
        <v>333</v>
      </c>
      <c r="E31" t="s">
        <v>237</v>
      </c>
      <c r="F31" t="n">
        <v>8</v>
      </c>
      <c r="G31" t="n">
        <v>10</v>
      </c>
      <c r="H31" t="n">
        <v>10</v>
      </c>
      <c r="I31" t="n">
        <v>16</v>
      </c>
      <c r="J31" t="n">
        <v>14</v>
      </c>
      <c r="K31" t="n">
        <v>7</v>
      </c>
      <c r="L31" t="n">
        <v>13</v>
      </c>
      <c r="M31" t="n">
        <v>5</v>
      </c>
      <c r="N31" t="n">
        <v>5</v>
      </c>
      <c r="O31" t="n">
        <v>6</v>
      </c>
      <c r="P31" t="n">
        <v>8</v>
      </c>
      <c r="Q31" t="n">
        <v>11</v>
      </c>
      <c r="R31" t="n">
        <v>12</v>
      </c>
      <c r="S31" t="n">
        <v>12</v>
      </c>
      <c r="T31" t="n">
        <v>14</v>
      </c>
      <c r="U31" t="n">
        <v>1</v>
      </c>
      <c r="V31" t="n">
        <v>1</v>
      </c>
      <c r="W31" t="n">
        <v>0</v>
      </c>
      <c r="X31" t="n">
        <v>1</v>
      </c>
      <c r="Y31" t="n">
        <v>1</v>
      </c>
      <c r="Z31" t="n">
        <v>1</v>
      </c>
      <c r="AA31" t="n">
        <v>2</v>
      </c>
      <c r="AB31" t="n">
        <v>4</v>
      </c>
      <c r="AC31" t="n">
        <v>4</v>
      </c>
      <c r="AD31" t="n">
        <v>5</v>
      </c>
      <c r="AE31" t="n">
        <v>4</v>
      </c>
      <c r="AF31" t="n">
        <v>3</v>
      </c>
    </row>
    <row r="32">
      <c r="A32" t="s">
        <v>34</v>
      </c>
      <c r="B32" t="s">
        <v>334</v>
      </c>
      <c r="C32" t="s">
        <v>236</v>
      </c>
      <c r="D32" t="s">
        <v>335</v>
      </c>
      <c r="E32" t="s">
        <v>237</v>
      </c>
      <c r="F32" t="n">
        <v>54</v>
      </c>
      <c r="G32" t="n">
        <v>53</v>
      </c>
      <c r="H32" t="n">
        <v>50</v>
      </c>
      <c r="I32" t="n">
        <v>58</v>
      </c>
      <c r="J32" t="n">
        <v>63</v>
      </c>
      <c r="K32" t="n">
        <v>65</v>
      </c>
      <c r="L32" t="n">
        <v>55</v>
      </c>
      <c r="M32" t="n">
        <v>65</v>
      </c>
      <c r="N32" t="n">
        <v>84</v>
      </c>
      <c r="O32" t="n">
        <v>68</v>
      </c>
      <c r="P32" t="n">
        <v>67</v>
      </c>
      <c r="Q32" t="n">
        <v>55</v>
      </c>
      <c r="R32" t="n">
        <v>75</v>
      </c>
      <c r="S32" t="n">
        <v>55</v>
      </c>
      <c r="T32" t="n">
        <v>131</v>
      </c>
      <c r="U32" t="n">
        <v>114</v>
      </c>
      <c r="V32" t="n">
        <v>126</v>
      </c>
      <c r="W32" t="n">
        <v>86</v>
      </c>
      <c r="X32" t="n">
        <v>62</v>
      </c>
      <c r="Y32" t="n">
        <v>140</v>
      </c>
      <c r="Z32" t="n">
        <v>125</v>
      </c>
      <c r="AA32" t="n">
        <v>165</v>
      </c>
      <c r="AB32" t="n">
        <v>121</v>
      </c>
      <c r="AC32" t="n">
        <v>136</v>
      </c>
      <c r="AD32" t="n">
        <v>175</v>
      </c>
      <c r="AE32" t="n">
        <v>162</v>
      </c>
      <c r="AF32" t="n">
        <v>227</v>
      </c>
    </row>
    <row r="33">
      <c r="A33" t="s">
        <v>34</v>
      </c>
      <c r="B33" t="s">
        <v>336</v>
      </c>
      <c r="C33" t="s">
        <v>236</v>
      </c>
      <c r="D33" t="s">
        <v>337</v>
      </c>
      <c r="E33" t="s">
        <v>237</v>
      </c>
      <c r="F33" t="n">
        <v>6</v>
      </c>
      <c r="G33" t="n">
        <v>9</v>
      </c>
      <c r="H33" t="n">
        <v>18</v>
      </c>
      <c r="I33" t="n">
        <v>19</v>
      </c>
      <c r="J33" t="n">
        <v>25</v>
      </c>
      <c r="K33" t="n">
        <v>26</v>
      </c>
      <c r="L33" t="n">
        <v>24</v>
      </c>
      <c r="M33" t="n">
        <v>27</v>
      </c>
      <c r="N33" t="n">
        <v>18</v>
      </c>
      <c r="O33" t="n">
        <v>4</v>
      </c>
      <c r="P33" t="n">
        <v>1</v>
      </c>
      <c r="Q33" t="n">
        <v>1</v>
      </c>
      <c r="R33" t="n">
        <v>2</v>
      </c>
      <c r="S33" t="n">
        <v>2</v>
      </c>
      <c r="T33" t="n">
        <v>4</v>
      </c>
      <c r="U33" t="n">
        <v>5</v>
      </c>
      <c r="V33" t="n">
        <v>2</v>
      </c>
      <c r="W33" t="n">
        <v>2</v>
      </c>
      <c r="X33" t="n">
        <v>5</v>
      </c>
      <c r="Y33" t="n">
        <v>7</v>
      </c>
      <c r="Z33" t="n">
        <v>9</v>
      </c>
      <c r="AA33" t="n">
        <v>11</v>
      </c>
      <c r="AB33" t="n">
        <v>10</v>
      </c>
      <c r="AC33" t="n">
        <v>12</v>
      </c>
      <c r="AD33" t="n">
        <v>10</v>
      </c>
      <c r="AE33" t="n">
        <v>11</v>
      </c>
      <c r="AF33" t="n">
        <v>9</v>
      </c>
    </row>
    <row r="34">
      <c r="A34" t="s">
        <v>34</v>
      </c>
      <c r="B34" t="s">
        <v>338</v>
      </c>
      <c r="C34" t="s">
        <v>236</v>
      </c>
      <c r="D34" t="s">
        <v>339</v>
      </c>
      <c r="E34" t="s">
        <v>237</v>
      </c>
      <c r="F34" t="n">
        <v>36</v>
      </c>
      <c r="G34" t="n">
        <v>46</v>
      </c>
      <c r="H34" t="n">
        <v>66</v>
      </c>
      <c r="I34" t="n">
        <v>85</v>
      </c>
      <c r="J34" t="n">
        <v>68</v>
      </c>
      <c r="K34" t="n">
        <v>70</v>
      </c>
      <c r="L34" t="n">
        <v>66</v>
      </c>
      <c r="M34" t="n">
        <v>66</v>
      </c>
      <c r="N34" t="n">
        <v>75</v>
      </c>
      <c r="O34" t="n">
        <v>63</v>
      </c>
      <c r="P34" t="n">
        <v>74</v>
      </c>
      <c r="Q34" t="n">
        <v>91</v>
      </c>
      <c r="R34" t="n">
        <v>88</v>
      </c>
      <c r="S34" t="n">
        <v>97</v>
      </c>
      <c r="T34" t="n">
        <v>79</v>
      </c>
      <c r="U34" t="n">
        <v>60</v>
      </c>
      <c r="V34" t="n">
        <v>85</v>
      </c>
      <c r="W34" t="n">
        <v>97</v>
      </c>
      <c r="X34" t="n">
        <v>82</v>
      </c>
      <c r="Y34" t="n">
        <v>92</v>
      </c>
      <c r="Z34" t="n">
        <v>96</v>
      </c>
      <c r="AA34" t="n">
        <v>131</v>
      </c>
      <c r="AB34" t="n">
        <v>116</v>
      </c>
      <c r="AC34" t="n">
        <v>156</v>
      </c>
      <c r="AD34" t="n">
        <v>156</v>
      </c>
      <c r="AE34" t="n">
        <v>138</v>
      </c>
      <c r="AF34" t="n">
        <v>155</v>
      </c>
    </row>
    <row r="35">
      <c r="A35" t="s">
        <v>34</v>
      </c>
      <c r="B35" t="s">
        <v>340</v>
      </c>
      <c r="C35" t="s">
        <v>236</v>
      </c>
      <c r="D35" t="s">
        <v>341</v>
      </c>
      <c r="E35" t="s">
        <v>237</v>
      </c>
      <c r="F35" t="n">
        <v>152</v>
      </c>
      <c r="G35" t="n">
        <v>187</v>
      </c>
      <c r="H35" t="n">
        <v>259</v>
      </c>
      <c r="I35" t="n">
        <v>252</v>
      </c>
      <c r="J35" t="n">
        <v>240</v>
      </c>
      <c r="K35" t="n">
        <v>347</v>
      </c>
      <c r="L35" t="n">
        <v>408</v>
      </c>
      <c r="M35" t="n">
        <v>369</v>
      </c>
      <c r="N35" t="n">
        <v>204</v>
      </c>
      <c r="O35" t="n">
        <v>210</v>
      </c>
      <c r="P35" t="n">
        <v>197</v>
      </c>
      <c r="Q35" t="n">
        <v>167</v>
      </c>
      <c r="R35" t="n">
        <v>168</v>
      </c>
      <c r="S35" t="n">
        <v>213</v>
      </c>
      <c r="T35" t="n">
        <v>194</v>
      </c>
      <c r="U35" t="n">
        <v>227</v>
      </c>
      <c r="V35" t="n">
        <v>263</v>
      </c>
      <c r="W35" t="n">
        <v>319</v>
      </c>
      <c r="X35" t="n">
        <v>279</v>
      </c>
      <c r="Y35" t="n">
        <v>270</v>
      </c>
      <c r="Z35" t="n">
        <v>278</v>
      </c>
      <c r="AA35" t="n">
        <v>310</v>
      </c>
      <c r="AB35" t="n">
        <v>277</v>
      </c>
      <c r="AC35" t="n">
        <v>310</v>
      </c>
      <c r="AD35" t="n">
        <v>291</v>
      </c>
      <c r="AE35" t="n">
        <v>372</v>
      </c>
      <c r="AF35" t="n">
        <v>470</v>
      </c>
    </row>
    <row r="36">
      <c r="A36" t="s">
        <v>34</v>
      </c>
      <c r="B36" t="s">
        <v>342</v>
      </c>
      <c r="C36" t="s">
        <v>236</v>
      </c>
      <c r="D36" t="s">
        <v>343</v>
      </c>
      <c r="E36" t="s">
        <v>237</v>
      </c>
      <c r="F36" t="n">
        <v>32</v>
      </c>
      <c r="G36" t="n">
        <v>43</v>
      </c>
      <c r="H36" t="n">
        <v>75</v>
      </c>
      <c r="I36" t="n">
        <v>62</v>
      </c>
      <c r="J36" t="n">
        <v>14</v>
      </c>
      <c r="K36" t="n">
        <v>57</v>
      </c>
      <c r="L36" t="n">
        <v>56</v>
      </c>
      <c r="M36" t="n">
        <v>44</v>
      </c>
      <c r="N36" t="n">
        <v>38</v>
      </c>
      <c r="O36" t="n">
        <v>29</v>
      </c>
      <c r="P36" t="n">
        <v>39</v>
      </c>
      <c r="Q36" t="n">
        <v>27</v>
      </c>
      <c r="R36" t="n">
        <v>24</v>
      </c>
      <c r="S36" t="n">
        <v>24</v>
      </c>
      <c r="T36" t="n">
        <v>28</v>
      </c>
      <c r="U36" t="n">
        <v>45</v>
      </c>
      <c r="V36" t="n">
        <v>38</v>
      </c>
      <c r="W36" t="n">
        <v>55</v>
      </c>
      <c r="X36" t="n">
        <v>40</v>
      </c>
      <c r="Y36" t="n">
        <v>39</v>
      </c>
      <c r="Z36" t="n">
        <v>46</v>
      </c>
      <c r="AA36" t="n">
        <v>48</v>
      </c>
      <c r="AB36" t="n">
        <v>49</v>
      </c>
      <c r="AC36" t="n">
        <v>32</v>
      </c>
      <c r="AD36" t="n">
        <v>22</v>
      </c>
      <c r="AE36" t="n">
        <v>17</v>
      </c>
      <c r="AF36" t="n">
        <v>43</v>
      </c>
    </row>
    <row r="37">
      <c r="A37" t="s">
        <v>34</v>
      </c>
      <c r="B37" t="s">
        <v>344</v>
      </c>
      <c r="C37" t="s">
        <v>236</v>
      </c>
      <c r="D37" t="s">
        <v>345</v>
      </c>
      <c r="E37" t="s">
        <v>237</v>
      </c>
      <c r="F37" t="n">
        <v>91</v>
      </c>
      <c r="G37" t="n">
        <v>119</v>
      </c>
      <c r="H37" t="n">
        <v>141</v>
      </c>
      <c r="I37" t="n">
        <v>131</v>
      </c>
      <c r="J37" t="n">
        <v>149</v>
      </c>
      <c r="K37" t="n">
        <v>200</v>
      </c>
      <c r="L37" t="n">
        <v>214</v>
      </c>
      <c r="M37" t="n">
        <v>233</v>
      </c>
      <c r="N37" t="n">
        <v>87</v>
      </c>
      <c r="O37" t="n">
        <v>118</v>
      </c>
      <c r="P37" t="n">
        <v>86</v>
      </c>
      <c r="Q37" t="n">
        <v>77</v>
      </c>
      <c r="R37" t="n">
        <v>79</v>
      </c>
      <c r="S37" t="n">
        <v>140</v>
      </c>
      <c r="T37" t="n">
        <v>141</v>
      </c>
      <c r="U37" t="n">
        <v>135</v>
      </c>
      <c r="V37" t="n">
        <v>170</v>
      </c>
      <c r="W37" t="n">
        <v>162</v>
      </c>
      <c r="X37" t="n">
        <v>150</v>
      </c>
      <c r="Y37" t="n">
        <v>153</v>
      </c>
      <c r="Z37" t="n">
        <v>141</v>
      </c>
      <c r="AA37" t="n">
        <v>185</v>
      </c>
      <c r="AB37" t="n">
        <v>178</v>
      </c>
      <c r="AC37" t="n">
        <v>184</v>
      </c>
      <c r="AD37" t="n">
        <v>194</v>
      </c>
      <c r="AE37" t="n">
        <v>269</v>
      </c>
      <c r="AF37" t="n">
        <v>306</v>
      </c>
    </row>
    <row r="38">
      <c r="A38" t="s">
        <v>34</v>
      </c>
      <c r="B38" t="s">
        <v>346</v>
      </c>
      <c r="C38" t="s">
        <v>236</v>
      </c>
      <c r="D38" t="s">
        <v>347</v>
      </c>
      <c r="E38" t="s">
        <v>237</v>
      </c>
      <c r="F38" t="n">
        <v>29</v>
      </c>
      <c r="G38" t="n">
        <v>25</v>
      </c>
      <c r="H38" t="n">
        <v>43</v>
      </c>
      <c r="I38" t="n">
        <v>59</v>
      </c>
      <c r="J38" t="n">
        <v>77</v>
      </c>
      <c r="K38" t="n">
        <v>90</v>
      </c>
      <c r="L38" t="n">
        <v>138</v>
      </c>
      <c r="M38" t="n">
        <v>92</v>
      </c>
      <c r="N38" t="n">
        <v>79</v>
      </c>
      <c r="O38" t="n">
        <v>63</v>
      </c>
      <c r="P38" t="n">
        <v>72</v>
      </c>
      <c r="Q38" t="n">
        <v>63</v>
      </c>
      <c r="R38" t="n">
        <v>65</v>
      </c>
      <c r="S38" t="n">
        <v>49</v>
      </c>
      <c r="T38" t="n">
        <v>25</v>
      </c>
      <c r="U38" t="n">
        <v>47</v>
      </c>
      <c r="V38" t="n">
        <v>55</v>
      </c>
      <c r="W38" t="n">
        <v>102</v>
      </c>
      <c r="X38" t="n">
        <v>89</v>
      </c>
      <c r="Y38" t="n">
        <v>78</v>
      </c>
      <c r="Z38" t="n">
        <v>91</v>
      </c>
      <c r="AA38" t="n">
        <v>77</v>
      </c>
      <c r="AB38" t="n">
        <v>50</v>
      </c>
      <c r="AC38" t="n">
        <v>94</v>
      </c>
      <c r="AD38" t="n">
        <v>75</v>
      </c>
      <c r="AE38" t="n">
        <v>86</v>
      </c>
      <c r="AF38" t="n">
        <v>121</v>
      </c>
    </row>
    <row r="39">
      <c r="A39" t="s">
        <v>34</v>
      </c>
      <c r="B39" t="s">
        <v>348</v>
      </c>
      <c r="C39" t="s">
        <v>236</v>
      </c>
      <c r="D39" t="s">
        <v>349</v>
      </c>
      <c r="E39" t="s">
        <v>237</v>
      </c>
      <c r="F39" t="n">
        <v>10</v>
      </c>
      <c r="G39" t="n">
        <v>38</v>
      </c>
      <c r="H39" t="n">
        <v>5</v>
      </c>
      <c r="I39" t="n">
        <v>11</v>
      </c>
      <c r="J39" t="n">
        <v>14</v>
      </c>
      <c r="K39" t="n">
        <v>10</v>
      </c>
      <c r="L39" t="n">
        <v>6</v>
      </c>
      <c r="M39" t="n">
        <v>115</v>
      </c>
      <c r="N39" t="n">
        <v>10</v>
      </c>
      <c r="O39" t="n">
        <v>4</v>
      </c>
      <c r="P39" t="n">
        <v>9</v>
      </c>
      <c r="Q39" t="n">
        <v>60</v>
      </c>
      <c r="R39" t="n">
        <v>33</v>
      </c>
      <c r="S39" t="n">
        <v>41</v>
      </c>
      <c r="T39" t="n">
        <v>26</v>
      </c>
      <c r="U39" t="n">
        <v>-55</v>
      </c>
      <c r="V39" t="n">
        <v>-32</v>
      </c>
      <c r="W39" t="n">
        <v>23</v>
      </c>
      <c r="X39" t="n">
        <v>19</v>
      </c>
      <c r="Y39" t="n">
        <v>10</v>
      </c>
      <c r="Z39" t="n">
        <v>9</v>
      </c>
      <c r="AA39" t="n">
        <v>9</v>
      </c>
      <c r="AB39" t="n">
        <v>57</v>
      </c>
      <c r="AC39" t="n">
        <v>34</v>
      </c>
      <c r="AD39" t="n">
        <v>53</v>
      </c>
      <c r="AE39" t="n">
        <v>42</v>
      </c>
      <c r="AF39" t="n">
        <v>37</v>
      </c>
    </row>
    <row r="40">
      <c r="A40" t="s">
        <v>34</v>
      </c>
      <c r="B40" t="s">
        <v>350</v>
      </c>
      <c r="C40" t="s">
        <v>236</v>
      </c>
      <c r="D40" t="s">
        <v>351</v>
      </c>
      <c r="E40" t="s">
        <v>237</v>
      </c>
      <c r="F40" t="n">
        <v>24</v>
      </c>
      <c r="G40" t="n">
        <v>28</v>
      </c>
      <c r="H40" t="n">
        <v>33</v>
      </c>
      <c r="I40" t="n">
        <v>19</v>
      </c>
      <c r="J40" t="n">
        <v>22</v>
      </c>
      <c r="K40" t="n">
        <v>54</v>
      </c>
      <c r="L40" t="n">
        <v>40</v>
      </c>
      <c r="M40" t="n">
        <v>64</v>
      </c>
      <c r="N40" t="n">
        <v>102</v>
      </c>
      <c r="O40" t="n">
        <v>78</v>
      </c>
      <c r="P40" t="n">
        <v>113</v>
      </c>
      <c r="Q40" t="n">
        <v>113</v>
      </c>
      <c r="R40" t="n">
        <v>85</v>
      </c>
      <c r="S40" t="n">
        <v>155</v>
      </c>
      <c r="T40" t="n">
        <v>151</v>
      </c>
      <c r="U40" t="n">
        <v>80</v>
      </c>
      <c r="V40" t="n">
        <v>76</v>
      </c>
      <c r="W40" t="n">
        <v>83</v>
      </c>
      <c r="X40" t="n">
        <v>95</v>
      </c>
      <c r="Y40" t="n">
        <v>103</v>
      </c>
      <c r="Z40" t="n">
        <v>117</v>
      </c>
      <c r="AA40" t="n">
        <v>132</v>
      </c>
      <c r="AB40" t="n">
        <v>161</v>
      </c>
      <c r="AC40" t="n">
        <v>288</v>
      </c>
      <c r="AD40" t="n">
        <v>253</v>
      </c>
      <c r="AE40" t="n">
        <v>229</v>
      </c>
      <c r="AF40" t="n">
        <v>255</v>
      </c>
    </row>
    <row r="41">
      <c r="A41" t="s">
        <v>34</v>
      </c>
      <c r="B41" t="s">
        <v>352</v>
      </c>
      <c r="C41" t="s">
        <v>236</v>
      </c>
      <c r="D41" t="s">
        <v>353</v>
      </c>
      <c r="E41" t="s">
        <v>237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/>
      <c r="AD41"/>
      <c r="AE41"/>
      <c r="AF41"/>
    </row>
    <row r="42">
      <c r="A42" t="s">
        <v>34</v>
      </c>
      <c r="B42" t="s">
        <v>354</v>
      </c>
      <c r="C42" t="s">
        <v>236</v>
      </c>
      <c r="D42" t="s">
        <v>355</v>
      </c>
      <c r="E42" t="s">
        <v>237</v>
      </c>
      <c r="F42" t="n">
        <v>103</v>
      </c>
      <c r="G42" t="n">
        <v>112</v>
      </c>
      <c r="H42" t="n">
        <v>134</v>
      </c>
      <c r="I42" t="n">
        <v>147</v>
      </c>
      <c r="J42" t="n">
        <v>149</v>
      </c>
      <c r="K42" t="n">
        <v>156</v>
      </c>
      <c r="L42" t="n">
        <v>155</v>
      </c>
      <c r="M42" t="n">
        <v>178</v>
      </c>
      <c r="N42" t="n">
        <v>160</v>
      </c>
      <c r="O42" t="n">
        <v>168</v>
      </c>
      <c r="P42" t="n">
        <v>153</v>
      </c>
      <c r="Q42" t="n">
        <v>125</v>
      </c>
      <c r="R42" t="n">
        <v>210</v>
      </c>
      <c r="S42" t="n">
        <v>154</v>
      </c>
      <c r="T42" t="n">
        <v>104</v>
      </c>
      <c r="U42" t="n">
        <v>155</v>
      </c>
      <c r="V42" t="n">
        <v>183</v>
      </c>
      <c r="W42" t="n">
        <v>208</v>
      </c>
      <c r="X42" t="n">
        <v>176</v>
      </c>
      <c r="Y42" t="n">
        <v>198</v>
      </c>
      <c r="Z42" t="n">
        <v>181</v>
      </c>
      <c r="AA42" t="n">
        <v>182</v>
      </c>
      <c r="AB42" t="n">
        <v>193</v>
      </c>
      <c r="AC42" t="n">
        <v>222</v>
      </c>
      <c r="AD42" t="n">
        <v>255</v>
      </c>
      <c r="AE42" t="n">
        <v>246</v>
      </c>
      <c r="AF42" t="n">
        <v>327</v>
      </c>
    </row>
    <row r="43">
      <c r="A43" t="s">
        <v>34</v>
      </c>
      <c r="B43" t="s">
        <v>356</v>
      </c>
      <c r="C43" t="s">
        <v>236</v>
      </c>
      <c r="D43" t="s">
        <v>357</v>
      </c>
      <c r="E43" t="s">
        <v>237</v>
      </c>
      <c r="F43" t="n">
        <v>193</v>
      </c>
      <c r="G43" t="n">
        <v>260</v>
      </c>
      <c r="H43" t="n">
        <v>247</v>
      </c>
      <c r="I43" t="n">
        <v>285</v>
      </c>
      <c r="J43" t="n">
        <v>297</v>
      </c>
      <c r="K43" t="n">
        <v>359</v>
      </c>
      <c r="L43" t="n">
        <v>311</v>
      </c>
      <c r="M43" t="n">
        <v>391</v>
      </c>
      <c r="N43" t="n">
        <v>364</v>
      </c>
      <c r="O43" t="n">
        <v>352</v>
      </c>
      <c r="P43" t="n">
        <v>357</v>
      </c>
      <c r="Q43" t="n">
        <v>317</v>
      </c>
      <c r="R43" t="n">
        <v>420</v>
      </c>
      <c r="S43" t="n">
        <v>450</v>
      </c>
      <c r="T43" t="n">
        <v>288</v>
      </c>
      <c r="U43" t="n">
        <v>314</v>
      </c>
      <c r="V43" t="n">
        <v>401</v>
      </c>
      <c r="W43" t="n">
        <v>441</v>
      </c>
      <c r="X43" t="n">
        <v>400</v>
      </c>
      <c r="Y43" t="n">
        <v>478</v>
      </c>
      <c r="Z43" t="n">
        <v>367</v>
      </c>
      <c r="AA43" t="n">
        <v>437</v>
      </c>
      <c r="AB43" t="n">
        <v>439</v>
      </c>
      <c r="AC43" t="n">
        <v>537</v>
      </c>
      <c r="AD43" t="n">
        <v>590</v>
      </c>
      <c r="AE43" t="n">
        <v>539</v>
      </c>
      <c r="AF43" t="n">
        <v>652</v>
      </c>
    </row>
    <row r="44">
      <c r="A44" t="s">
        <v>34</v>
      </c>
      <c r="B44" t="s">
        <v>358</v>
      </c>
      <c r="C44" t="s">
        <v>236</v>
      </c>
      <c r="D44" t="s">
        <v>359</v>
      </c>
      <c r="E44" t="s">
        <v>237</v>
      </c>
      <c r="F44" t="n">
        <v>3730</v>
      </c>
      <c r="G44" t="n">
        <v>4213</v>
      </c>
      <c r="H44" t="n">
        <v>4720</v>
      </c>
      <c r="I44" t="n">
        <v>4894</v>
      </c>
      <c r="J44" t="n">
        <v>4494</v>
      </c>
      <c r="K44" t="n">
        <v>4865</v>
      </c>
      <c r="L44" t="n">
        <v>5630</v>
      </c>
      <c r="M44" t="n">
        <v>5219</v>
      </c>
      <c r="N44" t="n">
        <v>4904</v>
      </c>
      <c r="O44" t="n">
        <v>4521</v>
      </c>
      <c r="P44" t="n">
        <v>4631</v>
      </c>
      <c r="Q44" t="n">
        <v>4351</v>
      </c>
      <c r="R44" t="n">
        <v>5378</v>
      </c>
      <c r="S44" t="n">
        <v>5591</v>
      </c>
      <c r="T44" t="n">
        <v>4899</v>
      </c>
      <c r="U44" t="n">
        <v>4021</v>
      </c>
      <c r="V44" t="n">
        <v>4724</v>
      </c>
      <c r="W44" t="n">
        <v>5353</v>
      </c>
      <c r="X44" t="n">
        <v>4942</v>
      </c>
      <c r="Y44" t="n">
        <v>5289</v>
      </c>
      <c r="Z44" t="n">
        <v>5453</v>
      </c>
      <c r="AA44" t="n">
        <v>6374</v>
      </c>
      <c r="AB44" t="n">
        <v>7299</v>
      </c>
      <c r="AC44" t="n">
        <v>6751</v>
      </c>
      <c r="AD44" t="n">
        <v>6618</v>
      </c>
      <c r="AE44" t="n">
        <v>7030</v>
      </c>
      <c r="AF44" t="n">
        <v>8155</v>
      </c>
    </row>
    <row r="45">
      <c r="A45" t="s">
        <v>34</v>
      </c>
      <c r="B45" t="s">
        <v>360</v>
      </c>
      <c r="C45" t="s">
        <v>236</v>
      </c>
      <c r="D45" t="s">
        <v>361</v>
      </c>
      <c r="E45" t="s">
        <v>237</v>
      </c>
      <c r="F45" t="n">
        <v>3415</v>
      </c>
      <c r="G45" t="n">
        <v>3974</v>
      </c>
      <c r="H45" t="n">
        <v>4394</v>
      </c>
      <c r="I45" t="n">
        <v>4556</v>
      </c>
      <c r="J45" t="n">
        <v>4138</v>
      </c>
      <c r="K45" t="n">
        <v>4545</v>
      </c>
      <c r="L45" t="n">
        <v>5308</v>
      </c>
      <c r="M45" t="n">
        <v>4862</v>
      </c>
      <c r="N45" t="n">
        <v>4530</v>
      </c>
      <c r="O45" t="n">
        <v>4150</v>
      </c>
      <c r="P45" t="n">
        <v>4280</v>
      </c>
      <c r="Q45" t="n">
        <v>3962</v>
      </c>
      <c r="R45" t="n">
        <v>4940</v>
      </c>
      <c r="S45" t="n">
        <v>5224</v>
      </c>
      <c r="T45" t="n">
        <v>4527</v>
      </c>
      <c r="U45" t="n">
        <v>3677</v>
      </c>
      <c r="V45" t="n">
        <v>4339</v>
      </c>
      <c r="W45" t="n">
        <v>4998</v>
      </c>
      <c r="X45" t="n">
        <v>4573</v>
      </c>
      <c r="Y45" t="n">
        <v>4947</v>
      </c>
      <c r="Z45" t="n">
        <v>5155</v>
      </c>
      <c r="AA45" t="n">
        <v>6153</v>
      </c>
      <c r="AB45" t="n">
        <v>7044</v>
      </c>
      <c r="AC45" t="n">
        <v>6344</v>
      </c>
      <c r="AD45" t="n">
        <v>6206</v>
      </c>
      <c r="AE45" t="n">
        <v>6648</v>
      </c>
      <c r="AF45" t="n">
        <v>7764</v>
      </c>
    </row>
    <row r="46">
      <c r="A46" t="s">
        <v>34</v>
      </c>
      <c r="B46" t="s">
        <v>362</v>
      </c>
      <c r="C46" t="s">
        <v>236</v>
      </c>
      <c r="D46" t="s">
        <v>363</v>
      </c>
      <c r="E46" t="s">
        <v>237</v>
      </c>
      <c r="F46" t="n">
        <v>90</v>
      </c>
      <c r="G46" t="n">
        <v>148</v>
      </c>
      <c r="H46" t="n">
        <v>113</v>
      </c>
      <c r="I46" t="n">
        <v>138</v>
      </c>
      <c r="J46" t="n">
        <v>148</v>
      </c>
      <c r="K46" t="n">
        <v>203</v>
      </c>
      <c r="L46" t="n">
        <v>156</v>
      </c>
      <c r="M46" t="n">
        <v>213</v>
      </c>
      <c r="N46" t="n">
        <v>204</v>
      </c>
      <c r="O46" t="n">
        <v>184</v>
      </c>
      <c r="P46" t="n">
        <v>204</v>
      </c>
      <c r="Q46" t="n">
        <v>192</v>
      </c>
      <c r="R46" t="n">
        <v>210</v>
      </c>
      <c r="S46" t="n">
        <v>296</v>
      </c>
      <c r="T46" t="n">
        <v>184</v>
      </c>
      <c r="U46" t="n">
        <v>159</v>
      </c>
      <c r="V46" t="n">
        <v>218</v>
      </c>
      <c r="W46" t="n">
        <v>233</v>
      </c>
      <c r="X46" t="n">
        <v>224</v>
      </c>
      <c r="Y46" t="n">
        <v>280</v>
      </c>
      <c r="Z46" t="n">
        <v>186</v>
      </c>
      <c r="AA46" t="n">
        <v>255</v>
      </c>
      <c r="AB46" t="n">
        <v>246</v>
      </c>
      <c r="AC46" t="n">
        <v>315</v>
      </c>
      <c r="AD46" t="n">
        <v>335</v>
      </c>
      <c r="AE46" t="n">
        <v>293</v>
      </c>
      <c r="AF46" t="n">
        <v>325</v>
      </c>
    </row>
    <row r="47">
      <c r="A47" t="s">
        <v>34</v>
      </c>
      <c r="B47" t="s">
        <v>364</v>
      </c>
      <c r="C47" t="s">
        <v>236</v>
      </c>
      <c r="D47" t="s">
        <v>365</v>
      </c>
      <c r="E47" t="s">
        <v>237</v>
      </c>
      <c r="F47" t="n">
        <v>555</v>
      </c>
      <c r="G47" t="n">
        <v>637</v>
      </c>
      <c r="H47" t="n">
        <v>702</v>
      </c>
      <c r="I47" t="n">
        <v>866</v>
      </c>
      <c r="J47" t="n">
        <v>755</v>
      </c>
      <c r="K47" t="n">
        <v>705</v>
      </c>
      <c r="L47" t="n">
        <v>545</v>
      </c>
      <c r="M47" t="n">
        <v>610</v>
      </c>
      <c r="N47" t="n">
        <v>660</v>
      </c>
      <c r="O47" t="n">
        <v>674</v>
      </c>
      <c r="P47" t="n">
        <v>772</v>
      </c>
      <c r="Q47" t="n">
        <v>540</v>
      </c>
      <c r="R47" t="n">
        <v>566</v>
      </c>
      <c r="S47" t="n">
        <v>744</v>
      </c>
      <c r="T47" t="n">
        <v>628</v>
      </c>
      <c r="U47" t="n">
        <v>617</v>
      </c>
      <c r="V47" t="n">
        <v>592</v>
      </c>
      <c r="W47" t="n">
        <v>811</v>
      </c>
      <c r="X47" t="n">
        <v>802</v>
      </c>
      <c r="Y47" t="n">
        <v>726</v>
      </c>
      <c r="Z47" t="n">
        <v>545</v>
      </c>
      <c r="AA47" t="n">
        <v>628</v>
      </c>
      <c r="AB47" t="n">
        <v>799</v>
      </c>
      <c r="AC47" t="n">
        <v>923</v>
      </c>
      <c r="AD47" t="n">
        <v>1001</v>
      </c>
      <c r="AE47" t="n">
        <v>1257</v>
      </c>
      <c r="AF47" t="n">
        <v>916</v>
      </c>
    </row>
    <row r="48">
      <c r="A48" t="s">
        <v>34</v>
      </c>
      <c r="B48" t="s">
        <v>366</v>
      </c>
      <c r="C48" t="s">
        <v>236</v>
      </c>
      <c r="D48" t="s">
        <v>367</v>
      </c>
      <c r="E48" t="s">
        <v>237</v>
      </c>
      <c r="F48" t="n">
        <v>755</v>
      </c>
      <c r="G48" t="n">
        <v>850</v>
      </c>
      <c r="H48" t="n">
        <v>951</v>
      </c>
      <c r="I48" t="n">
        <v>1114</v>
      </c>
      <c r="J48" t="n">
        <v>1008</v>
      </c>
      <c r="K48" t="n">
        <v>1006</v>
      </c>
      <c r="L48" t="n">
        <v>881</v>
      </c>
      <c r="M48" t="n">
        <v>993</v>
      </c>
      <c r="N48" t="n">
        <v>1011</v>
      </c>
      <c r="O48" t="n">
        <v>996</v>
      </c>
      <c r="P48" t="n">
        <v>1099</v>
      </c>
      <c r="Q48" t="n">
        <v>899</v>
      </c>
      <c r="R48" t="n">
        <v>941</v>
      </c>
      <c r="S48" t="n">
        <v>1089</v>
      </c>
      <c r="T48" t="n">
        <v>998</v>
      </c>
      <c r="U48" t="n">
        <v>974</v>
      </c>
      <c r="V48" t="n">
        <v>1007</v>
      </c>
      <c r="W48" t="n">
        <v>1265</v>
      </c>
      <c r="X48" t="n">
        <v>1238</v>
      </c>
      <c r="Y48" t="n">
        <v>1150</v>
      </c>
      <c r="Z48" t="n">
        <v>1007</v>
      </c>
      <c r="AA48" t="n">
        <v>1101</v>
      </c>
      <c r="AB48" t="n">
        <v>1281</v>
      </c>
      <c r="AC48" t="n">
        <v>1409</v>
      </c>
      <c r="AD48" t="n">
        <v>1541</v>
      </c>
      <c r="AE48" t="n">
        <v>1806</v>
      </c>
      <c r="AF48" t="n">
        <v>1465</v>
      </c>
    </row>
    <row r="49">
      <c r="A49" t="s">
        <v>34</v>
      </c>
      <c r="B49" t="s">
        <v>368</v>
      </c>
      <c r="C49" t="s">
        <v>236</v>
      </c>
      <c r="D49" t="s">
        <v>369</v>
      </c>
      <c r="E49" t="s">
        <v>237</v>
      </c>
      <c r="F49" t="n">
        <v>137</v>
      </c>
      <c r="G49" t="n">
        <v>126</v>
      </c>
      <c r="H49" t="n">
        <v>145</v>
      </c>
      <c r="I49" t="n">
        <v>144</v>
      </c>
      <c r="J49" t="n">
        <v>148</v>
      </c>
      <c r="K49" t="n">
        <v>164</v>
      </c>
      <c r="L49" t="n">
        <v>186</v>
      </c>
      <c r="M49" t="n">
        <v>208</v>
      </c>
      <c r="N49" t="n">
        <v>191</v>
      </c>
      <c r="O49" t="n">
        <v>175</v>
      </c>
      <c r="P49" t="n">
        <v>147</v>
      </c>
      <c r="Q49" t="n">
        <v>139</v>
      </c>
      <c r="R49" t="n">
        <v>136</v>
      </c>
      <c r="S49" t="n">
        <v>124</v>
      </c>
      <c r="T49" t="n">
        <v>154</v>
      </c>
      <c r="U49" t="n">
        <v>128</v>
      </c>
      <c r="V49" t="n">
        <v>168</v>
      </c>
      <c r="W49" t="n">
        <v>160</v>
      </c>
      <c r="X49" t="n">
        <v>148</v>
      </c>
      <c r="Y49" t="n">
        <v>149</v>
      </c>
      <c r="Z49" t="n">
        <v>150</v>
      </c>
      <c r="AA49" t="n">
        <v>165</v>
      </c>
      <c r="AB49" t="n">
        <v>179</v>
      </c>
      <c r="AC49" t="n">
        <v>157</v>
      </c>
      <c r="AD49" t="n">
        <v>201</v>
      </c>
      <c r="AE49" t="n">
        <v>193</v>
      </c>
      <c r="AF49" t="n">
        <v>199</v>
      </c>
    </row>
    <row r="50">
      <c r="A50" t="s">
        <v>34</v>
      </c>
      <c r="B50" t="s">
        <v>370</v>
      </c>
      <c r="C50" t="s">
        <v>236</v>
      </c>
      <c r="D50" t="s">
        <v>371</v>
      </c>
      <c r="E50" t="s">
        <v>237</v>
      </c>
      <c r="F50" t="n">
        <v>63</v>
      </c>
      <c r="G50" t="n">
        <v>87</v>
      </c>
      <c r="H50" t="n">
        <v>104</v>
      </c>
      <c r="I50" t="n">
        <v>104</v>
      </c>
      <c r="J50" t="n">
        <v>105</v>
      </c>
      <c r="K50" t="n">
        <v>137</v>
      </c>
      <c r="L50" t="n">
        <v>150</v>
      </c>
      <c r="M50" t="n">
        <v>175</v>
      </c>
      <c r="N50" t="n">
        <v>160</v>
      </c>
      <c r="O50" t="n">
        <v>147</v>
      </c>
      <c r="P50" t="n">
        <v>180</v>
      </c>
      <c r="Q50" t="n">
        <v>220</v>
      </c>
      <c r="R50" t="n">
        <v>239</v>
      </c>
      <c r="S50" t="n">
        <v>221</v>
      </c>
      <c r="T50" t="n">
        <v>216</v>
      </c>
      <c r="U50" t="n">
        <v>229</v>
      </c>
      <c r="V50" t="n">
        <v>247</v>
      </c>
      <c r="W50" t="n">
        <v>294</v>
      </c>
      <c r="X50" t="n">
        <v>288</v>
      </c>
      <c r="Y50" t="n">
        <v>275</v>
      </c>
      <c r="Z50" t="n">
        <v>312</v>
      </c>
      <c r="AA50" t="n">
        <v>308</v>
      </c>
      <c r="AB50" t="n">
        <v>303</v>
      </c>
      <c r="AC50" t="n">
        <v>329</v>
      </c>
      <c r="AD50" t="n">
        <v>339</v>
      </c>
      <c r="AE50" t="n">
        <v>356</v>
      </c>
      <c r="AF50" t="n">
        <v>350</v>
      </c>
    </row>
    <row r="51">
      <c r="A51" t="s">
        <v>34</v>
      </c>
      <c r="B51" t="s">
        <v>372</v>
      </c>
      <c r="C51" t="s">
        <v>236</v>
      </c>
      <c r="D51" t="s">
        <v>373</v>
      </c>
      <c r="E51" t="s">
        <v>237</v>
      </c>
      <c r="F51" t="n">
        <v>51</v>
      </c>
      <c r="G51" t="n">
        <v>71</v>
      </c>
      <c r="H51" t="n">
        <v>89</v>
      </c>
      <c r="I51" t="n">
        <v>91</v>
      </c>
      <c r="J51" t="n">
        <v>92</v>
      </c>
      <c r="K51" t="n">
        <v>119</v>
      </c>
      <c r="L51" t="n">
        <v>125</v>
      </c>
      <c r="M51" t="n">
        <v>151</v>
      </c>
      <c r="N51" t="n">
        <v>138</v>
      </c>
      <c r="O51" t="n">
        <v>124</v>
      </c>
      <c r="P51" t="n">
        <v>156</v>
      </c>
      <c r="Q51" t="n">
        <v>187</v>
      </c>
      <c r="R51" t="n">
        <v>203</v>
      </c>
      <c r="S51" t="n">
        <v>186</v>
      </c>
      <c r="T51" t="n">
        <v>177</v>
      </c>
      <c r="U51" t="n">
        <v>192</v>
      </c>
      <c r="V51" t="n">
        <v>208</v>
      </c>
      <c r="W51" t="n">
        <v>248</v>
      </c>
      <c r="X51" t="n">
        <v>241</v>
      </c>
      <c r="Y51" t="n">
        <v>222</v>
      </c>
      <c r="Z51" t="n">
        <v>258</v>
      </c>
      <c r="AA51" t="n">
        <v>245</v>
      </c>
      <c r="AB51" t="n">
        <v>264</v>
      </c>
      <c r="AC51" t="n">
        <v>276</v>
      </c>
      <c r="AD51" t="n">
        <v>269</v>
      </c>
      <c r="AE51" t="n">
        <v>296</v>
      </c>
      <c r="AF51" t="n">
        <v>299</v>
      </c>
    </row>
    <row r="52">
      <c r="A52" t="s">
        <v>34</v>
      </c>
      <c r="B52" t="s">
        <v>374</v>
      </c>
      <c r="C52" t="s">
        <v>236</v>
      </c>
      <c r="D52" t="s">
        <v>375</v>
      </c>
      <c r="E52" t="s">
        <v>237</v>
      </c>
      <c r="F52" t="n">
        <v>12</v>
      </c>
      <c r="G52" t="n">
        <v>16</v>
      </c>
      <c r="H52" t="n">
        <v>15</v>
      </c>
      <c r="I52" t="n">
        <v>13</v>
      </c>
      <c r="J52" t="n">
        <v>13</v>
      </c>
      <c r="K52" t="n">
        <v>18</v>
      </c>
      <c r="L52" t="n">
        <v>25</v>
      </c>
      <c r="M52" t="n">
        <v>24</v>
      </c>
      <c r="N52" t="n">
        <v>22</v>
      </c>
      <c r="O52" t="n">
        <v>23</v>
      </c>
      <c r="P52" t="n">
        <v>24</v>
      </c>
      <c r="Q52" t="n">
        <v>33</v>
      </c>
      <c r="R52" t="n">
        <v>36</v>
      </c>
      <c r="S52" t="n">
        <v>35</v>
      </c>
      <c r="T52" t="n">
        <v>39</v>
      </c>
      <c r="U52" t="n">
        <v>37</v>
      </c>
      <c r="V52" t="n">
        <v>39</v>
      </c>
      <c r="W52" t="n">
        <v>46</v>
      </c>
      <c r="X52" t="n">
        <v>47</v>
      </c>
      <c r="Y52" t="n">
        <v>53</v>
      </c>
      <c r="Z52" t="n">
        <v>54</v>
      </c>
      <c r="AA52" t="n">
        <v>63</v>
      </c>
      <c r="AB52" t="n">
        <v>39</v>
      </c>
      <c r="AC52" t="n">
        <v>53</v>
      </c>
      <c r="AD52" t="n">
        <v>70</v>
      </c>
      <c r="AE52" t="n">
        <v>60</v>
      </c>
      <c r="AF52" t="n">
        <v>51</v>
      </c>
    </row>
    <row r="53">
      <c r="A53" t="s">
        <v>34</v>
      </c>
      <c r="B53" t="s">
        <v>376</v>
      </c>
      <c r="C53" t="s">
        <v>236</v>
      </c>
      <c r="D53" t="s">
        <v>377</v>
      </c>
      <c r="E53" t="s">
        <v>237</v>
      </c>
      <c r="F53" t="n">
        <v>22</v>
      </c>
      <c r="G53" t="n">
        <v>46</v>
      </c>
      <c r="H53" t="n">
        <v>70</v>
      </c>
      <c r="I53" t="n">
        <v>57</v>
      </c>
      <c r="J53" t="n">
        <v>-12</v>
      </c>
      <c r="K53" t="n">
        <v>57</v>
      </c>
      <c r="L53" t="n">
        <v>58</v>
      </c>
      <c r="M53" t="n">
        <v>50</v>
      </c>
      <c r="N53" t="n">
        <v>53</v>
      </c>
      <c r="O53" t="n">
        <v>54</v>
      </c>
      <c r="P53" t="n">
        <v>54</v>
      </c>
      <c r="Q53" t="n">
        <v>59</v>
      </c>
      <c r="R53" t="n">
        <v>63</v>
      </c>
      <c r="S53" t="n">
        <v>57</v>
      </c>
      <c r="T53" t="n">
        <v>59</v>
      </c>
      <c r="U53" t="n">
        <v>51</v>
      </c>
      <c r="V53" t="n">
        <v>66</v>
      </c>
      <c r="W53" t="n">
        <v>80</v>
      </c>
      <c r="X53" t="n">
        <v>79</v>
      </c>
      <c r="Y53" t="n">
        <v>84</v>
      </c>
      <c r="Z53" t="n">
        <v>84</v>
      </c>
      <c r="AA53" t="n">
        <v>119</v>
      </c>
      <c r="AB53" t="n">
        <v>113</v>
      </c>
      <c r="AC53" t="n">
        <v>134</v>
      </c>
      <c r="AD53" t="n">
        <v>132</v>
      </c>
      <c r="AE53" t="n">
        <v>124</v>
      </c>
      <c r="AF53" t="n">
        <v>111</v>
      </c>
    </row>
    <row r="54">
      <c r="A54" t="s">
        <v>34</v>
      </c>
      <c r="B54" t="s">
        <v>378</v>
      </c>
      <c r="C54" t="s">
        <v>236</v>
      </c>
      <c r="D54" t="s">
        <v>379</v>
      </c>
      <c r="E54" t="s">
        <v>237</v>
      </c>
      <c r="F54" t="n">
        <v>61</v>
      </c>
      <c r="G54" t="n">
        <v>89</v>
      </c>
      <c r="H54" t="n">
        <v>125</v>
      </c>
      <c r="I54" t="n">
        <v>111</v>
      </c>
      <c r="J54" t="n">
        <v>40</v>
      </c>
      <c r="K54" t="n">
        <v>111</v>
      </c>
      <c r="L54" t="n">
        <v>113</v>
      </c>
      <c r="M54" t="n">
        <v>104</v>
      </c>
      <c r="N54" t="n">
        <v>120</v>
      </c>
      <c r="O54" t="n">
        <v>108</v>
      </c>
      <c r="P54" t="n">
        <v>110</v>
      </c>
      <c r="Q54" t="n">
        <v>118</v>
      </c>
      <c r="R54" t="n">
        <v>138</v>
      </c>
      <c r="S54" t="n">
        <v>140</v>
      </c>
      <c r="T54" t="n">
        <v>143</v>
      </c>
      <c r="U54" t="n">
        <v>120</v>
      </c>
      <c r="V54" t="n">
        <v>152</v>
      </c>
      <c r="W54" t="n">
        <v>145</v>
      </c>
      <c r="X54" t="n">
        <v>140</v>
      </c>
      <c r="Y54" t="n">
        <v>148</v>
      </c>
      <c r="Z54" t="n">
        <v>173</v>
      </c>
      <c r="AA54" t="n">
        <v>204</v>
      </c>
      <c r="AB54" t="n">
        <v>197</v>
      </c>
      <c r="AC54" t="n">
        <v>212</v>
      </c>
      <c r="AD54" t="n">
        <v>222</v>
      </c>
      <c r="AE54" t="n">
        <v>218</v>
      </c>
      <c r="AF54" t="n">
        <v>209</v>
      </c>
    </row>
    <row r="55">
      <c r="A55" t="s">
        <v>34</v>
      </c>
      <c r="B55" t="s">
        <v>380</v>
      </c>
      <c r="C55" t="s">
        <v>236</v>
      </c>
      <c r="D55" t="s">
        <v>381</v>
      </c>
      <c r="E55" t="s">
        <v>237</v>
      </c>
      <c r="F55" t="n">
        <v>39</v>
      </c>
      <c r="G55" t="n">
        <v>43</v>
      </c>
      <c r="H55" t="n">
        <v>55</v>
      </c>
      <c r="I55" t="n">
        <v>54</v>
      </c>
      <c r="J55" t="n">
        <v>52</v>
      </c>
      <c r="K55" t="n">
        <v>54</v>
      </c>
      <c r="L55" t="n">
        <v>55</v>
      </c>
      <c r="M55" t="n">
        <v>54</v>
      </c>
      <c r="N55" t="n">
        <v>67</v>
      </c>
      <c r="O55" t="n">
        <v>54</v>
      </c>
      <c r="P55" t="n">
        <v>56</v>
      </c>
      <c r="Q55" t="n">
        <v>59</v>
      </c>
      <c r="R55" t="n">
        <v>75</v>
      </c>
      <c r="S55" t="n">
        <v>83</v>
      </c>
      <c r="T55" t="n">
        <v>84</v>
      </c>
      <c r="U55" t="n">
        <v>69</v>
      </c>
      <c r="V55" t="n">
        <v>86</v>
      </c>
      <c r="W55" t="n">
        <v>65</v>
      </c>
      <c r="X55" t="n">
        <v>61</v>
      </c>
      <c r="Y55" t="n">
        <v>64</v>
      </c>
      <c r="Z55" t="n">
        <v>89</v>
      </c>
      <c r="AA55" t="n">
        <v>85</v>
      </c>
      <c r="AB55" t="n">
        <v>84</v>
      </c>
      <c r="AC55" t="n">
        <v>78</v>
      </c>
      <c r="AD55" t="n">
        <v>90</v>
      </c>
      <c r="AE55" t="n">
        <v>94</v>
      </c>
      <c r="AF55" t="n">
        <v>98</v>
      </c>
    </row>
    <row r="56">
      <c r="A56" t="s">
        <v>34</v>
      </c>
      <c r="B56" t="s">
        <v>382</v>
      </c>
      <c r="C56" t="s">
        <v>236</v>
      </c>
      <c r="D56" t="s">
        <v>383</v>
      </c>
      <c r="E56" t="s">
        <v>237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34</v>
      </c>
      <c r="B57" t="s">
        <v>384</v>
      </c>
      <c r="C57" t="s">
        <v>236</v>
      </c>
      <c r="D57" t="s">
        <v>385</v>
      </c>
      <c r="E57" t="s">
        <v>237</v>
      </c>
      <c r="F57" t="n">
        <v>4509</v>
      </c>
      <c r="G57" t="n">
        <v>5091</v>
      </c>
      <c r="H57" t="n">
        <v>5704</v>
      </c>
      <c r="I57" t="n">
        <v>6027</v>
      </c>
      <c r="J57" t="n">
        <v>5524</v>
      </c>
      <c r="K57" t="n">
        <v>5925</v>
      </c>
      <c r="L57" t="n">
        <v>6551</v>
      </c>
      <c r="M57" t="n">
        <v>6276</v>
      </c>
      <c r="N57" t="n">
        <v>6017</v>
      </c>
      <c r="O57" t="n">
        <v>5595</v>
      </c>
      <c r="P57" t="n">
        <v>5843</v>
      </c>
      <c r="Q57" t="n">
        <v>5363</v>
      </c>
      <c r="R57" t="n">
        <v>6404</v>
      </c>
      <c r="S57" t="n">
        <v>6835</v>
      </c>
      <c r="T57" t="n">
        <v>6048</v>
      </c>
      <c r="U57" t="n">
        <v>5075</v>
      </c>
      <c r="V57" t="n">
        <v>5807</v>
      </c>
      <c r="W57" t="n">
        <v>6701</v>
      </c>
      <c r="X57" t="n">
        <v>6275</v>
      </c>
      <c r="Y57" t="n">
        <v>6542</v>
      </c>
      <c r="Z57" t="n">
        <v>6577</v>
      </c>
      <c r="AA57" t="n">
        <v>7607</v>
      </c>
      <c r="AB57" t="n">
        <v>8741</v>
      </c>
      <c r="AC57" t="n">
        <v>8448</v>
      </c>
      <c r="AD57" t="n">
        <v>8412</v>
      </c>
      <c r="AE57" t="n">
        <v>9065</v>
      </c>
      <c r="AF57" t="n">
        <v>9875</v>
      </c>
    </row>
    <row r="58">
      <c r="A58" t="s">
        <v>34</v>
      </c>
      <c r="B58" t="s">
        <v>386</v>
      </c>
      <c r="C58" t="s">
        <v>236</v>
      </c>
      <c r="D58" t="s">
        <v>387</v>
      </c>
      <c r="E58" t="s">
        <v>237</v>
      </c>
      <c r="F58" t="n">
        <v>4509</v>
      </c>
      <c r="G58" t="n">
        <v>5091</v>
      </c>
      <c r="H58" t="n">
        <v>5704</v>
      </c>
      <c r="I58" t="n">
        <v>6027</v>
      </c>
      <c r="J58" t="n">
        <v>5524</v>
      </c>
      <c r="K58" t="n">
        <v>5925</v>
      </c>
      <c r="L58" t="n">
        <v>6551</v>
      </c>
      <c r="M58" t="n">
        <v>6276</v>
      </c>
      <c r="N58" t="n">
        <v>6017</v>
      </c>
      <c r="O58" t="n">
        <v>5595</v>
      </c>
      <c r="P58" t="n">
        <v>5843</v>
      </c>
      <c r="Q58" t="n">
        <v>5363</v>
      </c>
      <c r="R58" t="n">
        <v>6404</v>
      </c>
      <c r="S58" t="n">
        <v>6835</v>
      </c>
      <c r="T58" t="n">
        <v>6048</v>
      </c>
      <c r="U58" t="n">
        <v>5075</v>
      </c>
      <c r="V58" t="n">
        <v>5807</v>
      </c>
      <c r="W58" t="n">
        <v>6701</v>
      </c>
      <c r="X58" t="n">
        <v>6275</v>
      </c>
      <c r="Y58" t="n">
        <v>6542</v>
      </c>
      <c r="Z58" t="n">
        <v>6577</v>
      </c>
      <c r="AA58" t="n">
        <v>7607</v>
      </c>
      <c r="AB58" t="n">
        <v>8741</v>
      </c>
      <c r="AC58" t="n">
        <v>8448</v>
      </c>
      <c r="AD58" t="n">
        <v>8412</v>
      </c>
      <c r="AE58" t="n">
        <v>9065</v>
      </c>
      <c r="AF58" t="n">
        <v>9875</v>
      </c>
    </row>
    <row r="59">
      <c r="A59" t="s">
        <v>34</v>
      </c>
      <c r="B59" t="s">
        <v>388</v>
      </c>
      <c r="C59" t="s">
        <v>236</v>
      </c>
      <c r="D59" t="s">
        <v>389</v>
      </c>
      <c r="E59" t="s">
        <v>237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36</v>
      </c>
      <c r="B2" t="s">
        <v>197</v>
      </c>
      <c r="C2" t="s">
        <v>236</v>
      </c>
      <c r="D2" t="s">
        <v>199</v>
      </c>
      <c r="E2" t="s">
        <v>237</v>
      </c>
      <c r="F2" t="n">
        <v>413</v>
      </c>
      <c r="G2" t="n">
        <v>463</v>
      </c>
      <c r="H2" t="n">
        <v>577</v>
      </c>
      <c r="I2" t="n">
        <v>668</v>
      </c>
      <c r="J2" t="n">
        <v>683</v>
      </c>
      <c r="K2" t="n">
        <v>665</v>
      </c>
      <c r="L2" t="n">
        <v>739</v>
      </c>
      <c r="M2" t="n">
        <v>739</v>
      </c>
      <c r="N2" t="n">
        <v>707</v>
      </c>
      <c r="O2" t="n">
        <v>646</v>
      </c>
      <c r="P2" t="n">
        <v>743</v>
      </c>
      <c r="Q2" t="n">
        <v>778</v>
      </c>
      <c r="R2" t="n">
        <v>883</v>
      </c>
      <c r="S2" t="n">
        <v>918</v>
      </c>
      <c r="T2" t="n">
        <v>893</v>
      </c>
      <c r="U2" t="n">
        <v>880</v>
      </c>
      <c r="V2" t="n">
        <v>860</v>
      </c>
      <c r="W2" t="n">
        <v>1107</v>
      </c>
      <c r="X2" t="n">
        <v>1325</v>
      </c>
      <c r="Y2" t="n">
        <v>1181</v>
      </c>
      <c r="Z2" t="n">
        <v>774</v>
      </c>
      <c r="AA2" t="n">
        <v>941</v>
      </c>
      <c r="AB2" t="n">
        <v>965</v>
      </c>
      <c r="AC2" t="n">
        <v>816</v>
      </c>
      <c r="AD2" t="n">
        <v>851</v>
      </c>
      <c r="AE2" t="n">
        <v>885</v>
      </c>
      <c r="AF2" t="n">
        <v>851</v>
      </c>
    </row>
    <row r="3">
      <c r="A3" t="s">
        <v>36</v>
      </c>
      <c r="B3" t="s">
        <v>276</v>
      </c>
      <c r="C3" t="s">
        <v>236</v>
      </c>
      <c r="D3" t="s">
        <v>277</v>
      </c>
      <c r="E3" t="s">
        <v>237</v>
      </c>
      <c r="F3" t="n">
        <v>11</v>
      </c>
      <c r="G3" t="n">
        <v>12</v>
      </c>
      <c r="H3" t="n">
        <v>11</v>
      </c>
      <c r="I3" t="n">
        <v>12</v>
      </c>
      <c r="J3" t="n">
        <v>25</v>
      </c>
      <c r="K3" t="n">
        <v>45</v>
      </c>
      <c r="L3" t="n">
        <v>35</v>
      </c>
      <c r="M3" t="n">
        <v>21</v>
      </c>
      <c r="N3" t="n">
        <v>37</v>
      </c>
      <c r="O3" t="n">
        <v>21</v>
      </c>
      <c r="P3" t="n">
        <v>29</v>
      </c>
      <c r="Q3" t="n">
        <v>36</v>
      </c>
      <c r="R3" t="n">
        <v>220</v>
      </c>
      <c r="S3" t="n">
        <v>258</v>
      </c>
      <c r="T3" t="n">
        <v>136</v>
      </c>
      <c r="U3" t="n">
        <v>129</v>
      </c>
      <c r="V3" t="n">
        <v>188</v>
      </c>
      <c r="W3" t="n">
        <v>143</v>
      </c>
      <c r="X3" t="n">
        <v>82</v>
      </c>
      <c r="Y3" t="n">
        <v>93</v>
      </c>
      <c r="Z3" t="n">
        <v>184</v>
      </c>
      <c r="AA3" t="n">
        <v>99</v>
      </c>
      <c r="AB3" t="n">
        <v>128</v>
      </c>
      <c r="AC3" t="n">
        <v>148</v>
      </c>
      <c r="AD3" t="n">
        <v>169</v>
      </c>
      <c r="AE3" t="n">
        <v>161</v>
      </c>
      <c r="AF3" t="n">
        <v>109</v>
      </c>
    </row>
    <row r="4">
      <c r="A4" t="s">
        <v>36</v>
      </c>
      <c r="B4" t="s">
        <v>278</v>
      </c>
      <c r="C4" t="s">
        <v>236</v>
      </c>
      <c r="D4" t="s">
        <v>279</v>
      </c>
      <c r="E4" t="s">
        <v>237</v>
      </c>
      <c r="F4" t="n">
        <v>728</v>
      </c>
      <c r="G4" t="n">
        <v>635</v>
      </c>
      <c r="H4" t="n">
        <v>649</v>
      </c>
      <c r="I4" t="n">
        <v>631</v>
      </c>
      <c r="J4" t="n">
        <v>594</v>
      </c>
      <c r="K4" t="n">
        <v>605</v>
      </c>
      <c r="L4" t="n">
        <v>614</v>
      </c>
      <c r="M4" t="n">
        <v>754</v>
      </c>
      <c r="N4" t="n">
        <v>564</v>
      </c>
      <c r="O4" t="n">
        <v>486</v>
      </c>
      <c r="P4" t="n">
        <v>527</v>
      </c>
      <c r="Q4" t="n">
        <v>644</v>
      </c>
      <c r="R4" t="n">
        <v>713</v>
      </c>
      <c r="S4" t="n">
        <v>659</v>
      </c>
      <c r="T4" t="n">
        <v>573</v>
      </c>
      <c r="U4" t="n">
        <v>420</v>
      </c>
      <c r="V4" t="n">
        <v>457</v>
      </c>
      <c r="W4" t="n">
        <v>381</v>
      </c>
      <c r="X4" t="n">
        <v>392</v>
      </c>
      <c r="Y4" t="n">
        <v>519</v>
      </c>
      <c r="Z4" t="n">
        <v>595</v>
      </c>
      <c r="AA4" t="n">
        <v>768</v>
      </c>
      <c r="AB4" t="n">
        <v>776</v>
      </c>
      <c r="AC4" t="n">
        <v>804</v>
      </c>
      <c r="AD4" t="n">
        <v>713</v>
      </c>
      <c r="AE4" t="n">
        <v>760</v>
      </c>
      <c r="AF4" t="n">
        <v>928</v>
      </c>
    </row>
    <row r="5">
      <c r="A5" t="s">
        <v>36</v>
      </c>
      <c r="B5" t="s">
        <v>280</v>
      </c>
      <c r="C5" t="s">
        <v>236</v>
      </c>
      <c r="D5" t="s">
        <v>281</v>
      </c>
      <c r="E5" t="s">
        <v>237</v>
      </c>
      <c r="F5" t="n">
        <v>71</v>
      </c>
      <c r="G5" t="n">
        <v>96</v>
      </c>
      <c r="H5" t="n">
        <v>87</v>
      </c>
      <c r="I5" t="n">
        <v>63</v>
      </c>
      <c r="J5" t="n">
        <v>59</v>
      </c>
      <c r="K5" t="n">
        <v>89</v>
      </c>
      <c r="L5" t="n">
        <v>108</v>
      </c>
      <c r="M5" t="n">
        <v>135</v>
      </c>
      <c r="N5" t="n">
        <v>80</v>
      </c>
      <c r="O5" t="n">
        <v>58</v>
      </c>
      <c r="P5" t="n">
        <v>113</v>
      </c>
      <c r="Q5" t="n">
        <v>101</v>
      </c>
      <c r="R5" t="n">
        <v>119</v>
      </c>
      <c r="S5" t="n">
        <v>103</v>
      </c>
      <c r="T5" t="n">
        <v>57</v>
      </c>
      <c r="U5" t="n">
        <v>56</v>
      </c>
      <c r="V5" t="n">
        <v>88</v>
      </c>
      <c r="W5" t="n">
        <v>134</v>
      </c>
      <c r="X5" t="n">
        <v>109</v>
      </c>
      <c r="Y5" t="n">
        <v>162</v>
      </c>
      <c r="Z5" t="n">
        <v>123</v>
      </c>
      <c r="AA5" t="n">
        <v>222</v>
      </c>
      <c r="AB5" t="n">
        <v>95</v>
      </c>
      <c r="AC5" t="n">
        <v>90</v>
      </c>
      <c r="AD5" t="n">
        <v>114</v>
      </c>
      <c r="AE5" t="n">
        <v>147</v>
      </c>
      <c r="AF5" t="n">
        <v>170</v>
      </c>
    </row>
    <row r="6">
      <c r="A6" t="s">
        <v>36</v>
      </c>
      <c r="B6" t="s">
        <v>282</v>
      </c>
      <c r="C6" t="s">
        <v>236</v>
      </c>
      <c r="D6" t="s">
        <v>283</v>
      </c>
      <c r="E6" t="s">
        <v>237</v>
      </c>
      <c r="F6" t="n">
        <v>12</v>
      </c>
      <c r="G6" t="n">
        <v>2</v>
      </c>
      <c r="H6" t="n">
        <v>9</v>
      </c>
      <c r="I6" t="n">
        <v>10</v>
      </c>
      <c r="J6" t="n">
        <v>7</v>
      </c>
      <c r="K6" t="n">
        <v>5</v>
      </c>
      <c r="L6" t="n">
        <v>7</v>
      </c>
      <c r="M6" t="n">
        <v>5</v>
      </c>
      <c r="N6" t="n">
        <v>5</v>
      </c>
      <c r="O6" t="n">
        <v>0</v>
      </c>
      <c r="P6" t="n">
        <v>2</v>
      </c>
      <c r="Q6" t="n">
        <v>8</v>
      </c>
      <c r="R6" t="n">
        <v>2</v>
      </c>
      <c r="S6" t="n">
        <v>4</v>
      </c>
      <c r="T6" t="n">
        <v>-7</v>
      </c>
      <c r="U6" t="n">
        <v>-2</v>
      </c>
      <c r="V6" t="n">
        <v>3</v>
      </c>
      <c r="W6" t="n">
        <v>14</v>
      </c>
      <c r="X6" t="n">
        <v>1</v>
      </c>
      <c r="Y6" t="n">
        <v>5</v>
      </c>
      <c r="Z6" t="n">
        <v>6</v>
      </c>
      <c r="AA6" t="n">
        <v>0</v>
      </c>
      <c r="AB6" t="n">
        <v>4</v>
      </c>
      <c r="AC6" t="n">
        <v>7</v>
      </c>
      <c r="AD6" t="n">
        <v>6</v>
      </c>
      <c r="AE6" t="n">
        <v>-2</v>
      </c>
      <c r="AF6" t="n">
        <v>9</v>
      </c>
    </row>
    <row r="7">
      <c r="A7" t="s">
        <v>36</v>
      </c>
      <c r="B7" t="s">
        <v>284</v>
      </c>
      <c r="C7" t="s">
        <v>236</v>
      </c>
      <c r="D7" t="s">
        <v>285</v>
      </c>
      <c r="E7" t="s">
        <v>237</v>
      </c>
      <c r="F7" t="n">
        <v>261</v>
      </c>
      <c r="G7" t="n">
        <v>182</v>
      </c>
      <c r="H7" t="n">
        <v>181</v>
      </c>
      <c r="I7" t="n">
        <v>142</v>
      </c>
      <c r="J7" t="n">
        <v>139</v>
      </c>
      <c r="K7" t="n">
        <v>187</v>
      </c>
      <c r="L7" t="n">
        <v>164</v>
      </c>
      <c r="M7" t="n">
        <v>143</v>
      </c>
      <c r="N7" t="n">
        <v>97</v>
      </c>
      <c r="O7" t="n">
        <v>124</v>
      </c>
      <c r="P7" t="n">
        <v>138</v>
      </c>
      <c r="Q7" t="n">
        <v>109</v>
      </c>
      <c r="R7" t="n">
        <v>181</v>
      </c>
      <c r="S7" t="n">
        <v>118</v>
      </c>
      <c r="T7" t="n">
        <v>32</v>
      </c>
      <c r="U7" t="n">
        <v>20</v>
      </c>
      <c r="V7" t="n">
        <v>53</v>
      </c>
      <c r="W7" t="n">
        <v>62</v>
      </c>
      <c r="X7" t="n">
        <v>74</v>
      </c>
      <c r="Y7" t="n">
        <v>43</v>
      </c>
      <c r="Z7" t="n">
        <v>71</v>
      </c>
      <c r="AA7" t="n">
        <v>230</v>
      </c>
      <c r="AB7" t="n">
        <v>156</v>
      </c>
      <c r="AC7" t="n">
        <v>191</v>
      </c>
      <c r="AD7" t="n">
        <v>149</v>
      </c>
      <c r="AE7" t="n">
        <v>131</v>
      </c>
      <c r="AF7" t="n">
        <v>227</v>
      </c>
    </row>
    <row r="8">
      <c r="A8" t="s">
        <v>36</v>
      </c>
      <c r="B8" t="s">
        <v>286</v>
      </c>
      <c r="C8" t="s">
        <v>236</v>
      </c>
      <c r="D8" t="s">
        <v>287</v>
      </c>
      <c r="E8" t="s">
        <v>237</v>
      </c>
      <c r="F8" t="n">
        <v>8</v>
      </c>
      <c r="G8" t="n">
        <v>11</v>
      </c>
      <c r="H8" t="n">
        <v>20</v>
      </c>
      <c r="I8" t="n">
        <v>14</v>
      </c>
      <c r="J8" t="n">
        <v>37</v>
      </c>
      <c r="K8" t="n">
        <v>24</v>
      </c>
      <c r="L8" t="n">
        <v>14</v>
      </c>
      <c r="M8" t="n">
        <v>24</v>
      </c>
      <c r="N8" t="n">
        <v>36</v>
      </c>
      <c r="O8" t="n">
        <v>36</v>
      </c>
      <c r="P8" t="n">
        <v>65</v>
      </c>
      <c r="Q8" t="n">
        <v>57</v>
      </c>
      <c r="R8" t="n">
        <v>163</v>
      </c>
      <c r="S8" t="n">
        <v>53</v>
      </c>
      <c r="T8" t="n">
        <v>138</v>
      </c>
      <c r="U8" t="n">
        <v>55</v>
      </c>
      <c r="V8" t="n">
        <v>31</v>
      </c>
      <c r="W8" t="n">
        <v>44</v>
      </c>
      <c r="X8" t="n">
        <v>60</v>
      </c>
      <c r="Y8" t="n">
        <v>57</v>
      </c>
      <c r="Z8" t="n">
        <v>79</v>
      </c>
      <c r="AA8" t="n">
        <v>-7</v>
      </c>
      <c r="AB8" t="n">
        <v>54</v>
      </c>
      <c r="AC8" t="n">
        <v>48</v>
      </c>
      <c r="AD8" t="n">
        <v>43</v>
      </c>
      <c r="AE8" t="n">
        <v>14</v>
      </c>
      <c r="AF8" t="n">
        <v>92</v>
      </c>
    </row>
    <row r="9">
      <c r="A9" t="s">
        <v>36</v>
      </c>
      <c r="B9" t="s">
        <v>288</v>
      </c>
      <c r="C9" t="s">
        <v>236</v>
      </c>
      <c r="D9" t="s">
        <v>289</v>
      </c>
      <c r="E9" t="s">
        <v>237</v>
      </c>
      <c r="F9" t="n">
        <v>79</v>
      </c>
      <c r="G9" t="n">
        <v>34</v>
      </c>
      <c r="H9" t="n">
        <v>49</v>
      </c>
      <c r="I9" t="n">
        <v>55</v>
      </c>
      <c r="J9" t="n">
        <v>40</v>
      </c>
      <c r="K9" t="n">
        <v>29</v>
      </c>
      <c r="L9" t="n">
        <v>41</v>
      </c>
      <c r="M9" t="n">
        <v>69</v>
      </c>
      <c r="N9" t="n">
        <v>37</v>
      </c>
      <c r="O9" t="n">
        <v>56</v>
      </c>
      <c r="P9" t="n">
        <v>8</v>
      </c>
      <c r="Q9" t="n">
        <v>50</v>
      </c>
      <c r="R9" t="n">
        <v>19</v>
      </c>
      <c r="S9" t="n">
        <v>51</v>
      </c>
      <c r="T9" t="n">
        <v>135</v>
      </c>
      <c r="U9" t="n">
        <v>46</v>
      </c>
      <c r="V9" t="n">
        <v>29</v>
      </c>
      <c r="W9" t="n">
        <v>35</v>
      </c>
      <c r="X9" t="n">
        <v>34</v>
      </c>
      <c r="Y9" t="n">
        <v>41</v>
      </c>
      <c r="Z9" t="n">
        <v>69</v>
      </c>
      <c r="AA9" t="n">
        <v>75</v>
      </c>
      <c r="AB9" t="n">
        <v>174</v>
      </c>
      <c r="AC9" t="n">
        <v>91</v>
      </c>
      <c r="AD9" t="n">
        <v>80</v>
      </c>
      <c r="AE9" t="n">
        <v>56</v>
      </c>
      <c r="AF9" t="n">
        <v>44</v>
      </c>
    </row>
    <row r="10">
      <c r="A10" t="s">
        <v>36</v>
      </c>
      <c r="B10" t="s">
        <v>290</v>
      </c>
      <c r="C10" t="s">
        <v>236</v>
      </c>
      <c r="D10" t="s">
        <v>291</v>
      </c>
      <c r="E10" t="s">
        <v>237</v>
      </c>
      <c r="F10" t="n">
        <v>84</v>
      </c>
      <c r="G10" t="n">
        <v>37</v>
      </c>
      <c r="H10" t="n">
        <v>53</v>
      </c>
      <c r="I10" t="n">
        <v>61</v>
      </c>
      <c r="J10" t="n">
        <v>48</v>
      </c>
      <c r="K10" t="n">
        <v>38</v>
      </c>
      <c r="L10" t="n">
        <v>44</v>
      </c>
      <c r="M10" t="n">
        <v>86</v>
      </c>
      <c r="N10" t="n">
        <v>47</v>
      </c>
      <c r="O10" t="n">
        <v>67</v>
      </c>
      <c r="P10" t="n">
        <v>8</v>
      </c>
      <c r="Q10" t="n">
        <v>60</v>
      </c>
      <c r="R10" t="n">
        <v>23</v>
      </c>
      <c r="S10" t="n">
        <v>57</v>
      </c>
      <c r="T10" t="n">
        <v>144</v>
      </c>
      <c r="U10" t="n">
        <v>52</v>
      </c>
      <c r="V10" t="n">
        <v>34</v>
      </c>
      <c r="W10" t="n">
        <v>57</v>
      </c>
      <c r="X10" t="n">
        <v>102</v>
      </c>
      <c r="Y10" t="n">
        <v>62</v>
      </c>
      <c r="Z10" t="n">
        <v>85</v>
      </c>
      <c r="AA10" t="n">
        <v>86</v>
      </c>
      <c r="AB10" t="n">
        <v>192</v>
      </c>
      <c r="AC10" t="n">
        <v>112</v>
      </c>
      <c r="AD10" t="n">
        <v>100</v>
      </c>
      <c r="AE10" t="n">
        <v>85</v>
      </c>
      <c r="AF10" t="n">
        <v>141</v>
      </c>
    </row>
    <row r="11">
      <c r="A11" t="s">
        <v>36</v>
      </c>
      <c r="B11" t="s">
        <v>292</v>
      </c>
      <c r="C11" t="s">
        <v>236</v>
      </c>
      <c r="D11" t="s">
        <v>293</v>
      </c>
      <c r="E11" t="s">
        <v>237</v>
      </c>
      <c r="F11" t="n">
        <v>5</v>
      </c>
      <c r="G11" t="n">
        <v>3</v>
      </c>
      <c r="H11" t="n">
        <v>4</v>
      </c>
      <c r="I11" t="n">
        <v>6</v>
      </c>
      <c r="J11" t="n">
        <v>8</v>
      </c>
      <c r="K11" t="n">
        <v>9</v>
      </c>
      <c r="L11" t="n">
        <v>3</v>
      </c>
      <c r="M11" t="n">
        <v>17</v>
      </c>
      <c r="N11" t="n">
        <v>10</v>
      </c>
      <c r="O11" t="n">
        <v>11</v>
      </c>
      <c r="P11" t="n">
        <v>0</v>
      </c>
      <c r="Q11" t="n">
        <v>10</v>
      </c>
      <c r="R11" t="n">
        <v>4</v>
      </c>
      <c r="S11" t="n">
        <v>6</v>
      </c>
      <c r="T11" t="n">
        <v>9</v>
      </c>
      <c r="U11" t="n">
        <v>6</v>
      </c>
      <c r="V11" t="n">
        <v>5</v>
      </c>
      <c r="W11" t="n">
        <v>22</v>
      </c>
      <c r="X11" t="n">
        <v>68</v>
      </c>
      <c r="Y11" t="n">
        <v>21</v>
      </c>
      <c r="Z11" t="n">
        <v>16</v>
      </c>
      <c r="AA11" t="n">
        <v>11</v>
      </c>
      <c r="AB11" t="n">
        <v>18</v>
      </c>
      <c r="AC11" t="n">
        <v>21</v>
      </c>
      <c r="AD11" t="n">
        <v>20</v>
      </c>
      <c r="AE11" t="n">
        <v>29</v>
      </c>
      <c r="AF11" t="n">
        <v>97</v>
      </c>
    </row>
    <row r="12">
      <c r="A12" t="s">
        <v>36</v>
      </c>
      <c r="B12" t="s">
        <v>294</v>
      </c>
      <c r="C12" t="s">
        <v>236</v>
      </c>
      <c r="D12" t="s">
        <v>295</v>
      </c>
      <c r="E12" t="s">
        <v>237</v>
      </c>
      <c r="F12" t="n">
        <v>33</v>
      </c>
      <c r="G12" t="n">
        <v>18</v>
      </c>
      <c r="H12" t="n">
        <v>37</v>
      </c>
      <c r="I12" t="n">
        <v>62</v>
      </c>
      <c r="J12" t="n">
        <v>61</v>
      </c>
      <c r="K12" t="n">
        <v>19</v>
      </c>
      <c r="L12" t="n">
        <v>33</v>
      </c>
      <c r="M12" t="n">
        <v>37</v>
      </c>
      <c r="N12" t="n">
        <v>40</v>
      </c>
      <c r="O12" t="n">
        <v>44</v>
      </c>
      <c r="P12" t="n">
        <v>52</v>
      </c>
      <c r="Q12" t="n">
        <v>65</v>
      </c>
      <c r="R12" t="n">
        <v>17</v>
      </c>
      <c r="S12" t="n">
        <v>40</v>
      </c>
      <c r="T12" t="n">
        <v>29</v>
      </c>
      <c r="U12" t="n">
        <v>35</v>
      </c>
      <c r="V12" t="n">
        <v>42</v>
      </c>
      <c r="W12" t="n">
        <v>35</v>
      </c>
      <c r="X12" t="n">
        <v>26</v>
      </c>
      <c r="Y12" t="n">
        <v>23</v>
      </c>
      <c r="Z12" t="n">
        <v>38</v>
      </c>
      <c r="AA12" t="n">
        <v>48</v>
      </c>
      <c r="AB12" t="n">
        <v>37</v>
      </c>
      <c r="AC12" t="n">
        <v>57</v>
      </c>
      <c r="AD12" t="n">
        <v>52</v>
      </c>
      <c r="AE12" t="n">
        <v>75</v>
      </c>
      <c r="AF12" t="n">
        <v>55</v>
      </c>
    </row>
    <row r="13">
      <c r="A13" t="s">
        <v>36</v>
      </c>
      <c r="B13" t="s">
        <v>296</v>
      </c>
      <c r="C13" t="s">
        <v>236</v>
      </c>
      <c r="D13" t="s">
        <v>297</v>
      </c>
      <c r="E13" t="s">
        <v>237</v>
      </c>
      <c r="F13" t="n">
        <v>88</v>
      </c>
      <c r="G13" t="n">
        <v>136</v>
      </c>
      <c r="H13" t="n">
        <v>126</v>
      </c>
      <c r="I13" t="n">
        <v>96</v>
      </c>
      <c r="J13" t="n">
        <v>86</v>
      </c>
      <c r="K13" t="n">
        <v>75</v>
      </c>
      <c r="L13" t="n">
        <v>93</v>
      </c>
      <c r="M13" t="n">
        <v>229</v>
      </c>
      <c r="N13" t="n">
        <v>158</v>
      </c>
      <c r="O13" t="n">
        <v>102</v>
      </c>
      <c r="P13" t="n">
        <v>67</v>
      </c>
      <c r="Q13" t="n">
        <v>81</v>
      </c>
      <c r="R13" t="n">
        <v>94</v>
      </c>
      <c r="S13" t="n">
        <v>171</v>
      </c>
      <c r="T13" t="n">
        <v>125</v>
      </c>
      <c r="U13" t="n">
        <v>87</v>
      </c>
      <c r="V13" t="n">
        <v>156</v>
      </c>
      <c r="W13" t="n">
        <v>131</v>
      </c>
      <c r="X13" t="n">
        <v>56</v>
      </c>
      <c r="Y13" t="n">
        <v>87</v>
      </c>
      <c r="Z13" t="n">
        <v>79</v>
      </c>
      <c r="AA13" t="n">
        <v>68</v>
      </c>
      <c r="AB13" t="n">
        <v>94</v>
      </c>
      <c r="AC13" t="n">
        <v>114</v>
      </c>
      <c r="AD13" t="n">
        <v>108</v>
      </c>
      <c r="AE13" t="n">
        <v>97</v>
      </c>
      <c r="AF13" t="n">
        <v>104</v>
      </c>
    </row>
    <row r="14">
      <c r="A14" t="s">
        <v>36</v>
      </c>
      <c r="B14" t="s">
        <v>298</v>
      </c>
      <c r="C14" t="s">
        <v>236</v>
      </c>
      <c r="D14" t="s">
        <v>299</v>
      </c>
      <c r="E14" t="s">
        <v>237</v>
      </c>
      <c r="F14" t="n">
        <v>47</v>
      </c>
      <c r="G14" t="n">
        <v>91</v>
      </c>
      <c r="H14" t="n">
        <v>25</v>
      </c>
      <c r="I14" t="n">
        <v>65</v>
      </c>
      <c r="J14" t="n">
        <v>74</v>
      </c>
      <c r="K14" t="n">
        <v>66</v>
      </c>
      <c r="L14" t="n">
        <v>68</v>
      </c>
      <c r="M14" t="n">
        <v>10</v>
      </c>
      <c r="N14" t="n">
        <v>16</v>
      </c>
      <c r="O14" t="n">
        <v>10</v>
      </c>
      <c r="P14" t="n">
        <v>20</v>
      </c>
      <c r="Q14" t="n">
        <v>70</v>
      </c>
      <c r="R14" t="n">
        <v>4</v>
      </c>
      <c r="S14" t="n">
        <v>22</v>
      </c>
      <c r="T14" t="n">
        <v>-23</v>
      </c>
      <c r="U14" t="n">
        <v>46</v>
      </c>
      <c r="V14" t="n">
        <v>7</v>
      </c>
      <c r="W14" t="n">
        <v>-185</v>
      </c>
      <c r="X14" t="n">
        <v>-57</v>
      </c>
      <c r="Y14" t="n">
        <v>7</v>
      </c>
      <c r="Z14" t="n">
        <v>10</v>
      </c>
      <c r="AA14" t="n">
        <v>-2</v>
      </c>
      <c r="AB14" t="n">
        <v>13</v>
      </c>
      <c r="AC14" t="n">
        <v>18</v>
      </c>
      <c r="AD14" t="n">
        <v>23</v>
      </c>
      <c r="AE14" t="n">
        <v>57</v>
      </c>
      <c r="AF14" t="n">
        <v>22</v>
      </c>
    </row>
    <row r="15">
      <c r="A15" t="s">
        <v>36</v>
      </c>
      <c r="B15" t="s">
        <v>300</v>
      </c>
      <c r="C15" t="s">
        <v>236</v>
      </c>
      <c r="D15" t="s">
        <v>301</v>
      </c>
      <c r="E15" t="s">
        <v>237</v>
      </c>
      <c r="F15" t="n">
        <v>66</v>
      </c>
      <c r="G15" t="n">
        <v>102</v>
      </c>
      <c r="H15" t="n">
        <v>41</v>
      </c>
      <c r="I15" t="n">
        <v>73</v>
      </c>
      <c r="J15" t="n">
        <v>86</v>
      </c>
      <c r="K15" t="n">
        <v>73</v>
      </c>
      <c r="L15" t="n">
        <v>84</v>
      </c>
      <c r="M15" t="n">
        <v>25</v>
      </c>
      <c r="N15" t="n">
        <v>24</v>
      </c>
      <c r="O15" t="n">
        <v>20</v>
      </c>
      <c r="P15" t="n">
        <v>17</v>
      </c>
      <c r="Q15" t="n">
        <v>87</v>
      </c>
      <c r="R15" t="n">
        <v>42</v>
      </c>
      <c r="S15" t="n">
        <v>47</v>
      </c>
      <c r="T15" t="n">
        <v>-8</v>
      </c>
      <c r="U15" t="n">
        <v>68</v>
      </c>
      <c r="V15" t="n">
        <v>13</v>
      </c>
      <c r="W15" t="n">
        <v>-175</v>
      </c>
      <c r="X15" t="n">
        <v>-53</v>
      </c>
      <c r="Y15" t="n">
        <v>22</v>
      </c>
      <c r="Z15" t="n">
        <v>49</v>
      </c>
      <c r="AA15" t="n">
        <v>8</v>
      </c>
      <c r="AB15" t="n">
        <v>16</v>
      </c>
      <c r="AC15" t="n">
        <v>51</v>
      </c>
      <c r="AD15" t="n">
        <v>72</v>
      </c>
      <c r="AE15" t="n">
        <v>90</v>
      </c>
      <c r="AF15" t="n">
        <v>45</v>
      </c>
    </row>
    <row r="16">
      <c r="A16" t="s">
        <v>36</v>
      </c>
      <c r="B16" t="s">
        <v>302</v>
      </c>
      <c r="C16" t="s">
        <v>236</v>
      </c>
      <c r="D16" t="s">
        <v>303</v>
      </c>
      <c r="E16" t="s">
        <v>237</v>
      </c>
      <c r="F16" t="n">
        <v>19</v>
      </c>
      <c r="G16" t="n">
        <v>11</v>
      </c>
      <c r="H16" t="n">
        <v>16</v>
      </c>
      <c r="I16" t="n">
        <v>8</v>
      </c>
      <c r="J16" t="n">
        <v>12</v>
      </c>
      <c r="K16" t="n">
        <v>7</v>
      </c>
      <c r="L16" t="n">
        <v>16</v>
      </c>
      <c r="M16" t="n">
        <v>15</v>
      </c>
      <c r="N16" t="n">
        <v>8</v>
      </c>
      <c r="O16" t="n">
        <v>10</v>
      </c>
      <c r="P16" t="n">
        <v>-3</v>
      </c>
      <c r="Q16" t="n">
        <v>17</v>
      </c>
      <c r="R16" t="n">
        <v>38</v>
      </c>
      <c r="S16" t="n">
        <v>25</v>
      </c>
      <c r="T16" t="n">
        <v>15</v>
      </c>
      <c r="U16" t="n">
        <v>22</v>
      </c>
      <c r="V16" t="n">
        <v>6</v>
      </c>
      <c r="W16" t="n">
        <v>10</v>
      </c>
      <c r="X16" t="n">
        <v>4</v>
      </c>
      <c r="Y16" t="n">
        <v>15</v>
      </c>
      <c r="Z16" t="n">
        <v>39</v>
      </c>
      <c r="AA16" t="n">
        <v>10</v>
      </c>
      <c r="AB16" t="n">
        <v>3</v>
      </c>
      <c r="AC16" t="n">
        <v>33</v>
      </c>
      <c r="AD16" t="n">
        <v>49</v>
      </c>
      <c r="AE16" t="n">
        <v>33</v>
      </c>
      <c r="AF16" t="n">
        <v>23</v>
      </c>
    </row>
    <row r="17">
      <c r="A17" t="s">
        <v>36</v>
      </c>
      <c r="B17" t="s">
        <v>304</v>
      </c>
      <c r="C17" t="s">
        <v>236</v>
      </c>
      <c r="D17" t="s">
        <v>305</v>
      </c>
      <c r="E17" t="s">
        <v>237</v>
      </c>
      <c r="F17" t="n">
        <v>61</v>
      </c>
      <c r="G17" t="n">
        <v>27</v>
      </c>
      <c r="H17" t="n">
        <v>53</v>
      </c>
      <c r="I17" t="n">
        <v>46</v>
      </c>
      <c r="J17" t="n">
        <v>28</v>
      </c>
      <c r="K17" t="n">
        <v>31</v>
      </c>
      <c r="L17" t="n">
        <v>41</v>
      </c>
      <c r="M17" t="n">
        <v>51</v>
      </c>
      <c r="N17" t="n">
        <v>58</v>
      </c>
      <c r="O17" t="n">
        <v>13</v>
      </c>
      <c r="P17" t="n">
        <v>27</v>
      </c>
      <c r="Q17" t="n">
        <v>37</v>
      </c>
      <c r="R17" t="n">
        <v>36</v>
      </c>
      <c r="S17" t="n">
        <v>25</v>
      </c>
      <c r="T17" t="n">
        <v>37</v>
      </c>
      <c r="U17" t="n">
        <v>35</v>
      </c>
      <c r="V17" t="n">
        <v>38</v>
      </c>
      <c r="W17" t="n">
        <v>42</v>
      </c>
      <c r="X17" t="n">
        <v>23</v>
      </c>
      <c r="Y17" t="n">
        <v>49</v>
      </c>
      <c r="Z17" t="n">
        <v>46</v>
      </c>
      <c r="AA17" t="n">
        <v>51</v>
      </c>
      <c r="AB17" t="n">
        <v>87</v>
      </c>
      <c r="AC17" t="n">
        <v>85</v>
      </c>
      <c r="AD17" t="n">
        <v>65</v>
      </c>
      <c r="AE17" t="n">
        <v>63</v>
      </c>
      <c r="AF17" t="n">
        <v>36</v>
      </c>
    </row>
    <row r="18">
      <c r="A18" t="s">
        <v>36</v>
      </c>
      <c r="B18" t="s">
        <v>306</v>
      </c>
      <c r="C18" t="s">
        <v>236</v>
      </c>
      <c r="D18" t="s">
        <v>307</v>
      </c>
      <c r="E18" t="s">
        <v>237</v>
      </c>
      <c r="F18" t="n">
        <v>25</v>
      </c>
      <c r="G18" t="n">
        <v>12</v>
      </c>
      <c r="H18" t="n">
        <v>6</v>
      </c>
      <c r="I18" t="n">
        <v>25</v>
      </c>
      <c r="J18" t="n">
        <v>14</v>
      </c>
      <c r="K18" t="n">
        <v>13</v>
      </c>
      <c r="L18" t="n">
        <v>15</v>
      </c>
      <c r="M18" t="n">
        <v>17</v>
      </c>
      <c r="N18" t="n">
        <v>7</v>
      </c>
      <c r="O18" t="n">
        <v>13</v>
      </c>
      <c r="P18" t="n">
        <v>20</v>
      </c>
      <c r="Q18" t="n">
        <v>38</v>
      </c>
      <c r="R18" t="n">
        <v>22</v>
      </c>
      <c r="S18" t="n">
        <v>23</v>
      </c>
      <c r="T18" t="n">
        <v>13</v>
      </c>
      <c r="U18" t="n">
        <v>4</v>
      </c>
      <c r="V18" t="n">
        <v>-6</v>
      </c>
      <c r="W18" t="n">
        <v>21</v>
      </c>
      <c r="X18" t="n">
        <v>-18</v>
      </c>
      <c r="Y18" t="n">
        <v>3</v>
      </c>
      <c r="Z18" t="n">
        <v>10</v>
      </c>
      <c r="AA18" t="n">
        <v>15</v>
      </c>
      <c r="AB18" t="n">
        <v>34</v>
      </c>
      <c r="AC18" t="n">
        <v>35</v>
      </c>
      <c r="AD18" t="n">
        <v>3</v>
      </c>
      <c r="AE18" t="n">
        <v>28</v>
      </c>
      <c r="AF18" t="n">
        <v>20</v>
      </c>
    </row>
    <row r="19">
      <c r="A19" t="s">
        <v>36</v>
      </c>
      <c r="B19" t="s">
        <v>308</v>
      </c>
      <c r="C19" t="s">
        <v>236</v>
      </c>
      <c r="D19" t="s">
        <v>309</v>
      </c>
      <c r="E19" t="s">
        <v>237</v>
      </c>
      <c r="F19" t="n">
        <v>19</v>
      </c>
      <c r="G19" t="n">
        <v>12</v>
      </c>
      <c r="H19" t="n">
        <v>36</v>
      </c>
      <c r="I19" t="n">
        <v>39</v>
      </c>
      <c r="J19" t="n">
        <v>29</v>
      </c>
      <c r="K19" t="n">
        <v>51</v>
      </c>
      <c r="L19" t="n">
        <v>11</v>
      </c>
      <c r="M19" t="n">
        <v>2</v>
      </c>
      <c r="N19" t="n">
        <v>12</v>
      </c>
      <c r="O19" t="n">
        <v>9</v>
      </c>
      <c r="P19" t="n">
        <v>18</v>
      </c>
      <c r="Q19" t="n">
        <v>0</v>
      </c>
      <c r="R19" t="n">
        <v>14</v>
      </c>
      <c r="S19" t="n">
        <v>18</v>
      </c>
      <c r="T19" t="n">
        <v>13</v>
      </c>
      <c r="U19" t="n">
        <v>10</v>
      </c>
      <c r="V19" t="n">
        <v>5</v>
      </c>
      <c r="W19" t="n">
        <v>16</v>
      </c>
      <c r="X19" t="n">
        <v>12</v>
      </c>
      <c r="Y19" t="n">
        <v>6</v>
      </c>
      <c r="Z19" t="n">
        <v>9</v>
      </c>
      <c r="AA19" t="n">
        <v>47</v>
      </c>
      <c r="AB19" t="n">
        <v>7</v>
      </c>
      <c r="AC19" t="n">
        <v>14</v>
      </c>
      <c r="AD19" t="n">
        <v>1</v>
      </c>
      <c r="AE19" t="n">
        <v>32</v>
      </c>
      <c r="AF19" t="n">
        <v>29</v>
      </c>
    </row>
    <row r="20">
      <c r="A20" t="s">
        <v>36</v>
      </c>
      <c r="B20" t="s">
        <v>310</v>
      </c>
      <c r="C20" t="s">
        <v>236</v>
      </c>
      <c r="D20" t="s">
        <v>311</v>
      </c>
      <c r="E20" t="s">
        <v>237</v>
      </c>
      <c r="F20" t="n">
        <v>354</v>
      </c>
      <c r="G20" t="n">
        <v>369</v>
      </c>
      <c r="H20" t="n">
        <v>393</v>
      </c>
      <c r="I20" t="n">
        <v>367</v>
      </c>
      <c r="J20" t="n">
        <v>300</v>
      </c>
      <c r="K20" t="n">
        <v>350</v>
      </c>
      <c r="L20" t="n">
        <v>481</v>
      </c>
      <c r="M20" t="n">
        <v>410</v>
      </c>
      <c r="N20" t="n">
        <v>395</v>
      </c>
      <c r="O20" t="n">
        <v>642</v>
      </c>
      <c r="P20" t="n">
        <v>535</v>
      </c>
      <c r="Q20" t="n">
        <v>553</v>
      </c>
      <c r="R20" t="n">
        <v>617</v>
      </c>
      <c r="S20" t="n">
        <v>812</v>
      </c>
      <c r="T20" t="n">
        <v>774</v>
      </c>
      <c r="U20" t="n">
        <v>1573</v>
      </c>
      <c r="V20" t="n">
        <v>1352</v>
      </c>
      <c r="W20" t="n">
        <v>951</v>
      </c>
      <c r="X20" t="n">
        <v>1168</v>
      </c>
      <c r="Y20" t="n">
        <v>1327</v>
      </c>
      <c r="Z20" t="n">
        <v>1263</v>
      </c>
      <c r="AA20" t="n">
        <v>1760</v>
      </c>
      <c r="AB20" t="n">
        <v>2074</v>
      </c>
      <c r="AC20" t="n">
        <v>1898</v>
      </c>
      <c r="AD20" t="n">
        <v>1295</v>
      </c>
      <c r="AE20" t="n">
        <v>993</v>
      </c>
      <c r="AF20" t="n">
        <v>1493</v>
      </c>
    </row>
    <row r="21">
      <c r="A21" t="s">
        <v>36</v>
      </c>
      <c r="B21" t="s">
        <v>312</v>
      </c>
      <c r="C21" t="s">
        <v>236</v>
      </c>
      <c r="D21" t="s">
        <v>313</v>
      </c>
      <c r="E21" t="s">
        <v>237</v>
      </c>
      <c r="F21" t="n">
        <v>557</v>
      </c>
      <c r="G21" t="n">
        <v>580</v>
      </c>
      <c r="H21" t="n">
        <v>625</v>
      </c>
      <c r="I21" t="n">
        <v>595</v>
      </c>
      <c r="J21" t="n">
        <v>539</v>
      </c>
      <c r="K21" t="n">
        <v>610</v>
      </c>
      <c r="L21" t="n">
        <v>700</v>
      </c>
      <c r="M21" t="n">
        <v>713</v>
      </c>
      <c r="N21" t="n">
        <v>723</v>
      </c>
      <c r="O21" t="n">
        <v>951</v>
      </c>
      <c r="P21" t="n">
        <v>866</v>
      </c>
      <c r="Q21" t="n">
        <v>967</v>
      </c>
      <c r="R21" t="n">
        <v>1014</v>
      </c>
      <c r="S21" t="n">
        <v>1275</v>
      </c>
      <c r="T21" t="n">
        <v>1246</v>
      </c>
      <c r="U21" t="n">
        <v>2128</v>
      </c>
      <c r="V21" t="n">
        <v>1793</v>
      </c>
      <c r="W21" t="n">
        <v>1298</v>
      </c>
      <c r="X21" t="n">
        <v>1582</v>
      </c>
      <c r="Y21" t="n">
        <v>1767</v>
      </c>
      <c r="Z21" t="n">
        <v>1643</v>
      </c>
      <c r="AA21" t="n">
        <v>2238</v>
      </c>
      <c r="AB21" t="n">
        <v>2496</v>
      </c>
      <c r="AC21" t="n">
        <v>2475</v>
      </c>
      <c r="AD21" t="n">
        <v>1778</v>
      </c>
      <c r="AE21" t="n">
        <v>1794</v>
      </c>
      <c r="AF21" t="n">
        <v>2226</v>
      </c>
    </row>
    <row r="22">
      <c r="A22" t="s">
        <v>36</v>
      </c>
      <c r="B22" t="s">
        <v>314</v>
      </c>
      <c r="C22" t="s">
        <v>236</v>
      </c>
      <c r="D22" t="s">
        <v>315</v>
      </c>
      <c r="E22" t="s">
        <v>237</v>
      </c>
      <c r="F22" t="n">
        <v>203</v>
      </c>
      <c r="G22" t="n">
        <v>211</v>
      </c>
      <c r="H22" t="n">
        <v>232</v>
      </c>
      <c r="I22" t="n">
        <v>228</v>
      </c>
      <c r="J22" t="n">
        <v>239</v>
      </c>
      <c r="K22" t="n">
        <v>260</v>
      </c>
      <c r="L22" t="n">
        <v>219</v>
      </c>
      <c r="M22" t="n">
        <v>303</v>
      </c>
      <c r="N22" t="n">
        <v>328</v>
      </c>
      <c r="O22" t="n">
        <v>309</v>
      </c>
      <c r="P22" t="n">
        <v>331</v>
      </c>
      <c r="Q22" t="n">
        <v>414</v>
      </c>
      <c r="R22" t="n">
        <v>397</v>
      </c>
      <c r="S22" t="n">
        <v>463</v>
      </c>
      <c r="T22" t="n">
        <v>472</v>
      </c>
      <c r="U22" t="n">
        <v>555</v>
      </c>
      <c r="V22" t="n">
        <v>441</v>
      </c>
      <c r="W22" t="n">
        <v>347</v>
      </c>
      <c r="X22" t="n">
        <v>414</v>
      </c>
      <c r="Y22" t="n">
        <v>440</v>
      </c>
      <c r="Z22" t="n">
        <v>380</v>
      </c>
      <c r="AA22" t="n">
        <v>478</v>
      </c>
      <c r="AB22" t="n">
        <v>422</v>
      </c>
      <c r="AC22" t="n">
        <v>577</v>
      </c>
      <c r="AD22" t="n">
        <v>483</v>
      </c>
      <c r="AE22" t="n">
        <v>801</v>
      </c>
      <c r="AF22" t="n">
        <v>733</v>
      </c>
    </row>
    <row r="23">
      <c r="A23" t="s">
        <v>36</v>
      </c>
      <c r="B23" t="s">
        <v>316</v>
      </c>
      <c r="C23" t="s">
        <v>236</v>
      </c>
      <c r="D23" t="s">
        <v>317</v>
      </c>
      <c r="E23" t="s">
        <v>237</v>
      </c>
      <c r="F23" t="n">
        <v>21</v>
      </c>
      <c r="G23" t="n">
        <v>18</v>
      </c>
      <c r="H23" t="n">
        <v>38</v>
      </c>
      <c r="I23" t="n">
        <v>35</v>
      </c>
      <c r="J23" t="n">
        <v>46</v>
      </c>
      <c r="K23" t="n">
        <v>53</v>
      </c>
      <c r="L23" t="n">
        <v>44</v>
      </c>
      <c r="M23" t="n">
        <v>54</v>
      </c>
      <c r="N23" t="n">
        <v>54</v>
      </c>
      <c r="O23" t="n">
        <v>65</v>
      </c>
      <c r="P23" t="n">
        <v>62</v>
      </c>
      <c r="Q23" t="n">
        <v>77</v>
      </c>
      <c r="R23" t="n">
        <v>101</v>
      </c>
      <c r="S23" t="n">
        <v>116</v>
      </c>
      <c r="T23" t="n">
        <v>114</v>
      </c>
      <c r="U23" t="n">
        <v>144</v>
      </c>
      <c r="V23" t="n">
        <v>100</v>
      </c>
      <c r="W23" t="n">
        <v>130</v>
      </c>
      <c r="X23" t="n">
        <v>90</v>
      </c>
      <c r="Y23" t="n">
        <v>134</v>
      </c>
      <c r="Z23" t="n">
        <v>125</v>
      </c>
      <c r="AA23" t="n">
        <v>112</v>
      </c>
      <c r="AB23" t="n">
        <v>131</v>
      </c>
      <c r="AC23" t="n">
        <v>139</v>
      </c>
      <c r="AD23" t="n">
        <v>158</v>
      </c>
      <c r="AE23" t="n">
        <v>235</v>
      </c>
      <c r="AF23" t="n">
        <v>195</v>
      </c>
    </row>
    <row r="24">
      <c r="A24" t="s">
        <v>36</v>
      </c>
      <c r="B24" t="s">
        <v>318</v>
      </c>
      <c r="C24" t="s">
        <v>236</v>
      </c>
      <c r="D24" t="s">
        <v>319</v>
      </c>
      <c r="E24" t="s">
        <v>237</v>
      </c>
      <c r="F24" t="n">
        <v>159</v>
      </c>
      <c r="G24" t="n">
        <v>276</v>
      </c>
      <c r="H24" t="n">
        <v>269</v>
      </c>
      <c r="I24" t="n">
        <v>233</v>
      </c>
      <c r="J24" t="n">
        <v>267</v>
      </c>
      <c r="K24" t="n">
        <v>283</v>
      </c>
      <c r="L24" t="n">
        <v>188</v>
      </c>
      <c r="M24" t="n">
        <v>240</v>
      </c>
      <c r="N24" t="n">
        <v>307</v>
      </c>
      <c r="O24" t="n">
        <v>357</v>
      </c>
      <c r="P24" t="n">
        <v>251</v>
      </c>
      <c r="Q24" t="n">
        <v>104</v>
      </c>
      <c r="R24" t="n">
        <v>349</v>
      </c>
      <c r="S24" t="n">
        <v>321</v>
      </c>
      <c r="T24" t="n">
        <v>313</v>
      </c>
      <c r="U24" t="n">
        <v>279</v>
      </c>
      <c r="V24" t="n">
        <v>243</v>
      </c>
      <c r="W24" t="n">
        <v>364</v>
      </c>
      <c r="X24" t="n">
        <v>342</v>
      </c>
      <c r="Y24" t="n">
        <v>262</v>
      </c>
      <c r="Z24" t="n">
        <v>118</v>
      </c>
      <c r="AA24" t="n">
        <v>396</v>
      </c>
      <c r="AB24" t="n">
        <v>488</v>
      </c>
      <c r="AC24" t="n">
        <v>502</v>
      </c>
      <c r="AD24" t="n">
        <v>398</v>
      </c>
      <c r="AE24" t="n">
        <v>374</v>
      </c>
      <c r="AF24" t="n">
        <v>493</v>
      </c>
    </row>
    <row r="25">
      <c r="A25" t="s">
        <v>36</v>
      </c>
      <c r="B25" t="s">
        <v>320</v>
      </c>
      <c r="C25" t="s">
        <v>236</v>
      </c>
      <c r="D25" t="s">
        <v>321</v>
      </c>
      <c r="E25" t="s">
        <v>237</v>
      </c>
      <c r="F25" t="n">
        <v>14</v>
      </c>
      <c r="G25" t="n">
        <v>16</v>
      </c>
      <c r="H25" t="n">
        <v>28</v>
      </c>
      <c r="I25" t="n">
        <v>25</v>
      </c>
      <c r="J25" t="n">
        <v>41</v>
      </c>
      <c r="K25" t="n">
        <v>19</v>
      </c>
      <c r="L25" t="n">
        <v>21</v>
      </c>
      <c r="M25" t="n">
        <v>22</v>
      </c>
      <c r="N25" t="n">
        <v>32</v>
      </c>
      <c r="O25" t="n">
        <v>51</v>
      </c>
      <c r="P25" t="n">
        <v>51</v>
      </c>
      <c r="Q25" t="n">
        <v>54</v>
      </c>
      <c r="R25" t="n">
        <v>42</v>
      </c>
      <c r="S25" t="n">
        <v>58</v>
      </c>
      <c r="T25" t="n">
        <v>45</v>
      </c>
      <c r="U25" t="n">
        <v>52</v>
      </c>
      <c r="V25" t="n">
        <v>2</v>
      </c>
      <c r="W25" t="n">
        <v>41</v>
      </c>
      <c r="X25" t="n">
        <v>36</v>
      </c>
      <c r="Y25" t="n">
        <v>20</v>
      </c>
      <c r="Z25" t="n">
        <v>25</v>
      </c>
      <c r="AA25" t="n">
        <v>40</v>
      </c>
      <c r="AB25" t="n">
        <v>28</v>
      </c>
      <c r="AC25" t="n">
        <v>59</v>
      </c>
      <c r="AD25" t="n">
        <v>70</v>
      </c>
      <c r="AE25" t="n">
        <v>39</v>
      </c>
      <c r="AF25" t="n">
        <v>70</v>
      </c>
    </row>
    <row r="26">
      <c r="A26" t="s">
        <v>36</v>
      </c>
      <c r="B26" t="s">
        <v>322</v>
      </c>
      <c r="C26" t="s">
        <v>236</v>
      </c>
      <c r="D26" t="s">
        <v>323</v>
      </c>
      <c r="E26" t="s">
        <v>237</v>
      </c>
      <c r="F26" t="n">
        <v>24</v>
      </c>
      <c r="G26" t="n">
        <v>177</v>
      </c>
      <c r="H26" t="n">
        <v>121</v>
      </c>
      <c r="I26" t="n">
        <v>105</v>
      </c>
      <c r="J26" t="n">
        <v>109</v>
      </c>
      <c r="K26" t="n">
        <v>111</v>
      </c>
      <c r="L26" t="n">
        <v>66</v>
      </c>
      <c r="M26" t="n">
        <v>81</v>
      </c>
      <c r="N26" t="n">
        <v>71</v>
      </c>
      <c r="O26" t="n">
        <v>68</v>
      </c>
      <c r="P26" t="n">
        <v>96</v>
      </c>
      <c r="Q26" t="n">
        <v>-18</v>
      </c>
      <c r="R26" t="n">
        <v>154</v>
      </c>
      <c r="S26" t="n">
        <v>120</v>
      </c>
      <c r="T26" t="n">
        <v>47</v>
      </c>
      <c r="U26" t="n">
        <v>33</v>
      </c>
      <c r="V26" t="n">
        <v>126</v>
      </c>
      <c r="W26" t="n">
        <v>151</v>
      </c>
      <c r="X26" t="n">
        <v>110</v>
      </c>
      <c r="Y26" t="n">
        <v>143</v>
      </c>
      <c r="Z26" t="n">
        <v>-78</v>
      </c>
      <c r="AA26" t="n">
        <v>181</v>
      </c>
      <c r="AB26" t="n">
        <v>220</v>
      </c>
      <c r="AC26" t="n">
        <v>244</v>
      </c>
      <c r="AD26" t="n">
        <v>128</v>
      </c>
      <c r="AE26" t="n">
        <v>91</v>
      </c>
      <c r="AF26" t="n">
        <v>81</v>
      </c>
    </row>
    <row r="27">
      <c r="A27" t="s">
        <v>36</v>
      </c>
      <c r="B27" t="s">
        <v>324</v>
      </c>
      <c r="C27" t="s">
        <v>236</v>
      </c>
      <c r="D27" t="s">
        <v>325</v>
      </c>
      <c r="E27" t="s">
        <v>237</v>
      </c>
      <c r="F27" t="n">
        <v>121</v>
      </c>
      <c r="G27" t="n">
        <v>83</v>
      </c>
      <c r="H27" t="n">
        <v>120</v>
      </c>
      <c r="I27" t="n">
        <v>103</v>
      </c>
      <c r="J27" t="n">
        <v>117</v>
      </c>
      <c r="K27" t="n">
        <v>153</v>
      </c>
      <c r="L27" t="n">
        <v>101</v>
      </c>
      <c r="M27" t="n">
        <v>137</v>
      </c>
      <c r="N27" t="n">
        <v>204</v>
      </c>
      <c r="O27" t="n">
        <v>238</v>
      </c>
      <c r="P27" t="n">
        <v>104</v>
      </c>
      <c r="Q27" t="n">
        <v>68</v>
      </c>
      <c r="R27" t="n">
        <v>153</v>
      </c>
      <c r="S27" t="n">
        <v>143</v>
      </c>
      <c r="T27" t="n">
        <v>221</v>
      </c>
      <c r="U27" t="n">
        <v>194</v>
      </c>
      <c r="V27" t="n">
        <v>115</v>
      </c>
      <c r="W27" t="n">
        <v>172</v>
      </c>
      <c r="X27" t="n">
        <v>196</v>
      </c>
      <c r="Y27" t="n">
        <v>99</v>
      </c>
      <c r="Z27" t="n">
        <v>171</v>
      </c>
      <c r="AA27" t="n">
        <v>175</v>
      </c>
      <c r="AB27" t="n">
        <v>240</v>
      </c>
      <c r="AC27" t="n">
        <v>199</v>
      </c>
      <c r="AD27" t="n">
        <v>200</v>
      </c>
      <c r="AE27" t="n">
        <v>244</v>
      </c>
      <c r="AF27" t="n">
        <v>342</v>
      </c>
    </row>
    <row r="28">
      <c r="A28" t="s">
        <v>36</v>
      </c>
      <c r="B28" t="s">
        <v>326</v>
      </c>
      <c r="C28" t="s">
        <v>236</v>
      </c>
      <c r="D28" t="s">
        <v>327</v>
      </c>
      <c r="E28" t="s">
        <v>237</v>
      </c>
      <c r="F28" t="n">
        <v>180</v>
      </c>
      <c r="G28" t="n">
        <v>238</v>
      </c>
      <c r="H28" t="n">
        <v>219</v>
      </c>
      <c r="I28" t="n">
        <v>334</v>
      </c>
      <c r="J28" t="n">
        <v>241</v>
      </c>
      <c r="K28" t="n">
        <v>213</v>
      </c>
      <c r="L28" t="n">
        <v>190</v>
      </c>
      <c r="M28" t="n">
        <v>197</v>
      </c>
      <c r="N28" t="n">
        <v>246</v>
      </c>
      <c r="O28" t="n">
        <v>227</v>
      </c>
      <c r="P28" t="n">
        <v>135</v>
      </c>
      <c r="Q28" t="n">
        <v>265</v>
      </c>
      <c r="R28" t="n">
        <v>289</v>
      </c>
      <c r="S28" t="n">
        <v>425</v>
      </c>
      <c r="T28" t="n">
        <v>303</v>
      </c>
      <c r="U28" t="n">
        <v>273</v>
      </c>
      <c r="V28" t="n">
        <v>268</v>
      </c>
      <c r="W28" t="n">
        <v>240</v>
      </c>
      <c r="X28" t="n">
        <v>253</v>
      </c>
      <c r="Y28" t="n">
        <v>223</v>
      </c>
      <c r="Z28" t="n">
        <v>266</v>
      </c>
      <c r="AA28" t="n">
        <v>339</v>
      </c>
      <c r="AB28" t="n">
        <v>441</v>
      </c>
      <c r="AC28" t="n">
        <v>536</v>
      </c>
      <c r="AD28" t="n">
        <v>499</v>
      </c>
      <c r="AE28" t="n">
        <v>527</v>
      </c>
      <c r="AF28" t="n">
        <v>505</v>
      </c>
    </row>
    <row r="29">
      <c r="A29" t="s">
        <v>36</v>
      </c>
      <c r="B29" t="s">
        <v>328</v>
      </c>
      <c r="C29" t="s">
        <v>236</v>
      </c>
      <c r="D29" t="s">
        <v>329</v>
      </c>
      <c r="E29" t="s">
        <v>237</v>
      </c>
      <c r="F29" t="n">
        <v>25</v>
      </c>
      <c r="G29" t="n">
        <v>85</v>
      </c>
      <c r="H29" t="n">
        <v>69</v>
      </c>
      <c r="I29" t="n">
        <v>54</v>
      </c>
      <c r="J29" t="n">
        <v>66</v>
      </c>
      <c r="K29" t="n">
        <v>58</v>
      </c>
      <c r="L29" t="n">
        <v>54</v>
      </c>
      <c r="M29" t="n">
        <v>49</v>
      </c>
      <c r="N29" t="n">
        <v>46</v>
      </c>
      <c r="O29" t="n">
        <v>41</v>
      </c>
      <c r="P29" t="n">
        <v>63</v>
      </c>
      <c r="Q29" t="n">
        <v>85</v>
      </c>
      <c r="R29" t="n">
        <v>62</v>
      </c>
      <c r="S29" t="n">
        <v>108</v>
      </c>
      <c r="T29" t="n">
        <v>111</v>
      </c>
      <c r="U29" t="n">
        <v>77</v>
      </c>
      <c r="V29" t="n">
        <v>118</v>
      </c>
      <c r="W29" t="n">
        <v>50</v>
      </c>
      <c r="X29" t="n">
        <v>97</v>
      </c>
      <c r="Y29" t="n">
        <v>53</v>
      </c>
      <c r="Z29" t="n">
        <v>105</v>
      </c>
      <c r="AA29" t="n">
        <v>68</v>
      </c>
      <c r="AB29" t="n">
        <v>41</v>
      </c>
      <c r="AC29" t="n">
        <v>87</v>
      </c>
      <c r="AD29" t="n">
        <v>133</v>
      </c>
      <c r="AE29" t="n">
        <v>168</v>
      </c>
      <c r="AF29" t="n">
        <v>151</v>
      </c>
    </row>
    <row r="30">
      <c r="A30" t="s">
        <v>36</v>
      </c>
      <c r="B30" t="s">
        <v>330</v>
      </c>
      <c r="C30" t="s">
        <v>236</v>
      </c>
      <c r="D30" t="s">
        <v>331</v>
      </c>
      <c r="E30" t="s">
        <v>237</v>
      </c>
      <c r="F30" t="n">
        <v>2</v>
      </c>
      <c r="G30" t="n">
        <v>-6</v>
      </c>
      <c r="H30" t="n">
        <v>-7</v>
      </c>
      <c r="I30" t="n">
        <v>6</v>
      </c>
      <c r="J30" t="n">
        <v>2</v>
      </c>
      <c r="K30" t="n">
        <v>1</v>
      </c>
      <c r="L30" t="n">
        <v>3</v>
      </c>
      <c r="M30" t="n">
        <v>4</v>
      </c>
      <c r="N30" t="n">
        <v>-6</v>
      </c>
      <c r="O30" t="n">
        <v>2</v>
      </c>
      <c r="P30" t="n">
        <v>0</v>
      </c>
      <c r="Q30" t="n">
        <v>3</v>
      </c>
      <c r="R30" t="n">
        <v>3</v>
      </c>
      <c r="S30" t="n">
        <v>1</v>
      </c>
      <c r="T30" t="n">
        <v>3</v>
      </c>
      <c r="U30" t="n">
        <v>11</v>
      </c>
      <c r="V30" t="n">
        <v>5</v>
      </c>
      <c r="W30" t="n">
        <v>1</v>
      </c>
      <c r="X30" t="n">
        <v>3</v>
      </c>
      <c r="Y30" t="n">
        <v>1</v>
      </c>
      <c r="Z30" t="n">
        <v>1</v>
      </c>
      <c r="AA30" t="n">
        <v>1</v>
      </c>
      <c r="AB30" t="n">
        <v>1</v>
      </c>
      <c r="AC30" t="n">
        <v>16</v>
      </c>
      <c r="AD30" t="n">
        <v>3</v>
      </c>
      <c r="AE30" t="n">
        <v>3</v>
      </c>
      <c r="AF30" t="n">
        <v>-18</v>
      </c>
    </row>
    <row r="31">
      <c r="A31" t="s">
        <v>36</v>
      </c>
      <c r="B31" t="s">
        <v>332</v>
      </c>
      <c r="C31" t="s">
        <v>236</v>
      </c>
      <c r="D31" t="s">
        <v>333</v>
      </c>
      <c r="E31" t="s">
        <v>237</v>
      </c>
      <c r="F31" t="n">
        <v>4</v>
      </c>
      <c r="G31" t="n">
        <v>11</v>
      </c>
      <c r="H31" t="n">
        <v>10</v>
      </c>
      <c r="I31" t="n">
        <v>15</v>
      </c>
      <c r="J31" t="n">
        <v>20</v>
      </c>
      <c r="K31" t="n">
        <v>4</v>
      </c>
      <c r="L31" t="n">
        <v>-2</v>
      </c>
      <c r="M31" t="n">
        <v>-1</v>
      </c>
      <c r="N31" t="n">
        <v>0</v>
      </c>
      <c r="O31" t="n">
        <v>0</v>
      </c>
      <c r="P31" t="n">
        <v>0</v>
      </c>
      <c r="Q31" t="n">
        <v>2</v>
      </c>
      <c r="R31" t="n">
        <v>-3</v>
      </c>
      <c r="S31" t="n">
        <v>16</v>
      </c>
      <c r="T31" t="n">
        <v>-43</v>
      </c>
      <c r="U31" t="n">
        <v>2</v>
      </c>
      <c r="V31" t="n">
        <v>1</v>
      </c>
      <c r="W31" t="n">
        <v>1</v>
      </c>
      <c r="X31" t="n">
        <v>0</v>
      </c>
      <c r="Y31" t="n">
        <v>1</v>
      </c>
      <c r="Z31" t="n">
        <v>-12</v>
      </c>
      <c r="AA31" t="n">
        <v>23</v>
      </c>
      <c r="AB31" t="n">
        <v>7</v>
      </c>
      <c r="AC31" t="n">
        <v>10</v>
      </c>
      <c r="AD31" t="n">
        <v>9</v>
      </c>
      <c r="AE31" t="n">
        <v>0</v>
      </c>
      <c r="AF31" t="n">
        <v>1</v>
      </c>
    </row>
    <row r="32">
      <c r="A32" t="s">
        <v>36</v>
      </c>
      <c r="B32" t="s">
        <v>334</v>
      </c>
      <c r="C32" t="s">
        <v>236</v>
      </c>
      <c r="D32" t="s">
        <v>335</v>
      </c>
      <c r="E32" t="s">
        <v>237</v>
      </c>
      <c r="F32" t="n">
        <v>142</v>
      </c>
      <c r="G32" t="n">
        <v>134</v>
      </c>
      <c r="H32" t="n">
        <v>126</v>
      </c>
      <c r="I32" t="n">
        <v>224</v>
      </c>
      <c r="J32" t="n">
        <v>140</v>
      </c>
      <c r="K32" t="n">
        <v>133</v>
      </c>
      <c r="L32" t="n">
        <v>126</v>
      </c>
      <c r="M32" t="n">
        <v>141</v>
      </c>
      <c r="N32" t="n">
        <v>199</v>
      </c>
      <c r="O32" t="n">
        <v>178</v>
      </c>
      <c r="P32" t="n">
        <v>67</v>
      </c>
      <c r="Q32" t="n">
        <v>174</v>
      </c>
      <c r="R32" t="n">
        <v>231</v>
      </c>
      <c r="S32" t="n">
        <v>261</v>
      </c>
      <c r="T32" t="n">
        <v>193</v>
      </c>
      <c r="U32" t="n">
        <v>177</v>
      </c>
      <c r="V32" t="n">
        <v>138</v>
      </c>
      <c r="W32" t="n">
        <v>152</v>
      </c>
      <c r="X32" t="n">
        <v>152</v>
      </c>
      <c r="Y32" t="n">
        <v>154</v>
      </c>
      <c r="Z32" t="n">
        <v>241</v>
      </c>
      <c r="AA32" t="n">
        <v>281</v>
      </c>
      <c r="AB32" t="n">
        <v>392</v>
      </c>
      <c r="AC32" t="n">
        <v>423</v>
      </c>
      <c r="AD32" t="n">
        <v>354</v>
      </c>
      <c r="AE32" t="n">
        <v>356</v>
      </c>
      <c r="AF32" t="n">
        <v>371</v>
      </c>
    </row>
    <row r="33">
      <c r="A33" t="s">
        <v>36</v>
      </c>
      <c r="B33" t="s">
        <v>336</v>
      </c>
      <c r="C33" t="s">
        <v>236</v>
      </c>
      <c r="D33" t="s">
        <v>337</v>
      </c>
      <c r="E33" t="s">
        <v>237</v>
      </c>
      <c r="F33" t="n">
        <v>7</v>
      </c>
      <c r="G33" t="n">
        <v>14</v>
      </c>
      <c r="H33" t="n">
        <v>21</v>
      </c>
      <c r="I33" t="n">
        <v>35</v>
      </c>
      <c r="J33" t="n">
        <v>13</v>
      </c>
      <c r="K33" t="n">
        <v>17</v>
      </c>
      <c r="L33" t="n">
        <v>9</v>
      </c>
      <c r="M33" t="n">
        <v>4</v>
      </c>
      <c r="N33" t="n">
        <v>7</v>
      </c>
      <c r="O33" t="n">
        <v>6</v>
      </c>
      <c r="P33" t="n">
        <v>5</v>
      </c>
      <c r="Q33" t="n">
        <v>1</v>
      </c>
      <c r="R33" t="n">
        <v>-4</v>
      </c>
      <c r="S33" t="n">
        <v>39</v>
      </c>
      <c r="T33" t="n">
        <v>39</v>
      </c>
      <c r="U33" t="n">
        <v>6</v>
      </c>
      <c r="V33" t="n">
        <v>6</v>
      </c>
      <c r="W33" t="n">
        <v>36</v>
      </c>
      <c r="X33" t="n">
        <v>1</v>
      </c>
      <c r="Y33" t="n">
        <v>14</v>
      </c>
      <c r="Z33" t="n">
        <v>-69</v>
      </c>
      <c r="AA33" t="n">
        <v>-34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36</v>
      </c>
      <c r="B34" t="s">
        <v>338</v>
      </c>
      <c r="C34" t="s">
        <v>236</v>
      </c>
      <c r="D34" t="s">
        <v>339</v>
      </c>
      <c r="E34" t="s">
        <v>237</v>
      </c>
      <c r="F34" t="n">
        <v>27</v>
      </c>
      <c r="G34" t="n">
        <v>33</v>
      </c>
      <c r="H34" t="n">
        <v>41</v>
      </c>
      <c r="I34" t="n">
        <v>27</v>
      </c>
      <c r="J34" t="n">
        <v>37</v>
      </c>
      <c r="K34" t="n">
        <v>31</v>
      </c>
      <c r="L34" t="n">
        <v>16</v>
      </c>
      <c r="M34" t="n">
        <v>51</v>
      </c>
      <c r="N34" t="n">
        <v>19</v>
      </c>
      <c r="O34" t="n">
        <v>39</v>
      </c>
      <c r="P34" t="n">
        <v>40</v>
      </c>
      <c r="Q34" t="n">
        <v>69</v>
      </c>
      <c r="R34" t="n">
        <v>69</v>
      </c>
      <c r="S34" t="n">
        <v>70</v>
      </c>
      <c r="T34" t="n">
        <v>79</v>
      </c>
      <c r="U34" t="n">
        <v>95</v>
      </c>
      <c r="V34" t="n">
        <v>52</v>
      </c>
      <c r="W34" t="n">
        <v>60</v>
      </c>
      <c r="X34" t="n">
        <v>38</v>
      </c>
      <c r="Y34" t="n">
        <v>49</v>
      </c>
      <c r="Z34" t="n">
        <v>58</v>
      </c>
      <c r="AA34" t="n">
        <v>76</v>
      </c>
      <c r="AB34" t="n">
        <v>100</v>
      </c>
      <c r="AC34" t="n">
        <v>100</v>
      </c>
      <c r="AD34" t="n">
        <v>89</v>
      </c>
      <c r="AE34" t="n">
        <v>123</v>
      </c>
      <c r="AF34" t="n">
        <v>92</v>
      </c>
    </row>
    <row r="35">
      <c r="A35" t="s">
        <v>36</v>
      </c>
      <c r="B35" t="s">
        <v>340</v>
      </c>
      <c r="C35" t="s">
        <v>236</v>
      </c>
      <c r="D35" t="s">
        <v>341</v>
      </c>
      <c r="E35" t="s">
        <v>237</v>
      </c>
      <c r="F35" t="n">
        <v>338</v>
      </c>
      <c r="G35" t="n">
        <v>373</v>
      </c>
      <c r="H35" t="n">
        <v>377</v>
      </c>
      <c r="I35" t="n">
        <v>376</v>
      </c>
      <c r="J35" t="n">
        <v>481</v>
      </c>
      <c r="K35" t="n">
        <v>485</v>
      </c>
      <c r="L35" t="n">
        <v>504</v>
      </c>
      <c r="M35" t="n">
        <v>415</v>
      </c>
      <c r="N35" t="n">
        <v>326</v>
      </c>
      <c r="O35" t="n">
        <v>109</v>
      </c>
      <c r="P35" t="n">
        <v>94</v>
      </c>
      <c r="Q35" t="n">
        <v>142</v>
      </c>
      <c r="R35" t="n">
        <v>141</v>
      </c>
      <c r="S35" t="n">
        <v>144</v>
      </c>
      <c r="T35" t="n">
        <v>157</v>
      </c>
      <c r="U35" t="n">
        <v>177</v>
      </c>
      <c r="V35" t="n">
        <v>180</v>
      </c>
      <c r="W35" t="n">
        <v>141</v>
      </c>
      <c r="X35" t="n">
        <v>225</v>
      </c>
      <c r="Y35" t="n">
        <v>434</v>
      </c>
      <c r="Z35" t="n">
        <v>403</v>
      </c>
      <c r="AA35" t="n">
        <v>232</v>
      </c>
      <c r="AB35" t="n">
        <v>266</v>
      </c>
      <c r="AC35" t="n">
        <v>320</v>
      </c>
      <c r="AD35" t="n">
        <v>322</v>
      </c>
      <c r="AE35" t="n">
        <v>614</v>
      </c>
      <c r="AF35" t="n">
        <v>342</v>
      </c>
    </row>
    <row r="36">
      <c r="A36" t="s">
        <v>36</v>
      </c>
      <c r="B36" t="s">
        <v>342</v>
      </c>
      <c r="C36" t="s">
        <v>236</v>
      </c>
      <c r="D36" t="s">
        <v>343</v>
      </c>
      <c r="E36" t="s">
        <v>237</v>
      </c>
      <c r="F36" t="n">
        <v>12</v>
      </c>
      <c r="G36" t="n">
        <v>8</v>
      </c>
      <c r="H36" t="n">
        <v>32</v>
      </c>
      <c r="I36" t="n">
        <v>32</v>
      </c>
      <c r="J36" t="n">
        <v>20</v>
      </c>
      <c r="K36" t="n">
        <v>13</v>
      </c>
      <c r="L36" t="n">
        <v>4</v>
      </c>
      <c r="M36" t="n">
        <v>11</v>
      </c>
      <c r="N36" t="n">
        <v>14</v>
      </c>
      <c r="O36" t="n">
        <v>14</v>
      </c>
      <c r="P36" t="n">
        <v>14</v>
      </c>
      <c r="Q36" t="n">
        <v>9</v>
      </c>
      <c r="R36" t="n">
        <v>15</v>
      </c>
      <c r="S36" t="n">
        <v>-5</v>
      </c>
      <c r="T36" t="n">
        <v>13</v>
      </c>
      <c r="U36" t="n">
        <v>13</v>
      </c>
      <c r="V36" t="n">
        <v>18</v>
      </c>
      <c r="W36" t="n">
        <v>-6</v>
      </c>
      <c r="X36" t="n">
        <v>28</v>
      </c>
      <c r="Y36" t="n">
        <v>-106</v>
      </c>
      <c r="Z36" t="n">
        <v>9</v>
      </c>
      <c r="AA36" t="n">
        <v>-2</v>
      </c>
      <c r="AB36" t="n">
        <v>29</v>
      </c>
      <c r="AC36" t="n">
        <v>25</v>
      </c>
      <c r="AD36" t="n">
        <v>22</v>
      </c>
      <c r="AE36" t="n">
        <v>2</v>
      </c>
      <c r="AF36" t="n">
        <v>15</v>
      </c>
    </row>
    <row r="37">
      <c r="A37" t="s">
        <v>36</v>
      </c>
      <c r="B37" t="s">
        <v>344</v>
      </c>
      <c r="C37" t="s">
        <v>236</v>
      </c>
      <c r="D37" t="s">
        <v>345</v>
      </c>
      <c r="E37" t="s">
        <v>237</v>
      </c>
      <c r="F37" t="n">
        <v>325</v>
      </c>
      <c r="G37" t="n">
        <v>361</v>
      </c>
      <c r="H37" t="n">
        <v>343</v>
      </c>
      <c r="I37" t="n">
        <v>339</v>
      </c>
      <c r="J37" t="n">
        <v>459</v>
      </c>
      <c r="K37" t="n">
        <v>465</v>
      </c>
      <c r="L37" t="n">
        <v>497</v>
      </c>
      <c r="M37" t="n">
        <v>403</v>
      </c>
      <c r="N37" t="n">
        <v>312</v>
      </c>
      <c r="O37" t="n">
        <v>145</v>
      </c>
      <c r="P37" t="n">
        <v>79</v>
      </c>
      <c r="Q37" t="n">
        <v>129</v>
      </c>
      <c r="R37" t="n">
        <v>123</v>
      </c>
      <c r="S37" t="n">
        <v>147</v>
      </c>
      <c r="T37" t="n">
        <v>141</v>
      </c>
      <c r="U37" t="n">
        <v>161</v>
      </c>
      <c r="V37" t="n">
        <v>137</v>
      </c>
      <c r="W37" t="n">
        <v>130</v>
      </c>
      <c r="X37" t="n">
        <v>185</v>
      </c>
      <c r="Y37" t="n">
        <v>139</v>
      </c>
      <c r="Z37" t="n">
        <v>205</v>
      </c>
      <c r="AA37" t="n">
        <v>218</v>
      </c>
      <c r="AB37" t="n">
        <v>218</v>
      </c>
      <c r="AC37" t="n">
        <v>194</v>
      </c>
      <c r="AD37" t="n">
        <v>125</v>
      </c>
      <c r="AE37" t="n">
        <v>211</v>
      </c>
      <c r="AF37" t="n">
        <v>196</v>
      </c>
    </row>
    <row r="38">
      <c r="A38" t="s">
        <v>36</v>
      </c>
      <c r="B38" t="s">
        <v>346</v>
      </c>
      <c r="C38" t="s">
        <v>236</v>
      </c>
      <c r="D38" t="s">
        <v>347</v>
      </c>
      <c r="E38" t="s">
        <v>237</v>
      </c>
      <c r="F38" t="n">
        <v>1</v>
      </c>
      <c r="G38" t="n">
        <v>4</v>
      </c>
      <c r="H38" t="n">
        <v>2</v>
      </c>
      <c r="I38" t="n">
        <v>5</v>
      </c>
      <c r="J38" t="n">
        <v>2</v>
      </c>
      <c r="K38" t="n">
        <v>7</v>
      </c>
      <c r="L38" t="n">
        <v>3</v>
      </c>
      <c r="M38" t="n">
        <v>1</v>
      </c>
      <c r="N38" t="n">
        <v>0</v>
      </c>
      <c r="O38" t="n">
        <v>-50</v>
      </c>
      <c r="P38" t="n">
        <v>1</v>
      </c>
      <c r="Q38" t="n">
        <v>4</v>
      </c>
      <c r="R38" t="n">
        <v>3</v>
      </c>
      <c r="S38" t="n">
        <v>2</v>
      </c>
      <c r="T38" t="n">
        <v>3</v>
      </c>
      <c r="U38" t="n">
        <v>3</v>
      </c>
      <c r="V38" t="n">
        <v>25</v>
      </c>
      <c r="W38" t="n">
        <v>17</v>
      </c>
      <c r="X38" t="n">
        <v>12</v>
      </c>
      <c r="Y38" t="n">
        <v>401</v>
      </c>
      <c r="Z38" t="n">
        <v>189</v>
      </c>
      <c r="AA38" t="n">
        <v>16</v>
      </c>
      <c r="AB38" t="n">
        <v>19</v>
      </c>
      <c r="AC38" t="n">
        <v>101</v>
      </c>
      <c r="AD38" t="n">
        <v>175</v>
      </c>
      <c r="AE38" t="n">
        <v>401</v>
      </c>
      <c r="AF38" t="n">
        <v>131</v>
      </c>
    </row>
    <row r="39">
      <c r="A39" t="s">
        <v>36</v>
      </c>
      <c r="B39" t="s">
        <v>348</v>
      </c>
      <c r="C39" t="s">
        <v>236</v>
      </c>
      <c r="D39" t="s">
        <v>349</v>
      </c>
      <c r="E39" t="s">
        <v>237</v>
      </c>
      <c r="F39" t="n">
        <v>-195</v>
      </c>
      <c r="G39" t="n">
        <v>-155</v>
      </c>
      <c r="H39" t="n">
        <v>-227</v>
      </c>
      <c r="I39" t="n">
        <v>-50</v>
      </c>
      <c r="J39" t="n">
        <v>-43</v>
      </c>
      <c r="K39" t="n">
        <v>15</v>
      </c>
      <c r="L39" t="n">
        <v>-45</v>
      </c>
      <c r="M39" t="n">
        <v>-38</v>
      </c>
      <c r="N39" t="n">
        <v>-62</v>
      </c>
      <c r="O39" t="n">
        <v>-101</v>
      </c>
      <c r="P39" t="n">
        <v>-19</v>
      </c>
      <c r="Q39" t="n">
        <v>-22</v>
      </c>
      <c r="R39" t="n">
        <v>50</v>
      </c>
      <c r="S39" t="n">
        <v>55</v>
      </c>
      <c r="T39" t="n">
        <v>97</v>
      </c>
      <c r="U39" t="n">
        <v>0</v>
      </c>
      <c r="V39" t="n">
        <v>13</v>
      </c>
      <c r="W39" t="n">
        <v>18</v>
      </c>
      <c r="X39" t="n">
        <v>14</v>
      </c>
      <c r="Y39" t="n">
        <v>31</v>
      </c>
      <c r="Z39" t="n">
        <v>23</v>
      </c>
      <c r="AA39" t="n">
        <v>123</v>
      </c>
      <c r="AB39" t="n">
        <v>2</v>
      </c>
      <c r="AC39" t="n">
        <v>-5</v>
      </c>
      <c r="AD39" t="n">
        <v>7</v>
      </c>
      <c r="AE39" t="n">
        <v>-1</v>
      </c>
      <c r="AF39" t="n">
        <v>-8</v>
      </c>
    </row>
    <row r="40">
      <c r="A40" t="s">
        <v>36</v>
      </c>
      <c r="B40" t="s">
        <v>350</v>
      </c>
      <c r="C40" t="s">
        <v>236</v>
      </c>
      <c r="D40" t="s">
        <v>351</v>
      </c>
      <c r="E40" t="s">
        <v>237</v>
      </c>
      <c r="F40" t="n">
        <v>394</v>
      </c>
      <c r="G40" t="n">
        <v>880</v>
      </c>
      <c r="H40" t="n">
        <v>703</v>
      </c>
      <c r="I40" t="n">
        <v>1255</v>
      </c>
      <c r="J40" t="n">
        <v>1589</v>
      </c>
      <c r="K40" t="n">
        <v>2504</v>
      </c>
      <c r="L40" t="n">
        <v>3257</v>
      </c>
      <c r="M40" t="n">
        <v>3010</v>
      </c>
      <c r="N40" t="n">
        <v>2576</v>
      </c>
      <c r="O40" t="n">
        <v>2914</v>
      </c>
      <c r="P40" t="n">
        <v>3587</v>
      </c>
      <c r="Q40" t="n">
        <v>3788</v>
      </c>
      <c r="R40" t="n">
        <v>5382</v>
      </c>
      <c r="S40" t="n">
        <v>6193</v>
      </c>
      <c r="T40" t="n">
        <v>4593</v>
      </c>
      <c r="U40" t="n">
        <v>4109</v>
      </c>
      <c r="V40" t="n">
        <v>4419</v>
      </c>
      <c r="W40" t="n">
        <v>4505</v>
      </c>
      <c r="X40" t="n">
        <v>4327</v>
      </c>
      <c r="Y40" t="n">
        <v>3676</v>
      </c>
      <c r="Z40" t="n">
        <v>4410</v>
      </c>
      <c r="AA40" t="n">
        <v>4336</v>
      </c>
      <c r="AB40" t="n">
        <v>4816</v>
      </c>
      <c r="AC40" t="n">
        <v>5484</v>
      </c>
      <c r="AD40" t="n">
        <v>6162</v>
      </c>
      <c r="AE40" t="n">
        <v>5844</v>
      </c>
      <c r="AF40" t="n">
        <v>5232</v>
      </c>
    </row>
    <row r="41">
      <c r="A41" t="s">
        <v>36</v>
      </c>
      <c r="B41" t="s">
        <v>352</v>
      </c>
      <c r="C41" t="s">
        <v>236</v>
      </c>
      <c r="D41" t="s">
        <v>353</v>
      </c>
      <c r="E41" t="s">
        <v>237</v>
      </c>
      <c r="F41" t="n">
        <v>63</v>
      </c>
      <c r="G41" t="n">
        <v>60</v>
      </c>
      <c r="H41" t="n">
        <v>80</v>
      </c>
      <c r="I41" t="n">
        <v>86</v>
      </c>
      <c r="J41" t="n">
        <v>92</v>
      </c>
      <c r="K41" t="n">
        <v>120</v>
      </c>
      <c r="L41" t="n">
        <v>111</v>
      </c>
      <c r="M41" t="n">
        <v>130</v>
      </c>
      <c r="N41" t="n">
        <v>161</v>
      </c>
      <c r="O41" t="n">
        <v>161</v>
      </c>
      <c r="P41" t="n">
        <v>223</v>
      </c>
      <c r="Q41" t="n">
        <v>243</v>
      </c>
      <c r="R41" t="n">
        <v>229</v>
      </c>
      <c r="S41" t="n">
        <v>216</v>
      </c>
      <c r="T41" t="n">
        <v>178</v>
      </c>
      <c r="U41" t="n">
        <v>257</v>
      </c>
      <c r="V41" t="n">
        <v>293</v>
      </c>
      <c r="W41" t="n">
        <v>274</v>
      </c>
      <c r="X41" t="n">
        <v>302</v>
      </c>
      <c r="Y41" t="n">
        <v>388</v>
      </c>
      <c r="Z41" t="n">
        <v>431</v>
      </c>
      <c r="AA41" t="n">
        <v>432</v>
      </c>
      <c r="AB41" t="n">
        <v>407</v>
      </c>
      <c r="AC41" t="n">
        <v>398</v>
      </c>
      <c r="AD41" t="n">
        <v>401</v>
      </c>
      <c r="AE41" t="n">
        <v>387</v>
      </c>
      <c r="AF41" t="n">
        <v>390</v>
      </c>
    </row>
    <row r="42">
      <c r="A42" t="s">
        <v>36</v>
      </c>
      <c r="B42" t="s">
        <v>354</v>
      </c>
      <c r="C42" t="s">
        <v>236</v>
      </c>
      <c r="D42" t="s">
        <v>355</v>
      </c>
      <c r="E42" t="s">
        <v>237</v>
      </c>
      <c r="F42" t="n">
        <v>5</v>
      </c>
      <c r="G42" t="n">
        <v>14</v>
      </c>
      <c r="H42" t="n">
        <v>28</v>
      </c>
      <c r="I42" t="n">
        <v>33</v>
      </c>
      <c r="J42" t="n">
        <v>34</v>
      </c>
      <c r="K42" t="n">
        <v>42</v>
      </c>
      <c r="L42" t="n">
        <v>26</v>
      </c>
      <c r="M42" t="n">
        <v>32</v>
      </c>
      <c r="N42" t="n">
        <v>27</v>
      </c>
      <c r="O42" t="n">
        <v>24</v>
      </c>
      <c r="P42" t="n">
        <v>43</v>
      </c>
      <c r="Q42" t="n">
        <v>39</v>
      </c>
      <c r="R42" t="n">
        <v>79</v>
      </c>
      <c r="S42" t="n">
        <v>55</v>
      </c>
      <c r="T42" t="n">
        <v>50</v>
      </c>
      <c r="U42" t="n">
        <v>119</v>
      </c>
      <c r="V42" t="n">
        <v>110</v>
      </c>
      <c r="W42" t="n">
        <v>37</v>
      </c>
      <c r="X42" t="n">
        <v>-9</v>
      </c>
      <c r="Y42" t="n">
        <v>42</v>
      </c>
      <c r="Z42" t="n">
        <v>76</v>
      </c>
      <c r="AA42" t="n">
        <v>37</v>
      </c>
      <c r="AB42" t="n">
        <v>72</v>
      </c>
      <c r="AC42" t="n">
        <v>91</v>
      </c>
      <c r="AD42" t="n">
        <v>128</v>
      </c>
      <c r="AE42" t="n">
        <v>97</v>
      </c>
      <c r="AF42" t="n">
        <v>157</v>
      </c>
    </row>
    <row r="43">
      <c r="A43" t="s">
        <v>36</v>
      </c>
      <c r="B43" t="s">
        <v>356</v>
      </c>
      <c r="C43" t="s">
        <v>236</v>
      </c>
      <c r="D43" t="s">
        <v>357</v>
      </c>
      <c r="E43" t="s">
        <v>237</v>
      </c>
      <c r="F43" t="n">
        <v>45</v>
      </c>
      <c r="G43" t="n">
        <v>75</v>
      </c>
      <c r="H43" t="n">
        <v>48</v>
      </c>
      <c r="I43" t="n">
        <v>77</v>
      </c>
      <c r="J43" t="n">
        <v>75</v>
      </c>
      <c r="K43" t="n">
        <v>105</v>
      </c>
      <c r="L43" t="n">
        <v>97</v>
      </c>
      <c r="M43" t="n">
        <v>107</v>
      </c>
      <c r="N43" t="n">
        <v>101</v>
      </c>
      <c r="O43" t="n">
        <v>91</v>
      </c>
      <c r="P43" t="n">
        <v>86</v>
      </c>
      <c r="Q43" t="n">
        <v>79</v>
      </c>
      <c r="R43" t="n">
        <v>130</v>
      </c>
      <c r="S43" t="n">
        <v>128</v>
      </c>
      <c r="T43" t="n">
        <v>123</v>
      </c>
      <c r="U43" t="n">
        <v>241</v>
      </c>
      <c r="V43" t="n">
        <v>182</v>
      </c>
      <c r="W43" t="n">
        <v>70</v>
      </c>
      <c r="X43" t="n">
        <v>51</v>
      </c>
      <c r="Y43" t="n">
        <v>49</v>
      </c>
      <c r="Z43" t="n">
        <v>141</v>
      </c>
      <c r="AA43" t="n">
        <v>91</v>
      </c>
      <c r="AB43" t="n">
        <v>123</v>
      </c>
      <c r="AC43" t="n">
        <v>196</v>
      </c>
      <c r="AD43" t="n">
        <v>214</v>
      </c>
      <c r="AE43" t="n">
        <v>187</v>
      </c>
      <c r="AF43" t="n">
        <v>668</v>
      </c>
    </row>
    <row r="44">
      <c r="A44" t="s">
        <v>36</v>
      </c>
      <c r="B44" t="s">
        <v>358</v>
      </c>
      <c r="C44" t="s">
        <v>236</v>
      </c>
      <c r="D44" t="s">
        <v>359</v>
      </c>
      <c r="E44" t="s">
        <v>237</v>
      </c>
      <c r="F44" t="n">
        <v>2521</v>
      </c>
      <c r="G44" t="n">
        <v>2839</v>
      </c>
      <c r="H44" t="n">
        <v>2961</v>
      </c>
      <c r="I44" t="n">
        <v>3267</v>
      </c>
      <c r="J44" t="n">
        <v>3281</v>
      </c>
      <c r="K44" t="n">
        <v>3426</v>
      </c>
      <c r="L44" t="n">
        <v>3391</v>
      </c>
      <c r="M44" t="n">
        <v>3590</v>
      </c>
      <c r="N44" t="n">
        <v>3432</v>
      </c>
      <c r="O44" t="n">
        <v>3283</v>
      </c>
      <c r="P44" t="n">
        <v>3165</v>
      </c>
      <c r="Q44" t="n">
        <v>3513</v>
      </c>
      <c r="R44" t="n">
        <v>4386</v>
      </c>
      <c r="S44" t="n">
        <v>4815</v>
      </c>
      <c r="T44" t="n">
        <v>4491</v>
      </c>
      <c r="U44" t="n">
        <v>5242</v>
      </c>
      <c r="V44" t="n">
        <v>4748</v>
      </c>
      <c r="W44" t="n">
        <v>4431</v>
      </c>
      <c r="X44" t="n">
        <v>4868</v>
      </c>
      <c r="Y44" t="n">
        <v>5185</v>
      </c>
      <c r="Z44" t="n">
        <v>4866</v>
      </c>
      <c r="AA44" t="n">
        <v>5971</v>
      </c>
      <c r="AB44" t="n">
        <v>6514</v>
      </c>
      <c r="AC44" t="n">
        <v>6766</v>
      </c>
      <c r="AD44" t="n">
        <v>5934</v>
      </c>
      <c r="AE44" t="n">
        <v>6374</v>
      </c>
      <c r="AF44" t="n">
        <v>7076</v>
      </c>
    </row>
    <row r="45">
      <c r="A45" t="s">
        <v>36</v>
      </c>
      <c r="B45" t="s">
        <v>360</v>
      </c>
      <c r="C45" t="s">
        <v>236</v>
      </c>
      <c r="D45" t="s">
        <v>361</v>
      </c>
      <c r="E45" t="s">
        <v>237</v>
      </c>
      <c r="F45" t="n">
        <v>2108</v>
      </c>
      <c r="G45" t="n">
        <v>2376</v>
      </c>
      <c r="H45" t="n">
        <v>2384</v>
      </c>
      <c r="I45" t="n">
        <v>2599</v>
      </c>
      <c r="J45" t="n">
        <v>2598</v>
      </c>
      <c r="K45" t="n">
        <v>2761</v>
      </c>
      <c r="L45" t="n">
        <v>2652</v>
      </c>
      <c r="M45" t="n">
        <v>2851</v>
      </c>
      <c r="N45" t="n">
        <v>2725</v>
      </c>
      <c r="O45" t="n">
        <v>2637</v>
      </c>
      <c r="P45" t="n">
        <v>2422</v>
      </c>
      <c r="Q45" t="n">
        <v>2735</v>
      </c>
      <c r="R45" t="n">
        <v>3503</v>
      </c>
      <c r="S45" t="n">
        <v>3897</v>
      </c>
      <c r="T45" t="n">
        <v>3598</v>
      </c>
      <c r="U45" t="n">
        <v>4362</v>
      </c>
      <c r="V45" t="n">
        <v>3888</v>
      </c>
      <c r="W45" t="n">
        <v>3324</v>
      </c>
      <c r="X45" t="n">
        <v>3543</v>
      </c>
      <c r="Y45" t="n">
        <v>4004</v>
      </c>
      <c r="Z45" t="n">
        <v>4092</v>
      </c>
      <c r="AA45" t="n">
        <v>5030</v>
      </c>
      <c r="AB45" t="n">
        <v>5549</v>
      </c>
      <c r="AC45" t="n">
        <v>5950</v>
      </c>
      <c r="AD45" t="n">
        <v>5083</v>
      </c>
      <c r="AE45" t="n">
        <v>5489</v>
      </c>
      <c r="AF45" t="n">
        <v>6225</v>
      </c>
    </row>
    <row r="46">
      <c r="A46" t="s">
        <v>36</v>
      </c>
      <c r="B46" t="s">
        <v>362</v>
      </c>
      <c r="C46" t="s">
        <v>236</v>
      </c>
      <c r="D46" t="s">
        <v>363</v>
      </c>
      <c r="E46" t="s">
        <v>237</v>
      </c>
      <c r="F46" t="n">
        <v>40</v>
      </c>
      <c r="G46" t="n">
        <v>61</v>
      </c>
      <c r="H46" t="n">
        <v>20</v>
      </c>
      <c r="I46" t="n">
        <v>44</v>
      </c>
      <c r="J46" t="n">
        <v>41</v>
      </c>
      <c r="K46" t="n">
        <v>63</v>
      </c>
      <c r="L46" t="n">
        <v>71</v>
      </c>
      <c r="M46" t="n">
        <v>75</v>
      </c>
      <c r="N46" t="n">
        <v>74</v>
      </c>
      <c r="O46" t="n">
        <v>67</v>
      </c>
      <c r="P46" t="n">
        <v>43</v>
      </c>
      <c r="Q46" t="n">
        <v>40</v>
      </c>
      <c r="R46" t="n">
        <v>51</v>
      </c>
      <c r="S46" t="n">
        <v>73</v>
      </c>
      <c r="T46" t="n">
        <v>73</v>
      </c>
      <c r="U46" t="n">
        <v>122</v>
      </c>
      <c r="V46" t="n">
        <v>72</v>
      </c>
      <c r="W46" t="n">
        <v>33</v>
      </c>
      <c r="X46" t="n">
        <v>60</v>
      </c>
      <c r="Y46" t="n">
        <v>7</v>
      </c>
      <c r="Z46" t="n">
        <v>65</v>
      </c>
      <c r="AA46" t="n">
        <v>54</v>
      </c>
      <c r="AB46" t="n">
        <v>51</v>
      </c>
      <c r="AC46" t="n">
        <v>105</v>
      </c>
      <c r="AD46" t="n">
        <v>86</v>
      </c>
      <c r="AE46" t="n">
        <v>90</v>
      </c>
      <c r="AF46" t="n">
        <v>511</v>
      </c>
    </row>
    <row r="47">
      <c r="A47" t="s">
        <v>36</v>
      </c>
      <c r="B47" t="s">
        <v>364</v>
      </c>
      <c r="C47" t="s">
        <v>236</v>
      </c>
      <c r="D47" t="s">
        <v>365</v>
      </c>
      <c r="E47" t="s">
        <v>237</v>
      </c>
      <c r="F47" t="n">
        <v>1087</v>
      </c>
      <c r="G47" t="n">
        <v>1161</v>
      </c>
      <c r="H47" t="n">
        <v>1312</v>
      </c>
      <c r="I47" t="n">
        <v>1424</v>
      </c>
      <c r="J47" t="n">
        <v>1461</v>
      </c>
      <c r="K47" t="n">
        <v>1413</v>
      </c>
      <c r="L47" t="n">
        <v>1433</v>
      </c>
      <c r="M47" t="n">
        <v>1616</v>
      </c>
      <c r="N47" t="n">
        <v>1702</v>
      </c>
      <c r="O47" t="n">
        <v>1811</v>
      </c>
      <c r="P47" t="n">
        <v>1850</v>
      </c>
      <c r="Q47" t="n">
        <v>1821</v>
      </c>
      <c r="R47" t="n">
        <v>1761</v>
      </c>
      <c r="S47" t="n">
        <v>2071</v>
      </c>
      <c r="T47" t="n">
        <v>2295</v>
      </c>
      <c r="U47" t="n">
        <v>2214</v>
      </c>
      <c r="V47" t="n">
        <v>2072</v>
      </c>
      <c r="W47" t="n">
        <v>2349</v>
      </c>
      <c r="X47" t="n">
        <v>2504</v>
      </c>
      <c r="Y47" t="n">
        <v>2855</v>
      </c>
      <c r="Z47" t="n">
        <v>2481</v>
      </c>
      <c r="AA47" t="n">
        <v>2578</v>
      </c>
      <c r="AB47" t="n">
        <v>2485</v>
      </c>
      <c r="AC47" t="n">
        <v>2667</v>
      </c>
      <c r="AD47" t="n">
        <v>2636</v>
      </c>
      <c r="AE47" t="n">
        <v>3112</v>
      </c>
      <c r="AF47" t="n">
        <v>2566</v>
      </c>
    </row>
    <row r="48">
      <c r="A48" t="s">
        <v>36</v>
      </c>
      <c r="B48" t="s">
        <v>366</v>
      </c>
      <c r="C48" t="s">
        <v>236</v>
      </c>
      <c r="D48" t="s">
        <v>367</v>
      </c>
      <c r="E48" t="s">
        <v>237</v>
      </c>
      <c r="F48" t="n">
        <v>1696</v>
      </c>
      <c r="G48" t="n">
        <v>1874</v>
      </c>
      <c r="H48" t="n">
        <v>2098</v>
      </c>
      <c r="I48" t="n">
        <v>2162</v>
      </c>
      <c r="J48" t="n">
        <v>2157</v>
      </c>
      <c r="K48" t="n">
        <v>2172</v>
      </c>
      <c r="L48" t="n">
        <v>2337</v>
      </c>
      <c r="M48" t="n">
        <v>2715</v>
      </c>
      <c r="N48" t="n">
        <v>2865</v>
      </c>
      <c r="O48" t="n">
        <v>2927</v>
      </c>
      <c r="P48" t="n">
        <v>2839</v>
      </c>
      <c r="Q48" t="n">
        <v>2954</v>
      </c>
      <c r="R48" t="n">
        <v>2985</v>
      </c>
      <c r="S48" t="n">
        <v>3475</v>
      </c>
      <c r="T48" t="n">
        <v>3773</v>
      </c>
      <c r="U48" t="n">
        <v>3742</v>
      </c>
      <c r="V48" t="n">
        <v>3553</v>
      </c>
      <c r="W48" t="n">
        <v>3769</v>
      </c>
      <c r="X48" t="n">
        <v>4086</v>
      </c>
      <c r="Y48" t="n">
        <v>4491</v>
      </c>
      <c r="Z48" t="n">
        <v>4156</v>
      </c>
      <c r="AA48" t="n">
        <v>4492</v>
      </c>
      <c r="AB48" t="n">
        <v>4544</v>
      </c>
      <c r="AC48" t="n">
        <v>4733</v>
      </c>
      <c r="AD48" t="n">
        <v>5023</v>
      </c>
      <c r="AE48" t="n">
        <v>5780</v>
      </c>
      <c r="AF48" t="n">
        <v>5188</v>
      </c>
    </row>
    <row r="49">
      <c r="A49" t="s">
        <v>36</v>
      </c>
      <c r="B49" t="s">
        <v>368</v>
      </c>
      <c r="C49" t="s">
        <v>236</v>
      </c>
      <c r="D49" t="s">
        <v>369</v>
      </c>
      <c r="E49" t="s">
        <v>237</v>
      </c>
      <c r="F49" t="n">
        <v>333</v>
      </c>
      <c r="G49" t="n">
        <v>382</v>
      </c>
      <c r="H49" t="n">
        <v>446</v>
      </c>
      <c r="I49" t="n">
        <v>440</v>
      </c>
      <c r="J49" t="n">
        <v>378</v>
      </c>
      <c r="K49" t="n">
        <v>389</v>
      </c>
      <c r="L49" t="n">
        <v>463</v>
      </c>
      <c r="M49" t="n">
        <v>570</v>
      </c>
      <c r="N49" t="n">
        <v>638</v>
      </c>
      <c r="O49" t="n">
        <v>620</v>
      </c>
      <c r="P49" t="n">
        <v>515</v>
      </c>
      <c r="Q49" t="n">
        <v>535</v>
      </c>
      <c r="R49" t="n">
        <v>572</v>
      </c>
      <c r="S49" t="n">
        <v>651</v>
      </c>
      <c r="T49" t="n">
        <v>598</v>
      </c>
      <c r="U49" t="n">
        <v>736</v>
      </c>
      <c r="V49" t="n">
        <v>726</v>
      </c>
      <c r="W49" t="n">
        <v>548</v>
      </c>
      <c r="X49" t="n">
        <v>620</v>
      </c>
      <c r="Y49" t="n">
        <v>667</v>
      </c>
      <c r="Z49" t="n">
        <v>892</v>
      </c>
      <c r="AA49" t="n">
        <v>897</v>
      </c>
      <c r="AB49" t="n">
        <v>842</v>
      </c>
      <c r="AC49" t="n">
        <v>888</v>
      </c>
      <c r="AD49" t="n">
        <v>1102</v>
      </c>
      <c r="AE49" t="n">
        <v>1287</v>
      </c>
      <c r="AF49" t="n">
        <v>1275</v>
      </c>
    </row>
    <row r="50">
      <c r="A50" t="s">
        <v>36</v>
      </c>
      <c r="B50" t="s">
        <v>370</v>
      </c>
      <c r="C50" t="s">
        <v>236</v>
      </c>
      <c r="D50" t="s">
        <v>371</v>
      </c>
      <c r="E50" t="s">
        <v>237</v>
      </c>
      <c r="F50" t="n">
        <v>276</v>
      </c>
      <c r="G50" t="n">
        <v>331</v>
      </c>
      <c r="H50" t="n">
        <v>340</v>
      </c>
      <c r="I50" t="n">
        <v>298</v>
      </c>
      <c r="J50" t="n">
        <v>318</v>
      </c>
      <c r="K50" t="n">
        <v>370</v>
      </c>
      <c r="L50" t="n">
        <v>441</v>
      </c>
      <c r="M50" t="n">
        <v>529</v>
      </c>
      <c r="N50" t="n">
        <v>525</v>
      </c>
      <c r="O50" t="n">
        <v>496</v>
      </c>
      <c r="P50" t="n">
        <v>474</v>
      </c>
      <c r="Q50" t="n">
        <v>598</v>
      </c>
      <c r="R50" t="n">
        <v>652</v>
      </c>
      <c r="S50" t="n">
        <v>753</v>
      </c>
      <c r="T50" t="n">
        <v>880</v>
      </c>
      <c r="U50" t="n">
        <v>792</v>
      </c>
      <c r="V50" t="n">
        <v>755</v>
      </c>
      <c r="W50" t="n">
        <v>872</v>
      </c>
      <c r="X50" t="n">
        <v>962</v>
      </c>
      <c r="Y50" t="n">
        <v>969</v>
      </c>
      <c r="Z50" t="n">
        <v>783</v>
      </c>
      <c r="AA50" t="n">
        <v>1017</v>
      </c>
      <c r="AB50" t="n">
        <v>1217</v>
      </c>
      <c r="AC50" t="n">
        <v>1178</v>
      </c>
      <c r="AD50" t="n">
        <v>1285</v>
      </c>
      <c r="AE50" t="n">
        <v>1381</v>
      </c>
      <c r="AF50" t="n">
        <v>1347</v>
      </c>
    </row>
    <row r="51">
      <c r="A51" t="s">
        <v>36</v>
      </c>
      <c r="B51" t="s">
        <v>372</v>
      </c>
      <c r="C51" t="s">
        <v>236</v>
      </c>
      <c r="D51" t="s">
        <v>373</v>
      </c>
      <c r="E51" t="s">
        <v>237</v>
      </c>
      <c r="F51" t="n">
        <v>154</v>
      </c>
      <c r="G51" t="n">
        <v>165</v>
      </c>
      <c r="H51" t="n">
        <v>182</v>
      </c>
      <c r="I51" t="n">
        <v>146</v>
      </c>
      <c r="J51" t="n">
        <v>149</v>
      </c>
      <c r="K51" t="n">
        <v>175</v>
      </c>
      <c r="L51" t="n">
        <v>226</v>
      </c>
      <c r="M51" t="n">
        <v>309</v>
      </c>
      <c r="N51" t="n">
        <v>283</v>
      </c>
      <c r="O51" t="n">
        <v>268</v>
      </c>
      <c r="P51" t="n">
        <v>265</v>
      </c>
      <c r="Q51" t="n">
        <v>364</v>
      </c>
      <c r="R51" t="n">
        <v>334</v>
      </c>
      <c r="S51" t="n">
        <v>382</v>
      </c>
      <c r="T51" t="n">
        <v>500</v>
      </c>
      <c r="U51" t="n">
        <v>441</v>
      </c>
      <c r="V51" t="n">
        <v>429</v>
      </c>
      <c r="W51" t="n">
        <v>515</v>
      </c>
      <c r="X51" t="n">
        <v>582</v>
      </c>
      <c r="Y51" t="n">
        <v>576</v>
      </c>
      <c r="Z51" t="n">
        <v>450</v>
      </c>
      <c r="AA51" t="n">
        <v>629</v>
      </c>
      <c r="AB51" t="n">
        <v>811</v>
      </c>
      <c r="AC51" t="n">
        <v>805</v>
      </c>
      <c r="AD51" t="n">
        <v>882</v>
      </c>
      <c r="AE51" t="n">
        <v>942</v>
      </c>
      <c r="AF51" t="n">
        <v>930</v>
      </c>
    </row>
    <row r="52">
      <c r="A52" t="s">
        <v>36</v>
      </c>
      <c r="B52" t="s">
        <v>374</v>
      </c>
      <c r="C52" t="s">
        <v>236</v>
      </c>
      <c r="D52" t="s">
        <v>375</v>
      </c>
      <c r="E52" t="s">
        <v>237</v>
      </c>
      <c r="F52" t="n">
        <v>122</v>
      </c>
      <c r="G52" t="n">
        <v>166</v>
      </c>
      <c r="H52" t="n">
        <v>158</v>
      </c>
      <c r="I52" t="n">
        <v>152</v>
      </c>
      <c r="J52" t="n">
        <v>169</v>
      </c>
      <c r="K52" t="n">
        <v>195</v>
      </c>
      <c r="L52" t="n">
        <v>215</v>
      </c>
      <c r="M52" t="n">
        <v>220</v>
      </c>
      <c r="N52" t="n">
        <v>242</v>
      </c>
      <c r="O52" t="n">
        <v>228</v>
      </c>
      <c r="P52" t="n">
        <v>209</v>
      </c>
      <c r="Q52" t="n">
        <v>234</v>
      </c>
      <c r="R52" t="n">
        <v>318</v>
      </c>
      <c r="S52" t="n">
        <v>371</v>
      </c>
      <c r="T52" t="n">
        <v>380</v>
      </c>
      <c r="U52" t="n">
        <v>351</v>
      </c>
      <c r="V52" t="n">
        <v>326</v>
      </c>
      <c r="W52" t="n">
        <v>357</v>
      </c>
      <c r="X52" t="n">
        <v>380</v>
      </c>
      <c r="Y52" t="n">
        <v>393</v>
      </c>
      <c r="Z52" t="n">
        <v>333</v>
      </c>
      <c r="AA52" t="n">
        <v>388</v>
      </c>
      <c r="AB52" t="n">
        <v>406</v>
      </c>
      <c r="AC52" t="n">
        <v>373</v>
      </c>
      <c r="AD52" t="n">
        <v>403</v>
      </c>
      <c r="AE52" t="n">
        <v>439</v>
      </c>
      <c r="AF52" t="n">
        <v>417</v>
      </c>
    </row>
    <row r="53">
      <c r="A53" t="s">
        <v>36</v>
      </c>
      <c r="B53" t="s">
        <v>376</v>
      </c>
      <c r="C53" t="s">
        <v>236</v>
      </c>
      <c r="D53" t="s">
        <v>377</v>
      </c>
      <c r="E53" t="s">
        <v>237</v>
      </c>
      <c r="F53" t="n">
        <v>189</v>
      </c>
      <c r="G53" t="n">
        <v>233</v>
      </c>
      <c r="H53" t="n">
        <v>254</v>
      </c>
      <c r="I53" t="n">
        <v>234</v>
      </c>
      <c r="J53" t="n">
        <v>219</v>
      </c>
      <c r="K53" t="n">
        <v>229</v>
      </c>
      <c r="L53" t="n">
        <v>222</v>
      </c>
      <c r="M53" t="n">
        <v>257</v>
      </c>
      <c r="N53" t="n">
        <v>307</v>
      </c>
      <c r="O53" t="n">
        <v>261</v>
      </c>
      <c r="P53" t="n">
        <v>237</v>
      </c>
      <c r="Q53" t="n">
        <v>273</v>
      </c>
      <c r="R53" t="n">
        <v>318</v>
      </c>
      <c r="S53" t="n">
        <v>302</v>
      </c>
      <c r="T53" t="n">
        <v>313</v>
      </c>
      <c r="U53" t="n">
        <v>302</v>
      </c>
      <c r="V53" t="n">
        <v>289</v>
      </c>
      <c r="W53" t="n">
        <v>356</v>
      </c>
      <c r="X53" t="n">
        <v>353</v>
      </c>
      <c r="Y53" t="n">
        <v>323</v>
      </c>
      <c r="Z53" t="n">
        <v>430</v>
      </c>
      <c r="AA53" t="n">
        <v>453</v>
      </c>
      <c r="AB53" t="n">
        <v>502</v>
      </c>
      <c r="AC53" t="n">
        <v>643</v>
      </c>
      <c r="AD53" t="n">
        <v>644</v>
      </c>
      <c r="AE53" t="n">
        <v>608</v>
      </c>
      <c r="AF53" t="n">
        <v>524</v>
      </c>
    </row>
    <row r="54">
      <c r="A54" t="s">
        <v>36</v>
      </c>
      <c r="B54" t="s">
        <v>378</v>
      </c>
      <c r="C54" t="s">
        <v>236</v>
      </c>
      <c r="D54" t="s">
        <v>379</v>
      </c>
      <c r="E54" t="s">
        <v>237</v>
      </c>
      <c r="F54" t="n">
        <v>237</v>
      </c>
      <c r="G54" t="n">
        <v>291</v>
      </c>
      <c r="H54" t="n">
        <v>334</v>
      </c>
      <c r="I54" t="n">
        <v>329</v>
      </c>
      <c r="J54" t="n">
        <v>336</v>
      </c>
      <c r="K54" t="n">
        <v>316</v>
      </c>
      <c r="L54" t="n">
        <v>309</v>
      </c>
      <c r="M54" t="n">
        <v>337</v>
      </c>
      <c r="N54" t="n">
        <v>410</v>
      </c>
      <c r="O54" t="n">
        <v>392</v>
      </c>
      <c r="P54" t="n">
        <v>351</v>
      </c>
      <c r="Q54" t="n">
        <v>374</v>
      </c>
      <c r="R54" t="n">
        <v>427</v>
      </c>
      <c r="S54" t="n">
        <v>446</v>
      </c>
      <c r="T54" t="n">
        <v>457</v>
      </c>
      <c r="U54" t="n">
        <v>476</v>
      </c>
      <c r="V54" t="n">
        <v>412</v>
      </c>
      <c r="W54" t="n">
        <v>479</v>
      </c>
      <c r="X54" t="n">
        <v>474</v>
      </c>
      <c r="Y54" t="n">
        <v>443</v>
      </c>
      <c r="Z54" t="n">
        <v>536</v>
      </c>
      <c r="AA54" t="n">
        <v>556</v>
      </c>
      <c r="AB54" t="n">
        <v>598</v>
      </c>
      <c r="AC54" t="n">
        <v>735</v>
      </c>
      <c r="AD54" t="n">
        <v>736</v>
      </c>
      <c r="AE54" t="n">
        <v>715</v>
      </c>
      <c r="AF54" t="n">
        <v>675</v>
      </c>
    </row>
    <row r="55">
      <c r="A55" t="s">
        <v>36</v>
      </c>
      <c r="B55" t="s">
        <v>380</v>
      </c>
      <c r="C55" t="s">
        <v>236</v>
      </c>
      <c r="D55" t="s">
        <v>381</v>
      </c>
      <c r="E55" t="s">
        <v>237</v>
      </c>
      <c r="F55" t="n">
        <v>48</v>
      </c>
      <c r="G55" t="n">
        <v>58</v>
      </c>
      <c r="H55" t="n">
        <v>80</v>
      </c>
      <c r="I55" t="n">
        <v>95</v>
      </c>
      <c r="J55" t="n">
        <v>117</v>
      </c>
      <c r="K55" t="n">
        <v>87</v>
      </c>
      <c r="L55" t="n">
        <v>87</v>
      </c>
      <c r="M55" t="n">
        <v>80</v>
      </c>
      <c r="N55" t="n">
        <v>103</v>
      </c>
      <c r="O55" t="n">
        <v>131</v>
      </c>
      <c r="P55" t="n">
        <v>114</v>
      </c>
      <c r="Q55" t="n">
        <v>101</v>
      </c>
      <c r="R55" t="n">
        <v>109</v>
      </c>
      <c r="S55" t="n">
        <v>144</v>
      </c>
      <c r="T55" t="n">
        <v>144</v>
      </c>
      <c r="U55" t="n">
        <v>174</v>
      </c>
      <c r="V55" t="n">
        <v>123</v>
      </c>
      <c r="W55" t="n">
        <v>123</v>
      </c>
      <c r="X55" t="n">
        <v>121</v>
      </c>
      <c r="Y55" t="n">
        <v>120</v>
      </c>
      <c r="Z55" t="n">
        <v>106</v>
      </c>
      <c r="AA55" t="n">
        <v>103</v>
      </c>
      <c r="AB55" t="n">
        <v>96</v>
      </c>
      <c r="AC55" t="n">
        <v>92</v>
      </c>
      <c r="AD55" t="n">
        <v>92</v>
      </c>
      <c r="AE55" t="n">
        <v>107</v>
      </c>
      <c r="AF55" t="n">
        <v>151</v>
      </c>
    </row>
    <row r="56">
      <c r="A56" t="s">
        <v>36</v>
      </c>
      <c r="B56" t="s">
        <v>382</v>
      </c>
      <c r="C56" t="s">
        <v>236</v>
      </c>
      <c r="D56" t="s">
        <v>383</v>
      </c>
      <c r="E56" t="s">
        <v>237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36</v>
      </c>
      <c r="B57" t="s">
        <v>384</v>
      </c>
      <c r="C57" t="s">
        <v>236</v>
      </c>
      <c r="D57" t="s">
        <v>385</v>
      </c>
      <c r="E57" t="s">
        <v>237</v>
      </c>
      <c r="F57" t="n">
        <v>4611</v>
      </c>
      <c r="G57" t="n">
        <v>5593</v>
      </c>
      <c r="H57" t="n">
        <v>5762</v>
      </c>
      <c r="I57" t="n">
        <v>6684</v>
      </c>
      <c r="J57" t="n">
        <v>7027</v>
      </c>
      <c r="K57" t="n">
        <v>8102</v>
      </c>
      <c r="L57" t="n">
        <v>8985</v>
      </c>
      <c r="M57" t="n">
        <v>9315</v>
      </c>
      <c r="N57" t="n">
        <v>8873</v>
      </c>
      <c r="O57" t="n">
        <v>9124</v>
      </c>
      <c r="P57" t="n">
        <v>9591</v>
      </c>
      <c r="Q57" t="n">
        <v>10255</v>
      </c>
      <c r="R57" t="n">
        <v>12753</v>
      </c>
      <c r="S57" t="n">
        <v>14483</v>
      </c>
      <c r="T57" t="n">
        <v>12857</v>
      </c>
      <c r="U57" t="n">
        <v>13093</v>
      </c>
      <c r="V57" t="n">
        <v>12720</v>
      </c>
      <c r="W57" t="n">
        <v>12705</v>
      </c>
      <c r="X57" t="n">
        <v>13281</v>
      </c>
      <c r="Y57" t="n">
        <v>13352</v>
      </c>
      <c r="Z57" t="n">
        <v>13432</v>
      </c>
      <c r="AA57" t="n">
        <v>14799</v>
      </c>
      <c r="AB57" t="n">
        <v>15874</v>
      </c>
      <c r="AC57" t="n">
        <v>16983</v>
      </c>
      <c r="AD57" t="n">
        <v>17119</v>
      </c>
      <c r="AE57" t="n">
        <v>17998</v>
      </c>
      <c r="AF57" t="n">
        <v>17496</v>
      </c>
    </row>
    <row r="58">
      <c r="A58" t="s">
        <v>36</v>
      </c>
      <c r="B58" t="s">
        <v>386</v>
      </c>
      <c r="C58" t="s">
        <v>236</v>
      </c>
      <c r="D58" t="s">
        <v>387</v>
      </c>
      <c r="E58" t="s">
        <v>237</v>
      </c>
      <c r="F58" t="n">
        <v>4611</v>
      </c>
      <c r="G58" t="n">
        <v>5593</v>
      </c>
      <c r="H58" t="n">
        <v>5762</v>
      </c>
      <c r="I58" t="n">
        <v>6684</v>
      </c>
      <c r="J58" t="n">
        <v>7027</v>
      </c>
      <c r="K58" t="n">
        <v>8102</v>
      </c>
      <c r="L58" t="n">
        <v>8985</v>
      </c>
      <c r="M58" t="n">
        <v>9315</v>
      </c>
      <c r="N58" t="n">
        <v>8873</v>
      </c>
      <c r="O58" t="n">
        <v>9124</v>
      </c>
      <c r="P58" t="n">
        <v>9591</v>
      </c>
      <c r="Q58" t="n">
        <v>10255</v>
      </c>
      <c r="R58" t="n">
        <v>12753</v>
      </c>
      <c r="S58" t="n">
        <v>14483</v>
      </c>
      <c r="T58" t="n">
        <v>12857</v>
      </c>
      <c r="U58" t="n">
        <v>13093</v>
      </c>
      <c r="V58" t="n">
        <v>12720</v>
      </c>
      <c r="W58" t="n">
        <v>12705</v>
      </c>
      <c r="X58" t="n">
        <v>13281</v>
      </c>
      <c r="Y58" t="n">
        <v>13352</v>
      </c>
      <c r="Z58" t="n">
        <v>13432</v>
      </c>
      <c r="AA58" t="n">
        <v>14799</v>
      </c>
      <c r="AB58" t="n">
        <v>15874</v>
      </c>
      <c r="AC58" t="n">
        <v>16983</v>
      </c>
      <c r="AD58" t="n">
        <v>17119</v>
      </c>
      <c r="AE58" t="n">
        <v>17998</v>
      </c>
      <c r="AF58" t="n">
        <v>17496</v>
      </c>
    </row>
    <row r="59">
      <c r="A59" t="s">
        <v>36</v>
      </c>
      <c r="B59" t="s">
        <v>388</v>
      </c>
      <c r="C59" t="s">
        <v>236</v>
      </c>
      <c r="D59" t="s">
        <v>389</v>
      </c>
      <c r="E59" t="s">
        <v>237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38</v>
      </c>
      <c r="B2" t="s">
        <v>197</v>
      </c>
      <c r="C2" t="s">
        <v>236</v>
      </c>
      <c r="D2" t="s">
        <v>199</v>
      </c>
      <c r="E2" t="s">
        <v>237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38</v>
      </c>
      <c r="B3" t="s">
        <v>276</v>
      </c>
      <c r="C3" t="s">
        <v>236</v>
      </c>
      <c r="D3" t="s">
        <v>277</v>
      </c>
      <c r="E3" t="s">
        <v>237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38</v>
      </c>
      <c r="B4" t="s">
        <v>278</v>
      </c>
      <c r="C4" t="s">
        <v>236</v>
      </c>
      <c r="D4" t="s">
        <v>279</v>
      </c>
      <c r="E4" t="s">
        <v>237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38</v>
      </c>
      <c r="B5" t="s">
        <v>280</v>
      </c>
      <c r="C5" t="s">
        <v>236</v>
      </c>
      <c r="D5" t="s">
        <v>281</v>
      </c>
      <c r="E5" t="s">
        <v>237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38</v>
      </c>
      <c r="B6" t="s">
        <v>282</v>
      </c>
      <c r="C6" t="s">
        <v>236</v>
      </c>
      <c r="D6" t="s">
        <v>283</v>
      </c>
      <c r="E6" t="s">
        <v>237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38</v>
      </c>
      <c r="B7" t="s">
        <v>284</v>
      </c>
      <c r="C7" t="s">
        <v>236</v>
      </c>
      <c r="D7" t="s">
        <v>285</v>
      </c>
      <c r="E7" t="s">
        <v>237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38</v>
      </c>
      <c r="B8" t="s">
        <v>286</v>
      </c>
      <c r="C8" t="s">
        <v>236</v>
      </c>
      <c r="D8" t="s">
        <v>287</v>
      </c>
      <c r="E8" t="s">
        <v>237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38</v>
      </c>
      <c r="B9" t="s">
        <v>288</v>
      </c>
      <c r="C9" t="s">
        <v>236</v>
      </c>
      <c r="D9" t="s">
        <v>289</v>
      </c>
      <c r="E9" t="s">
        <v>237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38</v>
      </c>
      <c r="B10" t="s">
        <v>290</v>
      </c>
      <c r="C10" t="s">
        <v>236</v>
      </c>
      <c r="D10" t="s">
        <v>291</v>
      </c>
      <c r="E10" t="s">
        <v>237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38</v>
      </c>
      <c r="B11" t="s">
        <v>292</v>
      </c>
      <c r="C11" t="s">
        <v>236</v>
      </c>
      <c r="D11" t="s">
        <v>293</v>
      </c>
      <c r="E11" t="s">
        <v>237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38</v>
      </c>
      <c r="B12" t="s">
        <v>294</v>
      </c>
      <c r="C12" t="s">
        <v>236</v>
      </c>
      <c r="D12" t="s">
        <v>295</v>
      </c>
      <c r="E12" t="s">
        <v>237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38</v>
      </c>
      <c r="B13" t="s">
        <v>296</v>
      </c>
      <c r="C13" t="s">
        <v>236</v>
      </c>
      <c r="D13" t="s">
        <v>297</v>
      </c>
      <c r="E13" t="s">
        <v>237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38</v>
      </c>
      <c r="B14" t="s">
        <v>298</v>
      </c>
      <c r="C14" t="s">
        <v>236</v>
      </c>
      <c r="D14" t="s">
        <v>299</v>
      </c>
      <c r="E14" t="s">
        <v>237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38</v>
      </c>
      <c r="B15" t="s">
        <v>300</v>
      </c>
      <c r="C15" t="s">
        <v>236</v>
      </c>
      <c r="D15" t="s">
        <v>301</v>
      </c>
      <c r="E15" t="s">
        <v>237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38</v>
      </c>
      <c r="B16" t="s">
        <v>302</v>
      </c>
      <c r="C16" t="s">
        <v>236</v>
      </c>
      <c r="D16" t="s">
        <v>303</v>
      </c>
      <c r="E16" t="s">
        <v>237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38</v>
      </c>
      <c r="B17" t="s">
        <v>304</v>
      </c>
      <c r="C17" t="s">
        <v>236</v>
      </c>
      <c r="D17" t="s">
        <v>305</v>
      </c>
      <c r="E17" t="s">
        <v>237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38</v>
      </c>
      <c r="B18" t="s">
        <v>306</v>
      </c>
      <c r="C18" t="s">
        <v>236</v>
      </c>
      <c r="D18" t="s">
        <v>307</v>
      </c>
      <c r="E18" t="s">
        <v>237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38</v>
      </c>
      <c r="B19" t="s">
        <v>308</v>
      </c>
      <c r="C19" t="s">
        <v>236</v>
      </c>
      <c r="D19" t="s">
        <v>309</v>
      </c>
      <c r="E19" t="s">
        <v>237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38</v>
      </c>
      <c r="B20" t="s">
        <v>310</v>
      </c>
      <c r="C20" t="s">
        <v>236</v>
      </c>
      <c r="D20" t="s">
        <v>311</v>
      </c>
      <c r="E20" t="s">
        <v>237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38</v>
      </c>
      <c r="B21" t="s">
        <v>312</v>
      </c>
      <c r="C21" t="s">
        <v>236</v>
      </c>
      <c r="D21" t="s">
        <v>313</v>
      </c>
      <c r="E21" t="s">
        <v>237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38</v>
      </c>
      <c r="B22" t="s">
        <v>314</v>
      </c>
      <c r="C22" t="s">
        <v>236</v>
      </c>
      <c r="D22" t="s">
        <v>315</v>
      </c>
      <c r="E22" t="s">
        <v>237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38</v>
      </c>
      <c r="B23" t="s">
        <v>316</v>
      </c>
      <c r="C23" t="s">
        <v>236</v>
      </c>
      <c r="D23" t="s">
        <v>317</v>
      </c>
      <c r="E23" t="s">
        <v>237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38</v>
      </c>
      <c r="B24" t="s">
        <v>318</v>
      </c>
      <c r="C24" t="s">
        <v>236</v>
      </c>
      <c r="D24" t="s">
        <v>319</v>
      </c>
      <c r="E24" t="s">
        <v>237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38</v>
      </c>
      <c r="B25" t="s">
        <v>320</v>
      </c>
      <c r="C25" t="s">
        <v>236</v>
      </c>
      <c r="D25" t="s">
        <v>321</v>
      </c>
      <c r="E25" t="s">
        <v>237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38</v>
      </c>
      <c r="B26" t="s">
        <v>322</v>
      </c>
      <c r="C26" t="s">
        <v>236</v>
      </c>
      <c r="D26" t="s">
        <v>323</v>
      </c>
      <c r="E26" t="s">
        <v>237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38</v>
      </c>
      <c r="B27" t="s">
        <v>324</v>
      </c>
      <c r="C27" t="s">
        <v>236</v>
      </c>
      <c r="D27" t="s">
        <v>325</v>
      </c>
      <c r="E27" t="s">
        <v>237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38</v>
      </c>
      <c r="B28" t="s">
        <v>326</v>
      </c>
      <c r="C28" t="s">
        <v>236</v>
      </c>
      <c r="D28" t="s">
        <v>327</v>
      </c>
      <c r="E28" t="s">
        <v>237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38</v>
      </c>
      <c r="B29" t="s">
        <v>328</v>
      </c>
      <c r="C29" t="s">
        <v>236</v>
      </c>
      <c r="D29" t="s">
        <v>329</v>
      </c>
      <c r="E29" t="s">
        <v>237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38</v>
      </c>
      <c r="B30" t="s">
        <v>330</v>
      </c>
      <c r="C30" t="s">
        <v>236</v>
      </c>
      <c r="D30" t="s">
        <v>331</v>
      </c>
      <c r="E30" t="s">
        <v>237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38</v>
      </c>
      <c r="B31" t="s">
        <v>332</v>
      </c>
      <c r="C31" t="s">
        <v>236</v>
      </c>
      <c r="D31" t="s">
        <v>333</v>
      </c>
      <c r="E31" t="s">
        <v>237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38</v>
      </c>
      <c r="B32" t="s">
        <v>334</v>
      </c>
      <c r="C32" t="s">
        <v>236</v>
      </c>
      <c r="D32" t="s">
        <v>335</v>
      </c>
      <c r="E32" t="s">
        <v>237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38</v>
      </c>
      <c r="B33" t="s">
        <v>336</v>
      </c>
      <c r="C33" t="s">
        <v>236</v>
      </c>
      <c r="D33" t="s">
        <v>337</v>
      </c>
      <c r="E33" t="s">
        <v>237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38</v>
      </c>
      <c r="B34" t="s">
        <v>338</v>
      </c>
      <c r="C34" t="s">
        <v>236</v>
      </c>
      <c r="D34" t="s">
        <v>339</v>
      </c>
      <c r="E34" t="s">
        <v>237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38</v>
      </c>
      <c r="B35" t="s">
        <v>340</v>
      </c>
      <c r="C35" t="s">
        <v>236</v>
      </c>
      <c r="D35" t="s">
        <v>341</v>
      </c>
      <c r="E35" t="s">
        <v>237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38</v>
      </c>
      <c r="B36" t="s">
        <v>342</v>
      </c>
      <c r="C36" t="s">
        <v>236</v>
      </c>
      <c r="D36" t="s">
        <v>343</v>
      </c>
      <c r="E36" t="s">
        <v>237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38</v>
      </c>
      <c r="B37" t="s">
        <v>344</v>
      </c>
      <c r="C37" t="s">
        <v>236</v>
      </c>
      <c r="D37" t="s">
        <v>345</v>
      </c>
      <c r="E37" t="s">
        <v>237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38</v>
      </c>
      <c r="B38" t="s">
        <v>346</v>
      </c>
      <c r="C38" t="s">
        <v>236</v>
      </c>
      <c r="D38" t="s">
        <v>347</v>
      </c>
      <c r="E38" t="s">
        <v>237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38</v>
      </c>
      <c r="B39" t="s">
        <v>348</v>
      </c>
      <c r="C39" t="s">
        <v>236</v>
      </c>
      <c r="D39" t="s">
        <v>349</v>
      </c>
      <c r="E39" t="s">
        <v>237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38</v>
      </c>
      <c r="B40" t="s">
        <v>350</v>
      </c>
      <c r="C40" t="s">
        <v>236</v>
      </c>
      <c r="D40" t="s">
        <v>351</v>
      </c>
      <c r="E40" t="s">
        <v>237</v>
      </c>
      <c r="F40" t="n">
        <v>4206</v>
      </c>
      <c r="G40" t="n">
        <v>4609</v>
      </c>
      <c r="H40" t="n">
        <v>5194</v>
      </c>
      <c r="I40" t="n">
        <v>6028</v>
      </c>
      <c r="J40" t="n">
        <v>6976</v>
      </c>
      <c r="K40" t="n">
        <v>7693</v>
      </c>
      <c r="L40" t="n">
        <v>7404</v>
      </c>
      <c r="M40" t="n">
        <v>7676</v>
      </c>
      <c r="N40" t="n">
        <v>8365</v>
      </c>
      <c r="O40" t="n">
        <v>9314</v>
      </c>
      <c r="P40" t="n">
        <v>10024</v>
      </c>
      <c r="Q40" t="n">
        <v>10974</v>
      </c>
      <c r="R40" t="n">
        <v>11463</v>
      </c>
      <c r="S40" t="n">
        <v>11030</v>
      </c>
      <c r="T40" t="n">
        <v>10160</v>
      </c>
      <c r="U40" t="n">
        <v>12346</v>
      </c>
      <c r="V40" t="n">
        <v>12615</v>
      </c>
      <c r="W40" t="n">
        <v>12861</v>
      </c>
      <c r="X40" t="n">
        <v>12769</v>
      </c>
      <c r="Y40" t="n">
        <v>12304</v>
      </c>
      <c r="Z40" t="n">
        <v>12580</v>
      </c>
      <c r="AA40" t="n">
        <v>13995</v>
      </c>
      <c r="AB40" t="n">
        <v>14562</v>
      </c>
      <c r="AC40" t="n">
        <v>15862</v>
      </c>
      <c r="AD40" t="n">
        <v>16025</v>
      </c>
      <c r="AE40" t="n">
        <v>16163</v>
      </c>
      <c r="AF40" t="n">
        <v>16722</v>
      </c>
    </row>
    <row r="41">
      <c r="A41" t="s">
        <v>38</v>
      </c>
      <c r="B41" t="s">
        <v>352</v>
      </c>
      <c r="C41" t="s">
        <v>236</v>
      </c>
      <c r="D41" t="s">
        <v>353</v>
      </c>
      <c r="E41" t="s">
        <v>237</v>
      </c>
      <c r="F41" t="n">
        <v>2937</v>
      </c>
      <c r="G41" t="n">
        <v>3179</v>
      </c>
      <c r="H41" t="n">
        <v>3540</v>
      </c>
      <c r="I41" t="n">
        <v>4291</v>
      </c>
      <c r="J41" t="n">
        <v>5164</v>
      </c>
      <c r="K41" t="n">
        <v>5582</v>
      </c>
      <c r="L41" t="n">
        <v>5332</v>
      </c>
      <c r="M41" t="n">
        <v>5632</v>
      </c>
      <c r="N41" t="n">
        <v>6284</v>
      </c>
      <c r="O41" t="n">
        <v>7136</v>
      </c>
      <c r="P41" t="n">
        <v>7752</v>
      </c>
      <c r="Q41" t="n">
        <v>8600</v>
      </c>
      <c r="R41" t="n">
        <v>9040</v>
      </c>
      <c r="S41" t="n">
        <v>8667</v>
      </c>
      <c r="T41" t="n">
        <v>8081</v>
      </c>
      <c r="U41" t="n">
        <v>9830</v>
      </c>
      <c r="V41" t="n">
        <v>10044</v>
      </c>
      <c r="W41" t="n">
        <v>10180</v>
      </c>
      <c r="X41" t="n">
        <v>10078</v>
      </c>
      <c r="Y41" t="n">
        <v>9611</v>
      </c>
      <c r="Z41" t="n">
        <v>9634</v>
      </c>
      <c r="AA41" t="n">
        <v>10675</v>
      </c>
      <c r="AB41" t="n">
        <v>11058</v>
      </c>
      <c r="AC41" t="n">
        <v>11970</v>
      </c>
      <c r="AD41" t="n">
        <v>12231</v>
      </c>
      <c r="AE41" t="n">
        <v>12207</v>
      </c>
      <c r="AF41" t="n">
        <v>12565</v>
      </c>
    </row>
    <row r="42">
      <c r="A42" t="s">
        <v>38</v>
      </c>
      <c r="B42" t="s">
        <v>354</v>
      </c>
      <c r="C42" t="s">
        <v>236</v>
      </c>
      <c r="D42" t="s">
        <v>355</v>
      </c>
      <c r="E42" t="s">
        <v>237</v>
      </c>
      <c r="F42" t="n">
        <v>0</v>
      </c>
      <c r="G42" t="n">
        <v>0</v>
      </c>
      <c r="H42" t="n">
        <v>0</v>
      </c>
      <c r="I42" t="n">
        <v>0</v>
      </c>
      <c r="J42" t="n">
        <v>-1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38</v>
      </c>
      <c r="B43" t="s">
        <v>356</v>
      </c>
      <c r="C43" t="s">
        <v>236</v>
      </c>
      <c r="D43" t="s">
        <v>357</v>
      </c>
      <c r="E43" t="s">
        <v>237</v>
      </c>
      <c r="F43" t="n">
        <v>0</v>
      </c>
      <c r="G43" t="n">
        <v>0</v>
      </c>
      <c r="H43" t="n">
        <v>0</v>
      </c>
      <c r="I43" t="n">
        <v>0</v>
      </c>
      <c r="J43" t="n">
        <v>-1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38</v>
      </c>
      <c r="B44" t="s">
        <v>358</v>
      </c>
      <c r="C44" t="s">
        <v>236</v>
      </c>
      <c r="D44" t="s">
        <v>359</v>
      </c>
      <c r="E44" t="s">
        <v>237</v>
      </c>
      <c r="F44" t="n">
        <v>0</v>
      </c>
      <c r="G44" t="n">
        <v>0</v>
      </c>
      <c r="H44" t="n">
        <v>0</v>
      </c>
      <c r="I44" t="n">
        <v>-1</v>
      </c>
      <c r="J44" t="n">
        <v>-2</v>
      </c>
      <c r="K44" t="n">
        <v>-1</v>
      </c>
      <c r="L44" t="n">
        <v>-1</v>
      </c>
      <c r="M44" t="n">
        <v>0</v>
      </c>
      <c r="N44" t="n">
        <v>2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1</v>
      </c>
      <c r="AB44" t="n">
        <v>1</v>
      </c>
      <c r="AC44" t="n">
        <v>2</v>
      </c>
      <c r="AD44" t="n">
        <v>1</v>
      </c>
      <c r="AE44" t="n">
        <v>0</v>
      </c>
      <c r="AF44" t="n">
        <v>1</v>
      </c>
    </row>
    <row r="45">
      <c r="A45" t="s">
        <v>38</v>
      </c>
      <c r="B45" t="s">
        <v>360</v>
      </c>
      <c r="C45" t="s">
        <v>236</v>
      </c>
      <c r="D45" t="s">
        <v>361</v>
      </c>
      <c r="E45" t="s">
        <v>237</v>
      </c>
      <c r="F45" t="n">
        <v>0</v>
      </c>
      <c r="G45" t="n">
        <v>0</v>
      </c>
      <c r="H45" t="n">
        <v>0</v>
      </c>
      <c r="I45" t="n">
        <v>-1</v>
      </c>
      <c r="J45" t="n">
        <v>-2</v>
      </c>
      <c r="K45" t="n">
        <v>-1</v>
      </c>
      <c r="L45" t="n">
        <v>-1</v>
      </c>
      <c r="M45" t="n">
        <v>0</v>
      </c>
      <c r="N45" t="n">
        <v>2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1</v>
      </c>
      <c r="AB45" t="n">
        <v>1</v>
      </c>
      <c r="AC45" t="n">
        <v>2</v>
      </c>
      <c r="AD45" t="n">
        <v>1</v>
      </c>
      <c r="AE45" t="n">
        <v>0</v>
      </c>
      <c r="AF45" t="n">
        <v>1</v>
      </c>
    </row>
    <row r="46">
      <c r="A46" t="s">
        <v>38</v>
      </c>
      <c r="B46" t="s">
        <v>362</v>
      </c>
      <c r="C46" t="s">
        <v>236</v>
      </c>
      <c r="D46" t="s">
        <v>363</v>
      </c>
      <c r="E46" t="s">
        <v>237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38</v>
      </c>
      <c r="B47" t="s">
        <v>364</v>
      </c>
      <c r="C47" t="s">
        <v>236</v>
      </c>
      <c r="D47" t="s">
        <v>365</v>
      </c>
      <c r="E47" t="s">
        <v>237</v>
      </c>
      <c r="F47" t="n">
        <v>-20</v>
      </c>
      <c r="G47" t="n">
        <v>-48</v>
      </c>
      <c r="H47" t="n">
        <v>29</v>
      </c>
      <c r="I47" t="n">
        <v>-5</v>
      </c>
      <c r="J47" t="n">
        <v>-1</v>
      </c>
      <c r="K47" t="n">
        <v>-3</v>
      </c>
      <c r="L47" t="n">
        <v>12</v>
      </c>
      <c r="M47" t="n">
        <v>2</v>
      </c>
      <c r="N47" t="n">
        <v>4</v>
      </c>
      <c r="O47" t="n">
        <v>-2</v>
      </c>
      <c r="P47" t="n">
        <v>3</v>
      </c>
      <c r="Q47" t="n">
        <v>-26</v>
      </c>
      <c r="R47" t="n">
        <v>-26</v>
      </c>
      <c r="S47" t="n">
        <v>-17</v>
      </c>
      <c r="T47" t="n">
        <v>-17</v>
      </c>
      <c r="U47" t="n">
        <v>-10</v>
      </c>
      <c r="V47" t="n">
        <v>-12</v>
      </c>
      <c r="W47" t="n">
        <v>-33</v>
      </c>
      <c r="X47" t="n">
        <v>-22</v>
      </c>
      <c r="Y47" t="n">
        <v>-17</v>
      </c>
      <c r="Z47" t="n">
        <v>-11</v>
      </c>
      <c r="AA47" t="n">
        <v>-17</v>
      </c>
      <c r="AB47" t="n">
        <v>-4</v>
      </c>
      <c r="AC47" t="n">
        <v>-9</v>
      </c>
      <c r="AD47" t="n">
        <v>2</v>
      </c>
      <c r="AE47" t="n">
        <v>14</v>
      </c>
      <c r="AF47" t="n">
        <v>2</v>
      </c>
    </row>
    <row r="48">
      <c r="A48" t="s">
        <v>38</v>
      </c>
      <c r="B48" t="s">
        <v>366</v>
      </c>
      <c r="C48" t="s">
        <v>236</v>
      </c>
      <c r="D48" t="s">
        <v>367</v>
      </c>
      <c r="E48" t="s">
        <v>237</v>
      </c>
      <c r="F48" t="n">
        <v>-5</v>
      </c>
      <c r="G48" t="n">
        <v>-30</v>
      </c>
      <c r="H48" t="n">
        <v>40</v>
      </c>
      <c r="I48" t="n">
        <v>0</v>
      </c>
      <c r="J48" t="n">
        <v>7</v>
      </c>
      <c r="K48" t="n">
        <v>3</v>
      </c>
      <c r="L48" t="n">
        <v>9</v>
      </c>
      <c r="M48" t="n">
        <v>6</v>
      </c>
      <c r="N48" t="n">
        <v>5</v>
      </c>
      <c r="O48" t="n">
        <v>6</v>
      </c>
      <c r="P48" t="n">
        <v>6</v>
      </c>
      <c r="Q48" t="n">
        <v>-22</v>
      </c>
      <c r="R48" t="n">
        <v>-20</v>
      </c>
      <c r="S48" t="n">
        <v>-6</v>
      </c>
      <c r="T48" t="n">
        <v>-15</v>
      </c>
      <c r="U48" t="n">
        <v>-1</v>
      </c>
      <c r="V48" t="n">
        <v>-8</v>
      </c>
      <c r="W48" t="n">
        <v>-24</v>
      </c>
      <c r="X48" t="n">
        <v>-15</v>
      </c>
      <c r="Y48" t="n">
        <v>-13</v>
      </c>
      <c r="Z48" t="n">
        <v>6</v>
      </c>
      <c r="AA48" t="n">
        <v>0</v>
      </c>
      <c r="AB48" t="n">
        <v>5</v>
      </c>
      <c r="AC48" t="n">
        <v>-3</v>
      </c>
      <c r="AD48" t="n">
        <v>11</v>
      </c>
      <c r="AE48" t="n">
        <v>23</v>
      </c>
      <c r="AF48" t="n">
        <v>13</v>
      </c>
    </row>
    <row r="49">
      <c r="A49" t="s">
        <v>38</v>
      </c>
      <c r="B49" t="s">
        <v>368</v>
      </c>
      <c r="C49" t="s">
        <v>236</v>
      </c>
      <c r="D49" t="s">
        <v>369</v>
      </c>
      <c r="E49" t="s">
        <v>237</v>
      </c>
      <c r="F49" t="n">
        <v>2</v>
      </c>
      <c r="G49" t="n">
        <v>3</v>
      </c>
      <c r="H49" t="n">
        <v>1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1</v>
      </c>
      <c r="P49" t="n">
        <v>0</v>
      </c>
      <c r="Q49" t="n">
        <v>3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5</v>
      </c>
      <c r="AA49" t="n">
        <v>2</v>
      </c>
      <c r="AB49" t="n">
        <v>1</v>
      </c>
      <c r="AC49" t="n">
        <v>-1</v>
      </c>
      <c r="AD49" t="n">
        <v>1</v>
      </c>
      <c r="AE49" t="n">
        <v>1</v>
      </c>
      <c r="AF49" t="n">
        <v>1</v>
      </c>
    </row>
    <row r="50">
      <c r="A50" t="s">
        <v>38</v>
      </c>
      <c r="B50" t="s">
        <v>370</v>
      </c>
      <c r="C50" t="s">
        <v>236</v>
      </c>
      <c r="D50" t="s">
        <v>371</v>
      </c>
      <c r="E50" t="s">
        <v>237</v>
      </c>
      <c r="F50" t="n">
        <v>13</v>
      </c>
      <c r="G50" t="n">
        <v>15</v>
      </c>
      <c r="H50" t="n">
        <v>10</v>
      </c>
      <c r="I50" t="n">
        <v>4</v>
      </c>
      <c r="J50" t="n">
        <v>8</v>
      </c>
      <c r="K50" t="n">
        <v>6</v>
      </c>
      <c r="L50" t="n">
        <v>-3</v>
      </c>
      <c r="M50" t="n">
        <v>4</v>
      </c>
      <c r="N50" t="n">
        <v>0</v>
      </c>
      <c r="O50" t="n">
        <v>7</v>
      </c>
      <c r="P50" t="n">
        <v>3</v>
      </c>
      <c r="Q50" t="n">
        <v>1</v>
      </c>
      <c r="R50" t="n">
        <v>6</v>
      </c>
      <c r="S50" t="n">
        <v>11</v>
      </c>
      <c r="T50" t="n">
        <v>2</v>
      </c>
      <c r="U50" t="n">
        <v>9</v>
      </c>
      <c r="V50" t="n">
        <v>4</v>
      </c>
      <c r="W50" t="n">
        <v>9</v>
      </c>
      <c r="X50" t="n">
        <v>7</v>
      </c>
      <c r="Y50" t="n">
        <v>4</v>
      </c>
      <c r="Z50" t="n">
        <v>12</v>
      </c>
      <c r="AA50" t="n">
        <v>15</v>
      </c>
      <c r="AB50" t="n">
        <v>8</v>
      </c>
      <c r="AC50" t="n">
        <v>6</v>
      </c>
      <c r="AD50" t="n">
        <v>8</v>
      </c>
      <c r="AE50" t="n">
        <v>8</v>
      </c>
      <c r="AF50" t="n">
        <v>10</v>
      </c>
    </row>
    <row r="51">
      <c r="A51" t="s">
        <v>38</v>
      </c>
      <c r="B51" t="s">
        <v>372</v>
      </c>
      <c r="C51" t="s">
        <v>236</v>
      </c>
      <c r="D51" t="s">
        <v>373</v>
      </c>
      <c r="E51" t="s">
        <v>237</v>
      </c>
      <c r="F51" t="n">
        <v>2</v>
      </c>
      <c r="G51" t="n">
        <v>-1</v>
      </c>
      <c r="H51" t="n">
        <v>-1</v>
      </c>
      <c r="I51" t="n">
        <v>-1</v>
      </c>
      <c r="J51" t="n">
        <v>0</v>
      </c>
      <c r="K51" t="n">
        <v>-1</v>
      </c>
      <c r="L51" t="n">
        <v>-8</v>
      </c>
      <c r="M51" t="n">
        <v>-5</v>
      </c>
      <c r="N51" t="n">
        <v>-4</v>
      </c>
      <c r="O51" t="n">
        <v>0</v>
      </c>
      <c r="P51" t="n">
        <v>-2</v>
      </c>
      <c r="Q51" t="n">
        <v>-4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</v>
      </c>
      <c r="X51" t="n">
        <v>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-2</v>
      </c>
      <c r="AE51" t="n">
        <v>0</v>
      </c>
      <c r="AF51" t="n">
        <v>-2</v>
      </c>
    </row>
    <row r="52">
      <c r="A52" t="s">
        <v>38</v>
      </c>
      <c r="B52" t="s">
        <v>374</v>
      </c>
      <c r="C52" t="s">
        <v>236</v>
      </c>
      <c r="D52" t="s">
        <v>375</v>
      </c>
      <c r="E52" t="s">
        <v>237</v>
      </c>
      <c r="F52" t="n">
        <v>11</v>
      </c>
      <c r="G52" t="n">
        <v>16</v>
      </c>
      <c r="H52" t="n">
        <v>11</v>
      </c>
      <c r="I52" t="n">
        <v>5</v>
      </c>
      <c r="J52" t="n">
        <v>8</v>
      </c>
      <c r="K52" t="n">
        <v>7</v>
      </c>
      <c r="L52" t="n">
        <v>5</v>
      </c>
      <c r="M52" t="n">
        <v>9</v>
      </c>
      <c r="N52" t="n">
        <v>4</v>
      </c>
      <c r="O52" t="n">
        <v>7</v>
      </c>
      <c r="P52" t="n">
        <v>5</v>
      </c>
      <c r="Q52" t="n">
        <v>5</v>
      </c>
      <c r="R52" t="n">
        <v>6</v>
      </c>
      <c r="S52" t="n">
        <v>11</v>
      </c>
      <c r="T52" t="n">
        <v>2</v>
      </c>
      <c r="U52" t="n">
        <v>9</v>
      </c>
      <c r="V52" t="n">
        <v>4</v>
      </c>
      <c r="W52" t="n">
        <v>8</v>
      </c>
      <c r="X52" t="n">
        <v>6</v>
      </c>
      <c r="Y52" t="n">
        <v>4</v>
      </c>
      <c r="Z52" t="n">
        <v>12</v>
      </c>
      <c r="AA52" t="n">
        <v>15</v>
      </c>
      <c r="AB52" t="n">
        <v>8</v>
      </c>
      <c r="AC52" t="n">
        <v>6</v>
      </c>
      <c r="AD52" t="n">
        <v>10</v>
      </c>
      <c r="AE52" t="n">
        <v>8</v>
      </c>
      <c r="AF52" t="n">
        <v>12</v>
      </c>
    </row>
    <row r="53">
      <c r="A53" t="s">
        <v>38</v>
      </c>
      <c r="B53" t="s">
        <v>376</v>
      </c>
      <c r="C53" t="s">
        <v>236</v>
      </c>
      <c r="D53" t="s">
        <v>377</v>
      </c>
      <c r="E53" t="s">
        <v>237</v>
      </c>
      <c r="F53" t="n">
        <v>0</v>
      </c>
      <c r="G53" t="n">
        <v>0</v>
      </c>
      <c r="H53" t="n">
        <v>0</v>
      </c>
      <c r="I53" t="n">
        <v>-1</v>
      </c>
      <c r="J53" t="n">
        <v>-1</v>
      </c>
      <c r="K53" t="n">
        <v>-1</v>
      </c>
      <c r="L53" t="n">
        <v>-1</v>
      </c>
      <c r="M53" t="n">
        <v>0</v>
      </c>
      <c r="N53" t="n">
        <v>2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1</v>
      </c>
      <c r="AB53" t="n">
        <v>1</v>
      </c>
      <c r="AC53" t="n">
        <v>2</v>
      </c>
      <c r="AD53" t="n">
        <v>1</v>
      </c>
      <c r="AE53" t="n">
        <v>0</v>
      </c>
      <c r="AF53" t="n">
        <v>1</v>
      </c>
    </row>
    <row r="54">
      <c r="A54" t="s">
        <v>38</v>
      </c>
      <c r="B54" t="s">
        <v>378</v>
      </c>
      <c r="C54" t="s">
        <v>236</v>
      </c>
      <c r="D54" t="s">
        <v>379</v>
      </c>
      <c r="E54" t="s">
        <v>237</v>
      </c>
      <c r="F54" t="n">
        <v>0</v>
      </c>
      <c r="G54" t="n">
        <v>0</v>
      </c>
      <c r="H54" t="n">
        <v>0</v>
      </c>
      <c r="I54" t="n">
        <v>-1</v>
      </c>
      <c r="J54" t="n">
        <v>-1</v>
      </c>
      <c r="K54" t="n">
        <v>-1</v>
      </c>
      <c r="L54" t="n">
        <v>-1</v>
      </c>
      <c r="M54" t="n">
        <v>0</v>
      </c>
      <c r="N54" t="n">
        <v>2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1</v>
      </c>
      <c r="AB54" t="n">
        <v>1</v>
      </c>
      <c r="AC54" t="n">
        <v>2</v>
      </c>
      <c r="AD54" t="n">
        <v>1</v>
      </c>
      <c r="AE54" t="n">
        <v>0</v>
      </c>
      <c r="AF54" t="n">
        <v>1</v>
      </c>
    </row>
    <row r="55">
      <c r="A55" t="s">
        <v>38</v>
      </c>
      <c r="B55" t="s">
        <v>380</v>
      </c>
      <c r="C55" t="s">
        <v>236</v>
      </c>
      <c r="D55" t="s">
        <v>381</v>
      </c>
      <c r="E55" t="s">
        <v>237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38</v>
      </c>
      <c r="B56" t="s">
        <v>382</v>
      </c>
      <c r="C56" t="s">
        <v>236</v>
      </c>
      <c r="D56" t="s">
        <v>383</v>
      </c>
      <c r="E56" t="s">
        <v>237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38</v>
      </c>
      <c r="B57" t="s">
        <v>384</v>
      </c>
      <c r="C57" t="s">
        <v>236</v>
      </c>
      <c r="D57" t="s">
        <v>385</v>
      </c>
      <c r="E57" t="s">
        <v>237</v>
      </c>
      <c r="F57" t="n">
        <v>4201</v>
      </c>
      <c r="G57" t="n">
        <v>4579</v>
      </c>
      <c r="H57" t="n">
        <v>5234</v>
      </c>
      <c r="I57" t="n">
        <v>6027</v>
      </c>
      <c r="J57" t="n">
        <v>6981</v>
      </c>
      <c r="K57" t="n">
        <v>7695</v>
      </c>
      <c r="L57" t="n">
        <v>7412</v>
      </c>
      <c r="M57" t="n">
        <v>7682</v>
      </c>
      <c r="N57" t="n">
        <v>8372</v>
      </c>
      <c r="O57" t="n">
        <v>9320</v>
      </c>
      <c r="P57" t="n">
        <v>10030</v>
      </c>
      <c r="Q57" t="n">
        <v>10952</v>
      </c>
      <c r="R57" t="n">
        <v>11443</v>
      </c>
      <c r="S57" t="n">
        <v>11024</v>
      </c>
      <c r="T57" t="n">
        <v>10145</v>
      </c>
      <c r="U57" t="n">
        <v>12345</v>
      </c>
      <c r="V57" t="n">
        <v>12607</v>
      </c>
      <c r="W57" t="n">
        <v>12837</v>
      </c>
      <c r="X57" t="n">
        <v>12754</v>
      </c>
      <c r="Y57" t="n">
        <v>12291</v>
      </c>
      <c r="Z57" t="n">
        <v>12586</v>
      </c>
      <c r="AA57" t="n">
        <v>13996</v>
      </c>
      <c r="AB57" t="n">
        <v>14568</v>
      </c>
      <c r="AC57" t="n">
        <v>15860</v>
      </c>
      <c r="AD57" t="n">
        <v>16037</v>
      </c>
      <c r="AE57" t="n">
        <v>16186</v>
      </c>
      <c r="AF57" t="n">
        <v>16736</v>
      </c>
    </row>
    <row r="58">
      <c r="A58" t="s">
        <v>38</v>
      </c>
      <c r="B58" t="s">
        <v>386</v>
      </c>
      <c r="C58" t="s">
        <v>236</v>
      </c>
      <c r="D58" t="s">
        <v>387</v>
      </c>
      <c r="E58" t="s">
        <v>237</v>
      </c>
      <c r="F58" t="n">
        <v>4201</v>
      </c>
      <c r="G58" t="n">
        <v>4579</v>
      </c>
      <c r="H58" t="n">
        <v>5234</v>
      </c>
      <c r="I58" t="n">
        <v>6027</v>
      </c>
      <c r="J58" t="n">
        <v>6981</v>
      </c>
      <c r="K58" t="n">
        <v>7695</v>
      </c>
      <c r="L58" t="n">
        <v>7412</v>
      </c>
      <c r="M58" t="n">
        <v>7682</v>
      </c>
      <c r="N58" t="n">
        <v>8372</v>
      </c>
      <c r="O58" t="n">
        <v>9320</v>
      </c>
      <c r="P58" t="n">
        <v>10030</v>
      </c>
      <c r="Q58" t="n">
        <v>10952</v>
      </c>
      <c r="R58" t="n">
        <v>11443</v>
      </c>
      <c r="S58" t="n">
        <v>11024</v>
      </c>
      <c r="T58" t="n">
        <v>10145</v>
      </c>
      <c r="U58" t="n">
        <v>12345</v>
      </c>
      <c r="V58" t="n">
        <v>12607</v>
      </c>
      <c r="W58" t="n">
        <v>12837</v>
      </c>
      <c r="X58" t="n">
        <v>12754</v>
      </c>
      <c r="Y58" t="n">
        <v>12291</v>
      </c>
      <c r="Z58" t="n">
        <v>12586</v>
      </c>
      <c r="AA58" t="n">
        <v>13996</v>
      </c>
      <c r="AB58" t="n">
        <v>14568</v>
      </c>
      <c r="AC58" t="n">
        <v>15860</v>
      </c>
      <c r="AD58" t="n">
        <v>16037</v>
      </c>
      <c r="AE58" t="n">
        <v>16186</v>
      </c>
      <c r="AF58" t="n">
        <v>16736</v>
      </c>
    </row>
    <row r="59">
      <c r="A59" t="s">
        <v>38</v>
      </c>
      <c r="B59" t="s">
        <v>388</v>
      </c>
      <c r="C59" t="s">
        <v>236</v>
      </c>
      <c r="D59" t="s">
        <v>389</v>
      </c>
      <c r="E59" t="s">
        <v>237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40</v>
      </c>
      <c r="B2" t="s">
        <v>197</v>
      </c>
      <c r="C2" t="s">
        <v>236</v>
      </c>
      <c r="D2" t="s">
        <v>199</v>
      </c>
      <c r="E2" t="s">
        <v>237</v>
      </c>
      <c r="F2" t="n">
        <v>61</v>
      </c>
      <c r="G2" t="n">
        <v>54</v>
      </c>
      <c r="H2" t="n">
        <v>36</v>
      </c>
      <c r="I2" t="n">
        <v>49</v>
      </c>
      <c r="J2" t="n">
        <v>44</v>
      </c>
      <c r="K2" t="n">
        <v>35</v>
      </c>
      <c r="L2" t="n">
        <v>49</v>
      </c>
      <c r="M2" t="n">
        <v>53</v>
      </c>
      <c r="N2" t="n">
        <v>53</v>
      </c>
      <c r="O2" t="n">
        <v>59</v>
      </c>
      <c r="P2" t="n">
        <v>50</v>
      </c>
      <c r="Q2" t="n">
        <v>48</v>
      </c>
      <c r="R2" t="n">
        <v>43</v>
      </c>
      <c r="S2" t="n">
        <v>44</v>
      </c>
      <c r="T2" t="n">
        <v>38</v>
      </c>
      <c r="U2" t="n">
        <v>38</v>
      </c>
      <c r="V2" t="n">
        <v>32</v>
      </c>
      <c r="W2" t="n">
        <v>14</v>
      </c>
      <c r="X2" t="n">
        <v>18</v>
      </c>
      <c r="Y2" t="n">
        <v>25</v>
      </c>
      <c r="Z2" t="n">
        <v>24</v>
      </c>
      <c r="AA2" t="n">
        <v>14</v>
      </c>
      <c r="AB2" t="n">
        <v>27</v>
      </c>
      <c r="AC2" t="n">
        <v>18</v>
      </c>
      <c r="AD2" t="n">
        <v>27</v>
      </c>
      <c r="AE2" t="n">
        <v>40</v>
      </c>
      <c r="AF2" t="n">
        <v>15</v>
      </c>
    </row>
    <row r="3">
      <c r="A3" t="s">
        <v>40</v>
      </c>
      <c r="B3" t="s">
        <v>276</v>
      </c>
      <c r="C3" t="s">
        <v>236</v>
      </c>
      <c r="D3" t="s">
        <v>277</v>
      </c>
      <c r="E3" t="s">
        <v>237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40</v>
      </c>
      <c r="B4" t="s">
        <v>278</v>
      </c>
      <c r="C4" t="s">
        <v>236</v>
      </c>
      <c r="D4" t="s">
        <v>279</v>
      </c>
      <c r="E4" t="s">
        <v>237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40</v>
      </c>
      <c r="B5" t="s">
        <v>280</v>
      </c>
      <c r="C5" t="s">
        <v>236</v>
      </c>
      <c r="D5" t="s">
        <v>281</v>
      </c>
      <c r="E5" t="s">
        <v>237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40</v>
      </c>
      <c r="B6" t="s">
        <v>282</v>
      </c>
      <c r="C6" t="s">
        <v>236</v>
      </c>
      <c r="D6" t="s">
        <v>283</v>
      </c>
      <c r="E6" t="s">
        <v>237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40</v>
      </c>
      <c r="B7" t="s">
        <v>284</v>
      </c>
      <c r="C7" t="s">
        <v>236</v>
      </c>
      <c r="D7" t="s">
        <v>285</v>
      </c>
      <c r="E7" t="s">
        <v>237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40</v>
      </c>
      <c r="B8" t="s">
        <v>286</v>
      </c>
      <c r="C8" t="s">
        <v>236</v>
      </c>
      <c r="D8" t="s">
        <v>287</v>
      </c>
      <c r="E8" t="s">
        <v>237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40</v>
      </c>
      <c r="B9" t="s">
        <v>288</v>
      </c>
      <c r="C9" t="s">
        <v>236</v>
      </c>
      <c r="D9" t="s">
        <v>289</v>
      </c>
      <c r="E9" t="s">
        <v>237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40</v>
      </c>
      <c r="B10" t="s">
        <v>290</v>
      </c>
      <c r="C10" t="s">
        <v>236</v>
      </c>
      <c r="D10" t="s">
        <v>291</v>
      </c>
      <c r="E10" t="s">
        <v>237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40</v>
      </c>
      <c r="B11" t="s">
        <v>292</v>
      </c>
      <c r="C11" t="s">
        <v>236</v>
      </c>
      <c r="D11" t="s">
        <v>293</v>
      </c>
      <c r="E11" t="s">
        <v>237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40</v>
      </c>
      <c r="B12" t="s">
        <v>294</v>
      </c>
      <c r="C12" t="s">
        <v>236</v>
      </c>
      <c r="D12" t="s">
        <v>295</v>
      </c>
      <c r="E12" t="s">
        <v>237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40</v>
      </c>
      <c r="B13" t="s">
        <v>296</v>
      </c>
      <c r="C13" t="s">
        <v>236</v>
      </c>
      <c r="D13" t="s">
        <v>297</v>
      </c>
      <c r="E13" t="s">
        <v>237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40</v>
      </c>
      <c r="B14" t="s">
        <v>298</v>
      </c>
      <c r="C14" t="s">
        <v>236</v>
      </c>
      <c r="D14" t="s">
        <v>299</v>
      </c>
      <c r="E14" t="s">
        <v>237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40</v>
      </c>
      <c r="B15" t="s">
        <v>300</v>
      </c>
      <c r="C15" t="s">
        <v>236</v>
      </c>
      <c r="D15" t="s">
        <v>301</v>
      </c>
      <c r="E15" t="s">
        <v>237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40</v>
      </c>
      <c r="B16" t="s">
        <v>302</v>
      </c>
      <c r="C16" t="s">
        <v>236</v>
      </c>
      <c r="D16" t="s">
        <v>303</v>
      </c>
      <c r="E16" t="s">
        <v>237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40</v>
      </c>
      <c r="B17" t="s">
        <v>304</v>
      </c>
      <c r="C17" t="s">
        <v>236</v>
      </c>
      <c r="D17" t="s">
        <v>305</v>
      </c>
      <c r="E17" t="s">
        <v>237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40</v>
      </c>
      <c r="B18" t="s">
        <v>306</v>
      </c>
      <c r="C18" t="s">
        <v>236</v>
      </c>
      <c r="D18" t="s">
        <v>307</v>
      </c>
      <c r="E18" t="s">
        <v>237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40</v>
      </c>
      <c r="B19" t="s">
        <v>308</v>
      </c>
      <c r="C19" t="s">
        <v>236</v>
      </c>
      <c r="D19" t="s">
        <v>309</v>
      </c>
      <c r="E19" t="s">
        <v>237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40</v>
      </c>
      <c r="B20" t="s">
        <v>310</v>
      </c>
      <c r="C20" t="s">
        <v>236</v>
      </c>
      <c r="D20" t="s">
        <v>311</v>
      </c>
      <c r="E20" t="s">
        <v>237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40</v>
      </c>
      <c r="B21" t="s">
        <v>312</v>
      </c>
      <c r="C21" t="s">
        <v>236</v>
      </c>
      <c r="D21" t="s">
        <v>313</v>
      </c>
      <c r="E21" t="s">
        <v>237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40</v>
      </c>
      <c r="B22" t="s">
        <v>314</v>
      </c>
      <c r="C22" t="s">
        <v>236</v>
      </c>
      <c r="D22" t="s">
        <v>315</v>
      </c>
      <c r="E22" t="s">
        <v>237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40</v>
      </c>
      <c r="B23" t="s">
        <v>316</v>
      </c>
      <c r="C23" t="s">
        <v>236</v>
      </c>
      <c r="D23" t="s">
        <v>317</v>
      </c>
      <c r="E23" t="s">
        <v>237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40</v>
      </c>
      <c r="B24" t="s">
        <v>318</v>
      </c>
      <c r="C24" t="s">
        <v>236</v>
      </c>
      <c r="D24" t="s">
        <v>319</v>
      </c>
      <c r="E24" t="s">
        <v>237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40</v>
      </c>
      <c r="B25" t="s">
        <v>320</v>
      </c>
      <c r="C25" t="s">
        <v>236</v>
      </c>
      <c r="D25" t="s">
        <v>321</v>
      </c>
      <c r="E25" t="s">
        <v>237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40</v>
      </c>
      <c r="B26" t="s">
        <v>322</v>
      </c>
      <c r="C26" t="s">
        <v>236</v>
      </c>
      <c r="D26" t="s">
        <v>323</v>
      </c>
      <c r="E26" t="s">
        <v>237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40</v>
      </c>
      <c r="B27" t="s">
        <v>324</v>
      </c>
      <c r="C27" t="s">
        <v>236</v>
      </c>
      <c r="D27" t="s">
        <v>325</v>
      </c>
      <c r="E27" t="s">
        <v>237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40</v>
      </c>
      <c r="B28" t="s">
        <v>326</v>
      </c>
      <c r="C28" t="s">
        <v>236</v>
      </c>
      <c r="D28" t="s">
        <v>327</v>
      </c>
      <c r="E28" t="s">
        <v>237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40</v>
      </c>
      <c r="B29" t="s">
        <v>328</v>
      </c>
      <c r="C29" t="s">
        <v>236</v>
      </c>
      <c r="D29" t="s">
        <v>329</v>
      </c>
      <c r="E29" t="s">
        <v>237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40</v>
      </c>
      <c r="B30" t="s">
        <v>330</v>
      </c>
      <c r="C30" t="s">
        <v>236</v>
      </c>
      <c r="D30" t="s">
        <v>331</v>
      </c>
      <c r="E30" t="s">
        <v>237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40</v>
      </c>
      <c r="B31" t="s">
        <v>332</v>
      </c>
      <c r="C31" t="s">
        <v>236</v>
      </c>
      <c r="D31" t="s">
        <v>333</v>
      </c>
      <c r="E31" t="s">
        <v>237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40</v>
      </c>
      <c r="B32" t="s">
        <v>334</v>
      </c>
      <c r="C32" t="s">
        <v>236</v>
      </c>
      <c r="D32" t="s">
        <v>335</v>
      </c>
      <c r="E32" t="s">
        <v>237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40</v>
      </c>
      <c r="B33" t="s">
        <v>336</v>
      </c>
      <c r="C33" t="s">
        <v>236</v>
      </c>
      <c r="D33" t="s">
        <v>337</v>
      </c>
      <c r="E33" t="s">
        <v>237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40</v>
      </c>
      <c r="B34" t="s">
        <v>338</v>
      </c>
      <c r="C34" t="s">
        <v>236</v>
      </c>
      <c r="D34" t="s">
        <v>339</v>
      </c>
      <c r="E34" t="s">
        <v>237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40</v>
      </c>
      <c r="B35" t="s">
        <v>340</v>
      </c>
      <c r="C35" t="s">
        <v>236</v>
      </c>
      <c r="D35" t="s">
        <v>341</v>
      </c>
      <c r="E35" t="s">
        <v>237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40</v>
      </c>
      <c r="B36" t="s">
        <v>342</v>
      </c>
      <c r="C36" t="s">
        <v>236</v>
      </c>
      <c r="D36" t="s">
        <v>343</v>
      </c>
      <c r="E36" t="s">
        <v>237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40</v>
      </c>
      <c r="B37" t="s">
        <v>344</v>
      </c>
      <c r="C37" t="s">
        <v>236</v>
      </c>
      <c r="D37" t="s">
        <v>345</v>
      </c>
      <c r="E37" t="s">
        <v>237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40</v>
      </c>
      <c r="B38" t="s">
        <v>346</v>
      </c>
      <c r="C38" t="s">
        <v>236</v>
      </c>
      <c r="D38" t="s">
        <v>347</v>
      </c>
      <c r="E38" t="s">
        <v>237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40</v>
      </c>
      <c r="B39" t="s">
        <v>348</v>
      </c>
      <c r="C39" t="s">
        <v>236</v>
      </c>
      <c r="D39" t="s">
        <v>349</v>
      </c>
      <c r="E39" t="s">
        <v>237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40</v>
      </c>
      <c r="B40" t="s">
        <v>350</v>
      </c>
      <c r="C40" t="s">
        <v>236</v>
      </c>
      <c r="D40" t="s">
        <v>351</v>
      </c>
      <c r="E40" t="s">
        <v>237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40</v>
      </c>
      <c r="B41" t="s">
        <v>352</v>
      </c>
      <c r="C41" t="s">
        <v>236</v>
      </c>
      <c r="D41" t="s">
        <v>353</v>
      </c>
      <c r="E41" t="s">
        <v>237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40</v>
      </c>
      <c r="B42" t="s">
        <v>354</v>
      </c>
      <c r="C42" t="s">
        <v>236</v>
      </c>
      <c r="D42" t="s">
        <v>355</v>
      </c>
      <c r="E42" t="s">
        <v>237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40</v>
      </c>
      <c r="B43" t="s">
        <v>356</v>
      </c>
      <c r="C43" t="s">
        <v>236</v>
      </c>
      <c r="D43" t="s">
        <v>357</v>
      </c>
      <c r="E43" t="s">
        <v>237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40</v>
      </c>
      <c r="B44" t="s">
        <v>358</v>
      </c>
      <c r="C44" t="s">
        <v>236</v>
      </c>
      <c r="D44" t="s">
        <v>359</v>
      </c>
      <c r="E44" t="s">
        <v>237</v>
      </c>
      <c r="F44" t="n">
        <v>64</v>
      </c>
      <c r="G44" t="n">
        <v>58</v>
      </c>
      <c r="H44" t="n">
        <v>40</v>
      </c>
      <c r="I44" t="n">
        <v>55</v>
      </c>
      <c r="J44" t="n">
        <v>49</v>
      </c>
      <c r="K44" t="n">
        <v>40</v>
      </c>
      <c r="L44" t="n">
        <v>57</v>
      </c>
      <c r="M44" t="n">
        <v>61</v>
      </c>
      <c r="N44" t="n">
        <v>63</v>
      </c>
      <c r="O44" t="n">
        <v>68</v>
      </c>
      <c r="P44" t="n">
        <v>58</v>
      </c>
      <c r="Q44" t="n">
        <v>59</v>
      </c>
      <c r="R44" t="n">
        <v>55</v>
      </c>
      <c r="S44" t="n">
        <v>56</v>
      </c>
      <c r="T44" t="n">
        <v>51</v>
      </c>
      <c r="U44" t="n">
        <v>51</v>
      </c>
      <c r="V44" t="n">
        <v>43</v>
      </c>
      <c r="W44" t="n">
        <v>27</v>
      </c>
      <c r="X44" t="n">
        <v>28</v>
      </c>
      <c r="Y44" t="n">
        <v>35</v>
      </c>
      <c r="Z44" t="n">
        <v>34</v>
      </c>
      <c r="AA44" t="n">
        <v>44</v>
      </c>
      <c r="AB44" t="n">
        <v>36</v>
      </c>
      <c r="AC44" t="n">
        <v>27</v>
      </c>
      <c r="AD44" t="n">
        <v>36</v>
      </c>
      <c r="AE44" t="n">
        <v>40</v>
      </c>
      <c r="AF44" t="n">
        <v>15</v>
      </c>
    </row>
    <row r="45">
      <c r="A45" t="s">
        <v>40</v>
      </c>
      <c r="B45" t="s">
        <v>360</v>
      </c>
      <c r="C45" t="s">
        <v>236</v>
      </c>
      <c r="D45" t="s">
        <v>361</v>
      </c>
      <c r="E45" t="s">
        <v>237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40</v>
      </c>
      <c r="B46" t="s">
        <v>362</v>
      </c>
      <c r="C46" t="s">
        <v>236</v>
      </c>
      <c r="D46" t="s">
        <v>363</v>
      </c>
      <c r="E46" t="s">
        <v>237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40</v>
      </c>
      <c r="B47" t="s">
        <v>364</v>
      </c>
      <c r="C47" t="s">
        <v>236</v>
      </c>
      <c r="D47" t="s">
        <v>365</v>
      </c>
      <c r="E47" t="s">
        <v>237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40</v>
      </c>
      <c r="B48" t="s">
        <v>366</v>
      </c>
      <c r="C48" t="s">
        <v>236</v>
      </c>
      <c r="D48" t="s">
        <v>367</v>
      </c>
      <c r="E48" t="s">
        <v>237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40</v>
      </c>
      <c r="B49" t="s">
        <v>368</v>
      </c>
      <c r="C49" t="s">
        <v>236</v>
      </c>
      <c r="D49" t="s">
        <v>369</v>
      </c>
      <c r="E49" t="s">
        <v>237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40</v>
      </c>
      <c r="B50" t="s">
        <v>370</v>
      </c>
      <c r="C50" t="s">
        <v>236</v>
      </c>
      <c r="D50" t="s">
        <v>371</v>
      </c>
      <c r="E50" t="s">
        <v>237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40</v>
      </c>
      <c r="B51" t="s">
        <v>372</v>
      </c>
      <c r="C51" t="s">
        <v>236</v>
      </c>
      <c r="D51" t="s">
        <v>373</v>
      </c>
      <c r="E51" t="s">
        <v>237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40</v>
      </c>
      <c r="B52" t="s">
        <v>374</v>
      </c>
      <c r="C52" t="s">
        <v>236</v>
      </c>
      <c r="D52" t="s">
        <v>375</v>
      </c>
      <c r="E52" t="s">
        <v>237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40</v>
      </c>
      <c r="B53" t="s">
        <v>376</v>
      </c>
      <c r="C53" t="s">
        <v>236</v>
      </c>
      <c r="D53" t="s">
        <v>377</v>
      </c>
      <c r="E53" t="s">
        <v>237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40</v>
      </c>
      <c r="B54" t="s">
        <v>378</v>
      </c>
      <c r="C54" t="s">
        <v>236</v>
      </c>
      <c r="D54" t="s">
        <v>379</v>
      </c>
      <c r="E54" t="s">
        <v>237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40</v>
      </c>
      <c r="B55" t="s">
        <v>380</v>
      </c>
      <c r="C55" t="s">
        <v>236</v>
      </c>
      <c r="D55" t="s">
        <v>381</v>
      </c>
      <c r="E55" t="s">
        <v>237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40</v>
      </c>
      <c r="B56" t="s">
        <v>382</v>
      </c>
      <c r="C56" t="s">
        <v>236</v>
      </c>
      <c r="D56" t="s">
        <v>383</v>
      </c>
      <c r="E56" t="s">
        <v>237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40</v>
      </c>
      <c r="B57" t="s">
        <v>384</v>
      </c>
      <c r="C57" t="s">
        <v>236</v>
      </c>
      <c r="D57" t="s">
        <v>385</v>
      </c>
      <c r="E57" t="s">
        <v>237</v>
      </c>
      <c r="F57" t="n">
        <v>64</v>
      </c>
      <c r="G57" t="n">
        <v>58</v>
      </c>
      <c r="H57" t="n">
        <v>40</v>
      </c>
      <c r="I57" t="n">
        <v>55</v>
      </c>
      <c r="J57" t="n">
        <v>49</v>
      </c>
      <c r="K57" t="n">
        <v>40</v>
      </c>
      <c r="L57" t="n">
        <v>57</v>
      </c>
      <c r="M57" t="n">
        <v>61</v>
      </c>
      <c r="N57" t="n">
        <v>63</v>
      </c>
      <c r="O57" t="n">
        <v>68</v>
      </c>
      <c r="P57" t="n">
        <v>58</v>
      </c>
      <c r="Q57" t="n">
        <v>59</v>
      </c>
      <c r="R57" t="n">
        <v>55</v>
      </c>
      <c r="S57" t="n">
        <v>56</v>
      </c>
      <c r="T57" t="n">
        <v>51</v>
      </c>
      <c r="U57" t="n">
        <v>51</v>
      </c>
      <c r="V57" t="n">
        <v>43</v>
      </c>
      <c r="W57" t="n">
        <v>27</v>
      </c>
      <c r="X57" t="n">
        <v>28</v>
      </c>
      <c r="Y57" t="n">
        <v>35</v>
      </c>
      <c r="Z57" t="n">
        <v>34</v>
      </c>
      <c r="AA57" t="n">
        <v>44</v>
      </c>
      <c r="AB57" t="n">
        <v>36</v>
      </c>
      <c r="AC57" t="n">
        <v>27</v>
      </c>
      <c r="AD57" t="n">
        <v>36</v>
      </c>
      <c r="AE57" t="n">
        <v>40</v>
      </c>
      <c r="AF57" t="n">
        <v>15</v>
      </c>
    </row>
    <row r="58">
      <c r="A58" t="s">
        <v>40</v>
      </c>
      <c r="B58" t="s">
        <v>386</v>
      </c>
      <c r="C58" t="s">
        <v>236</v>
      </c>
      <c r="D58" t="s">
        <v>387</v>
      </c>
      <c r="E58" t="s">
        <v>237</v>
      </c>
      <c r="F58" t="n">
        <v>64</v>
      </c>
      <c r="G58" t="n">
        <v>58</v>
      </c>
      <c r="H58" t="n">
        <v>40</v>
      </c>
      <c r="I58" t="n">
        <v>55</v>
      </c>
      <c r="J58" t="n">
        <v>49</v>
      </c>
      <c r="K58" t="n">
        <v>40</v>
      </c>
      <c r="L58" t="n">
        <v>57</v>
      </c>
      <c r="M58" t="n">
        <v>61</v>
      </c>
      <c r="N58" t="n">
        <v>63</v>
      </c>
      <c r="O58" t="n">
        <v>68</v>
      </c>
      <c r="P58" t="n">
        <v>58</v>
      </c>
      <c r="Q58" t="n">
        <v>59</v>
      </c>
      <c r="R58" t="n">
        <v>55</v>
      </c>
      <c r="S58" t="n">
        <v>56</v>
      </c>
      <c r="T58" t="n">
        <v>51</v>
      </c>
      <c r="U58" t="n">
        <v>51</v>
      </c>
      <c r="V58" t="n">
        <v>43</v>
      </c>
      <c r="W58" t="n">
        <v>27</v>
      </c>
      <c r="X58" t="n">
        <v>28</v>
      </c>
      <c r="Y58" t="n">
        <v>35</v>
      </c>
      <c r="Z58" t="n">
        <v>34</v>
      </c>
      <c r="AA58" t="n">
        <v>44</v>
      </c>
      <c r="AB58" t="n">
        <v>36</v>
      </c>
      <c r="AC58" t="n">
        <v>27</v>
      </c>
      <c r="AD58" t="n">
        <v>36</v>
      </c>
      <c r="AE58" t="n">
        <v>40</v>
      </c>
      <c r="AF58" t="n">
        <v>15</v>
      </c>
    </row>
    <row r="59">
      <c r="A59" t="s">
        <v>40</v>
      </c>
      <c r="B59" t="s">
        <v>388</v>
      </c>
      <c r="C59" t="s">
        <v>236</v>
      </c>
      <c r="D59" t="s">
        <v>389</v>
      </c>
      <c r="E59" t="s">
        <v>237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42</v>
      </c>
      <c r="B2" t="s">
        <v>197</v>
      </c>
      <c r="C2" t="s">
        <v>236</v>
      </c>
      <c r="D2" t="s">
        <v>199</v>
      </c>
      <c r="E2" t="s">
        <v>237</v>
      </c>
      <c r="F2" t="n">
        <v>3</v>
      </c>
      <c r="G2" t="n">
        <v>1</v>
      </c>
      <c r="H2" t="n">
        <v>0</v>
      </c>
      <c r="I2" t="n">
        <v>3</v>
      </c>
      <c r="J2" t="n">
        <v>3</v>
      </c>
      <c r="K2" t="n">
        <v>2</v>
      </c>
      <c r="L2" t="n">
        <v>0</v>
      </c>
      <c r="M2" t="n">
        <v>1</v>
      </c>
      <c r="N2" t="n">
        <v>0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3</v>
      </c>
      <c r="V2" t="n">
        <v>6</v>
      </c>
      <c r="W2" t="n">
        <v>2</v>
      </c>
      <c r="X2" t="n">
        <v>1</v>
      </c>
      <c r="Y2" t="n">
        <v>2</v>
      </c>
      <c r="Z2" t="n">
        <v>2</v>
      </c>
      <c r="AA2" t="n">
        <v>2</v>
      </c>
      <c r="AB2" t="n">
        <v>4</v>
      </c>
      <c r="AC2" t="n">
        <v>14</v>
      </c>
      <c r="AD2" t="n">
        <v>16</v>
      </c>
      <c r="AE2" t="n">
        <v>14</v>
      </c>
      <c r="AF2" t="n">
        <v>13</v>
      </c>
    </row>
    <row r="3">
      <c r="A3" t="s">
        <v>42</v>
      </c>
      <c r="B3" t="s">
        <v>276</v>
      </c>
      <c r="C3" t="s">
        <v>236</v>
      </c>
      <c r="D3" t="s">
        <v>277</v>
      </c>
      <c r="E3" t="s">
        <v>237</v>
      </c>
      <c r="F3" t="n">
        <v>6</v>
      </c>
      <c r="G3" t="n">
        <v>6</v>
      </c>
      <c r="H3" t="n">
        <v>5</v>
      </c>
      <c r="I3" t="n">
        <v>8</v>
      </c>
      <c r="J3" t="n">
        <v>10</v>
      </c>
      <c r="K3" t="n">
        <v>11</v>
      </c>
      <c r="L3" t="n">
        <v>4</v>
      </c>
      <c r="M3" t="n">
        <v>4</v>
      </c>
      <c r="N3" t="n">
        <v>6</v>
      </c>
      <c r="O3" t="n">
        <v>5</v>
      </c>
      <c r="P3" t="n">
        <v>4</v>
      </c>
      <c r="Q3" t="n">
        <v>3</v>
      </c>
      <c r="R3" t="n">
        <v>6</v>
      </c>
      <c r="S3" t="n">
        <v>10</v>
      </c>
      <c r="T3" t="n">
        <v>15</v>
      </c>
      <c r="U3" t="n">
        <v>11</v>
      </c>
      <c r="V3" t="n">
        <v>9</v>
      </c>
      <c r="W3" t="n">
        <v>9</v>
      </c>
      <c r="X3" t="n">
        <v>8</v>
      </c>
      <c r="Y3" t="n">
        <v>6</v>
      </c>
      <c r="Z3" t="n">
        <v>7</v>
      </c>
      <c r="AA3" t="n">
        <v>14</v>
      </c>
      <c r="AB3" t="n">
        <v>25</v>
      </c>
      <c r="AC3" t="n">
        <v>18</v>
      </c>
      <c r="AD3" t="n">
        <v>9</v>
      </c>
      <c r="AE3" t="n">
        <v>16</v>
      </c>
      <c r="AF3" t="n">
        <v>18</v>
      </c>
    </row>
    <row r="4">
      <c r="A4" t="s">
        <v>42</v>
      </c>
      <c r="B4" t="s">
        <v>278</v>
      </c>
      <c r="C4" t="s">
        <v>236</v>
      </c>
      <c r="D4" t="s">
        <v>279</v>
      </c>
      <c r="E4" t="s">
        <v>237</v>
      </c>
      <c r="F4" t="n">
        <v>1078</v>
      </c>
      <c r="G4" t="n">
        <v>1283</v>
      </c>
      <c r="H4" t="n">
        <v>1497</v>
      </c>
      <c r="I4" t="n">
        <v>1789</v>
      </c>
      <c r="J4" t="n">
        <v>2263</v>
      </c>
      <c r="K4" t="n">
        <v>2595</v>
      </c>
      <c r="L4" t="n">
        <v>2678</v>
      </c>
      <c r="M4" t="n">
        <v>2745</v>
      </c>
      <c r="N4" t="n">
        <v>3035</v>
      </c>
      <c r="O4" t="n">
        <v>3278</v>
      </c>
      <c r="P4" t="n">
        <v>3377</v>
      </c>
      <c r="Q4" t="n">
        <v>3588</v>
      </c>
      <c r="R4" t="n">
        <v>3854</v>
      </c>
      <c r="S4" t="n">
        <v>4386</v>
      </c>
      <c r="T4" t="n">
        <v>4146</v>
      </c>
      <c r="U4" t="n">
        <v>4241</v>
      </c>
      <c r="V4" t="n">
        <v>3987</v>
      </c>
      <c r="W4" t="n">
        <v>3368</v>
      </c>
      <c r="X4" t="n">
        <v>3262</v>
      </c>
      <c r="Y4" t="n">
        <v>3198</v>
      </c>
      <c r="Z4" t="n">
        <v>2932</v>
      </c>
      <c r="AA4" t="n">
        <v>2686</v>
      </c>
      <c r="AB4" t="n">
        <v>2465</v>
      </c>
      <c r="AC4" t="n">
        <v>3015</v>
      </c>
      <c r="AD4" t="n">
        <v>3510</v>
      </c>
      <c r="AE4" t="n">
        <v>3423</v>
      </c>
      <c r="AF4" t="n">
        <v>3728</v>
      </c>
    </row>
    <row r="5">
      <c r="A5" t="s">
        <v>42</v>
      </c>
      <c r="B5" t="s">
        <v>280</v>
      </c>
      <c r="C5" t="s">
        <v>236</v>
      </c>
      <c r="D5" t="s">
        <v>281</v>
      </c>
      <c r="E5" t="s">
        <v>237</v>
      </c>
      <c r="F5" t="n">
        <v>48</v>
      </c>
      <c r="G5" t="n">
        <v>45</v>
      </c>
      <c r="H5" t="n">
        <v>39</v>
      </c>
      <c r="I5" t="n">
        <v>42</v>
      </c>
      <c r="J5" t="n">
        <v>46</v>
      </c>
      <c r="K5" t="n">
        <v>47</v>
      </c>
      <c r="L5" t="n">
        <v>46</v>
      </c>
      <c r="M5" t="n">
        <v>48</v>
      </c>
      <c r="N5" t="n">
        <v>43</v>
      </c>
      <c r="O5" t="n">
        <v>47</v>
      </c>
      <c r="P5" t="n">
        <v>53</v>
      </c>
      <c r="Q5" t="n">
        <v>56</v>
      </c>
      <c r="R5" t="n">
        <v>50</v>
      </c>
      <c r="S5" t="n">
        <v>57</v>
      </c>
      <c r="T5" t="n">
        <v>56</v>
      </c>
      <c r="U5" t="n">
        <v>64</v>
      </c>
      <c r="V5" t="n">
        <v>62</v>
      </c>
      <c r="W5" t="n">
        <v>61</v>
      </c>
      <c r="X5" t="n">
        <v>69</v>
      </c>
      <c r="Y5" t="n">
        <v>68</v>
      </c>
      <c r="Z5" t="n">
        <v>60</v>
      </c>
      <c r="AA5" t="n">
        <v>54</v>
      </c>
      <c r="AB5" t="n">
        <v>62</v>
      </c>
      <c r="AC5" t="n">
        <v>59</v>
      </c>
      <c r="AD5" t="n">
        <v>58</v>
      </c>
      <c r="AE5" t="n">
        <v>15</v>
      </c>
      <c r="AF5" t="n">
        <v>59</v>
      </c>
    </row>
    <row r="6">
      <c r="A6" t="s">
        <v>42</v>
      </c>
      <c r="B6" t="s">
        <v>282</v>
      </c>
      <c r="C6" t="s">
        <v>236</v>
      </c>
      <c r="D6" t="s">
        <v>283</v>
      </c>
      <c r="E6" t="s">
        <v>237</v>
      </c>
      <c r="F6" t="n">
        <v>7</v>
      </c>
      <c r="G6" t="n">
        <v>7</v>
      </c>
      <c r="H6" t="n">
        <v>8</v>
      </c>
      <c r="I6" t="n">
        <v>10</v>
      </c>
      <c r="J6" t="n">
        <v>13</v>
      </c>
      <c r="K6" t="n">
        <v>13</v>
      </c>
      <c r="L6" t="n">
        <v>16</v>
      </c>
      <c r="M6" t="n">
        <v>11</v>
      </c>
      <c r="N6" t="n">
        <v>11</v>
      </c>
      <c r="O6" t="n">
        <v>11</v>
      </c>
      <c r="P6" t="n">
        <v>7</v>
      </c>
      <c r="Q6" t="n">
        <v>12</v>
      </c>
      <c r="R6" t="n">
        <v>10</v>
      </c>
      <c r="S6" t="n">
        <v>12</v>
      </c>
      <c r="T6" t="n">
        <v>17</v>
      </c>
      <c r="U6" t="n">
        <v>8</v>
      </c>
      <c r="V6" t="n">
        <v>7</v>
      </c>
      <c r="W6" t="n">
        <v>5</v>
      </c>
      <c r="X6" t="n">
        <v>7</v>
      </c>
      <c r="Y6" t="n">
        <v>7</v>
      </c>
      <c r="Z6" t="n">
        <v>11</v>
      </c>
      <c r="AA6" t="n">
        <v>7</v>
      </c>
      <c r="AB6" t="n">
        <v>6</v>
      </c>
      <c r="AC6" t="n">
        <v>5</v>
      </c>
      <c r="AD6" t="n">
        <v>3</v>
      </c>
      <c r="AE6" t="n">
        <v>4</v>
      </c>
      <c r="AF6" t="n">
        <v>7</v>
      </c>
    </row>
    <row r="7">
      <c r="A7" t="s">
        <v>42</v>
      </c>
      <c r="B7" t="s">
        <v>284</v>
      </c>
      <c r="C7" t="s">
        <v>236</v>
      </c>
      <c r="D7" t="s">
        <v>285</v>
      </c>
      <c r="E7" t="s">
        <v>237</v>
      </c>
      <c r="F7" t="n">
        <v>65</v>
      </c>
      <c r="G7" t="n">
        <v>69</v>
      </c>
      <c r="H7" t="n">
        <v>74</v>
      </c>
      <c r="I7" t="n">
        <v>77</v>
      </c>
      <c r="J7" t="n">
        <v>83</v>
      </c>
      <c r="K7" t="n">
        <v>93</v>
      </c>
      <c r="L7" t="n">
        <v>99</v>
      </c>
      <c r="M7" t="n">
        <v>108</v>
      </c>
      <c r="N7" t="n">
        <v>111</v>
      </c>
      <c r="O7" t="n">
        <v>111</v>
      </c>
      <c r="P7" t="n">
        <v>109</v>
      </c>
      <c r="Q7" t="n">
        <v>105</v>
      </c>
      <c r="R7" t="n">
        <v>109</v>
      </c>
      <c r="S7" t="n">
        <v>107</v>
      </c>
      <c r="T7" t="n">
        <v>93</v>
      </c>
      <c r="U7" t="n">
        <v>105</v>
      </c>
      <c r="V7" t="n">
        <v>76</v>
      </c>
      <c r="W7" t="n">
        <v>94</v>
      </c>
      <c r="X7" t="n">
        <v>90</v>
      </c>
      <c r="Y7" t="n">
        <v>83</v>
      </c>
      <c r="Z7" t="n">
        <v>95</v>
      </c>
      <c r="AA7" t="n">
        <v>91</v>
      </c>
      <c r="AB7" t="n">
        <v>104</v>
      </c>
      <c r="AC7" t="n">
        <v>113</v>
      </c>
      <c r="AD7" t="n">
        <v>113</v>
      </c>
      <c r="AE7" t="n">
        <v>115</v>
      </c>
      <c r="AF7" t="n">
        <v>106</v>
      </c>
    </row>
    <row r="8">
      <c r="A8" t="s">
        <v>42</v>
      </c>
      <c r="B8" t="s">
        <v>286</v>
      </c>
      <c r="C8" t="s">
        <v>236</v>
      </c>
      <c r="D8" t="s">
        <v>287</v>
      </c>
      <c r="E8" t="s">
        <v>237</v>
      </c>
      <c r="F8" t="n">
        <v>30</v>
      </c>
      <c r="G8" t="n">
        <v>31</v>
      </c>
      <c r="H8" t="n">
        <v>32</v>
      </c>
      <c r="I8" t="n">
        <v>38</v>
      </c>
      <c r="J8" t="n">
        <v>21</v>
      </c>
      <c r="K8" t="n">
        <v>27</v>
      </c>
      <c r="L8" t="n">
        <v>27</v>
      </c>
      <c r="M8" t="n">
        <v>19</v>
      </c>
      <c r="N8" t="n">
        <v>15</v>
      </c>
      <c r="O8" t="n">
        <v>12</v>
      </c>
      <c r="P8" t="n">
        <v>10</v>
      </c>
      <c r="Q8" t="n">
        <v>12</v>
      </c>
      <c r="R8" t="n">
        <v>23</v>
      </c>
      <c r="S8" t="n">
        <v>42</v>
      </c>
      <c r="T8" t="n">
        <v>41</v>
      </c>
      <c r="U8" t="n">
        <v>39</v>
      </c>
      <c r="V8" t="n">
        <v>40</v>
      </c>
      <c r="W8" t="n">
        <v>42</v>
      </c>
      <c r="X8" t="n">
        <v>37</v>
      </c>
      <c r="Y8" t="n">
        <v>31</v>
      </c>
      <c r="Z8" t="n">
        <v>32</v>
      </c>
      <c r="AA8" t="n">
        <v>34</v>
      </c>
      <c r="AB8" t="n">
        <v>35</v>
      </c>
      <c r="AC8" t="n">
        <v>38</v>
      </c>
      <c r="AD8" t="n">
        <v>39</v>
      </c>
      <c r="AE8" t="n">
        <v>40</v>
      </c>
      <c r="AF8" t="n">
        <v>47</v>
      </c>
    </row>
    <row r="9">
      <c r="A9" t="s">
        <v>42</v>
      </c>
      <c r="B9" t="s">
        <v>288</v>
      </c>
      <c r="C9" t="s">
        <v>236</v>
      </c>
      <c r="D9" t="s">
        <v>289</v>
      </c>
      <c r="E9" t="s">
        <v>237</v>
      </c>
      <c r="F9" t="n">
        <v>71</v>
      </c>
      <c r="G9" t="n">
        <v>72</v>
      </c>
      <c r="H9" t="n">
        <v>78</v>
      </c>
      <c r="I9" t="n">
        <v>79</v>
      </c>
      <c r="J9" t="n">
        <v>96</v>
      </c>
      <c r="K9" t="n">
        <v>95</v>
      </c>
      <c r="L9" t="n">
        <v>95</v>
      </c>
      <c r="M9" t="n">
        <v>102</v>
      </c>
      <c r="N9" t="n">
        <v>95</v>
      </c>
      <c r="O9" t="n">
        <v>110</v>
      </c>
      <c r="P9" t="n">
        <v>109</v>
      </c>
      <c r="Q9" t="n">
        <v>125</v>
      </c>
      <c r="R9" t="n">
        <v>136</v>
      </c>
      <c r="S9" t="n">
        <v>139</v>
      </c>
      <c r="T9" t="n">
        <v>111</v>
      </c>
      <c r="U9" t="n">
        <v>124</v>
      </c>
      <c r="V9" t="n">
        <v>128</v>
      </c>
      <c r="W9" t="n">
        <v>105</v>
      </c>
      <c r="X9" t="n">
        <v>143</v>
      </c>
      <c r="Y9" t="n">
        <v>88</v>
      </c>
      <c r="Z9" t="n">
        <v>119</v>
      </c>
      <c r="AA9" t="n">
        <v>111</v>
      </c>
      <c r="AB9" t="n">
        <v>121</v>
      </c>
      <c r="AC9" t="n">
        <v>120</v>
      </c>
      <c r="AD9" t="n">
        <v>119</v>
      </c>
      <c r="AE9" t="n">
        <v>120</v>
      </c>
      <c r="AF9" t="n">
        <v>119</v>
      </c>
    </row>
    <row r="10">
      <c r="A10" t="s">
        <v>42</v>
      </c>
      <c r="B10" t="s">
        <v>290</v>
      </c>
      <c r="C10" t="s">
        <v>236</v>
      </c>
      <c r="D10" t="s">
        <v>291</v>
      </c>
      <c r="E10" t="s">
        <v>237</v>
      </c>
      <c r="F10" t="n">
        <v>147</v>
      </c>
      <c r="G10" t="n">
        <v>149</v>
      </c>
      <c r="H10" t="n">
        <v>155</v>
      </c>
      <c r="I10" t="n">
        <v>165</v>
      </c>
      <c r="J10" t="n">
        <v>184</v>
      </c>
      <c r="K10" t="n">
        <v>207</v>
      </c>
      <c r="L10" t="n">
        <v>226</v>
      </c>
      <c r="M10" t="n">
        <v>260</v>
      </c>
      <c r="N10" t="n">
        <v>229</v>
      </c>
      <c r="O10" t="n">
        <v>225</v>
      </c>
      <c r="P10" t="n">
        <v>225</v>
      </c>
      <c r="Q10" t="n">
        <v>248</v>
      </c>
      <c r="R10" t="n">
        <v>302</v>
      </c>
      <c r="S10" t="n">
        <v>304</v>
      </c>
      <c r="T10" t="n">
        <v>270</v>
      </c>
      <c r="U10" t="n">
        <v>279</v>
      </c>
      <c r="V10" t="n">
        <v>283</v>
      </c>
      <c r="W10" t="n">
        <v>316</v>
      </c>
      <c r="X10" t="n">
        <v>354</v>
      </c>
      <c r="Y10" t="n">
        <v>327</v>
      </c>
      <c r="Z10" t="n">
        <v>346</v>
      </c>
      <c r="AA10" t="n">
        <v>354</v>
      </c>
      <c r="AB10" t="n">
        <v>385</v>
      </c>
      <c r="AC10" t="n">
        <v>351</v>
      </c>
      <c r="AD10" t="n">
        <v>285</v>
      </c>
      <c r="AE10" t="n">
        <v>344</v>
      </c>
      <c r="AF10" t="n">
        <v>390</v>
      </c>
    </row>
    <row r="11">
      <c r="A11" t="s">
        <v>42</v>
      </c>
      <c r="B11" t="s">
        <v>292</v>
      </c>
      <c r="C11" t="s">
        <v>236</v>
      </c>
      <c r="D11" t="s">
        <v>293</v>
      </c>
      <c r="E11" t="s">
        <v>237</v>
      </c>
      <c r="F11" t="n">
        <v>76</v>
      </c>
      <c r="G11" t="n">
        <v>77</v>
      </c>
      <c r="H11" t="n">
        <v>77</v>
      </c>
      <c r="I11" t="n">
        <v>86</v>
      </c>
      <c r="J11" t="n">
        <v>88</v>
      </c>
      <c r="K11" t="n">
        <v>112</v>
      </c>
      <c r="L11" t="n">
        <v>131</v>
      </c>
      <c r="M11" t="n">
        <v>158</v>
      </c>
      <c r="N11" t="n">
        <v>134</v>
      </c>
      <c r="O11" t="n">
        <v>115</v>
      </c>
      <c r="P11" t="n">
        <v>116</v>
      </c>
      <c r="Q11" t="n">
        <v>123</v>
      </c>
      <c r="R11" t="n">
        <v>166</v>
      </c>
      <c r="S11" t="n">
        <v>165</v>
      </c>
      <c r="T11" t="n">
        <v>159</v>
      </c>
      <c r="U11" t="n">
        <v>155</v>
      </c>
      <c r="V11" t="n">
        <v>155</v>
      </c>
      <c r="W11" t="n">
        <v>211</v>
      </c>
      <c r="X11" t="n">
        <v>211</v>
      </c>
      <c r="Y11" t="n">
        <v>239</v>
      </c>
      <c r="Z11" t="n">
        <v>227</v>
      </c>
      <c r="AA11" t="n">
        <v>243</v>
      </c>
      <c r="AB11" t="n">
        <v>264</v>
      </c>
      <c r="AC11" t="n">
        <v>231</v>
      </c>
      <c r="AD11" t="n">
        <v>166</v>
      </c>
      <c r="AE11" t="n">
        <v>224</v>
      </c>
      <c r="AF11" t="n">
        <v>271</v>
      </c>
    </row>
    <row r="12">
      <c r="A12" t="s">
        <v>42</v>
      </c>
      <c r="B12" t="s">
        <v>294</v>
      </c>
      <c r="C12" t="s">
        <v>236</v>
      </c>
      <c r="D12" t="s">
        <v>295</v>
      </c>
      <c r="E12" t="s">
        <v>237</v>
      </c>
      <c r="F12" t="n">
        <v>29</v>
      </c>
      <c r="G12" t="n">
        <v>29</v>
      </c>
      <c r="H12" t="n">
        <v>27</v>
      </c>
      <c r="I12" t="n">
        <v>29</v>
      </c>
      <c r="J12" t="n">
        <v>44</v>
      </c>
      <c r="K12" t="n">
        <v>46</v>
      </c>
      <c r="L12" t="n">
        <v>46</v>
      </c>
      <c r="M12" t="n">
        <v>56</v>
      </c>
      <c r="N12" t="n">
        <v>53</v>
      </c>
      <c r="O12" t="n">
        <v>54</v>
      </c>
      <c r="P12" t="n">
        <v>46</v>
      </c>
      <c r="Q12" t="n">
        <v>55</v>
      </c>
      <c r="R12" t="n">
        <v>60</v>
      </c>
      <c r="S12" t="n">
        <v>61</v>
      </c>
      <c r="T12" t="n">
        <v>60</v>
      </c>
      <c r="U12" t="n">
        <v>62</v>
      </c>
      <c r="V12" t="n">
        <v>65</v>
      </c>
      <c r="W12" t="n">
        <v>73</v>
      </c>
      <c r="X12" t="n">
        <v>68</v>
      </c>
      <c r="Y12" t="n">
        <v>70</v>
      </c>
      <c r="Z12" t="n">
        <v>80</v>
      </c>
      <c r="AA12" t="n">
        <v>73</v>
      </c>
      <c r="AB12" t="n">
        <v>90</v>
      </c>
      <c r="AC12" t="n">
        <v>82</v>
      </c>
      <c r="AD12" t="n">
        <v>88</v>
      </c>
      <c r="AE12" t="n">
        <v>92</v>
      </c>
      <c r="AF12" t="n">
        <v>94</v>
      </c>
    </row>
    <row r="13">
      <c r="A13" t="s">
        <v>42</v>
      </c>
      <c r="B13" t="s">
        <v>296</v>
      </c>
      <c r="C13" t="s">
        <v>236</v>
      </c>
      <c r="D13" t="s">
        <v>297</v>
      </c>
      <c r="E13" t="s">
        <v>237</v>
      </c>
      <c r="F13" t="n">
        <v>49</v>
      </c>
      <c r="G13" t="n">
        <v>49</v>
      </c>
      <c r="H13" t="n">
        <v>52</v>
      </c>
      <c r="I13" t="n">
        <v>55</v>
      </c>
      <c r="J13" t="n">
        <v>63</v>
      </c>
      <c r="K13" t="n">
        <v>61</v>
      </c>
      <c r="L13" t="n">
        <v>67</v>
      </c>
      <c r="M13" t="n">
        <v>60</v>
      </c>
      <c r="N13" t="n">
        <v>66</v>
      </c>
      <c r="O13" t="n">
        <v>74</v>
      </c>
      <c r="P13" t="n">
        <v>82</v>
      </c>
      <c r="Q13" t="n">
        <v>83</v>
      </c>
      <c r="R13" t="n">
        <v>89</v>
      </c>
      <c r="S13" t="n">
        <v>88</v>
      </c>
      <c r="T13" t="n">
        <v>97</v>
      </c>
      <c r="U13" t="n">
        <v>100</v>
      </c>
      <c r="V13" t="n">
        <v>92</v>
      </c>
      <c r="W13" t="n">
        <v>85</v>
      </c>
      <c r="X13" t="n">
        <v>78</v>
      </c>
      <c r="Y13" t="n">
        <v>67</v>
      </c>
      <c r="Z13" t="n">
        <v>67</v>
      </c>
      <c r="AA13" t="n">
        <v>65</v>
      </c>
      <c r="AB13" t="n">
        <v>73</v>
      </c>
      <c r="AC13" t="n">
        <v>77</v>
      </c>
      <c r="AD13" t="n">
        <v>72</v>
      </c>
      <c r="AE13" t="n">
        <v>84</v>
      </c>
      <c r="AF13" t="n">
        <v>76</v>
      </c>
    </row>
    <row r="14">
      <c r="A14" t="s">
        <v>42</v>
      </c>
      <c r="B14" t="s">
        <v>298</v>
      </c>
      <c r="C14" t="s">
        <v>236</v>
      </c>
      <c r="D14" t="s">
        <v>299</v>
      </c>
      <c r="E14" t="s">
        <v>237</v>
      </c>
      <c r="F14" t="n">
        <v>411</v>
      </c>
      <c r="G14" t="n">
        <v>586</v>
      </c>
      <c r="H14" t="n">
        <v>768</v>
      </c>
      <c r="I14" t="n">
        <v>996</v>
      </c>
      <c r="J14" t="n">
        <v>1379</v>
      </c>
      <c r="K14" t="n">
        <v>1659</v>
      </c>
      <c r="L14" t="n">
        <v>1657</v>
      </c>
      <c r="M14" t="n">
        <v>1662</v>
      </c>
      <c r="N14" t="n">
        <v>2003</v>
      </c>
      <c r="O14" t="n">
        <v>2245</v>
      </c>
      <c r="P14" t="n">
        <v>2351</v>
      </c>
      <c r="Q14" t="n">
        <v>2466</v>
      </c>
      <c r="R14" t="n">
        <v>2606</v>
      </c>
      <c r="S14" t="n">
        <v>3050</v>
      </c>
      <c r="T14" t="n">
        <v>2886</v>
      </c>
      <c r="U14" t="n">
        <v>2890</v>
      </c>
      <c r="V14" t="n">
        <v>2619</v>
      </c>
      <c r="W14" t="n">
        <v>1821</v>
      </c>
      <c r="X14" t="n">
        <v>1744</v>
      </c>
      <c r="Y14" t="n">
        <v>1685</v>
      </c>
      <c r="Z14" t="n">
        <v>1344</v>
      </c>
      <c r="AA14" t="n">
        <v>1096</v>
      </c>
      <c r="AB14" t="n">
        <v>1081</v>
      </c>
      <c r="AC14" t="n">
        <v>1274</v>
      </c>
      <c r="AD14" t="n">
        <v>1824</v>
      </c>
      <c r="AE14" t="n">
        <v>1664</v>
      </c>
      <c r="AF14" t="n">
        <v>1889</v>
      </c>
    </row>
    <row r="15">
      <c r="A15" t="s">
        <v>42</v>
      </c>
      <c r="B15" t="s">
        <v>300</v>
      </c>
      <c r="C15" t="s">
        <v>236</v>
      </c>
      <c r="D15" t="s">
        <v>301</v>
      </c>
      <c r="E15" t="s">
        <v>237</v>
      </c>
      <c r="F15" t="n">
        <v>478</v>
      </c>
      <c r="G15" t="n">
        <v>652</v>
      </c>
      <c r="H15" t="n">
        <v>833</v>
      </c>
      <c r="I15" t="n">
        <v>1072</v>
      </c>
      <c r="J15" t="n">
        <v>1457</v>
      </c>
      <c r="K15" t="n">
        <v>1740</v>
      </c>
      <c r="L15" t="n">
        <v>1739</v>
      </c>
      <c r="M15" t="n">
        <v>1752</v>
      </c>
      <c r="N15" t="n">
        <v>2107</v>
      </c>
      <c r="O15" t="n">
        <v>2360</v>
      </c>
      <c r="P15" t="n">
        <v>2465</v>
      </c>
      <c r="Q15" t="n">
        <v>2578</v>
      </c>
      <c r="R15" t="n">
        <v>2741</v>
      </c>
      <c r="S15" t="n">
        <v>3252</v>
      </c>
      <c r="T15" t="n">
        <v>3096</v>
      </c>
      <c r="U15" t="n">
        <v>3152</v>
      </c>
      <c r="V15" t="n">
        <v>2872</v>
      </c>
      <c r="W15" t="n">
        <v>2110</v>
      </c>
      <c r="X15" t="n">
        <v>1966</v>
      </c>
      <c r="Y15" t="n">
        <v>1991</v>
      </c>
      <c r="Z15" t="n">
        <v>1636</v>
      </c>
      <c r="AA15" t="n">
        <v>1355</v>
      </c>
      <c r="AB15" t="n">
        <v>1038</v>
      </c>
      <c r="AC15" t="n">
        <v>1496</v>
      </c>
      <c r="AD15" t="n">
        <v>2055</v>
      </c>
      <c r="AE15" t="n">
        <v>1891</v>
      </c>
      <c r="AF15" t="n">
        <v>2103</v>
      </c>
    </row>
    <row r="16">
      <c r="A16" t="s">
        <v>42</v>
      </c>
      <c r="B16" t="s">
        <v>302</v>
      </c>
      <c r="C16" t="s">
        <v>236</v>
      </c>
      <c r="D16" t="s">
        <v>303</v>
      </c>
      <c r="E16" t="s">
        <v>237</v>
      </c>
      <c r="F16" t="n">
        <v>67</v>
      </c>
      <c r="G16" t="n">
        <v>66</v>
      </c>
      <c r="H16" t="n">
        <v>65</v>
      </c>
      <c r="I16" t="n">
        <v>76</v>
      </c>
      <c r="J16" t="n">
        <v>78</v>
      </c>
      <c r="K16" t="n">
        <v>81</v>
      </c>
      <c r="L16" t="n">
        <v>82</v>
      </c>
      <c r="M16" t="n">
        <v>90</v>
      </c>
      <c r="N16" t="n">
        <v>104</v>
      </c>
      <c r="O16" t="n">
        <v>115</v>
      </c>
      <c r="P16" t="n">
        <v>114</v>
      </c>
      <c r="Q16" t="n">
        <v>112</v>
      </c>
      <c r="R16" t="n">
        <v>135</v>
      </c>
      <c r="S16" t="n">
        <v>202</v>
      </c>
      <c r="T16" t="n">
        <v>210</v>
      </c>
      <c r="U16" t="n">
        <v>262</v>
      </c>
      <c r="V16" t="n">
        <v>253</v>
      </c>
      <c r="W16" t="n">
        <v>289</v>
      </c>
      <c r="X16" t="n">
        <v>222</v>
      </c>
      <c r="Y16" t="n">
        <v>306</v>
      </c>
      <c r="Z16" t="n">
        <v>292</v>
      </c>
      <c r="AA16" t="n">
        <v>259</v>
      </c>
      <c r="AB16" t="n">
        <v>-43</v>
      </c>
      <c r="AC16" t="n">
        <v>222</v>
      </c>
      <c r="AD16" t="n">
        <v>231</v>
      </c>
      <c r="AE16" t="n">
        <v>227</v>
      </c>
      <c r="AF16" t="n">
        <v>214</v>
      </c>
    </row>
    <row r="17">
      <c r="A17" t="s">
        <v>42</v>
      </c>
      <c r="B17" t="s">
        <v>304</v>
      </c>
      <c r="C17" t="s">
        <v>236</v>
      </c>
      <c r="D17" t="s">
        <v>305</v>
      </c>
      <c r="E17" t="s">
        <v>237</v>
      </c>
      <c r="F17" t="n">
        <v>122</v>
      </c>
      <c r="G17" t="n">
        <v>136</v>
      </c>
      <c r="H17" t="n">
        <v>148</v>
      </c>
      <c r="I17" t="n">
        <v>161</v>
      </c>
      <c r="J17" t="n">
        <v>185</v>
      </c>
      <c r="K17" t="n">
        <v>175</v>
      </c>
      <c r="L17" t="n">
        <v>207</v>
      </c>
      <c r="M17" t="n">
        <v>209</v>
      </c>
      <c r="N17" t="n">
        <v>185</v>
      </c>
      <c r="O17" t="n">
        <v>179</v>
      </c>
      <c r="P17" t="n">
        <v>194</v>
      </c>
      <c r="Q17" t="n">
        <v>209</v>
      </c>
      <c r="R17" t="n">
        <v>235</v>
      </c>
      <c r="S17" t="n">
        <v>389</v>
      </c>
      <c r="T17" t="n">
        <v>330</v>
      </c>
      <c r="U17" t="n">
        <v>352</v>
      </c>
      <c r="V17" t="n">
        <v>391</v>
      </c>
      <c r="W17" t="n">
        <v>471</v>
      </c>
      <c r="X17" t="n">
        <v>496</v>
      </c>
      <c r="Y17" t="n">
        <v>491</v>
      </c>
      <c r="Z17" t="n">
        <v>521</v>
      </c>
      <c r="AA17" t="n">
        <v>564</v>
      </c>
      <c r="AB17" t="n">
        <v>575</v>
      </c>
      <c r="AC17" t="n">
        <v>671</v>
      </c>
      <c r="AD17" t="n">
        <v>672</v>
      </c>
      <c r="AE17" t="n">
        <v>703</v>
      </c>
      <c r="AF17" t="n">
        <v>677</v>
      </c>
    </row>
    <row r="18">
      <c r="A18" t="s">
        <v>42</v>
      </c>
      <c r="B18" t="s">
        <v>306</v>
      </c>
      <c r="C18" t="s">
        <v>236</v>
      </c>
      <c r="D18" t="s">
        <v>307</v>
      </c>
      <c r="E18" t="s">
        <v>237</v>
      </c>
      <c r="F18" t="n">
        <v>21</v>
      </c>
      <c r="G18" t="n">
        <v>23</v>
      </c>
      <c r="H18" t="n">
        <v>23</v>
      </c>
      <c r="I18" t="n">
        <v>24</v>
      </c>
      <c r="J18" t="n">
        <v>26</v>
      </c>
      <c r="K18" t="n">
        <v>30</v>
      </c>
      <c r="L18" t="n">
        <v>28</v>
      </c>
      <c r="M18" t="n">
        <v>28</v>
      </c>
      <c r="N18" t="n">
        <v>27</v>
      </c>
      <c r="O18" t="n">
        <v>30</v>
      </c>
      <c r="P18" t="n">
        <v>32</v>
      </c>
      <c r="Q18" t="n">
        <v>44</v>
      </c>
      <c r="R18" t="n">
        <v>31</v>
      </c>
      <c r="S18" t="n">
        <v>38</v>
      </c>
      <c r="T18" t="n">
        <v>55</v>
      </c>
      <c r="U18" t="n">
        <v>48</v>
      </c>
      <c r="V18" t="n">
        <v>67</v>
      </c>
      <c r="W18" t="n">
        <v>78</v>
      </c>
      <c r="X18" t="n">
        <v>70</v>
      </c>
      <c r="Y18" t="n">
        <v>40</v>
      </c>
      <c r="Z18" t="n">
        <v>60</v>
      </c>
      <c r="AA18" t="n">
        <v>61</v>
      </c>
      <c r="AB18" t="n">
        <v>76</v>
      </c>
      <c r="AC18" t="n">
        <v>85</v>
      </c>
      <c r="AD18" t="n">
        <v>89</v>
      </c>
      <c r="AE18" t="n">
        <v>94</v>
      </c>
      <c r="AF18" t="n">
        <v>112</v>
      </c>
    </row>
    <row r="19">
      <c r="A19" t="s">
        <v>42</v>
      </c>
      <c r="B19" t="s">
        <v>308</v>
      </c>
      <c r="C19" t="s">
        <v>236</v>
      </c>
      <c r="D19" t="s">
        <v>309</v>
      </c>
      <c r="E19" t="s">
        <v>237</v>
      </c>
      <c r="F19" t="n">
        <v>82</v>
      </c>
      <c r="G19" t="n">
        <v>93</v>
      </c>
      <c r="H19" t="n">
        <v>106</v>
      </c>
      <c r="I19" t="n">
        <v>116</v>
      </c>
      <c r="J19" t="n">
        <v>141</v>
      </c>
      <c r="K19" t="n">
        <v>156</v>
      </c>
      <c r="L19" t="n">
        <v>177</v>
      </c>
      <c r="M19" t="n">
        <v>194</v>
      </c>
      <c r="N19" t="n">
        <v>188</v>
      </c>
      <c r="O19" t="n">
        <v>175</v>
      </c>
      <c r="P19" t="n">
        <v>154</v>
      </c>
      <c r="Q19" t="n">
        <v>186</v>
      </c>
      <c r="R19" t="n">
        <v>204</v>
      </c>
      <c r="S19" t="n">
        <v>36</v>
      </c>
      <c r="T19" t="n">
        <v>31</v>
      </c>
      <c r="U19" t="n">
        <v>32</v>
      </c>
      <c r="V19" t="n">
        <v>32</v>
      </c>
      <c r="W19" t="n">
        <v>33</v>
      </c>
      <c r="X19" t="n">
        <v>27</v>
      </c>
      <c r="Y19" t="n">
        <v>23</v>
      </c>
      <c r="Z19" t="n">
        <v>24</v>
      </c>
      <c r="AA19" t="n">
        <v>28</v>
      </c>
      <c r="AB19" t="n">
        <v>21</v>
      </c>
      <c r="AC19" t="n">
        <v>38</v>
      </c>
      <c r="AD19" t="n">
        <v>36</v>
      </c>
      <c r="AE19" t="n">
        <v>41</v>
      </c>
      <c r="AF19" t="n">
        <v>57</v>
      </c>
    </row>
    <row r="20">
      <c r="A20" t="s">
        <v>42</v>
      </c>
      <c r="B20" t="s">
        <v>310</v>
      </c>
      <c r="C20" t="s">
        <v>236</v>
      </c>
      <c r="D20" t="s">
        <v>311</v>
      </c>
      <c r="E20" t="s">
        <v>237</v>
      </c>
      <c r="F20" t="n">
        <v>13</v>
      </c>
      <c r="G20" t="n">
        <v>22</v>
      </c>
      <c r="H20" t="n">
        <v>33</v>
      </c>
      <c r="I20" t="n">
        <v>35</v>
      </c>
      <c r="J20" t="n">
        <v>28</v>
      </c>
      <c r="K20" t="n">
        <v>21</v>
      </c>
      <c r="L20" t="n">
        <v>30</v>
      </c>
      <c r="M20" t="n">
        <v>14</v>
      </c>
      <c r="N20" t="n">
        <v>9</v>
      </c>
      <c r="O20" t="n">
        <v>7</v>
      </c>
      <c r="P20" t="n">
        <v>12</v>
      </c>
      <c r="Q20" t="n">
        <v>25</v>
      </c>
      <c r="R20" t="n">
        <v>13</v>
      </c>
      <c r="S20" t="n">
        <v>14</v>
      </c>
      <c r="T20" t="n">
        <v>18</v>
      </c>
      <c r="U20" t="n">
        <v>25</v>
      </c>
      <c r="V20" t="n">
        <v>25</v>
      </c>
      <c r="W20" t="n">
        <v>34</v>
      </c>
      <c r="X20" t="n">
        <v>28</v>
      </c>
      <c r="Y20" t="n">
        <v>23</v>
      </c>
      <c r="Z20" t="n">
        <v>24</v>
      </c>
      <c r="AA20" t="n">
        <v>43</v>
      </c>
      <c r="AB20" t="n">
        <v>73</v>
      </c>
      <c r="AC20" t="n">
        <v>61</v>
      </c>
      <c r="AD20" t="n">
        <v>72</v>
      </c>
      <c r="AE20" t="n">
        <v>65</v>
      </c>
      <c r="AF20" t="n">
        <v>63</v>
      </c>
    </row>
    <row r="21">
      <c r="A21" t="s">
        <v>42</v>
      </c>
      <c r="B21" t="s">
        <v>312</v>
      </c>
      <c r="C21" t="s">
        <v>236</v>
      </c>
      <c r="D21" t="s">
        <v>313</v>
      </c>
      <c r="E21" t="s">
        <v>237</v>
      </c>
      <c r="F21" t="n">
        <v>14</v>
      </c>
      <c r="G21" t="n">
        <v>23</v>
      </c>
      <c r="H21" t="n">
        <v>34</v>
      </c>
      <c r="I21" t="n">
        <v>36</v>
      </c>
      <c r="J21" t="n">
        <v>31</v>
      </c>
      <c r="K21" t="n">
        <v>23</v>
      </c>
      <c r="L21" t="n">
        <v>33</v>
      </c>
      <c r="M21" t="n">
        <v>19</v>
      </c>
      <c r="N21" t="n">
        <v>15</v>
      </c>
      <c r="O21" t="n">
        <v>15</v>
      </c>
      <c r="P21" t="n">
        <v>20</v>
      </c>
      <c r="Q21" t="n">
        <v>39</v>
      </c>
      <c r="R21" t="n">
        <v>30</v>
      </c>
      <c r="S21" t="n">
        <v>26</v>
      </c>
      <c r="T21" t="n">
        <v>30</v>
      </c>
      <c r="U21" t="n">
        <v>43</v>
      </c>
      <c r="V21" t="n">
        <v>41</v>
      </c>
      <c r="W21" t="n">
        <v>58</v>
      </c>
      <c r="X21" t="n">
        <v>51</v>
      </c>
      <c r="Y21" t="n">
        <v>42</v>
      </c>
      <c r="Z21" t="n">
        <v>54</v>
      </c>
      <c r="AA21" t="n">
        <v>72</v>
      </c>
      <c r="AB21" t="n">
        <v>91</v>
      </c>
      <c r="AC21" t="n">
        <v>77</v>
      </c>
      <c r="AD21" t="n">
        <v>86</v>
      </c>
      <c r="AE21" t="n">
        <v>71</v>
      </c>
      <c r="AF21" t="n">
        <v>71</v>
      </c>
    </row>
    <row r="22">
      <c r="A22" t="s">
        <v>42</v>
      </c>
      <c r="B22" t="s">
        <v>314</v>
      </c>
      <c r="C22" t="s">
        <v>236</v>
      </c>
      <c r="D22" t="s">
        <v>315</v>
      </c>
      <c r="E22" t="s">
        <v>237</v>
      </c>
      <c r="F22" t="n">
        <v>1</v>
      </c>
      <c r="G22" t="n">
        <v>1</v>
      </c>
      <c r="H22" t="n">
        <v>1</v>
      </c>
      <c r="I22" t="n">
        <v>1</v>
      </c>
      <c r="J22" t="n">
        <v>3</v>
      </c>
      <c r="K22" t="n">
        <v>2</v>
      </c>
      <c r="L22" t="n">
        <v>3</v>
      </c>
      <c r="M22" t="n">
        <v>5</v>
      </c>
      <c r="N22" t="n">
        <v>6</v>
      </c>
      <c r="O22" t="n">
        <v>8</v>
      </c>
      <c r="P22" t="n">
        <v>8</v>
      </c>
      <c r="Q22" t="n">
        <v>14</v>
      </c>
      <c r="R22" t="n">
        <v>17</v>
      </c>
      <c r="S22" t="n">
        <v>12</v>
      </c>
      <c r="T22" t="n">
        <v>12</v>
      </c>
      <c r="U22" t="n">
        <v>18</v>
      </c>
      <c r="V22" t="n">
        <v>16</v>
      </c>
      <c r="W22" t="n">
        <v>24</v>
      </c>
      <c r="X22" t="n">
        <v>23</v>
      </c>
      <c r="Y22" t="n">
        <v>19</v>
      </c>
      <c r="Z22" t="n">
        <v>30</v>
      </c>
      <c r="AA22" t="n">
        <v>29</v>
      </c>
      <c r="AB22" t="n">
        <v>18</v>
      </c>
      <c r="AC22" t="n">
        <v>16</v>
      </c>
      <c r="AD22" t="n">
        <v>14</v>
      </c>
      <c r="AE22" t="n">
        <v>6</v>
      </c>
      <c r="AF22" t="n">
        <v>8</v>
      </c>
    </row>
    <row r="23">
      <c r="A23" t="s">
        <v>42</v>
      </c>
      <c r="B23" t="s">
        <v>316</v>
      </c>
      <c r="C23" t="s">
        <v>236</v>
      </c>
      <c r="D23" t="s">
        <v>317</v>
      </c>
      <c r="E23" t="s">
        <v>237</v>
      </c>
      <c r="F23" t="n">
        <v>11</v>
      </c>
      <c r="G23" t="n">
        <v>10</v>
      </c>
      <c r="H23" t="n">
        <v>10</v>
      </c>
      <c r="I23" t="n">
        <v>11</v>
      </c>
      <c r="J23" t="n">
        <v>20</v>
      </c>
      <c r="K23" t="n">
        <v>31</v>
      </c>
      <c r="L23" t="n">
        <v>25</v>
      </c>
      <c r="M23" t="n">
        <v>31</v>
      </c>
      <c r="N23" t="n">
        <v>35</v>
      </c>
      <c r="O23" t="n">
        <v>20</v>
      </c>
      <c r="P23" t="n">
        <v>19</v>
      </c>
      <c r="Q23" t="n">
        <v>20</v>
      </c>
      <c r="R23" t="n">
        <v>24</v>
      </c>
      <c r="S23" t="n">
        <v>30</v>
      </c>
      <c r="T23" t="n">
        <v>41</v>
      </c>
      <c r="U23" t="n">
        <v>54</v>
      </c>
      <c r="V23" t="n">
        <v>47</v>
      </c>
      <c r="W23" t="n">
        <v>49</v>
      </c>
      <c r="X23" t="n">
        <v>62</v>
      </c>
      <c r="Y23" t="n">
        <v>18</v>
      </c>
      <c r="Z23" t="n">
        <v>31</v>
      </c>
      <c r="AA23" t="n">
        <v>21</v>
      </c>
      <c r="AB23" t="n">
        <v>30</v>
      </c>
      <c r="AC23" t="n">
        <v>27</v>
      </c>
      <c r="AD23" t="n">
        <v>26</v>
      </c>
      <c r="AE23" t="n">
        <v>32</v>
      </c>
      <c r="AF23" t="n">
        <v>36</v>
      </c>
    </row>
    <row r="24">
      <c r="A24" t="s">
        <v>42</v>
      </c>
      <c r="B24" t="s">
        <v>318</v>
      </c>
      <c r="C24" t="s">
        <v>236</v>
      </c>
      <c r="D24" t="s">
        <v>319</v>
      </c>
      <c r="E24" t="s">
        <v>237</v>
      </c>
      <c r="F24" t="n">
        <v>44</v>
      </c>
      <c r="G24" t="n">
        <v>55</v>
      </c>
      <c r="H24" t="n">
        <v>66</v>
      </c>
      <c r="I24" t="n">
        <v>83</v>
      </c>
      <c r="J24" t="n">
        <v>93</v>
      </c>
      <c r="K24" t="n">
        <v>118</v>
      </c>
      <c r="L24" t="n">
        <v>122</v>
      </c>
      <c r="M24" t="n">
        <v>6</v>
      </c>
      <c r="N24" t="n">
        <v>6</v>
      </c>
      <c r="O24" t="n">
        <v>3</v>
      </c>
      <c r="P24" t="n">
        <v>5</v>
      </c>
      <c r="Q24" t="n">
        <v>1</v>
      </c>
      <c r="R24" t="n">
        <v>59</v>
      </c>
      <c r="S24" t="n">
        <v>38</v>
      </c>
      <c r="T24" t="n">
        <v>49</v>
      </c>
      <c r="U24" t="n">
        <v>56</v>
      </c>
      <c r="V24" t="n">
        <v>63</v>
      </c>
      <c r="W24" t="n">
        <v>98</v>
      </c>
      <c r="X24" t="n">
        <v>74</v>
      </c>
      <c r="Y24" t="n">
        <v>68</v>
      </c>
      <c r="Z24" t="n">
        <v>73</v>
      </c>
      <c r="AA24" t="n">
        <v>68</v>
      </c>
      <c r="AB24" t="n">
        <v>50</v>
      </c>
      <c r="AC24" t="n">
        <v>76</v>
      </c>
      <c r="AD24" t="n">
        <v>71</v>
      </c>
      <c r="AE24" t="n">
        <v>65</v>
      </c>
      <c r="AF24" t="n">
        <v>114</v>
      </c>
    </row>
    <row r="25">
      <c r="A25" t="s">
        <v>42</v>
      </c>
      <c r="B25" t="s">
        <v>320</v>
      </c>
      <c r="C25" t="s">
        <v>236</v>
      </c>
      <c r="D25" t="s">
        <v>321</v>
      </c>
      <c r="E25" t="s">
        <v>237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</v>
      </c>
      <c r="T25" t="n">
        <v>0</v>
      </c>
      <c r="U25" t="n">
        <v>0</v>
      </c>
      <c r="V25" t="n">
        <v>0</v>
      </c>
      <c r="W25" t="n">
        <v>1</v>
      </c>
      <c r="X25" t="n">
        <v>2</v>
      </c>
      <c r="Y25" t="n">
        <v>4</v>
      </c>
      <c r="Z25" t="n">
        <v>6</v>
      </c>
      <c r="AA25" t="n">
        <v>5</v>
      </c>
      <c r="AB25" t="n">
        <v>1</v>
      </c>
      <c r="AC25" t="n">
        <v>1</v>
      </c>
      <c r="AD25" t="n">
        <v>4</v>
      </c>
      <c r="AE25" t="n">
        <v>2</v>
      </c>
      <c r="AF25" t="n">
        <v>3</v>
      </c>
    </row>
    <row r="26">
      <c r="A26" t="s">
        <v>42</v>
      </c>
      <c r="B26" t="s">
        <v>322</v>
      </c>
      <c r="C26" t="s">
        <v>236</v>
      </c>
      <c r="D26" t="s">
        <v>323</v>
      </c>
      <c r="E26" t="s">
        <v>237</v>
      </c>
      <c r="F26" t="n">
        <v>44</v>
      </c>
      <c r="G26" t="n">
        <v>55</v>
      </c>
      <c r="H26" t="n">
        <v>66</v>
      </c>
      <c r="I26" t="n">
        <v>82</v>
      </c>
      <c r="J26" t="n">
        <v>92</v>
      </c>
      <c r="K26" t="n">
        <v>116</v>
      </c>
      <c r="L26" t="n">
        <v>119</v>
      </c>
      <c r="M26" t="n">
        <v>6</v>
      </c>
      <c r="N26" t="n">
        <v>6</v>
      </c>
      <c r="O26" t="n">
        <v>3</v>
      </c>
      <c r="P26" t="n">
        <v>5</v>
      </c>
      <c r="Q26" t="n">
        <v>1</v>
      </c>
      <c r="R26" t="n">
        <v>59</v>
      </c>
      <c r="S26" t="n">
        <v>34</v>
      </c>
      <c r="T26" t="n">
        <v>49</v>
      </c>
      <c r="U26" t="n">
        <v>52</v>
      </c>
      <c r="V26" t="n">
        <v>58</v>
      </c>
      <c r="W26" t="n">
        <v>95</v>
      </c>
      <c r="X26" t="n">
        <v>71</v>
      </c>
      <c r="Y26" t="n">
        <v>62</v>
      </c>
      <c r="Z26" t="n">
        <v>67</v>
      </c>
      <c r="AA26" t="n">
        <v>60</v>
      </c>
      <c r="AB26" t="n">
        <v>49</v>
      </c>
      <c r="AC26" t="n">
        <v>75</v>
      </c>
      <c r="AD26" t="n">
        <v>67</v>
      </c>
      <c r="AE26" t="n">
        <v>62</v>
      </c>
      <c r="AF26" t="n">
        <v>110</v>
      </c>
    </row>
    <row r="27">
      <c r="A27" t="s">
        <v>42</v>
      </c>
      <c r="B27" t="s">
        <v>324</v>
      </c>
      <c r="C27" t="s">
        <v>236</v>
      </c>
      <c r="D27" t="s">
        <v>325</v>
      </c>
      <c r="E27" t="s">
        <v>237</v>
      </c>
      <c r="F27" t="n">
        <v>0</v>
      </c>
      <c r="G27" t="n">
        <v>0</v>
      </c>
      <c r="H27" t="n">
        <v>0</v>
      </c>
      <c r="I27" t="n">
        <v>1</v>
      </c>
      <c r="J27" t="n">
        <v>1</v>
      </c>
      <c r="K27" t="n">
        <v>2</v>
      </c>
      <c r="L27" t="n">
        <v>3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</v>
      </c>
      <c r="V27" t="n">
        <v>5</v>
      </c>
      <c r="W27" t="n">
        <v>2</v>
      </c>
      <c r="X27" t="n">
        <v>1</v>
      </c>
      <c r="Y27" t="n">
        <v>2</v>
      </c>
      <c r="Z27" t="n">
        <v>0</v>
      </c>
      <c r="AA27" t="n">
        <v>3</v>
      </c>
      <c r="AB27" t="n">
        <v>0</v>
      </c>
      <c r="AC27" t="n">
        <v>0</v>
      </c>
      <c r="AD27" t="n">
        <v>0</v>
      </c>
      <c r="AE27" t="n">
        <v>1</v>
      </c>
      <c r="AF27" t="n">
        <v>1</v>
      </c>
    </row>
    <row r="28">
      <c r="A28" t="s">
        <v>42</v>
      </c>
      <c r="B28" t="s">
        <v>326</v>
      </c>
      <c r="C28" t="s">
        <v>236</v>
      </c>
      <c r="D28" t="s">
        <v>327</v>
      </c>
      <c r="E28" t="s">
        <v>237</v>
      </c>
      <c r="F28" t="n">
        <v>9</v>
      </c>
      <c r="G28" t="n">
        <v>10</v>
      </c>
      <c r="H28" t="n">
        <v>11</v>
      </c>
      <c r="I28" t="n">
        <v>9</v>
      </c>
      <c r="J28" t="n">
        <v>16</v>
      </c>
      <c r="K28" t="n">
        <v>17</v>
      </c>
      <c r="L28" t="n">
        <v>29</v>
      </c>
      <c r="M28" t="n">
        <v>19</v>
      </c>
      <c r="N28" t="n">
        <v>23</v>
      </c>
      <c r="O28" t="n">
        <v>22</v>
      </c>
      <c r="P28" t="n">
        <v>24</v>
      </c>
      <c r="Q28" t="n">
        <v>28</v>
      </c>
      <c r="R28" t="n">
        <v>22</v>
      </c>
      <c r="S28" t="n">
        <v>19</v>
      </c>
      <c r="T28" t="n">
        <v>16</v>
      </c>
      <c r="U28" t="n">
        <v>10</v>
      </c>
      <c r="V28" t="n">
        <v>15</v>
      </c>
      <c r="W28" t="n">
        <v>12</v>
      </c>
      <c r="X28" t="n">
        <v>13</v>
      </c>
      <c r="Y28" t="n">
        <v>15</v>
      </c>
      <c r="Z28" t="n">
        <v>14</v>
      </c>
      <c r="AA28" t="n">
        <v>14</v>
      </c>
      <c r="AB28" t="n">
        <v>12</v>
      </c>
      <c r="AC28" t="n">
        <v>10</v>
      </c>
      <c r="AD28" t="n">
        <v>12</v>
      </c>
      <c r="AE28" t="n">
        <v>15</v>
      </c>
      <c r="AF28" t="n">
        <v>30</v>
      </c>
    </row>
    <row r="29">
      <c r="A29" t="s">
        <v>42</v>
      </c>
      <c r="B29" t="s">
        <v>328</v>
      </c>
      <c r="C29" t="s">
        <v>236</v>
      </c>
      <c r="D29" t="s">
        <v>329</v>
      </c>
      <c r="E29" t="s">
        <v>237</v>
      </c>
      <c r="F29" t="n">
        <v>4</v>
      </c>
      <c r="G29" t="n">
        <v>4</v>
      </c>
      <c r="H29" t="n">
        <v>4</v>
      </c>
      <c r="I29" t="n">
        <v>3</v>
      </c>
      <c r="J29" t="n">
        <v>7</v>
      </c>
      <c r="K29" t="n">
        <v>6</v>
      </c>
      <c r="L29" t="n">
        <v>10</v>
      </c>
      <c r="M29" t="n">
        <v>2</v>
      </c>
      <c r="N29" t="n">
        <v>4</v>
      </c>
      <c r="O29" t="n">
        <v>4</v>
      </c>
      <c r="P29" t="n">
        <v>2</v>
      </c>
      <c r="Q29" t="n">
        <v>2</v>
      </c>
      <c r="R29" t="n">
        <v>1</v>
      </c>
      <c r="S29" t="n">
        <v>0</v>
      </c>
      <c r="T29" t="n">
        <v>0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2</v>
      </c>
      <c r="AA29" t="n">
        <v>1</v>
      </c>
      <c r="AB29" t="n">
        <v>0</v>
      </c>
      <c r="AC29" t="n">
        <v>2</v>
      </c>
      <c r="AD29" t="n">
        <v>3</v>
      </c>
      <c r="AE29" t="n">
        <v>1</v>
      </c>
      <c r="AF29" t="n">
        <v>1</v>
      </c>
    </row>
    <row r="30">
      <c r="A30" t="s">
        <v>42</v>
      </c>
      <c r="B30" t="s">
        <v>330</v>
      </c>
      <c r="C30" t="s">
        <v>236</v>
      </c>
      <c r="D30" t="s">
        <v>331</v>
      </c>
      <c r="E30" t="s">
        <v>237</v>
      </c>
      <c r="F30" t="n">
        <v>0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2</v>
      </c>
      <c r="M30" t="n">
        <v>1</v>
      </c>
      <c r="N30" t="n">
        <v>1</v>
      </c>
      <c r="O30" t="n">
        <v>1</v>
      </c>
      <c r="P30" t="n">
        <v>1</v>
      </c>
      <c r="Q30" t="n">
        <v>0</v>
      </c>
      <c r="R30" t="n">
        <v>1</v>
      </c>
      <c r="S30" t="n">
        <v>1</v>
      </c>
      <c r="T30" t="n">
        <v>0</v>
      </c>
      <c r="U30" t="n">
        <v>0</v>
      </c>
      <c r="V30" t="n">
        <v>1</v>
      </c>
      <c r="W30" t="n">
        <v>0</v>
      </c>
      <c r="X30" t="n">
        <v>0</v>
      </c>
      <c r="Y30" t="n">
        <v>1</v>
      </c>
      <c r="Z30" t="n">
        <v>0</v>
      </c>
      <c r="AA30" t="n">
        <v>1</v>
      </c>
      <c r="AB30" t="n">
        <v>0</v>
      </c>
      <c r="AC30" t="n">
        <v>0</v>
      </c>
      <c r="AD30" t="n">
        <v>1</v>
      </c>
      <c r="AE30" t="n">
        <v>1</v>
      </c>
      <c r="AF30" t="n">
        <v>2</v>
      </c>
    </row>
    <row r="31">
      <c r="A31" t="s">
        <v>42</v>
      </c>
      <c r="B31" t="s">
        <v>332</v>
      </c>
      <c r="C31" t="s">
        <v>236</v>
      </c>
      <c r="D31" t="s">
        <v>333</v>
      </c>
      <c r="E31" t="s">
        <v>237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42</v>
      </c>
      <c r="B32" t="s">
        <v>334</v>
      </c>
      <c r="C32" t="s">
        <v>236</v>
      </c>
      <c r="D32" t="s">
        <v>335</v>
      </c>
      <c r="E32" t="s">
        <v>237</v>
      </c>
      <c r="F32" t="n">
        <v>0</v>
      </c>
      <c r="G32" t="n">
        <v>0</v>
      </c>
      <c r="H32" t="n">
        <v>0</v>
      </c>
      <c r="I32" t="n">
        <v>0</v>
      </c>
      <c r="J32" t="n">
        <v>3</v>
      </c>
      <c r="K32" t="n">
        <v>0</v>
      </c>
      <c r="L32" t="n">
        <v>0</v>
      </c>
      <c r="M32" t="n">
        <v>1</v>
      </c>
      <c r="N32" t="n">
        <v>1</v>
      </c>
      <c r="O32" t="n">
        <v>2</v>
      </c>
      <c r="P32" t="n">
        <v>3</v>
      </c>
      <c r="Q32" t="n">
        <v>2</v>
      </c>
      <c r="R32" t="n">
        <v>0</v>
      </c>
      <c r="S32" t="n">
        <v>1</v>
      </c>
      <c r="T32" t="n">
        <v>1</v>
      </c>
      <c r="U32" t="n">
        <v>1</v>
      </c>
      <c r="V32" t="n">
        <v>2</v>
      </c>
      <c r="W32" t="n">
        <v>1</v>
      </c>
      <c r="X32" t="n">
        <v>2</v>
      </c>
      <c r="Y32" t="n">
        <v>2</v>
      </c>
      <c r="Z32" t="n">
        <v>1</v>
      </c>
      <c r="AA32" t="n">
        <v>0</v>
      </c>
      <c r="AB32" t="n">
        <v>3</v>
      </c>
      <c r="AC32" t="n">
        <v>2</v>
      </c>
      <c r="AD32" t="n">
        <v>3</v>
      </c>
      <c r="AE32" t="n">
        <v>6</v>
      </c>
      <c r="AF32" t="n">
        <v>8</v>
      </c>
    </row>
    <row r="33">
      <c r="A33" t="s">
        <v>42</v>
      </c>
      <c r="B33" t="s">
        <v>336</v>
      </c>
      <c r="C33" t="s">
        <v>236</v>
      </c>
      <c r="D33" t="s">
        <v>337</v>
      </c>
      <c r="E33" t="s">
        <v>237</v>
      </c>
      <c r="F33" t="n">
        <v>5</v>
      </c>
      <c r="G33" t="n">
        <v>5</v>
      </c>
      <c r="H33" t="n">
        <v>6</v>
      </c>
      <c r="I33" t="n">
        <v>5</v>
      </c>
      <c r="J33" t="n">
        <v>5</v>
      </c>
      <c r="K33" t="n">
        <v>10</v>
      </c>
      <c r="L33" t="n">
        <v>17</v>
      </c>
      <c r="M33" t="n">
        <v>15</v>
      </c>
      <c r="N33" t="n">
        <v>17</v>
      </c>
      <c r="O33" t="n">
        <v>15</v>
      </c>
      <c r="P33" t="n">
        <v>18</v>
      </c>
      <c r="Q33" t="n">
        <v>24</v>
      </c>
      <c r="R33" t="n">
        <v>20</v>
      </c>
      <c r="S33" t="n">
        <v>17</v>
      </c>
      <c r="T33" t="n">
        <v>15</v>
      </c>
      <c r="U33" t="n">
        <v>8</v>
      </c>
      <c r="V33" t="n">
        <v>11</v>
      </c>
      <c r="W33" t="n">
        <v>10</v>
      </c>
      <c r="X33" t="n">
        <v>10</v>
      </c>
      <c r="Y33" t="n">
        <v>11</v>
      </c>
      <c r="Z33" t="n">
        <v>11</v>
      </c>
      <c r="AA33" t="n">
        <v>12</v>
      </c>
      <c r="AB33" t="n">
        <v>9</v>
      </c>
      <c r="AC33" t="n">
        <v>6</v>
      </c>
      <c r="AD33" t="n">
        <v>5</v>
      </c>
      <c r="AE33" t="n">
        <v>7</v>
      </c>
      <c r="AF33" t="n">
        <v>19</v>
      </c>
    </row>
    <row r="34">
      <c r="A34" t="s">
        <v>42</v>
      </c>
      <c r="B34" t="s">
        <v>338</v>
      </c>
      <c r="C34" t="s">
        <v>236</v>
      </c>
      <c r="D34" t="s">
        <v>339</v>
      </c>
      <c r="E34" t="s">
        <v>237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</v>
      </c>
      <c r="W34" t="n">
        <v>1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</v>
      </c>
      <c r="AD34" t="n">
        <v>0</v>
      </c>
      <c r="AE34" t="n">
        <v>2</v>
      </c>
      <c r="AF34" t="n">
        <v>4</v>
      </c>
    </row>
    <row r="35">
      <c r="A35" t="s">
        <v>42</v>
      </c>
      <c r="B35" t="s">
        <v>340</v>
      </c>
      <c r="C35" t="s">
        <v>236</v>
      </c>
      <c r="D35" t="s">
        <v>341</v>
      </c>
      <c r="E35" t="s">
        <v>237</v>
      </c>
      <c r="F35" t="n">
        <v>43</v>
      </c>
      <c r="G35" t="n">
        <v>50</v>
      </c>
      <c r="H35" t="n">
        <v>61</v>
      </c>
      <c r="I35" t="n">
        <v>82</v>
      </c>
      <c r="J35" t="n">
        <v>136</v>
      </c>
      <c r="K35" t="n">
        <v>139</v>
      </c>
      <c r="L35" t="n">
        <v>127</v>
      </c>
      <c r="M35" t="n">
        <v>251</v>
      </c>
      <c r="N35" t="n">
        <v>244</v>
      </c>
      <c r="O35" t="n">
        <v>198</v>
      </c>
      <c r="P35" t="n">
        <v>237</v>
      </c>
      <c r="Q35" t="n">
        <v>157</v>
      </c>
      <c r="R35" t="n">
        <v>340</v>
      </c>
      <c r="S35" t="n">
        <v>268</v>
      </c>
      <c r="T35" t="n">
        <v>224</v>
      </c>
      <c r="U35" t="n">
        <v>259</v>
      </c>
      <c r="V35" t="n">
        <v>268</v>
      </c>
      <c r="W35" t="n">
        <v>331</v>
      </c>
      <c r="X35" t="n">
        <v>430</v>
      </c>
      <c r="Y35" t="n">
        <v>372</v>
      </c>
      <c r="Z35" t="n">
        <v>286</v>
      </c>
      <c r="AA35" t="n">
        <v>283</v>
      </c>
      <c r="AB35" t="n">
        <v>383</v>
      </c>
      <c r="AC35" t="n">
        <v>290</v>
      </c>
      <c r="AD35" t="n">
        <v>265</v>
      </c>
      <c r="AE35" t="n">
        <v>324</v>
      </c>
      <c r="AF35" t="n">
        <v>461</v>
      </c>
    </row>
    <row r="36">
      <c r="A36" t="s">
        <v>42</v>
      </c>
      <c r="B36" t="s">
        <v>342</v>
      </c>
      <c r="C36" t="s">
        <v>236</v>
      </c>
      <c r="D36" t="s">
        <v>343</v>
      </c>
      <c r="E36" t="s">
        <v>237</v>
      </c>
      <c r="F36" t="n">
        <v>4</v>
      </c>
      <c r="G36" t="n">
        <v>4</v>
      </c>
      <c r="H36" t="n">
        <v>5</v>
      </c>
      <c r="I36" t="n">
        <v>5</v>
      </c>
      <c r="J36" t="n">
        <v>5</v>
      </c>
      <c r="K36" t="n">
        <v>3</v>
      </c>
      <c r="L36" t="n">
        <v>5</v>
      </c>
      <c r="M36" t="n">
        <v>6</v>
      </c>
      <c r="N36" t="n">
        <v>7</v>
      </c>
      <c r="O36" t="n">
        <v>5</v>
      </c>
      <c r="P36" t="n">
        <v>4</v>
      </c>
      <c r="Q36" t="n">
        <v>5</v>
      </c>
      <c r="R36" t="n">
        <v>7</v>
      </c>
      <c r="S36" t="n">
        <v>13</v>
      </c>
      <c r="T36" t="n">
        <v>10</v>
      </c>
      <c r="U36" t="n">
        <v>54</v>
      </c>
      <c r="V36" t="n">
        <v>59</v>
      </c>
      <c r="W36" t="n">
        <v>57</v>
      </c>
      <c r="X36" t="n">
        <v>68</v>
      </c>
      <c r="Y36" t="n">
        <v>81</v>
      </c>
      <c r="Z36" t="n">
        <v>75</v>
      </c>
      <c r="AA36" t="n">
        <v>51</v>
      </c>
      <c r="AB36" t="n">
        <v>107</v>
      </c>
      <c r="AC36" t="n">
        <v>127</v>
      </c>
      <c r="AD36" t="n">
        <v>146</v>
      </c>
      <c r="AE36" t="n">
        <v>133</v>
      </c>
      <c r="AF36" t="n">
        <v>205</v>
      </c>
    </row>
    <row r="37">
      <c r="A37" t="s">
        <v>42</v>
      </c>
      <c r="B37" t="s">
        <v>344</v>
      </c>
      <c r="C37" t="s">
        <v>236</v>
      </c>
      <c r="D37" t="s">
        <v>345</v>
      </c>
      <c r="E37" t="s">
        <v>237</v>
      </c>
      <c r="F37" t="n">
        <v>33</v>
      </c>
      <c r="G37" t="n">
        <v>41</v>
      </c>
      <c r="H37" t="n">
        <v>51</v>
      </c>
      <c r="I37" t="n">
        <v>67</v>
      </c>
      <c r="J37" t="n">
        <v>93</v>
      </c>
      <c r="K37" t="n">
        <v>88</v>
      </c>
      <c r="L37" t="n">
        <v>69</v>
      </c>
      <c r="M37" t="n">
        <v>100</v>
      </c>
      <c r="N37" t="n">
        <v>64</v>
      </c>
      <c r="O37" t="n">
        <v>79</v>
      </c>
      <c r="P37" t="n">
        <v>76</v>
      </c>
      <c r="Q37" t="n">
        <v>65</v>
      </c>
      <c r="R37" t="n">
        <v>56</v>
      </c>
      <c r="S37" t="n">
        <v>58</v>
      </c>
      <c r="T37" t="n">
        <v>44</v>
      </c>
      <c r="U37" t="n">
        <v>44</v>
      </c>
      <c r="V37" t="n">
        <v>42</v>
      </c>
      <c r="W37" t="n">
        <v>28</v>
      </c>
      <c r="X37" t="n">
        <v>42</v>
      </c>
      <c r="Y37" t="n">
        <v>41</v>
      </c>
      <c r="Z37" t="n">
        <v>36</v>
      </c>
      <c r="AA37" t="n">
        <v>34</v>
      </c>
      <c r="AB37" t="n">
        <v>32</v>
      </c>
      <c r="AC37" t="n">
        <v>28</v>
      </c>
      <c r="AD37" t="n">
        <v>34</v>
      </c>
      <c r="AE37" t="n">
        <v>28</v>
      </c>
      <c r="AF37" t="n">
        <v>47</v>
      </c>
    </row>
    <row r="38">
      <c r="A38" t="s">
        <v>42</v>
      </c>
      <c r="B38" t="s">
        <v>346</v>
      </c>
      <c r="C38" t="s">
        <v>236</v>
      </c>
      <c r="D38" t="s">
        <v>347</v>
      </c>
      <c r="E38" t="s">
        <v>237</v>
      </c>
      <c r="F38" t="n">
        <v>6</v>
      </c>
      <c r="G38" t="n">
        <v>5</v>
      </c>
      <c r="H38" t="n">
        <v>5</v>
      </c>
      <c r="I38" t="n">
        <v>10</v>
      </c>
      <c r="J38" t="n">
        <v>38</v>
      </c>
      <c r="K38" t="n">
        <v>48</v>
      </c>
      <c r="L38" t="n">
        <v>53</v>
      </c>
      <c r="M38" t="n">
        <v>145</v>
      </c>
      <c r="N38" t="n">
        <v>173</v>
      </c>
      <c r="O38" t="n">
        <v>114</v>
      </c>
      <c r="P38" t="n">
        <v>157</v>
      </c>
      <c r="Q38" t="n">
        <v>87</v>
      </c>
      <c r="R38" t="n">
        <v>277</v>
      </c>
      <c r="S38" t="n">
        <v>197</v>
      </c>
      <c r="T38" t="n">
        <v>170</v>
      </c>
      <c r="U38" t="n">
        <v>161</v>
      </c>
      <c r="V38" t="n">
        <v>167</v>
      </c>
      <c r="W38" t="n">
        <v>246</v>
      </c>
      <c r="X38" t="n">
        <v>320</v>
      </c>
      <c r="Y38" t="n">
        <v>250</v>
      </c>
      <c r="Z38" t="n">
        <v>175</v>
      </c>
      <c r="AA38" t="n">
        <v>198</v>
      </c>
      <c r="AB38" t="n">
        <v>244</v>
      </c>
      <c r="AC38" t="n">
        <v>135</v>
      </c>
      <c r="AD38" t="n">
        <v>85</v>
      </c>
      <c r="AE38" t="n">
        <v>163</v>
      </c>
      <c r="AF38" t="n">
        <v>209</v>
      </c>
    </row>
    <row r="39">
      <c r="A39" t="s">
        <v>42</v>
      </c>
      <c r="B39" t="s">
        <v>348</v>
      </c>
      <c r="C39" t="s">
        <v>236</v>
      </c>
      <c r="D39" t="s">
        <v>349</v>
      </c>
      <c r="E39" t="s">
        <v>237</v>
      </c>
      <c r="F39" t="n">
        <v>0</v>
      </c>
      <c r="G39" t="n">
        <v>8</v>
      </c>
      <c r="H39" t="n">
        <v>16</v>
      </c>
      <c r="I39" t="n">
        <v>4</v>
      </c>
      <c r="J39" t="n">
        <v>4</v>
      </c>
      <c r="K39" t="n">
        <v>9</v>
      </c>
      <c r="L39" t="n">
        <v>51</v>
      </c>
      <c r="M39" t="n">
        <v>1</v>
      </c>
      <c r="N39" t="n">
        <v>0</v>
      </c>
      <c r="O39" t="n">
        <v>0</v>
      </c>
      <c r="P39" t="n">
        <v>0</v>
      </c>
      <c r="Q39" t="n">
        <v>1</v>
      </c>
      <c r="R39" t="n">
        <v>34</v>
      </c>
      <c r="S39" t="n">
        <v>76</v>
      </c>
      <c r="T39" t="n">
        <v>68</v>
      </c>
      <c r="U39" t="n">
        <v>73</v>
      </c>
      <c r="V39" t="n">
        <v>75</v>
      </c>
      <c r="W39" t="n">
        <v>90</v>
      </c>
      <c r="X39" t="n">
        <v>67</v>
      </c>
      <c r="Y39" t="n">
        <v>78</v>
      </c>
      <c r="Z39" t="n">
        <v>88</v>
      </c>
      <c r="AA39" t="n">
        <v>79</v>
      </c>
      <c r="AB39" t="n">
        <v>109</v>
      </c>
      <c r="AC39" t="n">
        <v>104</v>
      </c>
      <c r="AD39" t="n">
        <v>97</v>
      </c>
      <c r="AE39" t="n">
        <v>93</v>
      </c>
      <c r="AF39" t="n">
        <v>91</v>
      </c>
    </row>
    <row r="40">
      <c r="A40" t="s">
        <v>42</v>
      </c>
      <c r="B40" t="s">
        <v>350</v>
      </c>
      <c r="C40" t="s">
        <v>236</v>
      </c>
      <c r="D40" t="s">
        <v>351</v>
      </c>
      <c r="E40" t="s">
        <v>237</v>
      </c>
      <c r="F40" t="n">
        <v>2</v>
      </c>
      <c r="G40" t="n">
        <v>3</v>
      </c>
      <c r="H40" t="n">
        <v>3</v>
      </c>
      <c r="I40" t="n">
        <v>1</v>
      </c>
      <c r="J40" t="n">
        <v>2</v>
      </c>
      <c r="K40" t="n">
        <v>2</v>
      </c>
      <c r="L40" t="n">
        <v>2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</v>
      </c>
      <c r="V40" t="n">
        <v>3</v>
      </c>
      <c r="W40" t="n">
        <v>3</v>
      </c>
      <c r="X40" t="n">
        <v>2</v>
      </c>
      <c r="Y40" t="n">
        <v>3</v>
      </c>
      <c r="Z40" t="n">
        <v>5</v>
      </c>
      <c r="AA40" t="n">
        <v>4</v>
      </c>
      <c r="AB40" t="n">
        <v>4</v>
      </c>
      <c r="AC40" t="n">
        <v>4</v>
      </c>
      <c r="AD40" t="n">
        <v>4</v>
      </c>
      <c r="AE40" t="n">
        <v>4</v>
      </c>
      <c r="AF40" t="n">
        <v>3</v>
      </c>
    </row>
    <row r="41">
      <c r="A41" t="s">
        <v>42</v>
      </c>
      <c r="B41" t="s">
        <v>352</v>
      </c>
      <c r="C41" t="s">
        <v>236</v>
      </c>
      <c r="D41" t="s">
        <v>353</v>
      </c>
      <c r="E41" t="s">
        <v>237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/>
      <c r="AD41"/>
      <c r="AE41"/>
      <c r="AF41"/>
    </row>
    <row r="42">
      <c r="A42" t="s">
        <v>42</v>
      </c>
      <c r="B42" t="s">
        <v>354</v>
      </c>
      <c r="C42" t="s">
        <v>236</v>
      </c>
      <c r="D42" t="s">
        <v>355</v>
      </c>
      <c r="E42" t="s">
        <v>237</v>
      </c>
      <c r="F42" t="n">
        <v>377</v>
      </c>
      <c r="G42" t="n">
        <v>410</v>
      </c>
      <c r="H42" t="n">
        <v>447</v>
      </c>
      <c r="I42" t="n">
        <v>466</v>
      </c>
      <c r="J42" t="n">
        <v>525</v>
      </c>
      <c r="K42" t="n">
        <v>549</v>
      </c>
      <c r="L42" t="n">
        <v>584</v>
      </c>
      <c r="M42" t="n">
        <v>704</v>
      </c>
      <c r="N42" t="n">
        <v>631</v>
      </c>
      <c r="O42" t="n">
        <v>670</v>
      </c>
      <c r="P42" t="n">
        <v>680</v>
      </c>
      <c r="Q42" t="n">
        <v>746</v>
      </c>
      <c r="R42" t="n">
        <v>695</v>
      </c>
      <c r="S42" t="n">
        <v>696</v>
      </c>
      <c r="T42" t="n">
        <v>762</v>
      </c>
      <c r="U42" t="n">
        <v>792</v>
      </c>
      <c r="V42" t="n">
        <v>749</v>
      </c>
      <c r="W42" t="n">
        <v>805</v>
      </c>
      <c r="X42" t="n">
        <v>800</v>
      </c>
      <c r="Y42" t="n">
        <v>737</v>
      </c>
      <c r="Z42" t="n">
        <v>745</v>
      </c>
      <c r="AA42" t="n">
        <v>704</v>
      </c>
      <c r="AB42" t="n">
        <v>670</v>
      </c>
      <c r="AC42" t="n">
        <v>788</v>
      </c>
      <c r="AD42" t="n">
        <v>820</v>
      </c>
      <c r="AE42" t="n">
        <v>808</v>
      </c>
      <c r="AF42" t="n">
        <v>908</v>
      </c>
    </row>
    <row r="43">
      <c r="A43" t="s">
        <v>42</v>
      </c>
      <c r="B43" t="s">
        <v>356</v>
      </c>
      <c r="C43" t="s">
        <v>236</v>
      </c>
      <c r="D43" t="s">
        <v>357</v>
      </c>
      <c r="E43" t="s">
        <v>237</v>
      </c>
      <c r="F43" t="n">
        <v>378</v>
      </c>
      <c r="G43" t="n">
        <v>412</v>
      </c>
      <c r="H43" t="n">
        <v>450</v>
      </c>
      <c r="I43" t="n">
        <v>469</v>
      </c>
      <c r="J43" t="n">
        <v>528</v>
      </c>
      <c r="K43" t="n">
        <v>550</v>
      </c>
      <c r="L43" t="n">
        <v>585</v>
      </c>
      <c r="M43" t="n">
        <v>710</v>
      </c>
      <c r="N43" t="n">
        <v>636</v>
      </c>
      <c r="O43" t="n">
        <v>678</v>
      </c>
      <c r="P43" t="n">
        <v>690</v>
      </c>
      <c r="Q43" t="n">
        <v>756</v>
      </c>
      <c r="R43" t="n">
        <v>703</v>
      </c>
      <c r="S43" t="n">
        <v>696</v>
      </c>
      <c r="T43" t="n">
        <v>762</v>
      </c>
      <c r="U43" t="n">
        <v>795</v>
      </c>
      <c r="V43" t="n">
        <v>753</v>
      </c>
      <c r="W43" t="n">
        <v>810</v>
      </c>
      <c r="X43" t="n">
        <v>803</v>
      </c>
      <c r="Y43" t="n">
        <v>745</v>
      </c>
      <c r="Z43" t="n">
        <v>752</v>
      </c>
      <c r="AA43" t="n">
        <v>719</v>
      </c>
      <c r="AB43" t="n">
        <v>677</v>
      </c>
      <c r="AC43" t="n">
        <v>797</v>
      </c>
      <c r="AD43" t="n">
        <v>823</v>
      </c>
      <c r="AE43" t="n">
        <v>829</v>
      </c>
      <c r="AF43" t="n">
        <v>919</v>
      </c>
    </row>
    <row r="44">
      <c r="A44" t="s">
        <v>42</v>
      </c>
      <c r="B44" t="s">
        <v>358</v>
      </c>
      <c r="C44" t="s">
        <v>236</v>
      </c>
      <c r="D44" t="s">
        <v>359</v>
      </c>
      <c r="E44" t="s">
        <v>237</v>
      </c>
      <c r="F44" t="n">
        <v>1594</v>
      </c>
      <c r="G44" t="n">
        <v>1866</v>
      </c>
      <c r="H44" t="n">
        <v>2156</v>
      </c>
      <c r="I44" t="n">
        <v>2503</v>
      </c>
      <c r="J44" t="n">
        <v>3113</v>
      </c>
      <c r="K44" t="n">
        <v>3506</v>
      </c>
      <c r="L44" t="n">
        <v>3667</v>
      </c>
      <c r="M44" t="n">
        <v>3797</v>
      </c>
      <c r="N44" t="n">
        <v>4013</v>
      </c>
      <c r="O44" t="n">
        <v>4234</v>
      </c>
      <c r="P44" t="n">
        <v>4388</v>
      </c>
      <c r="Q44" t="n">
        <v>4605</v>
      </c>
      <c r="R44" t="n">
        <v>5082</v>
      </c>
      <c r="S44" t="n">
        <v>5558</v>
      </c>
      <c r="T44" t="n">
        <v>5366</v>
      </c>
      <c r="U44" t="n">
        <v>5564</v>
      </c>
      <c r="V44" t="n">
        <v>5283</v>
      </c>
      <c r="W44" t="n">
        <v>4850</v>
      </c>
      <c r="X44" t="n">
        <v>4791</v>
      </c>
      <c r="Y44" t="n">
        <v>4568</v>
      </c>
      <c r="Z44" t="n">
        <v>4266</v>
      </c>
      <c r="AA44" t="n">
        <v>3977</v>
      </c>
      <c r="AB44" t="n">
        <v>3878</v>
      </c>
      <c r="AC44" t="n">
        <v>4463</v>
      </c>
      <c r="AD44" t="n">
        <v>4948</v>
      </c>
      <c r="AE44" t="n">
        <v>4917</v>
      </c>
      <c r="AF44" t="n">
        <v>5530</v>
      </c>
    </row>
    <row r="45">
      <c r="A45" t="s">
        <v>42</v>
      </c>
      <c r="B45" t="s">
        <v>360</v>
      </c>
      <c r="C45" t="s">
        <v>236</v>
      </c>
      <c r="D45" t="s">
        <v>361</v>
      </c>
      <c r="E45" t="s">
        <v>237</v>
      </c>
      <c r="F45" t="n">
        <v>1591</v>
      </c>
      <c r="G45" t="n">
        <v>1865</v>
      </c>
      <c r="H45" t="n">
        <v>2156</v>
      </c>
      <c r="I45" t="n">
        <v>2500</v>
      </c>
      <c r="J45" t="n">
        <v>3110</v>
      </c>
      <c r="K45" t="n">
        <v>3504</v>
      </c>
      <c r="L45" t="n">
        <v>3667</v>
      </c>
      <c r="M45" t="n">
        <v>3796</v>
      </c>
      <c r="N45" t="n">
        <v>4013</v>
      </c>
      <c r="O45" t="n">
        <v>4233</v>
      </c>
      <c r="P45" t="n">
        <v>4388</v>
      </c>
      <c r="Q45" t="n">
        <v>4605</v>
      </c>
      <c r="R45" t="n">
        <v>5082</v>
      </c>
      <c r="S45" t="n">
        <v>5558</v>
      </c>
      <c r="T45" t="n">
        <v>5365</v>
      </c>
      <c r="U45" t="n">
        <v>5561</v>
      </c>
      <c r="V45" t="n">
        <v>5277</v>
      </c>
      <c r="W45" t="n">
        <v>4848</v>
      </c>
      <c r="X45" t="n">
        <v>4790</v>
      </c>
      <c r="Y45" t="n">
        <v>4566</v>
      </c>
      <c r="Z45" t="n">
        <v>4264</v>
      </c>
      <c r="AA45" t="n">
        <v>3975</v>
      </c>
      <c r="AB45" t="n">
        <v>3874</v>
      </c>
      <c r="AC45" t="n">
        <v>4449</v>
      </c>
      <c r="AD45" t="n">
        <v>4932</v>
      </c>
      <c r="AE45" t="n">
        <v>4903</v>
      </c>
      <c r="AF45" t="n">
        <v>5517</v>
      </c>
    </row>
    <row r="46">
      <c r="A46" t="s">
        <v>42</v>
      </c>
      <c r="B46" t="s">
        <v>362</v>
      </c>
      <c r="C46" t="s">
        <v>236</v>
      </c>
      <c r="D46" t="s">
        <v>363</v>
      </c>
      <c r="E46" t="s">
        <v>237</v>
      </c>
      <c r="F46" t="n">
        <v>1</v>
      </c>
      <c r="G46" t="n">
        <v>2</v>
      </c>
      <c r="H46" t="n">
        <v>3</v>
      </c>
      <c r="I46" t="n">
        <v>3</v>
      </c>
      <c r="J46" t="n">
        <v>3</v>
      </c>
      <c r="K46" t="n">
        <v>1</v>
      </c>
      <c r="L46" t="n">
        <v>1</v>
      </c>
      <c r="M46" t="n">
        <v>6</v>
      </c>
      <c r="N46" t="n">
        <v>5</v>
      </c>
      <c r="O46" t="n">
        <v>8</v>
      </c>
      <c r="P46" t="n">
        <v>10</v>
      </c>
      <c r="Q46" t="n">
        <v>10</v>
      </c>
      <c r="R46" t="n">
        <v>8</v>
      </c>
      <c r="S46" t="n">
        <v>0</v>
      </c>
      <c r="T46" t="n">
        <v>0</v>
      </c>
      <c r="U46" t="n">
        <v>3</v>
      </c>
      <c r="V46" t="n">
        <v>4</v>
      </c>
      <c r="W46" t="n">
        <v>5</v>
      </c>
      <c r="X46" t="n">
        <v>3</v>
      </c>
      <c r="Y46" t="n">
        <v>8</v>
      </c>
      <c r="Z46" t="n">
        <v>7</v>
      </c>
      <c r="AA46" t="n">
        <v>15</v>
      </c>
      <c r="AB46" t="n">
        <v>7</v>
      </c>
      <c r="AC46" t="n">
        <v>9</v>
      </c>
      <c r="AD46" t="n">
        <v>3</v>
      </c>
      <c r="AE46" t="n">
        <v>21</v>
      </c>
      <c r="AF46" t="n">
        <v>11</v>
      </c>
    </row>
    <row r="47">
      <c r="A47" t="s">
        <v>42</v>
      </c>
      <c r="B47" t="s">
        <v>364</v>
      </c>
      <c r="C47" t="s">
        <v>236</v>
      </c>
      <c r="D47" t="s">
        <v>365</v>
      </c>
      <c r="E47" t="s">
        <v>237</v>
      </c>
      <c r="F47" t="n">
        <v>28</v>
      </c>
      <c r="G47" t="n">
        <v>30</v>
      </c>
      <c r="H47" t="n">
        <v>32</v>
      </c>
      <c r="I47" t="n">
        <v>39</v>
      </c>
      <c r="J47" t="n">
        <v>48</v>
      </c>
      <c r="K47" t="n">
        <v>46</v>
      </c>
      <c r="L47" t="n">
        <v>41</v>
      </c>
      <c r="M47" t="n">
        <v>52</v>
      </c>
      <c r="N47" t="n">
        <v>49</v>
      </c>
      <c r="O47" t="n">
        <v>51</v>
      </c>
      <c r="P47" t="n">
        <v>50</v>
      </c>
      <c r="Q47" t="n">
        <v>65</v>
      </c>
      <c r="R47" t="n">
        <v>44</v>
      </c>
      <c r="S47" t="n">
        <v>42</v>
      </c>
      <c r="T47" t="n">
        <v>60</v>
      </c>
      <c r="U47" t="n">
        <v>54</v>
      </c>
      <c r="V47" t="n">
        <v>47</v>
      </c>
      <c r="W47" t="n">
        <v>74</v>
      </c>
      <c r="X47" t="n">
        <v>61</v>
      </c>
      <c r="Y47" t="n">
        <v>55</v>
      </c>
      <c r="Z47" t="n">
        <v>54</v>
      </c>
      <c r="AA47" t="n">
        <v>88</v>
      </c>
      <c r="AB47" t="n">
        <v>105</v>
      </c>
      <c r="AC47" t="n">
        <v>109</v>
      </c>
      <c r="AD47" t="n">
        <v>104</v>
      </c>
      <c r="AE47" t="n">
        <v>104</v>
      </c>
      <c r="AF47" t="n">
        <v>98</v>
      </c>
    </row>
    <row r="48">
      <c r="A48" t="s">
        <v>42</v>
      </c>
      <c r="B48" t="s">
        <v>366</v>
      </c>
      <c r="C48" t="s">
        <v>236</v>
      </c>
      <c r="D48" t="s">
        <v>367</v>
      </c>
      <c r="E48" t="s">
        <v>237</v>
      </c>
      <c r="F48" t="n">
        <v>426</v>
      </c>
      <c r="G48" t="n">
        <v>577</v>
      </c>
      <c r="H48" t="n">
        <v>733</v>
      </c>
      <c r="I48" t="n">
        <v>629</v>
      </c>
      <c r="J48" t="n">
        <v>746</v>
      </c>
      <c r="K48" t="n">
        <v>682</v>
      </c>
      <c r="L48" t="n">
        <v>772</v>
      </c>
      <c r="M48" t="n">
        <v>877</v>
      </c>
      <c r="N48" t="n">
        <v>920</v>
      </c>
      <c r="O48" t="n">
        <v>967</v>
      </c>
      <c r="P48" t="n">
        <v>980</v>
      </c>
      <c r="Q48" t="n">
        <v>1047</v>
      </c>
      <c r="R48" t="n">
        <v>1106</v>
      </c>
      <c r="S48" t="n">
        <v>1074</v>
      </c>
      <c r="T48" t="n">
        <v>1210</v>
      </c>
      <c r="U48" t="n">
        <v>1362</v>
      </c>
      <c r="V48" t="n">
        <v>1362</v>
      </c>
      <c r="W48" t="n">
        <v>1431</v>
      </c>
      <c r="X48" t="n">
        <v>1393</v>
      </c>
      <c r="Y48" t="n">
        <v>1450</v>
      </c>
      <c r="Z48" t="n">
        <v>1310</v>
      </c>
      <c r="AA48" t="n">
        <v>1468</v>
      </c>
      <c r="AB48" t="n">
        <v>1582</v>
      </c>
      <c r="AC48" t="n">
        <v>1653</v>
      </c>
      <c r="AD48" t="n">
        <v>1662</v>
      </c>
      <c r="AE48" t="n">
        <v>1704</v>
      </c>
      <c r="AF48" t="n">
        <v>1687</v>
      </c>
    </row>
    <row r="49">
      <c r="A49" t="s">
        <v>42</v>
      </c>
      <c r="B49" t="s">
        <v>368</v>
      </c>
      <c r="C49" t="s">
        <v>236</v>
      </c>
      <c r="D49" t="s">
        <v>369</v>
      </c>
      <c r="E49" t="s">
        <v>237</v>
      </c>
      <c r="F49" t="n">
        <v>396</v>
      </c>
      <c r="G49" t="n">
        <v>544</v>
      </c>
      <c r="H49" t="n">
        <v>698</v>
      </c>
      <c r="I49" t="n">
        <v>584</v>
      </c>
      <c r="J49" t="n">
        <v>692</v>
      </c>
      <c r="K49" t="n">
        <v>630</v>
      </c>
      <c r="L49" t="n">
        <v>725</v>
      </c>
      <c r="M49" t="n">
        <v>818</v>
      </c>
      <c r="N49" t="n">
        <v>865</v>
      </c>
      <c r="O49" t="n">
        <v>910</v>
      </c>
      <c r="P49" t="n">
        <v>924</v>
      </c>
      <c r="Q49" t="n">
        <v>975</v>
      </c>
      <c r="R49" t="n">
        <v>1053</v>
      </c>
      <c r="S49" t="n">
        <v>1024</v>
      </c>
      <c r="T49" t="n">
        <v>1141</v>
      </c>
      <c r="U49" t="n">
        <v>1295</v>
      </c>
      <c r="V49" t="n">
        <v>1303</v>
      </c>
      <c r="W49" t="n">
        <v>1342</v>
      </c>
      <c r="X49" t="n">
        <v>1318</v>
      </c>
      <c r="Y49" t="n">
        <v>1381</v>
      </c>
      <c r="Z49" t="n">
        <v>1246</v>
      </c>
      <c r="AA49" t="n">
        <v>1367</v>
      </c>
      <c r="AB49" t="n">
        <v>1463</v>
      </c>
      <c r="AC49" t="n">
        <v>1522</v>
      </c>
      <c r="AD49" t="n">
        <v>1535</v>
      </c>
      <c r="AE49" t="n">
        <v>1575</v>
      </c>
      <c r="AF49" t="n">
        <v>1558</v>
      </c>
    </row>
    <row r="50">
      <c r="A50" t="s">
        <v>42</v>
      </c>
      <c r="B50" t="s">
        <v>370</v>
      </c>
      <c r="C50" t="s">
        <v>236</v>
      </c>
      <c r="D50" t="s">
        <v>371</v>
      </c>
      <c r="E50" t="s">
        <v>237</v>
      </c>
      <c r="F50" t="n">
        <v>2</v>
      </c>
      <c r="G50" t="n">
        <v>3</v>
      </c>
      <c r="H50" t="n">
        <v>3</v>
      </c>
      <c r="I50" t="n">
        <v>6</v>
      </c>
      <c r="J50" t="n">
        <v>6</v>
      </c>
      <c r="K50" t="n">
        <v>6</v>
      </c>
      <c r="L50" t="n">
        <v>6</v>
      </c>
      <c r="M50" t="n">
        <v>7</v>
      </c>
      <c r="N50" t="n">
        <v>6</v>
      </c>
      <c r="O50" t="n">
        <v>6</v>
      </c>
      <c r="P50" t="n">
        <v>6</v>
      </c>
      <c r="Q50" t="n">
        <v>7</v>
      </c>
      <c r="R50" t="n">
        <v>9</v>
      </c>
      <c r="S50" t="n">
        <v>8</v>
      </c>
      <c r="T50" t="n">
        <v>9</v>
      </c>
      <c r="U50" t="n">
        <v>13</v>
      </c>
      <c r="V50" t="n">
        <v>12</v>
      </c>
      <c r="W50" t="n">
        <v>15</v>
      </c>
      <c r="X50" t="n">
        <v>14</v>
      </c>
      <c r="Y50" t="n">
        <v>14</v>
      </c>
      <c r="Z50" t="n">
        <v>10</v>
      </c>
      <c r="AA50" t="n">
        <v>13</v>
      </c>
      <c r="AB50" t="n">
        <v>14</v>
      </c>
      <c r="AC50" t="n">
        <v>22</v>
      </c>
      <c r="AD50" t="n">
        <v>23</v>
      </c>
      <c r="AE50" t="n">
        <v>25</v>
      </c>
      <c r="AF50" t="n">
        <v>31</v>
      </c>
    </row>
    <row r="51">
      <c r="A51" t="s">
        <v>42</v>
      </c>
      <c r="B51" t="s">
        <v>372</v>
      </c>
      <c r="C51" t="s">
        <v>236</v>
      </c>
      <c r="D51" t="s">
        <v>373</v>
      </c>
      <c r="E51" t="s">
        <v>237</v>
      </c>
      <c r="F51" t="n">
        <v>2</v>
      </c>
      <c r="G51" t="n">
        <v>2</v>
      </c>
      <c r="H51" t="n">
        <v>2</v>
      </c>
      <c r="I51" t="n">
        <v>5</v>
      </c>
      <c r="J51" t="n">
        <v>5</v>
      </c>
      <c r="K51" t="n">
        <v>5</v>
      </c>
      <c r="L51" t="n">
        <v>5</v>
      </c>
      <c r="M51" t="n">
        <v>5</v>
      </c>
      <c r="N51" t="n">
        <v>4</v>
      </c>
      <c r="O51" t="n">
        <v>4</v>
      </c>
      <c r="P51" t="n">
        <v>4</v>
      </c>
      <c r="Q51" t="n">
        <v>5</v>
      </c>
      <c r="R51" t="n">
        <v>7</v>
      </c>
      <c r="S51" t="n">
        <v>6</v>
      </c>
      <c r="T51" t="n">
        <v>7</v>
      </c>
      <c r="U51" t="n">
        <v>8</v>
      </c>
      <c r="V51" t="n">
        <v>7</v>
      </c>
      <c r="W51" t="n">
        <v>9</v>
      </c>
      <c r="X51" t="n">
        <v>7</v>
      </c>
      <c r="Y51" t="n">
        <v>7</v>
      </c>
      <c r="Z51" t="n">
        <v>2</v>
      </c>
      <c r="AA51" t="n">
        <v>4</v>
      </c>
      <c r="AB51" t="n">
        <v>6</v>
      </c>
      <c r="AC51" t="n">
        <v>14</v>
      </c>
      <c r="AD51" t="n">
        <v>12</v>
      </c>
      <c r="AE51" t="n">
        <v>13</v>
      </c>
      <c r="AF51" t="n">
        <v>19</v>
      </c>
    </row>
    <row r="52">
      <c r="A52" t="s">
        <v>42</v>
      </c>
      <c r="B52" t="s">
        <v>374</v>
      </c>
      <c r="C52" t="s">
        <v>236</v>
      </c>
      <c r="D52" t="s">
        <v>375</v>
      </c>
      <c r="E52" t="s">
        <v>237</v>
      </c>
      <c r="F52" t="n">
        <v>0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2</v>
      </c>
      <c r="N52" t="n">
        <v>2</v>
      </c>
      <c r="O52" t="n">
        <v>2</v>
      </c>
      <c r="P52" t="n">
        <v>2</v>
      </c>
      <c r="Q52" t="n">
        <v>2</v>
      </c>
      <c r="R52" t="n">
        <v>2</v>
      </c>
      <c r="S52" t="n">
        <v>2</v>
      </c>
      <c r="T52" t="n">
        <v>2</v>
      </c>
      <c r="U52" t="n">
        <v>5</v>
      </c>
      <c r="V52" t="n">
        <v>5</v>
      </c>
      <c r="W52" t="n">
        <v>6</v>
      </c>
      <c r="X52" t="n">
        <v>7</v>
      </c>
      <c r="Y52" t="n">
        <v>7</v>
      </c>
      <c r="Z52" t="n">
        <v>8</v>
      </c>
      <c r="AA52" t="n">
        <v>9</v>
      </c>
      <c r="AB52" t="n">
        <v>8</v>
      </c>
      <c r="AC52" t="n">
        <v>8</v>
      </c>
      <c r="AD52" t="n">
        <v>11</v>
      </c>
      <c r="AE52" t="n">
        <v>12</v>
      </c>
      <c r="AF52" t="n">
        <v>12</v>
      </c>
    </row>
    <row r="53">
      <c r="A53" t="s">
        <v>42</v>
      </c>
      <c r="B53" t="s">
        <v>376</v>
      </c>
      <c r="C53" t="s">
        <v>236</v>
      </c>
      <c r="D53" t="s">
        <v>377</v>
      </c>
      <c r="E53" t="s">
        <v>237</v>
      </c>
      <c r="F53" t="n">
        <v>2</v>
      </c>
      <c r="G53" t="n">
        <v>2</v>
      </c>
      <c r="H53" t="n">
        <v>2</v>
      </c>
      <c r="I53" t="n">
        <v>4</v>
      </c>
      <c r="J53" t="n">
        <v>4</v>
      </c>
      <c r="K53" t="n">
        <v>3</v>
      </c>
      <c r="L53" t="n">
        <v>4</v>
      </c>
      <c r="M53" t="n">
        <v>2</v>
      </c>
      <c r="N53" t="n">
        <v>3</v>
      </c>
      <c r="O53" t="n">
        <v>2</v>
      </c>
      <c r="P53" t="n">
        <v>3</v>
      </c>
      <c r="Q53" t="n">
        <v>4</v>
      </c>
      <c r="R53" t="n">
        <v>5</v>
      </c>
      <c r="S53" t="n">
        <v>5</v>
      </c>
      <c r="T53" t="n">
        <v>9</v>
      </c>
      <c r="U53" t="n">
        <v>12</v>
      </c>
      <c r="V53" t="n">
        <v>12</v>
      </c>
      <c r="W53" t="n">
        <v>15</v>
      </c>
      <c r="X53" t="n">
        <v>14</v>
      </c>
      <c r="Y53" t="n">
        <v>18</v>
      </c>
      <c r="Z53" t="n">
        <v>18</v>
      </c>
      <c r="AA53" t="n">
        <v>10</v>
      </c>
      <c r="AB53" t="n">
        <v>23</v>
      </c>
      <c r="AC53" t="n">
        <v>24</v>
      </c>
      <c r="AD53" t="n">
        <v>24</v>
      </c>
      <c r="AE53" t="n">
        <v>23</v>
      </c>
      <c r="AF53" t="n">
        <v>30</v>
      </c>
    </row>
    <row r="54">
      <c r="A54" t="s">
        <v>42</v>
      </c>
      <c r="B54" t="s">
        <v>378</v>
      </c>
      <c r="C54" t="s">
        <v>236</v>
      </c>
      <c r="D54" t="s">
        <v>379</v>
      </c>
      <c r="E54" t="s">
        <v>237</v>
      </c>
      <c r="F54" t="n">
        <v>8</v>
      </c>
      <c r="G54" t="n">
        <v>8</v>
      </c>
      <c r="H54" t="n">
        <v>6</v>
      </c>
      <c r="I54" t="n">
        <v>9</v>
      </c>
      <c r="J54" t="n">
        <v>9</v>
      </c>
      <c r="K54" t="n">
        <v>11</v>
      </c>
      <c r="L54" t="n">
        <v>13</v>
      </c>
      <c r="M54" t="n">
        <v>10</v>
      </c>
      <c r="N54" t="n">
        <v>13</v>
      </c>
      <c r="O54" t="n">
        <v>14</v>
      </c>
      <c r="P54" t="n">
        <v>12</v>
      </c>
      <c r="Q54" t="n">
        <v>12</v>
      </c>
      <c r="R54" t="n">
        <v>10</v>
      </c>
      <c r="S54" t="n">
        <v>9</v>
      </c>
      <c r="T54" t="n">
        <v>14</v>
      </c>
      <c r="U54" t="n">
        <v>18</v>
      </c>
      <c r="V54" t="n">
        <v>18</v>
      </c>
      <c r="W54" t="n">
        <v>22</v>
      </c>
      <c r="X54" t="n">
        <v>20</v>
      </c>
      <c r="Y54" t="n">
        <v>24</v>
      </c>
      <c r="Z54" t="n">
        <v>27</v>
      </c>
      <c r="AA54" t="n">
        <v>19</v>
      </c>
      <c r="AB54" t="n">
        <v>32</v>
      </c>
      <c r="AC54" t="n">
        <v>34</v>
      </c>
      <c r="AD54" t="n">
        <v>33</v>
      </c>
      <c r="AE54" t="n">
        <v>33</v>
      </c>
      <c r="AF54" t="n">
        <v>45</v>
      </c>
    </row>
    <row r="55">
      <c r="A55" t="s">
        <v>42</v>
      </c>
      <c r="B55" t="s">
        <v>380</v>
      </c>
      <c r="C55" t="s">
        <v>236</v>
      </c>
      <c r="D55" t="s">
        <v>381</v>
      </c>
      <c r="E55" t="s">
        <v>237</v>
      </c>
      <c r="F55" t="n">
        <v>6</v>
      </c>
      <c r="G55" t="n">
        <v>6</v>
      </c>
      <c r="H55" t="n">
        <v>4</v>
      </c>
      <c r="I55" t="n">
        <v>5</v>
      </c>
      <c r="J55" t="n">
        <v>5</v>
      </c>
      <c r="K55" t="n">
        <v>8</v>
      </c>
      <c r="L55" t="n">
        <v>9</v>
      </c>
      <c r="M55" t="n">
        <v>8</v>
      </c>
      <c r="N55" t="n">
        <v>10</v>
      </c>
      <c r="O55" t="n">
        <v>12</v>
      </c>
      <c r="P55" t="n">
        <v>9</v>
      </c>
      <c r="Q55" t="n">
        <v>8</v>
      </c>
      <c r="R55" t="n">
        <v>5</v>
      </c>
      <c r="S55" t="n">
        <v>4</v>
      </c>
      <c r="T55" t="n">
        <v>5</v>
      </c>
      <c r="U55" t="n">
        <v>6</v>
      </c>
      <c r="V55" t="n">
        <v>6</v>
      </c>
      <c r="W55" t="n">
        <v>7</v>
      </c>
      <c r="X55" t="n">
        <v>6</v>
      </c>
      <c r="Y55" t="n">
        <v>6</v>
      </c>
      <c r="Z55" t="n">
        <v>9</v>
      </c>
      <c r="AA55" t="n">
        <v>9</v>
      </c>
      <c r="AB55" t="n">
        <v>9</v>
      </c>
      <c r="AC55" t="n">
        <v>10</v>
      </c>
      <c r="AD55" t="n">
        <v>9</v>
      </c>
      <c r="AE55" t="n">
        <v>10</v>
      </c>
      <c r="AF55" t="n">
        <v>15</v>
      </c>
    </row>
    <row r="56">
      <c r="A56" t="s">
        <v>42</v>
      </c>
      <c r="B56" t="s">
        <v>382</v>
      </c>
      <c r="C56" t="s">
        <v>236</v>
      </c>
      <c r="D56" t="s">
        <v>383</v>
      </c>
      <c r="E56" t="s">
        <v>237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42</v>
      </c>
      <c r="B57" t="s">
        <v>384</v>
      </c>
      <c r="C57" t="s">
        <v>236</v>
      </c>
      <c r="D57" t="s">
        <v>385</v>
      </c>
      <c r="E57" t="s">
        <v>237</v>
      </c>
      <c r="F57" t="n">
        <v>2022</v>
      </c>
      <c r="G57" t="n">
        <v>2446</v>
      </c>
      <c r="H57" t="n">
        <v>2892</v>
      </c>
      <c r="I57" t="n">
        <v>3133</v>
      </c>
      <c r="J57" t="n">
        <v>3861</v>
      </c>
      <c r="K57" t="n">
        <v>4190</v>
      </c>
      <c r="L57" t="n">
        <v>4441</v>
      </c>
      <c r="M57" t="n">
        <v>4674</v>
      </c>
      <c r="N57" t="n">
        <v>4933</v>
      </c>
      <c r="O57" t="n">
        <v>5201</v>
      </c>
      <c r="P57" t="n">
        <v>5368</v>
      </c>
      <c r="Q57" t="n">
        <v>5652</v>
      </c>
      <c r="R57" t="n">
        <v>6188</v>
      </c>
      <c r="S57" t="n">
        <v>6632</v>
      </c>
      <c r="T57" t="n">
        <v>6576</v>
      </c>
      <c r="U57" t="n">
        <v>6930</v>
      </c>
      <c r="V57" t="n">
        <v>6648</v>
      </c>
      <c r="W57" t="n">
        <v>6284</v>
      </c>
      <c r="X57" t="n">
        <v>6186</v>
      </c>
      <c r="Y57" t="n">
        <v>6021</v>
      </c>
      <c r="Z57" t="n">
        <v>5581</v>
      </c>
      <c r="AA57" t="n">
        <v>5449</v>
      </c>
      <c r="AB57" t="n">
        <v>5464</v>
      </c>
      <c r="AC57" t="n">
        <v>6120</v>
      </c>
      <c r="AD57" t="n">
        <v>6614</v>
      </c>
      <c r="AE57" t="n">
        <v>6625</v>
      </c>
      <c r="AF57" t="n">
        <v>7220</v>
      </c>
    </row>
    <row r="58">
      <c r="A58" t="s">
        <v>42</v>
      </c>
      <c r="B58" t="s">
        <v>386</v>
      </c>
      <c r="C58" t="s">
        <v>236</v>
      </c>
      <c r="D58" t="s">
        <v>387</v>
      </c>
      <c r="E58" t="s">
        <v>237</v>
      </c>
      <c r="F58" t="n">
        <v>2022</v>
      </c>
      <c r="G58" t="n">
        <v>2446</v>
      </c>
      <c r="H58" t="n">
        <v>2892</v>
      </c>
      <c r="I58" t="n">
        <v>3133</v>
      </c>
      <c r="J58" t="n">
        <v>3861</v>
      </c>
      <c r="K58" t="n">
        <v>4190</v>
      </c>
      <c r="L58" t="n">
        <v>4441</v>
      </c>
      <c r="M58" t="n">
        <v>4674</v>
      </c>
      <c r="N58" t="n">
        <v>4933</v>
      </c>
      <c r="O58" t="n">
        <v>5201</v>
      </c>
      <c r="P58" t="n">
        <v>5368</v>
      </c>
      <c r="Q58" t="n">
        <v>5652</v>
      </c>
      <c r="R58" t="n">
        <v>6188</v>
      </c>
      <c r="S58" t="n">
        <v>6632</v>
      </c>
      <c r="T58" t="n">
        <v>6576</v>
      </c>
      <c r="U58" t="n">
        <v>6930</v>
      </c>
      <c r="V58" t="n">
        <v>6648</v>
      </c>
      <c r="W58" t="n">
        <v>6284</v>
      </c>
      <c r="X58" t="n">
        <v>6186</v>
      </c>
      <c r="Y58" t="n">
        <v>6021</v>
      </c>
      <c r="Z58" t="n">
        <v>5581</v>
      </c>
      <c r="AA58" t="n">
        <v>5449</v>
      </c>
      <c r="AB58" t="n">
        <v>5464</v>
      </c>
      <c r="AC58" t="n">
        <v>6120</v>
      </c>
      <c r="AD58" t="n">
        <v>6614</v>
      </c>
      <c r="AE58" t="n">
        <v>6625</v>
      </c>
      <c r="AF58" t="n">
        <v>7220</v>
      </c>
    </row>
    <row r="59">
      <c r="A59" t="s">
        <v>42</v>
      </c>
      <c r="B59" t="s">
        <v>388</v>
      </c>
      <c r="C59" t="s">
        <v>236</v>
      </c>
      <c r="D59" t="s">
        <v>389</v>
      </c>
      <c r="E59" t="s">
        <v>237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44</v>
      </c>
      <c r="B2" t="s">
        <v>197</v>
      </c>
      <c r="C2" t="s">
        <v>236</v>
      </c>
      <c r="D2" t="s">
        <v>199</v>
      </c>
      <c r="E2" t="s">
        <v>237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44</v>
      </c>
      <c r="B3" t="s">
        <v>276</v>
      </c>
      <c r="C3" t="s">
        <v>236</v>
      </c>
      <c r="D3" t="s">
        <v>277</v>
      </c>
      <c r="E3" t="s">
        <v>237</v>
      </c>
      <c r="F3" t="n">
        <v>28</v>
      </c>
      <c r="G3" t="n">
        <v>21</v>
      </c>
      <c r="H3" t="n">
        <v>20</v>
      </c>
      <c r="I3" t="n">
        <v>23</v>
      </c>
      <c r="J3" t="n">
        <v>29</v>
      </c>
      <c r="K3" t="n">
        <v>34</v>
      </c>
      <c r="L3" t="n">
        <v>46</v>
      </c>
      <c r="M3" t="n">
        <v>45</v>
      </c>
      <c r="N3" t="n">
        <v>43</v>
      </c>
      <c r="O3" t="n">
        <v>34</v>
      </c>
      <c r="P3" t="n">
        <v>40</v>
      </c>
      <c r="Q3" t="n">
        <v>41</v>
      </c>
      <c r="R3" t="n">
        <v>57</v>
      </c>
      <c r="S3" t="n">
        <v>61</v>
      </c>
      <c r="T3" t="n">
        <v>54</v>
      </c>
      <c r="U3" t="n">
        <v>66</v>
      </c>
      <c r="V3" t="n">
        <v>89</v>
      </c>
      <c r="W3" t="n">
        <v>94</v>
      </c>
      <c r="X3" t="n">
        <v>58</v>
      </c>
      <c r="Y3" t="n">
        <v>44</v>
      </c>
      <c r="Z3" t="n">
        <v>39</v>
      </c>
      <c r="AA3" t="n">
        <v>45</v>
      </c>
      <c r="AB3" t="n">
        <v>66</v>
      </c>
      <c r="AC3" t="n">
        <v>75</v>
      </c>
      <c r="AD3" t="n">
        <v>68</v>
      </c>
      <c r="AE3" t="n">
        <v>75</v>
      </c>
      <c r="AF3" t="n">
        <v>75</v>
      </c>
    </row>
    <row r="4">
      <c r="A4" t="s">
        <v>44</v>
      </c>
      <c r="B4" t="s">
        <v>278</v>
      </c>
      <c r="C4" t="s">
        <v>236</v>
      </c>
      <c r="D4" t="s">
        <v>279</v>
      </c>
      <c r="E4" t="s">
        <v>237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44</v>
      </c>
      <c r="B5" t="s">
        <v>280</v>
      </c>
      <c r="C5" t="s">
        <v>236</v>
      </c>
      <c r="D5" t="s">
        <v>281</v>
      </c>
      <c r="E5" t="s">
        <v>237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44</v>
      </c>
      <c r="B6" t="s">
        <v>282</v>
      </c>
      <c r="C6" t="s">
        <v>236</v>
      </c>
      <c r="D6" t="s">
        <v>283</v>
      </c>
      <c r="E6" t="s">
        <v>237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44</v>
      </c>
      <c r="B7" t="s">
        <v>284</v>
      </c>
      <c r="C7" t="s">
        <v>236</v>
      </c>
      <c r="D7" t="s">
        <v>285</v>
      </c>
      <c r="E7" t="s">
        <v>237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44</v>
      </c>
      <c r="B8" t="s">
        <v>286</v>
      </c>
      <c r="C8" t="s">
        <v>236</v>
      </c>
      <c r="D8" t="s">
        <v>287</v>
      </c>
      <c r="E8" t="s">
        <v>237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44</v>
      </c>
      <c r="B9" t="s">
        <v>288</v>
      </c>
      <c r="C9" t="s">
        <v>236</v>
      </c>
      <c r="D9" t="s">
        <v>289</v>
      </c>
      <c r="E9" t="s">
        <v>237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44</v>
      </c>
      <c r="B10" t="s">
        <v>290</v>
      </c>
      <c r="C10" t="s">
        <v>236</v>
      </c>
      <c r="D10" t="s">
        <v>291</v>
      </c>
      <c r="E10" t="s">
        <v>237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44</v>
      </c>
      <c r="B11" t="s">
        <v>292</v>
      </c>
      <c r="C11" t="s">
        <v>236</v>
      </c>
      <c r="D11" t="s">
        <v>293</v>
      </c>
      <c r="E11" t="s">
        <v>237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44</v>
      </c>
      <c r="B12" t="s">
        <v>294</v>
      </c>
      <c r="C12" t="s">
        <v>236</v>
      </c>
      <c r="D12" t="s">
        <v>295</v>
      </c>
      <c r="E12" t="s">
        <v>237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44</v>
      </c>
      <c r="B13" t="s">
        <v>296</v>
      </c>
      <c r="C13" t="s">
        <v>236</v>
      </c>
      <c r="D13" t="s">
        <v>297</v>
      </c>
      <c r="E13" t="s">
        <v>237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44</v>
      </c>
      <c r="B14" t="s">
        <v>298</v>
      </c>
      <c r="C14" t="s">
        <v>236</v>
      </c>
      <c r="D14" t="s">
        <v>299</v>
      </c>
      <c r="E14" t="s">
        <v>237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44</v>
      </c>
      <c r="B15" t="s">
        <v>300</v>
      </c>
      <c r="C15" t="s">
        <v>236</v>
      </c>
      <c r="D15" t="s">
        <v>301</v>
      </c>
      <c r="E15" t="s">
        <v>237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44</v>
      </c>
      <c r="B16" t="s">
        <v>302</v>
      </c>
      <c r="C16" t="s">
        <v>236</v>
      </c>
      <c r="D16" t="s">
        <v>303</v>
      </c>
      <c r="E16" t="s">
        <v>237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44</v>
      </c>
      <c r="B17" t="s">
        <v>304</v>
      </c>
      <c r="C17" t="s">
        <v>236</v>
      </c>
      <c r="D17" t="s">
        <v>305</v>
      </c>
      <c r="E17" t="s">
        <v>237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44</v>
      </c>
      <c r="B18" t="s">
        <v>306</v>
      </c>
      <c r="C18" t="s">
        <v>236</v>
      </c>
      <c r="D18" t="s">
        <v>307</v>
      </c>
      <c r="E18" t="s">
        <v>237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44</v>
      </c>
      <c r="B19" t="s">
        <v>308</v>
      </c>
      <c r="C19" t="s">
        <v>236</v>
      </c>
      <c r="D19" t="s">
        <v>309</v>
      </c>
      <c r="E19" t="s">
        <v>237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44</v>
      </c>
      <c r="B20" t="s">
        <v>310</v>
      </c>
      <c r="C20" t="s">
        <v>236</v>
      </c>
      <c r="D20" t="s">
        <v>311</v>
      </c>
      <c r="E20" t="s">
        <v>237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44</v>
      </c>
      <c r="B21" t="s">
        <v>312</v>
      </c>
      <c r="C21" t="s">
        <v>236</v>
      </c>
      <c r="D21" t="s">
        <v>313</v>
      </c>
      <c r="E21" t="s">
        <v>237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44</v>
      </c>
      <c r="B22" t="s">
        <v>314</v>
      </c>
      <c r="C22" t="s">
        <v>236</v>
      </c>
      <c r="D22" t="s">
        <v>315</v>
      </c>
      <c r="E22" t="s">
        <v>237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44</v>
      </c>
      <c r="B23" t="s">
        <v>316</v>
      </c>
      <c r="C23" t="s">
        <v>236</v>
      </c>
      <c r="D23" t="s">
        <v>317</v>
      </c>
      <c r="E23" t="s">
        <v>237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44</v>
      </c>
      <c r="B24" t="s">
        <v>318</v>
      </c>
      <c r="C24" t="s">
        <v>236</v>
      </c>
      <c r="D24" t="s">
        <v>319</v>
      </c>
      <c r="E24" t="s">
        <v>237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44</v>
      </c>
      <c r="B25" t="s">
        <v>320</v>
      </c>
      <c r="C25" t="s">
        <v>236</v>
      </c>
      <c r="D25" t="s">
        <v>321</v>
      </c>
      <c r="E25" t="s">
        <v>237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44</v>
      </c>
      <c r="B26" t="s">
        <v>322</v>
      </c>
      <c r="C26" t="s">
        <v>236</v>
      </c>
      <c r="D26" t="s">
        <v>323</v>
      </c>
      <c r="E26" t="s">
        <v>237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44</v>
      </c>
      <c r="B27" t="s">
        <v>324</v>
      </c>
      <c r="C27" t="s">
        <v>236</v>
      </c>
      <c r="D27" t="s">
        <v>325</v>
      </c>
      <c r="E27" t="s">
        <v>237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44</v>
      </c>
      <c r="B28" t="s">
        <v>326</v>
      </c>
      <c r="C28" t="s">
        <v>236</v>
      </c>
      <c r="D28" t="s">
        <v>327</v>
      </c>
      <c r="E28" t="s">
        <v>237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44</v>
      </c>
      <c r="B29" t="s">
        <v>328</v>
      </c>
      <c r="C29" t="s">
        <v>236</v>
      </c>
      <c r="D29" t="s">
        <v>329</v>
      </c>
      <c r="E29" t="s">
        <v>237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44</v>
      </c>
      <c r="B30" t="s">
        <v>330</v>
      </c>
      <c r="C30" t="s">
        <v>236</v>
      </c>
      <c r="D30" t="s">
        <v>331</v>
      </c>
      <c r="E30" t="s">
        <v>237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44</v>
      </c>
      <c r="B31" t="s">
        <v>332</v>
      </c>
      <c r="C31" t="s">
        <v>236</v>
      </c>
      <c r="D31" t="s">
        <v>333</v>
      </c>
      <c r="E31" t="s">
        <v>237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44</v>
      </c>
      <c r="B32" t="s">
        <v>334</v>
      </c>
      <c r="C32" t="s">
        <v>236</v>
      </c>
      <c r="D32" t="s">
        <v>335</v>
      </c>
      <c r="E32" t="s">
        <v>237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44</v>
      </c>
      <c r="B33" t="s">
        <v>336</v>
      </c>
      <c r="C33" t="s">
        <v>236</v>
      </c>
      <c r="D33" t="s">
        <v>337</v>
      </c>
      <c r="E33" t="s">
        <v>237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44</v>
      </c>
      <c r="B34" t="s">
        <v>338</v>
      </c>
      <c r="C34" t="s">
        <v>236</v>
      </c>
      <c r="D34" t="s">
        <v>339</v>
      </c>
      <c r="E34" t="s">
        <v>237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44</v>
      </c>
      <c r="B35" t="s">
        <v>340</v>
      </c>
      <c r="C35" t="s">
        <v>236</v>
      </c>
      <c r="D35" t="s">
        <v>341</v>
      </c>
      <c r="E35" t="s">
        <v>237</v>
      </c>
      <c r="F35" t="n">
        <v>166</v>
      </c>
      <c r="G35" t="n">
        <v>193</v>
      </c>
      <c r="H35" t="n">
        <v>198</v>
      </c>
      <c r="I35" t="n">
        <v>197</v>
      </c>
      <c r="J35" t="n">
        <v>195</v>
      </c>
      <c r="K35" t="n">
        <v>194</v>
      </c>
      <c r="L35" t="n">
        <v>224</v>
      </c>
      <c r="M35" t="n">
        <v>201</v>
      </c>
      <c r="N35" t="n">
        <v>196</v>
      </c>
      <c r="O35" t="n">
        <v>195</v>
      </c>
      <c r="P35" t="n">
        <v>214</v>
      </c>
      <c r="Q35" t="n">
        <v>235</v>
      </c>
      <c r="R35" t="n">
        <v>243</v>
      </c>
      <c r="S35" t="n">
        <v>224</v>
      </c>
      <c r="T35" t="n">
        <v>227</v>
      </c>
      <c r="U35" t="n">
        <v>277</v>
      </c>
      <c r="V35" t="n">
        <v>286</v>
      </c>
      <c r="W35" t="n">
        <v>321</v>
      </c>
      <c r="X35" t="n">
        <v>313</v>
      </c>
      <c r="Y35" t="n">
        <v>301</v>
      </c>
      <c r="Z35" t="n">
        <v>297</v>
      </c>
      <c r="AA35" t="n">
        <v>370</v>
      </c>
      <c r="AB35" t="n">
        <v>379</v>
      </c>
      <c r="AC35" t="n">
        <v>387</v>
      </c>
      <c r="AD35" t="n">
        <v>390</v>
      </c>
      <c r="AE35" t="n">
        <v>412</v>
      </c>
      <c r="AF35" t="n">
        <v>442</v>
      </c>
    </row>
    <row r="36">
      <c r="A36" t="s">
        <v>44</v>
      </c>
      <c r="B36" t="s">
        <v>342</v>
      </c>
      <c r="C36" t="s">
        <v>236</v>
      </c>
      <c r="D36" t="s">
        <v>343</v>
      </c>
      <c r="E36" t="s">
        <v>237</v>
      </c>
      <c r="F36" t="n">
        <v>166</v>
      </c>
      <c r="G36" t="n">
        <v>193</v>
      </c>
      <c r="H36" t="n">
        <v>198</v>
      </c>
      <c r="I36" t="n">
        <v>197</v>
      </c>
      <c r="J36" t="n">
        <v>195</v>
      </c>
      <c r="K36" t="n">
        <v>194</v>
      </c>
      <c r="L36" t="n">
        <v>224</v>
      </c>
      <c r="M36" t="n">
        <v>201</v>
      </c>
      <c r="N36" t="n">
        <v>196</v>
      </c>
      <c r="O36" t="n">
        <v>195</v>
      </c>
      <c r="P36" t="n">
        <v>214</v>
      </c>
      <c r="Q36" t="n">
        <v>235</v>
      </c>
      <c r="R36" t="n">
        <v>243</v>
      </c>
      <c r="S36" t="n">
        <v>224</v>
      </c>
      <c r="T36" t="n">
        <v>227</v>
      </c>
      <c r="U36" t="n">
        <v>277</v>
      </c>
      <c r="V36" t="n">
        <v>286</v>
      </c>
      <c r="W36" t="n">
        <v>321</v>
      </c>
      <c r="X36" t="n">
        <v>313</v>
      </c>
      <c r="Y36" t="n">
        <v>301</v>
      </c>
      <c r="Z36" t="n">
        <v>297</v>
      </c>
      <c r="AA36" t="n">
        <v>370</v>
      </c>
      <c r="AB36" t="n">
        <v>379</v>
      </c>
      <c r="AC36" t="n">
        <v>387</v>
      </c>
      <c r="AD36" t="n">
        <v>390</v>
      </c>
      <c r="AE36" t="n">
        <v>412</v>
      </c>
      <c r="AF36" t="n">
        <v>442</v>
      </c>
    </row>
    <row r="37">
      <c r="A37" t="s">
        <v>44</v>
      </c>
      <c r="B37" t="s">
        <v>344</v>
      </c>
      <c r="C37" t="s">
        <v>236</v>
      </c>
      <c r="D37" t="s">
        <v>345</v>
      </c>
      <c r="E37" t="s">
        <v>237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44</v>
      </c>
      <c r="B38" t="s">
        <v>346</v>
      </c>
      <c r="C38" t="s">
        <v>236</v>
      </c>
      <c r="D38" t="s">
        <v>347</v>
      </c>
      <c r="E38" t="s">
        <v>237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44</v>
      </c>
      <c r="B39" t="s">
        <v>348</v>
      </c>
      <c r="C39" t="s">
        <v>236</v>
      </c>
      <c r="D39" t="s">
        <v>349</v>
      </c>
      <c r="E39" t="s">
        <v>237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44</v>
      </c>
      <c r="B40" t="s">
        <v>350</v>
      </c>
      <c r="C40" t="s">
        <v>236</v>
      </c>
      <c r="D40" t="s">
        <v>351</v>
      </c>
      <c r="E40" t="s">
        <v>237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44</v>
      </c>
      <c r="B41" t="s">
        <v>352</v>
      </c>
      <c r="C41" t="s">
        <v>236</v>
      </c>
      <c r="D41" t="s">
        <v>353</v>
      </c>
      <c r="E41" t="s">
        <v>237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44</v>
      </c>
      <c r="B42" t="s">
        <v>354</v>
      </c>
      <c r="C42" t="s">
        <v>236</v>
      </c>
      <c r="D42" t="s">
        <v>355</v>
      </c>
      <c r="E42" t="s">
        <v>237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44</v>
      </c>
      <c r="B43" t="s">
        <v>356</v>
      </c>
      <c r="C43" t="s">
        <v>236</v>
      </c>
      <c r="D43" t="s">
        <v>357</v>
      </c>
      <c r="E43" t="s">
        <v>237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44</v>
      </c>
      <c r="B44" t="s">
        <v>358</v>
      </c>
      <c r="C44" t="s">
        <v>236</v>
      </c>
      <c r="D44" t="s">
        <v>359</v>
      </c>
      <c r="E44" t="s">
        <v>237</v>
      </c>
      <c r="F44" t="n">
        <v>214</v>
      </c>
      <c r="G44" t="n">
        <v>237</v>
      </c>
      <c r="H44" t="n">
        <v>242</v>
      </c>
      <c r="I44" t="n">
        <v>244</v>
      </c>
      <c r="J44" t="n">
        <v>248</v>
      </c>
      <c r="K44" t="n">
        <v>254</v>
      </c>
      <c r="L44" t="n">
        <v>296</v>
      </c>
      <c r="M44" t="n">
        <v>273</v>
      </c>
      <c r="N44" t="n">
        <v>266</v>
      </c>
      <c r="O44" t="n">
        <v>257</v>
      </c>
      <c r="P44" t="n">
        <v>285</v>
      </c>
      <c r="Q44" t="n">
        <v>311</v>
      </c>
      <c r="R44" t="n">
        <v>336</v>
      </c>
      <c r="S44" t="n">
        <v>321</v>
      </c>
      <c r="T44" t="n">
        <v>329</v>
      </c>
      <c r="U44" t="n">
        <v>401</v>
      </c>
      <c r="V44" t="n">
        <v>443</v>
      </c>
      <c r="W44" t="n">
        <v>484</v>
      </c>
      <c r="X44" t="n">
        <v>437</v>
      </c>
      <c r="Y44" t="n">
        <v>411</v>
      </c>
      <c r="Z44" t="n">
        <v>385</v>
      </c>
      <c r="AA44" t="n">
        <v>484</v>
      </c>
      <c r="AB44" t="n">
        <v>519</v>
      </c>
      <c r="AC44" t="n">
        <v>554</v>
      </c>
      <c r="AD44" t="n">
        <v>547</v>
      </c>
      <c r="AE44" t="n">
        <v>582</v>
      </c>
      <c r="AF44" t="n">
        <v>615</v>
      </c>
    </row>
    <row r="45">
      <c r="A45" t="s">
        <v>44</v>
      </c>
      <c r="B45" t="s">
        <v>360</v>
      </c>
      <c r="C45" t="s">
        <v>236</v>
      </c>
      <c r="D45" t="s">
        <v>361</v>
      </c>
      <c r="E45" t="s">
        <v>237</v>
      </c>
      <c r="F45" t="n">
        <v>214</v>
      </c>
      <c r="G45" t="n">
        <v>237</v>
      </c>
      <c r="H45" t="n">
        <v>242</v>
      </c>
      <c r="I45" t="n">
        <v>244</v>
      </c>
      <c r="J45" t="n">
        <v>248</v>
      </c>
      <c r="K45" t="n">
        <v>254</v>
      </c>
      <c r="L45" t="n">
        <v>296</v>
      </c>
      <c r="M45" t="n">
        <v>273</v>
      </c>
      <c r="N45" t="n">
        <v>266</v>
      </c>
      <c r="O45" t="n">
        <v>257</v>
      </c>
      <c r="P45" t="n">
        <v>285</v>
      </c>
      <c r="Q45" t="n">
        <v>311</v>
      </c>
      <c r="R45" t="n">
        <v>336</v>
      </c>
      <c r="S45" t="n">
        <v>321</v>
      </c>
      <c r="T45" t="n">
        <v>329</v>
      </c>
      <c r="U45" t="n">
        <v>401</v>
      </c>
      <c r="V45" t="n">
        <v>443</v>
      </c>
      <c r="W45" t="n">
        <v>484</v>
      </c>
      <c r="X45" t="n">
        <v>437</v>
      </c>
      <c r="Y45" t="n">
        <v>411</v>
      </c>
      <c r="Z45" t="n">
        <v>385</v>
      </c>
      <c r="AA45" t="n">
        <v>484</v>
      </c>
      <c r="AB45" t="n">
        <v>519</v>
      </c>
      <c r="AC45" t="n">
        <v>554</v>
      </c>
      <c r="AD45" t="n">
        <v>547</v>
      </c>
      <c r="AE45" t="n">
        <v>582</v>
      </c>
      <c r="AF45" t="n">
        <v>615</v>
      </c>
    </row>
    <row r="46">
      <c r="A46" t="s">
        <v>44</v>
      </c>
      <c r="B46" t="s">
        <v>362</v>
      </c>
      <c r="C46" t="s">
        <v>236</v>
      </c>
      <c r="D46" t="s">
        <v>363</v>
      </c>
      <c r="E46" t="s">
        <v>237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44</v>
      </c>
      <c r="B47" t="s">
        <v>364</v>
      </c>
      <c r="C47" t="s">
        <v>236</v>
      </c>
      <c r="D47" t="s">
        <v>365</v>
      </c>
      <c r="E47" t="s">
        <v>237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44</v>
      </c>
      <c r="B48" t="s">
        <v>366</v>
      </c>
      <c r="C48" t="s">
        <v>236</v>
      </c>
      <c r="D48" t="s">
        <v>367</v>
      </c>
      <c r="E48" t="s">
        <v>237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44</v>
      </c>
      <c r="B49" t="s">
        <v>368</v>
      </c>
      <c r="C49" t="s">
        <v>236</v>
      </c>
      <c r="D49" t="s">
        <v>369</v>
      </c>
      <c r="E49" t="s">
        <v>237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44</v>
      </c>
      <c r="B50" t="s">
        <v>370</v>
      </c>
      <c r="C50" t="s">
        <v>236</v>
      </c>
      <c r="D50" t="s">
        <v>371</v>
      </c>
      <c r="E50" t="s">
        <v>237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44</v>
      </c>
      <c r="B51" t="s">
        <v>372</v>
      </c>
      <c r="C51" t="s">
        <v>236</v>
      </c>
      <c r="D51" t="s">
        <v>373</v>
      </c>
      <c r="E51" t="s">
        <v>237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44</v>
      </c>
      <c r="B52" t="s">
        <v>374</v>
      </c>
      <c r="C52" t="s">
        <v>236</v>
      </c>
      <c r="D52" t="s">
        <v>375</v>
      </c>
      <c r="E52" t="s">
        <v>237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44</v>
      </c>
      <c r="B53" t="s">
        <v>376</v>
      </c>
      <c r="C53" t="s">
        <v>236</v>
      </c>
      <c r="D53" t="s">
        <v>377</v>
      </c>
      <c r="E53" t="s">
        <v>237</v>
      </c>
      <c r="F53" t="n">
        <v>20</v>
      </c>
      <c r="G53" t="n">
        <v>23</v>
      </c>
      <c r="H53" t="n">
        <v>24</v>
      </c>
      <c r="I53" t="n">
        <v>24</v>
      </c>
      <c r="J53" t="n">
        <v>25</v>
      </c>
      <c r="K53" t="n">
        <v>27</v>
      </c>
      <c r="L53" t="n">
        <v>27</v>
      </c>
      <c r="M53" t="n">
        <v>28</v>
      </c>
      <c r="N53" t="n">
        <v>28</v>
      </c>
      <c r="O53" t="n">
        <v>29</v>
      </c>
      <c r="P53" t="n">
        <v>31</v>
      </c>
      <c r="Q53" t="n">
        <v>35</v>
      </c>
      <c r="R53" t="n">
        <v>36</v>
      </c>
      <c r="S53" t="n">
        <v>36</v>
      </c>
      <c r="T53" t="n">
        <v>48</v>
      </c>
      <c r="U53" t="n">
        <v>58</v>
      </c>
      <c r="V53" t="n">
        <v>68</v>
      </c>
      <c r="W53" t="n">
        <v>69</v>
      </c>
      <c r="X53" t="n">
        <v>67</v>
      </c>
      <c r="Y53" t="n">
        <v>67</v>
      </c>
      <c r="Z53" t="n">
        <v>49</v>
      </c>
      <c r="AA53" t="n">
        <v>69</v>
      </c>
      <c r="AB53" t="n">
        <v>74</v>
      </c>
      <c r="AC53" t="n">
        <v>92</v>
      </c>
      <c r="AD53" t="n">
        <v>89</v>
      </c>
      <c r="AE53" t="n">
        <v>95</v>
      </c>
      <c r="AF53" t="n">
        <v>98</v>
      </c>
    </row>
    <row r="54">
      <c r="A54" t="s">
        <v>44</v>
      </c>
      <c r="B54" t="s">
        <v>378</v>
      </c>
      <c r="C54" t="s">
        <v>236</v>
      </c>
      <c r="D54" t="s">
        <v>379</v>
      </c>
      <c r="E54" t="s">
        <v>237</v>
      </c>
      <c r="F54" t="n">
        <v>20</v>
      </c>
      <c r="G54" t="n">
        <v>23</v>
      </c>
      <c r="H54" t="n">
        <v>24</v>
      </c>
      <c r="I54" t="n">
        <v>24</v>
      </c>
      <c r="J54" t="n">
        <v>25</v>
      </c>
      <c r="K54" t="n">
        <v>27</v>
      </c>
      <c r="L54" t="n">
        <v>27</v>
      </c>
      <c r="M54" t="n">
        <v>28</v>
      </c>
      <c r="N54" t="n">
        <v>28</v>
      </c>
      <c r="O54" t="n">
        <v>29</v>
      </c>
      <c r="P54" t="n">
        <v>31</v>
      </c>
      <c r="Q54" t="n">
        <v>35</v>
      </c>
      <c r="R54" t="n">
        <v>36</v>
      </c>
      <c r="S54" t="n">
        <v>36</v>
      </c>
      <c r="T54" t="n">
        <v>48</v>
      </c>
      <c r="U54" t="n">
        <v>58</v>
      </c>
      <c r="V54" t="n">
        <v>68</v>
      </c>
      <c r="W54" t="n">
        <v>69</v>
      </c>
      <c r="X54" t="n">
        <v>67</v>
      </c>
      <c r="Y54" t="n">
        <v>67</v>
      </c>
      <c r="Z54" t="n">
        <v>49</v>
      </c>
      <c r="AA54" t="n">
        <v>69</v>
      </c>
      <c r="AB54" t="n">
        <v>74</v>
      </c>
      <c r="AC54" t="n">
        <v>92</v>
      </c>
      <c r="AD54" t="n">
        <v>89</v>
      </c>
      <c r="AE54" t="n">
        <v>95</v>
      </c>
      <c r="AF54" t="n">
        <v>98</v>
      </c>
    </row>
    <row r="55">
      <c r="A55" t="s">
        <v>44</v>
      </c>
      <c r="B55" t="s">
        <v>380</v>
      </c>
      <c r="C55" t="s">
        <v>236</v>
      </c>
      <c r="D55" t="s">
        <v>381</v>
      </c>
      <c r="E55" t="s">
        <v>237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44</v>
      </c>
      <c r="B56" t="s">
        <v>382</v>
      </c>
      <c r="C56" t="s">
        <v>236</v>
      </c>
      <c r="D56" t="s">
        <v>383</v>
      </c>
      <c r="E56" t="s">
        <v>237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44</v>
      </c>
      <c r="B57" t="s">
        <v>384</v>
      </c>
      <c r="C57" t="s">
        <v>236</v>
      </c>
      <c r="D57" t="s">
        <v>385</v>
      </c>
      <c r="E57" t="s">
        <v>237</v>
      </c>
      <c r="F57" t="n">
        <v>214</v>
      </c>
      <c r="G57" t="n">
        <v>237</v>
      </c>
      <c r="H57" t="n">
        <v>242</v>
      </c>
      <c r="I57" t="n">
        <v>244</v>
      </c>
      <c r="J57" t="n">
        <v>248</v>
      </c>
      <c r="K57" t="n">
        <v>254</v>
      </c>
      <c r="L57" t="n">
        <v>296</v>
      </c>
      <c r="M57" t="n">
        <v>273</v>
      </c>
      <c r="N57" t="n">
        <v>266</v>
      </c>
      <c r="O57" t="n">
        <v>257</v>
      </c>
      <c r="P57" t="n">
        <v>285</v>
      </c>
      <c r="Q57" t="n">
        <v>311</v>
      </c>
      <c r="R57" t="n">
        <v>336</v>
      </c>
      <c r="S57" t="n">
        <v>321</v>
      </c>
      <c r="T57" t="n">
        <v>329</v>
      </c>
      <c r="U57" t="n">
        <v>401</v>
      </c>
      <c r="V57" t="n">
        <v>443</v>
      </c>
      <c r="W57" t="n">
        <v>484</v>
      </c>
      <c r="X57" t="n">
        <v>437</v>
      </c>
      <c r="Y57" t="n">
        <v>411</v>
      </c>
      <c r="Z57" t="n">
        <v>385</v>
      </c>
      <c r="AA57" t="n">
        <v>484</v>
      </c>
      <c r="AB57" t="n">
        <v>519</v>
      </c>
      <c r="AC57" t="n">
        <v>554</v>
      </c>
      <c r="AD57" t="n">
        <v>547</v>
      </c>
      <c r="AE57" t="n">
        <v>582</v>
      </c>
      <c r="AF57" t="n">
        <v>615</v>
      </c>
    </row>
    <row r="58">
      <c r="A58" t="s">
        <v>44</v>
      </c>
      <c r="B58" t="s">
        <v>386</v>
      </c>
      <c r="C58" t="s">
        <v>236</v>
      </c>
      <c r="D58" t="s">
        <v>387</v>
      </c>
      <c r="E58" t="s">
        <v>237</v>
      </c>
      <c r="F58" t="n">
        <v>214</v>
      </c>
      <c r="G58" t="n">
        <v>237</v>
      </c>
      <c r="H58" t="n">
        <v>242</v>
      </c>
      <c r="I58" t="n">
        <v>244</v>
      </c>
      <c r="J58" t="n">
        <v>248</v>
      </c>
      <c r="K58" t="n">
        <v>254</v>
      </c>
      <c r="L58" t="n">
        <v>296</v>
      </c>
      <c r="M58" t="n">
        <v>273</v>
      </c>
      <c r="N58" t="n">
        <v>266</v>
      </c>
      <c r="O58" t="n">
        <v>257</v>
      </c>
      <c r="P58" t="n">
        <v>285</v>
      </c>
      <c r="Q58" t="n">
        <v>311</v>
      </c>
      <c r="R58" t="n">
        <v>336</v>
      </c>
      <c r="S58" t="n">
        <v>321</v>
      </c>
      <c r="T58" t="n">
        <v>329</v>
      </c>
      <c r="U58" t="n">
        <v>401</v>
      </c>
      <c r="V58" t="n">
        <v>443</v>
      </c>
      <c r="W58" t="n">
        <v>484</v>
      </c>
      <c r="X58" t="n">
        <v>437</v>
      </c>
      <c r="Y58" t="n">
        <v>411</v>
      </c>
      <c r="Z58" t="n">
        <v>385</v>
      </c>
      <c r="AA58" t="n">
        <v>484</v>
      </c>
      <c r="AB58" t="n">
        <v>519</v>
      </c>
      <c r="AC58" t="n">
        <v>554</v>
      </c>
      <c r="AD58" t="n">
        <v>547</v>
      </c>
      <c r="AE58" t="n">
        <v>582</v>
      </c>
      <c r="AF58" t="n">
        <v>615</v>
      </c>
    </row>
    <row r="59">
      <c r="A59" t="s">
        <v>44</v>
      </c>
      <c r="B59" t="s">
        <v>388</v>
      </c>
      <c r="C59" t="s">
        <v>236</v>
      </c>
      <c r="D59" t="s">
        <v>389</v>
      </c>
      <c r="E59" t="s">
        <v>237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46</v>
      </c>
      <c r="B2" t="s">
        <v>197</v>
      </c>
      <c r="C2" t="s">
        <v>236</v>
      </c>
      <c r="D2" t="s">
        <v>199</v>
      </c>
      <c r="E2" t="s">
        <v>237</v>
      </c>
      <c r="F2" t="n">
        <v>1079</v>
      </c>
      <c r="G2" t="n">
        <v>967</v>
      </c>
      <c r="H2" t="n">
        <v>1182</v>
      </c>
      <c r="I2" t="n">
        <v>1295</v>
      </c>
      <c r="J2" t="n">
        <v>1348</v>
      </c>
      <c r="K2" t="n">
        <v>1288</v>
      </c>
      <c r="L2" t="n">
        <v>1374</v>
      </c>
      <c r="M2" t="n">
        <v>1440</v>
      </c>
      <c r="N2" t="n">
        <v>1433</v>
      </c>
      <c r="O2" t="n">
        <v>1370</v>
      </c>
      <c r="P2" t="n">
        <v>1417</v>
      </c>
      <c r="Q2" t="n">
        <v>1454</v>
      </c>
      <c r="R2" t="n">
        <v>1642</v>
      </c>
      <c r="S2" t="n">
        <v>1651</v>
      </c>
      <c r="T2" t="n">
        <v>1614</v>
      </c>
      <c r="U2" t="n">
        <v>1552</v>
      </c>
      <c r="V2" t="n">
        <v>1589</v>
      </c>
      <c r="W2" t="n">
        <v>1776</v>
      </c>
      <c r="X2" t="n">
        <v>2012</v>
      </c>
      <c r="Y2" t="n">
        <v>1811</v>
      </c>
      <c r="Z2" t="n">
        <v>1342</v>
      </c>
      <c r="AA2" t="n">
        <v>1465</v>
      </c>
      <c r="AB2" t="n">
        <v>1574</v>
      </c>
      <c r="AC2" t="n">
        <v>1506</v>
      </c>
      <c r="AD2" t="n">
        <v>1574</v>
      </c>
      <c r="AE2" t="n">
        <v>1595</v>
      </c>
      <c r="AF2" t="n">
        <v>1536</v>
      </c>
    </row>
    <row r="3">
      <c r="A3" t="s">
        <v>46</v>
      </c>
      <c r="B3" t="s">
        <v>276</v>
      </c>
      <c r="C3" t="s">
        <v>236</v>
      </c>
      <c r="D3" t="s">
        <v>277</v>
      </c>
      <c r="E3" t="s">
        <v>237</v>
      </c>
      <c r="F3" t="n">
        <v>92</v>
      </c>
      <c r="G3" t="n">
        <v>84</v>
      </c>
      <c r="H3" t="n">
        <v>62</v>
      </c>
      <c r="I3" t="n">
        <v>91</v>
      </c>
      <c r="J3" t="n">
        <v>116</v>
      </c>
      <c r="K3" t="n">
        <v>128</v>
      </c>
      <c r="L3" t="n">
        <v>147</v>
      </c>
      <c r="M3" t="n">
        <v>130</v>
      </c>
      <c r="N3" t="n">
        <v>183</v>
      </c>
      <c r="O3" t="n">
        <v>120</v>
      </c>
      <c r="P3" t="n">
        <v>143</v>
      </c>
      <c r="Q3" t="n">
        <v>172</v>
      </c>
      <c r="R3" t="n">
        <v>374</v>
      </c>
      <c r="S3" t="n">
        <v>711</v>
      </c>
      <c r="T3" t="n">
        <v>372</v>
      </c>
      <c r="U3" t="n">
        <v>333</v>
      </c>
      <c r="V3" t="n">
        <v>490</v>
      </c>
      <c r="W3" t="n">
        <v>460</v>
      </c>
      <c r="X3" t="n">
        <v>345</v>
      </c>
      <c r="Y3" t="n">
        <v>313</v>
      </c>
      <c r="Z3" t="n">
        <v>390</v>
      </c>
      <c r="AA3" t="n">
        <v>280</v>
      </c>
      <c r="AB3" t="n">
        <v>347</v>
      </c>
      <c r="AC3" t="n">
        <v>380</v>
      </c>
      <c r="AD3" t="n">
        <v>353</v>
      </c>
      <c r="AE3" t="n">
        <v>500</v>
      </c>
      <c r="AF3" t="n">
        <v>518</v>
      </c>
    </row>
    <row r="4">
      <c r="A4" t="s">
        <v>46</v>
      </c>
      <c r="B4" t="s">
        <v>278</v>
      </c>
      <c r="C4" t="s">
        <v>236</v>
      </c>
      <c r="D4" t="s">
        <v>279</v>
      </c>
      <c r="E4" t="s">
        <v>237</v>
      </c>
      <c r="F4" t="n">
        <v>4677</v>
      </c>
      <c r="G4" t="n">
        <v>5004</v>
      </c>
      <c r="H4" t="n">
        <v>5300</v>
      </c>
      <c r="I4" t="n">
        <v>5937</v>
      </c>
      <c r="J4" t="n">
        <v>5999</v>
      </c>
      <c r="K4" t="n">
        <v>6379</v>
      </c>
      <c r="L4" t="n">
        <v>7276</v>
      </c>
      <c r="M4" t="n">
        <v>6599</v>
      </c>
      <c r="N4" t="n">
        <v>6775</v>
      </c>
      <c r="O4" t="n">
        <v>6734</v>
      </c>
      <c r="P4" t="n">
        <v>6994</v>
      </c>
      <c r="Q4" t="n">
        <v>7377</v>
      </c>
      <c r="R4" t="n">
        <v>8451</v>
      </c>
      <c r="S4" t="n">
        <v>8549</v>
      </c>
      <c r="T4" t="n">
        <v>7673</v>
      </c>
      <c r="U4" t="n">
        <v>7190</v>
      </c>
      <c r="V4" t="n">
        <v>7034</v>
      </c>
      <c r="W4" t="n">
        <v>6678</v>
      </c>
      <c r="X4" t="n">
        <v>6214</v>
      </c>
      <c r="Y4" t="n">
        <v>6229</v>
      </c>
      <c r="Z4" t="n">
        <v>6482</v>
      </c>
      <c r="AA4" t="n">
        <v>6606</v>
      </c>
      <c r="AB4" t="n">
        <v>7386</v>
      </c>
      <c r="AC4" t="n">
        <v>7373</v>
      </c>
      <c r="AD4" t="n">
        <v>7810</v>
      </c>
      <c r="AE4" t="n">
        <v>7554</v>
      </c>
      <c r="AF4" t="n">
        <v>9057</v>
      </c>
    </row>
    <row r="5">
      <c r="A5" t="s">
        <v>46</v>
      </c>
      <c r="B5" t="s">
        <v>280</v>
      </c>
      <c r="C5" t="s">
        <v>236</v>
      </c>
      <c r="D5" t="s">
        <v>281</v>
      </c>
      <c r="E5" t="s">
        <v>237</v>
      </c>
      <c r="F5" t="n">
        <v>388</v>
      </c>
      <c r="G5" t="n">
        <v>384</v>
      </c>
      <c r="H5" t="n">
        <v>354</v>
      </c>
      <c r="I5" t="n">
        <v>392</v>
      </c>
      <c r="J5" t="n">
        <v>378</v>
      </c>
      <c r="K5" t="n">
        <v>390</v>
      </c>
      <c r="L5" t="n">
        <v>441</v>
      </c>
      <c r="M5" t="n">
        <v>486</v>
      </c>
      <c r="N5" t="n">
        <v>459</v>
      </c>
      <c r="O5" t="n">
        <v>369</v>
      </c>
      <c r="P5" t="n">
        <v>448</v>
      </c>
      <c r="Q5" t="n">
        <v>426</v>
      </c>
      <c r="R5" t="n">
        <v>481</v>
      </c>
      <c r="S5" t="n">
        <v>486</v>
      </c>
      <c r="T5" t="n">
        <v>423</v>
      </c>
      <c r="U5" t="n">
        <v>371</v>
      </c>
      <c r="V5" t="n">
        <v>396</v>
      </c>
      <c r="W5" t="n">
        <v>448</v>
      </c>
      <c r="X5" t="n">
        <v>467</v>
      </c>
      <c r="Y5" t="n">
        <v>538</v>
      </c>
      <c r="Z5" t="n">
        <v>474</v>
      </c>
      <c r="AA5" t="n">
        <v>568</v>
      </c>
      <c r="AB5" t="n">
        <v>631</v>
      </c>
      <c r="AC5" t="n">
        <v>477</v>
      </c>
      <c r="AD5" t="n">
        <v>453</v>
      </c>
      <c r="AE5" t="n">
        <v>475</v>
      </c>
      <c r="AF5" t="n">
        <v>549</v>
      </c>
    </row>
    <row r="6">
      <c r="A6" t="s">
        <v>46</v>
      </c>
      <c r="B6" t="s">
        <v>282</v>
      </c>
      <c r="C6" t="s">
        <v>236</v>
      </c>
      <c r="D6" t="s">
        <v>283</v>
      </c>
      <c r="E6" t="s">
        <v>237</v>
      </c>
      <c r="F6" t="n">
        <v>69</v>
      </c>
      <c r="G6" t="n">
        <v>45</v>
      </c>
      <c r="H6" t="n">
        <v>65</v>
      </c>
      <c r="I6" t="n">
        <v>67</v>
      </c>
      <c r="J6" t="n">
        <v>52</v>
      </c>
      <c r="K6" t="n">
        <v>55</v>
      </c>
      <c r="L6" t="n">
        <v>68</v>
      </c>
      <c r="M6" t="n">
        <v>57</v>
      </c>
      <c r="N6" t="n">
        <v>48</v>
      </c>
      <c r="O6" t="n">
        <v>42</v>
      </c>
      <c r="P6" t="n">
        <v>45</v>
      </c>
      <c r="Q6" t="n">
        <v>53</v>
      </c>
      <c r="R6" t="n">
        <v>52</v>
      </c>
      <c r="S6" t="n">
        <v>41</v>
      </c>
      <c r="T6" t="n">
        <v>24</v>
      </c>
      <c r="U6" t="n">
        <v>21</v>
      </c>
      <c r="V6" t="n">
        <v>27</v>
      </c>
      <c r="W6" t="n">
        <v>34</v>
      </c>
      <c r="X6" t="n">
        <v>18</v>
      </c>
      <c r="Y6" t="n">
        <v>26</v>
      </c>
      <c r="Z6" t="n">
        <v>37</v>
      </c>
      <c r="AA6" t="n">
        <v>46</v>
      </c>
      <c r="AB6" t="n">
        <v>40</v>
      </c>
      <c r="AC6" t="n">
        <v>51</v>
      </c>
      <c r="AD6" t="n">
        <v>44</v>
      </c>
      <c r="AE6" t="n">
        <v>45</v>
      </c>
      <c r="AF6" t="n">
        <v>45</v>
      </c>
    </row>
    <row r="7">
      <c r="A7" t="s">
        <v>46</v>
      </c>
      <c r="B7" t="s">
        <v>284</v>
      </c>
      <c r="C7" t="s">
        <v>236</v>
      </c>
      <c r="D7" t="s">
        <v>285</v>
      </c>
      <c r="E7" t="s">
        <v>237</v>
      </c>
      <c r="F7" t="n">
        <v>1170</v>
      </c>
      <c r="G7" t="n">
        <v>1697</v>
      </c>
      <c r="H7" t="n">
        <v>1308</v>
      </c>
      <c r="I7" t="n">
        <v>1507</v>
      </c>
      <c r="J7" t="n">
        <v>1208</v>
      </c>
      <c r="K7" t="n">
        <v>1239</v>
      </c>
      <c r="L7" t="n">
        <v>1886</v>
      </c>
      <c r="M7" t="n">
        <v>1087</v>
      </c>
      <c r="N7" t="n">
        <v>1277</v>
      </c>
      <c r="O7" t="n">
        <v>1031</v>
      </c>
      <c r="P7" t="n">
        <v>1121</v>
      </c>
      <c r="Q7" t="n">
        <v>1147</v>
      </c>
      <c r="R7" t="n">
        <v>1136</v>
      </c>
      <c r="S7" t="n">
        <v>1198</v>
      </c>
      <c r="T7" t="n">
        <v>570</v>
      </c>
      <c r="U7" t="n">
        <v>598</v>
      </c>
      <c r="V7" t="n">
        <v>653</v>
      </c>
      <c r="W7" t="n">
        <v>698</v>
      </c>
      <c r="X7" t="n">
        <v>725</v>
      </c>
      <c r="Y7" t="n">
        <v>561</v>
      </c>
      <c r="Z7" t="n">
        <v>689</v>
      </c>
      <c r="AA7" t="n">
        <v>1224</v>
      </c>
      <c r="AB7" t="n">
        <v>1410</v>
      </c>
      <c r="AC7" t="n">
        <v>933</v>
      </c>
      <c r="AD7" t="n">
        <v>943</v>
      </c>
      <c r="AE7" t="n">
        <v>868</v>
      </c>
      <c r="AF7" t="n">
        <v>1290</v>
      </c>
    </row>
    <row r="8">
      <c r="A8" t="s">
        <v>46</v>
      </c>
      <c r="B8" t="s">
        <v>286</v>
      </c>
      <c r="C8" t="s">
        <v>236</v>
      </c>
      <c r="D8" t="s">
        <v>287</v>
      </c>
      <c r="E8" t="s">
        <v>237</v>
      </c>
      <c r="F8" t="n">
        <v>81</v>
      </c>
      <c r="G8" t="n">
        <v>78</v>
      </c>
      <c r="H8" t="n">
        <v>181</v>
      </c>
      <c r="I8" t="n">
        <v>84</v>
      </c>
      <c r="J8" t="n">
        <v>122</v>
      </c>
      <c r="K8" t="n">
        <v>88</v>
      </c>
      <c r="L8" t="n">
        <v>156</v>
      </c>
      <c r="M8" t="n">
        <v>63</v>
      </c>
      <c r="N8" t="n">
        <v>127</v>
      </c>
      <c r="O8" t="n">
        <v>98</v>
      </c>
      <c r="P8" t="n">
        <v>246</v>
      </c>
      <c r="Q8" t="n">
        <v>268</v>
      </c>
      <c r="R8" t="n">
        <v>835</v>
      </c>
      <c r="S8" t="n">
        <v>171</v>
      </c>
      <c r="T8" t="n">
        <v>232</v>
      </c>
      <c r="U8" t="n">
        <v>211</v>
      </c>
      <c r="V8" t="n">
        <v>116</v>
      </c>
      <c r="W8" t="n">
        <v>177</v>
      </c>
      <c r="X8" t="n">
        <v>181</v>
      </c>
      <c r="Y8" t="n">
        <v>193</v>
      </c>
      <c r="Z8" t="n">
        <v>363</v>
      </c>
      <c r="AA8" t="n">
        <v>98</v>
      </c>
      <c r="AB8" t="n">
        <v>495</v>
      </c>
      <c r="AC8" t="n">
        <v>269</v>
      </c>
      <c r="AD8" t="n">
        <v>186</v>
      </c>
      <c r="AE8" t="n">
        <v>155</v>
      </c>
      <c r="AF8" t="n">
        <v>663</v>
      </c>
    </row>
    <row r="9">
      <c r="A9" t="s">
        <v>46</v>
      </c>
      <c r="B9" t="s">
        <v>288</v>
      </c>
      <c r="C9" t="s">
        <v>236</v>
      </c>
      <c r="D9" t="s">
        <v>289</v>
      </c>
      <c r="E9" t="s">
        <v>237</v>
      </c>
      <c r="F9" t="n">
        <v>442</v>
      </c>
      <c r="G9" t="n">
        <v>255</v>
      </c>
      <c r="H9" t="n">
        <v>373</v>
      </c>
      <c r="I9" t="n">
        <v>353</v>
      </c>
      <c r="J9" t="n">
        <v>362</v>
      </c>
      <c r="K9" t="n">
        <v>277</v>
      </c>
      <c r="L9" t="n">
        <v>325</v>
      </c>
      <c r="M9" t="n">
        <v>447</v>
      </c>
      <c r="N9" t="n">
        <v>319</v>
      </c>
      <c r="O9" t="n">
        <v>364</v>
      </c>
      <c r="P9" t="n">
        <v>288</v>
      </c>
      <c r="Q9" t="n">
        <v>351</v>
      </c>
      <c r="R9" t="n">
        <v>484</v>
      </c>
      <c r="S9" t="n">
        <v>443</v>
      </c>
      <c r="T9" t="n">
        <v>499</v>
      </c>
      <c r="U9" t="n">
        <v>284</v>
      </c>
      <c r="V9" t="n">
        <v>320</v>
      </c>
      <c r="W9" t="n">
        <v>341</v>
      </c>
      <c r="X9" t="n">
        <v>422</v>
      </c>
      <c r="Y9" t="n">
        <v>300</v>
      </c>
      <c r="Z9" t="n">
        <v>427</v>
      </c>
      <c r="AA9" t="n">
        <v>475</v>
      </c>
      <c r="AB9" t="n">
        <v>691</v>
      </c>
      <c r="AC9" t="n">
        <v>539</v>
      </c>
      <c r="AD9" t="n">
        <v>476</v>
      </c>
      <c r="AE9" t="n">
        <v>452</v>
      </c>
      <c r="AF9" t="n">
        <v>577</v>
      </c>
    </row>
    <row r="10">
      <c r="A10" t="s">
        <v>46</v>
      </c>
      <c r="B10" t="s">
        <v>290</v>
      </c>
      <c r="C10" t="s">
        <v>236</v>
      </c>
      <c r="D10" t="s">
        <v>291</v>
      </c>
      <c r="E10" t="s">
        <v>237</v>
      </c>
      <c r="F10" t="n">
        <v>552</v>
      </c>
      <c r="G10" t="n">
        <v>355</v>
      </c>
      <c r="H10" t="n">
        <v>477</v>
      </c>
      <c r="I10" t="n">
        <v>480</v>
      </c>
      <c r="J10" t="n">
        <v>483</v>
      </c>
      <c r="K10" t="n">
        <v>427</v>
      </c>
      <c r="L10" t="n">
        <v>475</v>
      </c>
      <c r="M10" t="n">
        <v>674</v>
      </c>
      <c r="N10" t="n">
        <v>489</v>
      </c>
      <c r="O10" t="n">
        <v>513</v>
      </c>
      <c r="P10" t="n">
        <v>426</v>
      </c>
      <c r="Q10" t="n">
        <v>506</v>
      </c>
      <c r="R10" t="n">
        <v>682</v>
      </c>
      <c r="S10" t="n">
        <v>641</v>
      </c>
      <c r="T10" t="n">
        <v>709</v>
      </c>
      <c r="U10" t="n">
        <v>483</v>
      </c>
      <c r="V10" t="n">
        <v>511</v>
      </c>
      <c r="W10" t="n">
        <v>614</v>
      </c>
      <c r="X10" t="n">
        <v>755</v>
      </c>
      <c r="Y10" t="n">
        <v>602</v>
      </c>
      <c r="Z10" t="n">
        <v>708</v>
      </c>
      <c r="AA10" t="n">
        <v>765</v>
      </c>
      <c r="AB10" t="n">
        <v>1004</v>
      </c>
      <c r="AC10" t="n">
        <v>833</v>
      </c>
      <c r="AD10" t="n">
        <v>714</v>
      </c>
      <c r="AE10" t="n">
        <v>734</v>
      </c>
      <c r="AF10" t="n">
        <v>990</v>
      </c>
    </row>
    <row r="11">
      <c r="A11" t="s">
        <v>46</v>
      </c>
      <c r="B11" t="s">
        <v>292</v>
      </c>
      <c r="C11" t="s">
        <v>236</v>
      </c>
      <c r="D11" t="s">
        <v>293</v>
      </c>
      <c r="E11" t="s">
        <v>237</v>
      </c>
      <c r="F11" t="n">
        <v>110</v>
      </c>
      <c r="G11" t="n">
        <v>100</v>
      </c>
      <c r="H11" t="n">
        <v>104</v>
      </c>
      <c r="I11" t="n">
        <v>127</v>
      </c>
      <c r="J11" t="n">
        <v>121</v>
      </c>
      <c r="K11" t="n">
        <v>150</v>
      </c>
      <c r="L11" t="n">
        <v>150</v>
      </c>
      <c r="M11" t="n">
        <v>227</v>
      </c>
      <c r="N11" t="n">
        <v>170</v>
      </c>
      <c r="O11" t="n">
        <v>149</v>
      </c>
      <c r="P11" t="n">
        <v>138</v>
      </c>
      <c r="Q11" t="n">
        <v>155</v>
      </c>
      <c r="R11" t="n">
        <v>198</v>
      </c>
      <c r="S11" t="n">
        <v>198</v>
      </c>
      <c r="T11" t="n">
        <v>210</v>
      </c>
      <c r="U11" t="n">
        <v>199</v>
      </c>
      <c r="V11" t="n">
        <v>191</v>
      </c>
      <c r="W11" t="n">
        <v>273</v>
      </c>
      <c r="X11" t="n">
        <v>333</v>
      </c>
      <c r="Y11" t="n">
        <v>302</v>
      </c>
      <c r="Z11" t="n">
        <v>281</v>
      </c>
      <c r="AA11" t="n">
        <v>290</v>
      </c>
      <c r="AB11" t="n">
        <v>313</v>
      </c>
      <c r="AC11" t="n">
        <v>294</v>
      </c>
      <c r="AD11" t="n">
        <v>238</v>
      </c>
      <c r="AE11" t="n">
        <v>282</v>
      </c>
      <c r="AF11" t="n">
        <v>413</v>
      </c>
    </row>
    <row r="12">
      <c r="A12" t="s">
        <v>46</v>
      </c>
      <c r="B12" t="s">
        <v>294</v>
      </c>
      <c r="C12" t="s">
        <v>236</v>
      </c>
      <c r="D12" t="s">
        <v>295</v>
      </c>
      <c r="E12" t="s">
        <v>237</v>
      </c>
      <c r="F12" t="n">
        <v>234</v>
      </c>
      <c r="G12" t="n">
        <v>198</v>
      </c>
      <c r="H12" t="n">
        <v>246</v>
      </c>
      <c r="I12" t="n">
        <v>343</v>
      </c>
      <c r="J12" t="n">
        <v>353</v>
      </c>
      <c r="K12" t="n">
        <v>327</v>
      </c>
      <c r="L12" t="n">
        <v>306</v>
      </c>
      <c r="M12" t="n">
        <v>295</v>
      </c>
      <c r="N12" t="n">
        <v>313</v>
      </c>
      <c r="O12" t="n">
        <v>305</v>
      </c>
      <c r="P12" t="n">
        <v>329</v>
      </c>
      <c r="Q12" t="n">
        <v>365</v>
      </c>
      <c r="R12" t="n">
        <v>321</v>
      </c>
      <c r="S12" t="n">
        <v>340</v>
      </c>
      <c r="T12" t="n">
        <v>306</v>
      </c>
      <c r="U12" t="n">
        <v>240</v>
      </c>
      <c r="V12" t="n">
        <v>289</v>
      </c>
      <c r="W12" t="n">
        <v>257</v>
      </c>
      <c r="X12" t="n">
        <v>246</v>
      </c>
      <c r="Y12" t="n">
        <v>257</v>
      </c>
      <c r="Z12" t="n">
        <v>337</v>
      </c>
      <c r="AA12" t="n">
        <v>356</v>
      </c>
      <c r="AB12" t="n">
        <v>360</v>
      </c>
      <c r="AC12" t="n">
        <v>430</v>
      </c>
      <c r="AD12" t="n">
        <v>437</v>
      </c>
      <c r="AE12" t="n">
        <v>481</v>
      </c>
      <c r="AF12" t="n">
        <v>440</v>
      </c>
    </row>
    <row r="13">
      <c r="A13" t="s">
        <v>46</v>
      </c>
      <c r="B13" t="s">
        <v>296</v>
      </c>
      <c r="C13" t="s">
        <v>236</v>
      </c>
      <c r="D13" t="s">
        <v>297</v>
      </c>
      <c r="E13" t="s">
        <v>237</v>
      </c>
      <c r="F13" t="n">
        <v>576</v>
      </c>
      <c r="G13" t="n">
        <v>562</v>
      </c>
      <c r="H13" t="n">
        <v>693</v>
      </c>
      <c r="I13" t="n">
        <v>637</v>
      </c>
      <c r="J13" t="n">
        <v>472</v>
      </c>
      <c r="K13" t="n">
        <v>586</v>
      </c>
      <c r="L13" t="n">
        <v>585</v>
      </c>
      <c r="M13" t="n">
        <v>876</v>
      </c>
      <c r="N13" t="n">
        <v>620</v>
      </c>
      <c r="O13" t="n">
        <v>822</v>
      </c>
      <c r="P13" t="n">
        <v>531</v>
      </c>
      <c r="Q13" t="n">
        <v>514</v>
      </c>
      <c r="R13" t="n">
        <v>662</v>
      </c>
      <c r="S13" t="n">
        <v>795</v>
      </c>
      <c r="T13" t="n">
        <v>804</v>
      </c>
      <c r="U13" t="n">
        <v>629</v>
      </c>
      <c r="V13" t="n">
        <v>598</v>
      </c>
      <c r="W13" t="n">
        <v>896</v>
      </c>
      <c r="X13" t="n">
        <v>421</v>
      </c>
      <c r="Y13" t="n">
        <v>537</v>
      </c>
      <c r="Z13" t="n">
        <v>574</v>
      </c>
      <c r="AA13" t="n">
        <v>514</v>
      </c>
      <c r="AB13" t="n">
        <v>595</v>
      </c>
      <c r="AC13" t="n">
        <v>697</v>
      </c>
      <c r="AD13" t="n">
        <v>768</v>
      </c>
      <c r="AE13" t="n">
        <v>644</v>
      </c>
      <c r="AF13" t="n">
        <v>647</v>
      </c>
    </row>
    <row r="14">
      <c r="A14" t="s">
        <v>46</v>
      </c>
      <c r="B14" t="s">
        <v>298</v>
      </c>
      <c r="C14" t="s">
        <v>236</v>
      </c>
      <c r="D14" t="s">
        <v>299</v>
      </c>
      <c r="E14" t="s">
        <v>237</v>
      </c>
      <c r="F14" t="n">
        <v>769</v>
      </c>
      <c r="G14" t="n">
        <v>858</v>
      </c>
      <c r="H14" t="n">
        <v>1051</v>
      </c>
      <c r="I14" t="n">
        <v>1423</v>
      </c>
      <c r="J14" t="n">
        <v>1970</v>
      </c>
      <c r="K14" t="n">
        <v>2277</v>
      </c>
      <c r="L14" t="n">
        <v>2315</v>
      </c>
      <c r="M14" t="n">
        <v>2085</v>
      </c>
      <c r="N14" t="n">
        <v>2406</v>
      </c>
      <c r="O14" t="n">
        <v>2645</v>
      </c>
      <c r="P14" t="n">
        <v>2863</v>
      </c>
      <c r="Q14" t="n">
        <v>3006</v>
      </c>
      <c r="R14" t="n">
        <v>3067</v>
      </c>
      <c r="S14" t="n">
        <v>3522</v>
      </c>
      <c r="T14" t="n">
        <v>3273</v>
      </c>
      <c r="U14" t="n">
        <v>3425</v>
      </c>
      <c r="V14" t="n">
        <v>3153</v>
      </c>
      <c r="W14" t="n">
        <v>2112</v>
      </c>
      <c r="X14" t="n">
        <v>2062</v>
      </c>
      <c r="Y14" t="n">
        <v>2082</v>
      </c>
      <c r="Z14" t="n">
        <v>1757</v>
      </c>
      <c r="AA14" t="n">
        <v>1441</v>
      </c>
      <c r="AB14" t="n">
        <v>1485</v>
      </c>
      <c r="AC14" t="n">
        <v>1747</v>
      </c>
      <c r="AD14" t="n">
        <v>2406</v>
      </c>
      <c r="AE14" t="n">
        <v>2262</v>
      </c>
      <c r="AF14" t="n">
        <v>2449</v>
      </c>
    </row>
    <row r="15">
      <c r="A15" t="s">
        <v>46</v>
      </c>
      <c r="B15" t="s">
        <v>300</v>
      </c>
      <c r="C15" t="s">
        <v>236</v>
      </c>
      <c r="D15" t="s">
        <v>301</v>
      </c>
      <c r="E15" t="s">
        <v>237</v>
      </c>
      <c r="F15" t="n">
        <v>934</v>
      </c>
      <c r="G15" t="n">
        <v>1020</v>
      </c>
      <c r="H15" t="n">
        <v>1221</v>
      </c>
      <c r="I15" t="n">
        <v>1613</v>
      </c>
      <c r="J15" t="n">
        <v>2139</v>
      </c>
      <c r="K15" t="n">
        <v>2443</v>
      </c>
      <c r="L15" t="n">
        <v>2491</v>
      </c>
      <c r="M15" t="n">
        <v>2240</v>
      </c>
      <c r="N15" t="n">
        <v>2597</v>
      </c>
      <c r="O15" t="n">
        <v>2828</v>
      </c>
      <c r="P15" t="n">
        <v>3053</v>
      </c>
      <c r="Q15" t="n">
        <v>3202</v>
      </c>
      <c r="R15" t="n">
        <v>3322</v>
      </c>
      <c r="S15" t="n">
        <v>3859</v>
      </c>
      <c r="T15" t="n">
        <v>3603</v>
      </c>
      <c r="U15" t="n">
        <v>3798</v>
      </c>
      <c r="V15" t="n">
        <v>3497</v>
      </c>
      <c r="W15" t="n">
        <v>2489</v>
      </c>
      <c r="X15" t="n">
        <v>2360</v>
      </c>
      <c r="Y15" t="n">
        <v>2460</v>
      </c>
      <c r="Z15" t="n">
        <v>2170</v>
      </c>
      <c r="AA15" t="n">
        <v>1825</v>
      </c>
      <c r="AB15" t="n">
        <v>1538</v>
      </c>
      <c r="AC15" t="n">
        <v>2093</v>
      </c>
      <c r="AD15" t="n">
        <v>2789</v>
      </c>
      <c r="AE15" t="n">
        <v>2601</v>
      </c>
      <c r="AF15" t="n">
        <v>2786</v>
      </c>
    </row>
    <row r="16">
      <c r="A16" t="s">
        <v>46</v>
      </c>
      <c r="B16" t="s">
        <v>302</v>
      </c>
      <c r="C16" t="s">
        <v>236</v>
      </c>
      <c r="D16" t="s">
        <v>303</v>
      </c>
      <c r="E16" t="s">
        <v>237</v>
      </c>
      <c r="F16" t="n">
        <v>165</v>
      </c>
      <c r="G16" t="n">
        <v>162</v>
      </c>
      <c r="H16" t="n">
        <v>170</v>
      </c>
      <c r="I16" t="n">
        <v>190</v>
      </c>
      <c r="J16" t="n">
        <v>169</v>
      </c>
      <c r="K16" t="n">
        <v>166</v>
      </c>
      <c r="L16" t="n">
        <v>176</v>
      </c>
      <c r="M16" t="n">
        <v>155</v>
      </c>
      <c r="N16" t="n">
        <v>191</v>
      </c>
      <c r="O16" t="n">
        <v>183</v>
      </c>
      <c r="P16" t="n">
        <v>190</v>
      </c>
      <c r="Q16" t="n">
        <v>196</v>
      </c>
      <c r="R16" t="n">
        <v>255</v>
      </c>
      <c r="S16" t="n">
        <v>337</v>
      </c>
      <c r="T16" t="n">
        <v>330</v>
      </c>
      <c r="U16" t="n">
        <v>373</v>
      </c>
      <c r="V16" t="n">
        <v>344</v>
      </c>
      <c r="W16" t="n">
        <v>377</v>
      </c>
      <c r="X16" t="n">
        <v>298</v>
      </c>
      <c r="Y16" t="n">
        <v>378</v>
      </c>
      <c r="Z16" t="n">
        <v>413</v>
      </c>
      <c r="AA16" t="n">
        <v>384</v>
      </c>
      <c r="AB16" t="n">
        <v>53</v>
      </c>
      <c r="AC16" t="n">
        <v>346</v>
      </c>
      <c r="AD16" t="n">
        <v>383</v>
      </c>
      <c r="AE16" t="n">
        <v>339</v>
      </c>
      <c r="AF16" t="n">
        <v>337</v>
      </c>
    </row>
    <row r="17">
      <c r="A17" t="s">
        <v>46</v>
      </c>
      <c r="B17" t="s">
        <v>304</v>
      </c>
      <c r="C17" t="s">
        <v>236</v>
      </c>
      <c r="D17" t="s">
        <v>305</v>
      </c>
      <c r="E17" t="s">
        <v>237</v>
      </c>
      <c r="F17" t="n">
        <v>365</v>
      </c>
      <c r="G17" t="n">
        <v>371</v>
      </c>
      <c r="H17" t="n">
        <v>402</v>
      </c>
      <c r="I17" t="n">
        <v>401</v>
      </c>
      <c r="J17" t="n">
        <v>384</v>
      </c>
      <c r="K17" t="n">
        <v>397</v>
      </c>
      <c r="L17" t="n">
        <v>427</v>
      </c>
      <c r="M17" t="n">
        <v>390</v>
      </c>
      <c r="N17" t="n">
        <v>453</v>
      </c>
      <c r="O17" t="n">
        <v>351</v>
      </c>
      <c r="P17" t="n">
        <v>402</v>
      </c>
      <c r="Q17" t="n">
        <v>456</v>
      </c>
      <c r="R17" t="n">
        <v>511</v>
      </c>
      <c r="S17" t="n">
        <v>725</v>
      </c>
      <c r="T17" t="n">
        <v>749</v>
      </c>
      <c r="U17" t="n">
        <v>604</v>
      </c>
      <c r="V17" t="n">
        <v>679</v>
      </c>
      <c r="W17" t="n">
        <v>774</v>
      </c>
      <c r="X17" t="n">
        <v>763</v>
      </c>
      <c r="Y17" t="n">
        <v>854</v>
      </c>
      <c r="Z17" t="n">
        <v>887</v>
      </c>
      <c r="AA17" t="n">
        <v>882</v>
      </c>
      <c r="AB17" t="n">
        <v>926</v>
      </c>
      <c r="AC17" t="n">
        <v>1112</v>
      </c>
      <c r="AD17" t="n">
        <v>1101</v>
      </c>
      <c r="AE17" t="n">
        <v>1108</v>
      </c>
      <c r="AF17" t="n">
        <v>1074</v>
      </c>
    </row>
    <row r="18">
      <c r="A18" t="s">
        <v>46</v>
      </c>
      <c r="B18" t="s">
        <v>306</v>
      </c>
      <c r="C18" t="s">
        <v>236</v>
      </c>
      <c r="D18" t="s">
        <v>307</v>
      </c>
      <c r="E18" t="s">
        <v>237</v>
      </c>
      <c r="F18" t="n">
        <v>97</v>
      </c>
      <c r="G18" t="n">
        <v>87</v>
      </c>
      <c r="H18" t="n">
        <v>81</v>
      </c>
      <c r="I18" t="n">
        <v>120</v>
      </c>
      <c r="J18" t="n">
        <v>94</v>
      </c>
      <c r="K18" t="n">
        <v>86</v>
      </c>
      <c r="L18" t="n">
        <v>110</v>
      </c>
      <c r="M18" t="n">
        <v>90</v>
      </c>
      <c r="N18" t="n">
        <v>86</v>
      </c>
      <c r="O18" t="n">
        <v>96</v>
      </c>
      <c r="P18" t="n">
        <v>110</v>
      </c>
      <c r="Q18" t="n">
        <v>139</v>
      </c>
      <c r="R18" t="n">
        <v>109</v>
      </c>
      <c r="S18" t="n">
        <v>125</v>
      </c>
      <c r="T18" t="n">
        <v>139</v>
      </c>
      <c r="U18" t="n">
        <v>112</v>
      </c>
      <c r="V18" t="n">
        <v>142</v>
      </c>
      <c r="W18" t="n">
        <v>169</v>
      </c>
      <c r="X18" t="n">
        <v>181</v>
      </c>
      <c r="Y18" t="n">
        <v>96</v>
      </c>
      <c r="Z18" t="n">
        <v>115</v>
      </c>
      <c r="AA18" t="n">
        <v>142</v>
      </c>
      <c r="AB18" t="n">
        <v>241</v>
      </c>
      <c r="AC18" t="n">
        <v>286</v>
      </c>
      <c r="AD18" t="n">
        <v>182</v>
      </c>
      <c r="AE18" t="n">
        <v>210</v>
      </c>
      <c r="AF18" t="n">
        <v>256</v>
      </c>
    </row>
    <row r="19">
      <c r="A19" t="s">
        <v>46</v>
      </c>
      <c r="B19" t="s">
        <v>308</v>
      </c>
      <c r="C19" t="s">
        <v>236</v>
      </c>
      <c r="D19" t="s">
        <v>309</v>
      </c>
      <c r="E19" t="s">
        <v>237</v>
      </c>
      <c r="F19" t="n">
        <v>211</v>
      </c>
      <c r="G19" t="n">
        <v>207</v>
      </c>
      <c r="H19" t="n">
        <v>272</v>
      </c>
      <c r="I19" t="n">
        <v>293</v>
      </c>
      <c r="J19" t="n">
        <v>314</v>
      </c>
      <c r="K19" t="n">
        <v>341</v>
      </c>
      <c r="L19" t="n">
        <v>331</v>
      </c>
      <c r="M19" t="n">
        <v>341</v>
      </c>
      <c r="N19" t="n">
        <v>306</v>
      </c>
      <c r="O19" t="n">
        <v>279</v>
      </c>
      <c r="P19" t="n">
        <v>283</v>
      </c>
      <c r="Q19" t="n">
        <v>301</v>
      </c>
      <c r="R19" t="n">
        <v>340</v>
      </c>
      <c r="S19" t="n">
        <v>168</v>
      </c>
      <c r="T19" t="n">
        <v>114</v>
      </c>
      <c r="U19" t="n">
        <v>123</v>
      </c>
      <c r="V19" t="n">
        <v>126</v>
      </c>
      <c r="W19" t="n">
        <v>122</v>
      </c>
      <c r="X19" t="n">
        <v>97</v>
      </c>
      <c r="Y19" t="n">
        <v>105</v>
      </c>
      <c r="Z19" t="n">
        <v>128</v>
      </c>
      <c r="AA19" t="n">
        <v>186</v>
      </c>
      <c r="AB19" t="n">
        <v>146</v>
      </c>
      <c r="AC19" t="n">
        <v>192</v>
      </c>
      <c r="AD19" t="n">
        <v>193</v>
      </c>
      <c r="AE19" t="n">
        <v>233</v>
      </c>
      <c r="AF19" t="n">
        <v>317</v>
      </c>
    </row>
    <row r="20">
      <c r="A20" t="s">
        <v>46</v>
      </c>
      <c r="B20" t="s">
        <v>310</v>
      </c>
      <c r="C20" t="s">
        <v>236</v>
      </c>
      <c r="D20" t="s">
        <v>311</v>
      </c>
      <c r="E20" t="s">
        <v>237</v>
      </c>
      <c r="F20" t="n">
        <v>670</v>
      </c>
      <c r="G20" t="n">
        <v>644</v>
      </c>
      <c r="H20" t="n">
        <v>793</v>
      </c>
      <c r="I20" t="n">
        <v>657</v>
      </c>
      <c r="J20" t="n">
        <v>577</v>
      </c>
      <c r="K20" t="n">
        <v>703</v>
      </c>
      <c r="L20" t="n">
        <v>810</v>
      </c>
      <c r="M20" t="n">
        <v>808</v>
      </c>
      <c r="N20" t="n">
        <v>721</v>
      </c>
      <c r="O20" t="n">
        <v>1047</v>
      </c>
      <c r="P20" t="n">
        <v>978</v>
      </c>
      <c r="Q20" t="n">
        <v>977</v>
      </c>
      <c r="R20" t="n">
        <v>1067</v>
      </c>
      <c r="S20" t="n">
        <v>1438</v>
      </c>
      <c r="T20" t="n">
        <v>1704</v>
      </c>
      <c r="U20" t="n">
        <v>2332</v>
      </c>
      <c r="V20" t="n">
        <v>1988</v>
      </c>
      <c r="W20" t="n">
        <v>1720</v>
      </c>
      <c r="X20" t="n">
        <v>2057</v>
      </c>
      <c r="Y20" t="n">
        <v>2476</v>
      </c>
      <c r="Z20" t="n">
        <v>2582</v>
      </c>
      <c r="AA20" t="n">
        <v>3189</v>
      </c>
      <c r="AB20" t="n">
        <v>3524</v>
      </c>
      <c r="AC20" t="n">
        <v>2963</v>
      </c>
      <c r="AD20" t="n">
        <v>2168</v>
      </c>
      <c r="AE20" t="n">
        <v>2475</v>
      </c>
      <c r="AF20" t="n">
        <v>2702</v>
      </c>
    </row>
    <row r="21">
      <c r="A21" t="s">
        <v>46</v>
      </c>
      <c r="B21" t="s">
        <v>312</v>
      </c>
      <c r="C21" t="s">
        <v>236</v>
      </c>
      <c r="D21" t="s">
        <v>313</v>
      </c>
      <c r="E21" t="s">
        <v>237</v>
      </c>
      <c r="F21" t="n">
        <v>938</v>
      </c>
      <c r="G21" t="n">
        <v>924</v>
      </c>
      <c r="H21" t="n">
        <v>1095</v>
      </c>
      <c r="I21" t="n">
        <v>966</v>
      </c>
      <c r="J21" t="n">
        <v>910</v>
      </c>
      <c r="K21" t="n">
        <v>1044</v>
      </c>
      <c r="L21" t="n">
        <v>1110</v>
      </c>
      <c r="M21" t="n">
        <v>1189</v>
      </c>
      <c r="N21" t="n">
        <v>1129</v>
      </c>
      <c r="O21" t="n">
        <v>1419</v>
      </c>
      <c r="P21" t="n">
        <v>1395</v>
      </c>
      <c r="Q21" t="n">
        <v>1481</v>
      </c>
      <c r="R21" t="n">
        <v>1609</v>
      </c>
      <c r="S21" t="n">
        <v>2015</v>
      </c>
      <c r="T21" t="n">
        <v>2320</v>
      </c>
      <c r="U21" t="n">
        <v>3012</v>
      </c>
      <c r="V21" t="n">
        <v>2565</v>
      </c>
      <c r="W21" t="n">
        <v>2303</v>
      </c>
      <c r="X21" t="n">
        <v>2635</v>
      </c>
      <c r="Y21" t="n">
        <v>3057</v>
      </c>
      <c r="Z21" t="n">
        <v>3127</v>
      </c>
      <c r="AA21" t="n">
        <v>3860</v>
      </c>
      <c r="AB21" t="n">
        <v>4141</v>
      </c>
      <c r="AC21" t="n">
        <v>3714</v>
      </c>
      <c r="AD21" t="n">
        <v>2806</v>
      </c>
      <c r="AE21" t="n">
        <v>3457</v>
      </c>
      <c r="AF21" t="n">
        <v>3739</v>
      </c>
    </row>
    <row r="22">
      <c r="A22" t="s">
        <v>46</v>
      </c>
      <c r="B22" t="s">
        <v>314</v>
      </c>
      <c r="C22" t="s">
        <v>236</v>
      </c>
      <c r="D22" t="s">
        <v>315</v>
      </c>
      <c r="E22" t="s">
        <v>237</v>
      </c>
      <c r="F22" t="n">
        <v>268</v>
      </c>
      <c r="G22" t="n">
        <v>280</v>
      </c>
      <c r="H22" t="n">
        <v>302</v>
      </c>
      <c r="I22" t="n">
        <v>309</v>
      </c>
      <c r="J22" t="n">
        <v>333</v>
      </c>
      <c r="K22" t="n">
        <v>341</v>
      </c>
      <c r="L22" t="n">
        <v>300</v>
      </c>
      <c r="M22" t="n">
        <v>381</v>
      </c>
      <c r="N22" t="n">
        <v>408</v>
      </c>
      <c r="O22" t="n">
        <v>372</v>
      </c>
      <c r="P22" t="n">
        <v>417</v>
      </c>
      <c r="Q22" t="n">
        <v>504</v>
      </c>
      <c r="R22" t="n">
        <v>542</v>
      </c>
      <c r="S22" t="n">
        <v>577</v>
      </c>
      <c r="T22" t="n">
        <v>616</v>
      </c>
      <c r="U22" t="n">
        <v>680</v>
      </c>
      <c r="V22" t="n">
        <v>577</v>
      </c>
      <c r="W22" t="n">
        <v>583</v>
      </c>
      <c r="X22" t="n">
        <v>578</v>
      </c>
      <c r="Y22" t="n">
        <v>581</v>
      </c>
      <c r="Z22" t="n">
        <v>545</v>
      </c>
      <c r="AA22" t="n">
        <v>671</v>
      </c>
      <c r="AB22" t="n">
        <v>617</v>
      </c>
      <c r="AC22" t="n">
        <v>751</v>
      </c>
      <c r="AD22" t="n">
        <v>638</v>
      </c>
      <c r="AE22" t="n">
        <v>982</v>
      </c>
      <c r="AF22" t="n">
        <v>1037</v>
      </c>
    </row>
    <row r="23">
      <c r="A23" t="s">
        <v>46</v>
      </c>
      <c r="B23" t="s">
        <v>316</v>
      </c>
      <c r="C23" t="s">
        <v>236</v>
      </c>
      <c r="D23" t="s">
        <v>317</v>
      </c>
      <c r="E23" t="s">
        <v>237</v>
      </c>
      <c r="F23" t="n">
        <v>288</v>
      </c>
      <c r="G23" t="n">
        <v>289</v>
      </c>
      <c r="H23" t="n">
        <v>354</v>
      </c>
      <c r="I23" t="n">
        <v>355</v>
      </c>
      <c r="J23" t="n">
        <v>479</v>
      </c>
      <c r="K23" t="n">
        <v>539</v>
      </c>
      <c r="L23" t="n">
        <v>495</v>
      </c>
      <c r="M23" t="n">
        <v>520</v>
      </c>
      <c r="N23" t="n">
        <v>604</v>
      </c>
      <c r="O23" t="n">
        <v>607</v>
      </c>
      <c r="P23" t="n">
        <v>679</v>
      </c>
      <c r="Q23" t="n">
        <v>740</v>
      </c>
      <c r="R23" t="n">
        <v>825</v>
      </c>
      <c r="S23" t="n">
        <v>936</v>
      </c>
      <c r="T23" t="n">
        <v>715</v>
      </c>
      <c r="U23" t="n">
        <v>760</v>
      </c>
      <c r="V23" t="n">
        <v>798</v>
      </c>
      <c r="W23" t="n">
        <v>863</v>
      </c>
      <c r="X23" t="n">
        <v>790</v>
      </c>
      <c r="Y23" t="n">
        <v>806</v>
      </c>
      <c r="Z23" t="n">
        <v>817</v>
      </c>
      <c r="AA23" t="n">
        <v>947</v>
      </c>
      <c r="AB23" t="n">
        <v>1084</v>
      </c>
      <c r="AC23" t="n">
        <v>1182</v>
      </c>
      <c r="AD23" t="n">
        <v>1311</v>
      </c>
      <c r="AE23" t="n">
        <v>1381</v>
      </c>
      <c r="AF23" t="n">
        <v>1457</v>
      </c>
    </row>
    <row r="24">
      <c r="A24" t="s">
        <v>46</v>
      </c>
      <c r="B24" t="s">
        <v>318</v>
      </c>
      <c r="C24" t="s">
        <v>236</v>
      </c>
      <c r="D24" t="s">
        <v>319</v>
      </c>
      <c r="E24" t="s">
        <v>237</v>
      </c>
      <c r="F24" t="n">
        <v>724</v>
      </c>
      <c r="G24" t="n">
        <v>879</v>
      </c>
      <c r="H24" t="n">
        <v>1080</v>
      </c>
      <c r="I24" t="n">
        <v>1151</v>
      </c>
      <c r="J24" t="n">
        <v>1230</v>
      </c>
      <c r="K24" t="n">
        <v>1264</v>
      </c>
      <c r="L24" t="n">
        <v>1233</v>
      </c>
      <c r="M24" t="n">
        <v>1146</v>
      </c>
      <c r="N24" t="n">
        <v>1350</v>
      </c>
      <c r="O24" t="n">
        <v>1260</v>
      </c>
      <c r="P24" t="n">
        <v>1192</v>
      </c>
      <c r="Q24" t="n">
        <v>916</v>
      </c>
      <c r="R24" t="n">
        <v>1424</v>
      </c>
      <c r="S24" t="n">
        <v>1506</v>
      </c>
      <c r="T24" t="n">
        <v>1376</v>
      </c>
      <c r="U24" t="n">
        <v>1319</v>
      </c>
      <c r="V24" t="n">
        <v>1409</v>
      </c>
      <c r="W24" t="n">
        <v>1812</v>
      </c>
      <c r="X24" t="n">
        <v>1568</v>
      </c>
      <c r="Y24" t="n">
        <v>1621</v>
      </c>
      <c r="Z24" t="n">
        <v>1293</v>
      </c>
      <c r="AA24" t="n">
        <v>1817</v>
      </c>
      <c r="AB24" t="n">
        <v>1873</v>
      </c>
      <c r="AC24" t="n">
        <v>2040</v>
      </c>
      <c r="AD24" t="n">
        <v>1835</v>
      </c>
      <c r="AE24" t="n">
        <v>1806</v>
      </c>
      <c r="AF24" t="n">
        <v>2029</v>
      </c>
    </row>
    <row r="25">
      <c r="A25" t="s">
        <v>46</v>
      </c>
      <c r="B25" t="s">
        <v>320</v>
      </c>
      <c r="C25" t="s">
        <v>236</v>
      </c>
      <c r="D25" t="s">
        <v>321</v>
      </c>
      <c r="E25" t="s">
        <v>237</v>
      </c>
      <c r="F25" t="n">
        <v>82</v>
      </c>
      <c r="G25" t="n">
        <v>83</v>
      </c>
      <c r="H25" t="n">
        <v>122</v>
      </c>
      <c r="I25" t="n">
        <v>138</v>
      </c>
      <c r="J25" t="n">
        <v>150</v>
      </c>
      <c r="K25" t="n">
        <v>133</v>
      </c>
      <c r="L25" t="n">
        <v>136</v>
      </c>
      <c r="M25" t="n">
        <v>130</v>
      </c>
      <c r="N25" t="n">
        <v>143</v>
      </c>
      <c r="O25" t="n">
        <v>159</v>
      </c>
      <c r="P25" t="n">
        <v>140</v>
      </c>
      <c r="Q25" t="n">
        <v>172</v>
      </c>
      <c r="R25" t="n">
        <v>137</v>
      </c>
      <c r="S25" t="n">
        <v>189</v>
      </c>
      <c r="T25" t="n">
        <v>165</v>
      </c>
      <c r="U25" t="n">
        <v>203</v>
      </c>
      <c r="V25" t="n">
        <v>190</v>
      </c>
      <c r="W25" t="n">
        <v>195</v>
      </c>
      <c r="X25" t="n">
        <v>148</v>
      </c>
      <c r="Y25" t="n">
        <v>168</v>
      </c>
      <c r="Z25" t="n">
        <v>149</v>
      </c>
      <c r="AA25" t="n">
        <v>229</v>
      </c>
      <c r="AB25" t="n">
        <v>170</v>
      </c>
      <c r="AC25" t="n">
        <v>236</v>
      </c>
      <c r="AD25" t="n">
        <v>258</v>
      </c>
      <c r="AE25" t="n">
        <v>231</v>
      </c>
      <c r="AF25" t="n">
        <v>263</v>
      </c>
    </row>
    <row r="26">
      <c r="A26" t="s">
        <v>46</v>
      </c>
      <c r="B26" t="s">
        <v>322</v>
      </c>
      <c r="C26" t="s">
        <v>236</v>
      </c>
      <c r="D26" t="s">
        <v>323</v>
      </c>
      <c r="E26" t="s">
        <v>237</v>
      </c>
      <c r="F26" t="n">
        <v>323</v>
      </c>
      <c r="G26" t="n">
        <v>523</v>
      </c>
      <c r="H26" t="n">
        <v>601</v>
      </c>
      <c r="I26" t="n">
        <v>623</v>
      </c>
      <c r="J26" t="n">
        <v>633</v>
      </c>
      <c r="K26" t="n">
        <v>672</v>
      </c>
      <c r="L26" t="n">
        <v>670</v>
      </c>
      <c r="M26" t="n">
        <v>572</v>
      </c>
      <c r="N26" t="n">
        <v>622</v>
      </c>
      <c r="O26" t="n">
        <v>547</v>
      </c>
      <c r="P26" t="n">
        <v>596</v>
      </c>
      <c r="Q26" t="n">
        <v>359</v>
      </c>
      <c r="R26" t="n">
        <v>765</v>
      </c>
      <c r="S26" t="n">
        <v>783</v>
      </c>
      <c r="T26" t="n">
        <v>617</v>
      </c>
      <c r="U26" t="n">
        <v>551</v>
      </c>
      <c r="V26" t="n">
        <v>731</v>
      </c>
      <c r="W26" t="n">
        <v>930</v>
      </c>
      <c r="X26" t="n">
        <v>785</v>
      </c>
      <c r="Y26" t="n">
        <v>869</v>
      </c>
      <c r="Z26" t="n">
        <v>554</v>
      </c>
      <c r="AA26" t="n">
        <v>924</v>
      </c>
      <c r="AB26" t="n">
        <v>1039</v>
      </c>
      <c r="AC26" t="n">
        <v>1119</v>
      </c>
      <c r="AD26" t="n">
        <v>893</v>
      </c>
      <c r="AE26" t="n">
        <v>841</v>
      </c>
      <c r="AF26" t="n">
        <v>837</v>
      </c>
    </row>
    <row r="27">
      <c r="A27" t="s">
        <v>46</v>
      </c>
      <c r="B27" t="s">
        <v>324</v>
      </c>
      <c r="C27" t="s">
        <v>236</v>
      </c>
      <c r="D27" t="s">
        <v>325</v>
      </c>
      <c r="E27" t="s">
        <v>237</v>
      </c>
      <c r="F27" t="n">
        <v>319</v>
      </c>
      <c r="G27" t="n">
        <v>273</v>
      </c>
      <c r="H27" t="n">
        <v>357</v>
      </c>
      <c r="I27" t="n">
        <v>390</v>
      </c>
      <c r="J27" t="n">
        <v>447</v>
      </c>
      <c r="K27" t="n">
        <v>459</v>
      </c>
      <c r="L27" t="n">
        <v>427</v>
      </c>
      <c r="M27" t="n">
        <v>444</v>
      </c>
      <c r="N27" t="n">
        <v>585</v>
      </c>
      <c r="O27" t="n">
        <v>554</v>
      </c>
      <c r="P27" t="n">
        <v>456</v>
      </c>
      <c r="Q27" t="n">
        <v>385</v>
      </c>
      <c r="R27" t="n">
        <v>522</v>
      </c>
      <c r="S27" t="n">
        <v>534</v>
      </c>
      <c r="T27" t="n">
        <v>594</v>
      </c>
      <c r="U27" t="n">
        <v>565</v>
      </c>
      <c r="V27" t="n">
        <v>488</v>
      </c>
      <c r="W27" t="n">
        <v>687</v>
      </c>
      <c r="X27" t="n">
        <v>635</v>
      </c>
      <c r="Y27" t="n">
        <v>584</v>
      </c>
      <c r="Z27" t="n">
        <v>590</v>
      </c>
      <c r="AA27" t="n">
        <v>664</v>
      </c>
      <c r="AB27" t="n">
        <v>664</v>
      </c>
      <c r="AC27" t="n">
        <v>685</v>
      </c>
      <c r="AD27" t="n">
        <v>684</v>
      </c>
      <c r="AE27" t="n">
        <v>734</v>
      </c>
      <c r="AF27" t="n">
        <v>929</v>
      </c>
    </row>
    <row r="28">
      <c r="A28" t="s">
        <v>46</v>
      </c>
      <c r="B28" t="s">
        <v>326</v>
      </c>
      <c r="C28" t="s">
        <v>236</v>
      </c>
      <c r="D28" t="s">
        <v>327</v>
      </c>
      <c r="E28" t="s">
        <v>237</v>
      </c>
      <c r="F28" t="n">
        <v>998</v>
      </c>
      <c r="G28" t="n">
        <v>958</v>
      </c>
      <c r="H28" t="n">
        <v>1242</v>
      </c>
      <c r="I28" t="n">
        <v>1549</v>
      </c>
      <c r="J28" t="n">
        <v>1452</v>
      </c>
      <c r="K28" t="n">
        <v>1166</v>
      </c>
      <c r="L28" t="n">
        <v>1379</v>
      </c>
      <c r="M28" t="n">
        <v>1128</v>
      </c>
      <c r="N28" t="n">
        <v>1142</v>
      </c>
      <c r="O28" t="n">
        <v>1601</v>
      </c>
      <c r="P28" t="n">
        <v>1390</v>
      </c>
      <c r="Q28" t="n">
        <v>1578</v>
      </c>
      <c r="R28" t="n">
        <v>1669</v>
      </c>
      <c r="S28" t="n">
        <v>1473</v>
      </c>
      <c r="T28" t="n">
        <v>1696</v>
      </c>
      <c r="U28" t="n">
        <v>1277</v>
      </c>
      <c r="V28" t="n">
        <v>1488</v>
      </c>
      <c r="W28" t="n">
        <v>1395</v>
      </c>
      <c r="X28" t="n">
        <v>1471</v>
      </c>
      <c r="Y28" t="n">
        <v>1230</v>
      </c>
      <c r="Z28" t="n">
        <v>1396</v>
      </c>
      <c r="AA28" t="n">
        <v>2006</v>
      </c>
      <c r="AB28" t="n">
        <v>1893</v>
      </c>
      <c r="AC28" t="n">
        <v>2050</v>
      </c>
      <c r="AD28" t="n">
        <v>2279</v>
      </c>
      <c r="AE28" t="n">
        <v>1922</v>
      </c>
      <c r="AF28" t="n">
        <v>1662</v>
      </c>
    </row>
    <row r="29">
      <c r="A29" t="s">
        <v>46</v>
      </c>
      <c r="B29" t="s">
        <v>328</v>
      </c>
      <c r="C29" t="s">
        <v>236</v>
      </c>
      <c r="D29" t="s">
        <v>329</v>
      </c>
      <c r="E29" t="s">
        <v>237</v>
      </c>
      <c r="F29" t="n">
        <v>575</v>
      </c>
      <c r="G29" t="n">
        <v>559</v>
      </c>
      <c r="H29" t="n">
        <v>597</v>
      </c>
      <c r="I29" t="n">
        <v>694</v>
      </c>
      <c r="J29" t="n">
        <v>678</v>
      </c>
      <c r="K29" t="n">
        <v>607</v>
      </c>
      <c r="L29" t="n">
        <v>652</v>
      </c>
      <c r="M29" t="n">
        <v>640</v>
      </c>
      <c r="N29" t="n">
        <v>697</v>
      </c>
      <c r="O29" t="n">
        <v>754</v>
      </c>
      <c r="P29" t="n">
        <v>771</v>
      </c>
      <c r="Q29" t="n">
        <v>639</v>
      </c>
      <c r="R29" t="n">
        <v>587</v>
      </c>
      <c r="S29" t="n">
        <v>751</v>
      </c>
      <c r="T29" t="n">
        <v>660</v>
      </c>
      <c r="U29" t="n">
        <v>604</v>
      </c>
      <c r="V29" t="n">
        <v>725</v>
      </c>
      <c r="W29" t="n">
        <v>526</v>
      </c>
      <c r="X29" t="n">
        <v>570</v>
      </c>
      <c r="Y29" t="n">
        <v>625</v>
      </c>
      <c r="Z29" t="n">
        <v>695</v>
      </c>
      <c r="AA29" t="n">
        <v>848</v>
      </c>
      <c r="AB29" t="n">
        <v>836</v>
      </c>
      <c r="AC29" t="n">
        <v>871</v>
      </c>
      <c r="AD29" t="n">
        <v>978</v>
      </c>
      <c r="AE29" t="n">
        <v>920</v>
      </c>
      <c r="AF29" t="n">
        <v>961</v>
      </c>
    </row>
    <row r="30">
      <c r="A30" t="s">
        <v>46</v>
      </c>
      <c r="B30" t="s">
        <v>330</v>
      </c>
      <c r="C30" t="s">
        <v>236</v>
      </c>
      <c r="D30" t="s">
        <v>331</v>
      </c>
      <c r="E30" t="s">
        <v>237</v>
      </c>
      <c r="F30" t="n">
        <v>-3</v>
      </c>
      <c r="G30" t="n">
        <v>-10</v>
      </c>
      <c r="H30" t="n">
        <v>222</v>
      </c>
      <c r="I30" t="n">
        <v>200</v>
      </c>
      <c r="J30" t="n">
        <v>111</v>
      </c>
      <c r="K30" t="n">
        <v>27</v>
      </c>
      <c r="L30" t="n">
        <v>183</v>
      </c>
      <c r="M30" t="n">
        <v>89</v>
      </c>
      <c r="N30" t="n">
        <v>-38</v>
      </c>
      <c r="O30" t="n">
        <v>336</v>
      </c>
      <c r="P30" t="n">
        <v>112</v>
      </c>
      <c r="Q30" t="n">
        <v>240</v>
      </c>
      <c r="R30" t="n">
        <v>375</v>
      </c>
      <c r="S30" t="n">
        <v>17</v>
      </c>
      <c r="T30" t="n">
        <v>107</v>
      </c>
      <c r="U30" t="n">
        <v>61</v>
      </c>
      <c r="V30" t="n">
        <v>241</v>
      </c>
      <c r="W30" t="n">
        <v>346</v>
      </c>
      <c r="X30" t="n">
        <v>251</v>
      </c>
      <c r="Y30" t="n">
        <v>26</v>
      </c>
      <c r="Z30" t="n">
        <v>104</v>
      </c>
      <c r="AA30" t="n">
        <v>110</v>
      </c>
      <c r="AB30" t="n">
        <v>-49</v>
      </c>
      <c r="AC30" t="n">
        <v>190</v>
      </c>
      <c r="AD30" t="n">
        <v>153</v>
      </c>
      <c r="AE30" t="n">
        <v>107</v>
      </c>
      <c r="AF30" t="n">
        <v>39</v>
      </c>
    </row>
    <row r="31">
      <c r="A31" t="s">
        <v>46</v>
      </c>
      <c r="B31" t="s">
        <v>332</v>
      </c>
      <c r="C31" t="s">
        <v>236</v>
      </c>
      <c r="D31" t="s">
        <v>333</v>
      </c>
      <c r="E31" t="s">
        <v>237</v>
      </c>
      <c r="F31" t="n">
        <v>89</v>
      </c>
      <c r="G31" t="n">
        <v>112</v>
      </c>
      <c r="H31" t="n">
        <v>80</v>
      </c>
      <c r="I31" t="n">
        <v>141</v>
      </c>
      <c r="J31" t="n">
        <v>287</v>
      </c>
      <c r="K31" t="n">
        <v>157</v>
      </c>
      <c r="L31" t="n">
        <v>223</v>
      </c>
      <c r="M31" t="n">
        <v>74</v>
      </c>
      <c r="N31" t="n">
        <v>61</v>
      </c>
      <c r="O31" t="n">
        <v>136</v>
      </c>
      <c r="P31" t="n">
        <v>265</v>
      </c>
      <c r="Q31" t="n">
        <v>320</v>
      </c>
      <c r="R31" t="n">
        <v>292</v>
      </c>
      <c r="S31" t="n">
        <v>236</v>
      </c>
      <c r="T31" t="n">
        <v>405</v>
      </c>
      <c r="U31" t="n">
        <v>135</v>
      </c>
      <c r="V31" t="n">
        <v>98</v>
      </c>
      <c r="W31" t="n">
        <v>121</v>
      </c>
      <c r="X31" t="n">
        <v>301</v>
      </c>
      <c r="Y31" t="n">
        <v>105</v>
      </c>
      <c r="Z31" t="n">
        <v>152</v>
      </c>
      <c r="AA31" t="n">
        <v>383</v>
      </c>
      <c r="AB31" t="n">
        <v>399</v>
      </c>
      <c r="AC31" t="n">
        <v>271</v>
      </c>
      <c r="AD31" t="n">
        <v>412</v>
      </c>
      <c r="AE31" t="n">
        <v>161</v>
      </c>
      <c r="AF31" t="n">
        <v>-236</v>
      </c>
    </row>
    <row r="32">
      <c r="A32" t="s">
        <v>46</v>
      </c>
      <c r="B32" t="s">
        <v>334</v>
      </c>
      <c r="C32" t="s">
        <v>236</v>
      </c>
      <c r="D32" t="s">
        <v>335</v>
      </c>
      <c r="E32" t="s">
        <v>237</v>
      </c>
      <c r="F32" t="n">
        <v>275</v>
      </c>
      <c r="G32" t="n">
        <v>230</v>
      </c>
      <c r="H32" t="n">
        <v>253</v>
      </c>
      <c r="I32" t="n">
        <v>395</v>
      </c>
      <c r="J32" t="n">
        <v>264</v>
      </c>
      <c r="K32" t="n">
        <v>257</v>
      </c>
      <c r="L32" t="n">
        <v>231</v>
      </c>
      <c r="M32" t="n">
        <v>251</v>
      </c>
      <c r="N32" t="n">
        <v>349</v>
      </c>
      <c r="O32" t="n">
        <v>318</v>
      </c>
      <c r="P32" t="n">
        <v>200</v>
      </c>
      <c r="Q32" t="n">
        <v>307</v>
      </c>
      <c r="R32" t="n">
        <v>368</v>
      </c>
      <c r="S32" t="n">
        <v>382</v>
      </c>
      <c r="T32" t="n">
        <v>417</v>
      </c>
      <c r="U32" t="n">
        <v>391</v>
      </c>
      <c r="V32" t="n">
        <v>357</v>
      </c>
      <c r="W32" t="n">
        <v>307</v>
      </c>
      <c r="X32" t="n">
        <v>284</v>
      </c>
      <c r="Y32" t="n">
        <v>388</v>
      </c>
      <c r="Z32" t="n">
        <v>456</v>
      </c>
      <c r="AA32" t="n">
        <v>639</v>
      </c>
      <c r="AB32" t="n">
        <v>653</v>
      </c>
      <c r="AC32" t="n">
        <v>660</v>
      </c>
      <c r="AD32" t="n">
        <v>692</v>
      </c>
      <c r="AE32" t="n">
        <v>678</v>
      </c>
      <c r="AF32" t="n">
        <v>825</v>
      </c>
    </row>
    <row r="33">
      <c r="A33" t="s">
        <v>46</v>
      </c>
      <c r="B33" t="s">
        <v>336</v>
      </c>
      <c r="C33" t="s">
        <v>236</v>
      </c>
      <c r="D33" t="s">
        <v>337</v>
      </c>
      <c r="E33" t="s">
        <v>237</v>
      </c>
      <c r="F33" t="n">
        <v>62</v>
      </c>
      <c r="G33" t="n">
        <v>67</v>
      </c>
      <c r="H33" t="n">
        <v>90</v>
      </c>
      <c r="I33" t="n">
        <v>119</v>
      </c>
      <c r="J33" t="n">
        <v>112</v>
      </c>
      <c r="K33" t="n">
        <v>118</v>
      </c>
      <c r="L33" t="n">
        <v>90</v>
      </c>
      <c r="M33" t="n">
        <v>74</v>
      </c>
      <c r="N33" t="n">
        <v>73</v>
      </c>
      <c r="O33" t="n">
        <v>57</v>
      </c>
      <c r="P33" t="n">
        <v>42</v>
      </c>
      <c r="Q33" t="n">
        <v>72</v>
      </c>
      <c r="R33" t="n">
        <v>47</v>
      </c>
      <c r="S33" t="n">
        <v>87</v>
      </c>
      <c r="T33" t="n">
        <v>107</v>
      </c>
      <c r="U33" t="n">
        <v>86</v>
      </c>
      <c r="V33" t="n">
        <v>67</v>
      </c>
      <c r="W33" t="n">
        <v>95</v>
      </c>
      <c r="X33" t="n">
        <v>65</v>
      </c>
      <c r="Y33" t="n">
        <v>86</v>
      </c>
      <c r="Z33" t="n">
        <v>-11</v>
      </c>
      <c r="AA33" t="n">
        <v>26</v>
      </c>
      <c r="AB33" t="n">
        <v>54</v>
      </c>
      <c r="AC33" t="n">
        <v>58</v>
      </c>
      <c r="AD33" t="n">
        <v>44</v>
      </c>
      <c r="AE33" t="n">
        <v>56</v>
      </c>
      <c r="AF33" t="n">
        <v>73</v>
      </c>
    </row>
    <row r="34">
      <c r="A34" t="s">
        <v>46</v>
      </c>
      <c r="B34" t="s">
        <v>338</v>
      </c>
      <c r="C34" t="s">
        <v>236</v>
      </c>
      <c r="D34" t="s">
        <v>339</v>
      </c>
      <c r="E34" t="s">
        <v>237</v>
      </c>
      <c r="F34" t="n">
        <v>91</v>
      </c>
      <c r="G34" t="n">
        <v>107</v>
      </c>
      <c r="H34" t="n">
        <v>134</v>
      </c>
      <c r="I34" t="n">
        <v>157</v>
      </c>
      <c r="J34" t="n">
        <v>149</v>
      </c>
      <c r="K34" t="n">
        <v>140</v>
      </c>
      <c r="L34" t="n">
        <v>116</v>
      </c>
      <c r="M34" t="n">
        <v>149</v>
      </c>
      <c r="N34" t="n">
        <v>139</v>
      </c>
      <c r="O34" t="n">
        <v>149</v>
      </c>
      <c r="P34" t="n">
        <v>160</v>
      </c>
      <c r="Q34" t="n">
        <v>207</v>
      </c>
      <c r="R34" t="n">
        <v>202</v>
      </c>
      <c r="S34" t="n">
        <v>214</v>
      </c>
      <c r="T34" t="n">
        <v>204</v>
      </c>
      <c r="U34" t="n">
        <v>213</v>
      </c>
      <c r="V34" t="n">
        <v>189</v>
      </c>
      <c r="W34" t="n">
        <v>218</v>
      </c>
      <c r="X34" t="n">
        <v>166</v>
      </c>
      <c r="Y34" t="n">
        <v>184</v>
      </c>
      <c r="Z34" t="n">
        <v>196</v>
      </c>
      <c r="AA34" t="n">
        <v>255</v>
      </c>
      <c r="AB34" t="n">
        <v>259</v>
      </c>
      <c r="AC34" t="n">
        <v>313</v>
      </c>
      <c r="AD34" t="n">
        <v>308</v>
      </c>
      <c r="AE34" t="n">
        <v>316</v>
      </c>
      <c r="AF34" t="n">
        <v>319</v>
      </c>
    </row>
    <row r="35">
      <c r="A35" t="s">
        <v>46</v>
      </c>
      <c r="B35" t="s">
        <v>340</v>
      </c>
      <c r="C35" t="s">
        <v>236</v>
      </c>
      <c r="D35" t="s">
        <v>341</v>
      </c>
      <c r="E35" t="s">
        <v>237</v>
      </c>
      <c r="F35" t="n">
        <v>1088</v>
      </c>
      <c r="G35" t="n">
        <v>1140</v>
      </c>
      <c r="H35" t="n">
        <v>1253</v>
      </c>
      <c r="I35" t="n">
        <v>1362</v>
      </c>
      <c r="J35" t="n">
        <v>1557</v>
      </c>
      <c r="K35" t="n">
        <v>1689</v>
      </c>
      <c r="L35" t="n">
        <v>1751</v>
      </c>
      <c r="M35" t="n">
        <v>1689</v>
      </c>
      <c r="N35" t="n">
        <v>1488</v>
      </c>
      <c r="O35" t="n">
        <v>1269</v>
      </c>
      <c r="P35" t="n">
        <v>1439</v>
      </c>
      <c r="Q35" t="n">
        <v>1360</v>
      </c>
      <c r="R35" t="n">
        <v>1612</v>
      </c>
      <c r="S35" t="n">
        <v>1573</v>
      </c>
      <c r="T35" t="n">
        <v>1459</v>
      </c>
      <c r="U35" t="n">
        <v>1692</v>
      </c>
      <c r="V35" t="n">
        <v>1704</v>
      </c>
      <c r="W35" t="n">
        <v>1808</v>
      </c>
      <c r="X35" t="n">
        <v>1989</v>
      </c>
      <c r="Y35" t="n">
        <v>2238</v>
      </c>
      <c r="Z35" t="n">
        <v>2295</v>
      </c>
      <c r="AA35" t="n">
        <v>2251</v>
      </c>
      <c r="AB35" t="n">
        <v>2370</v>
      </c>
      <c r="AC35" t="n">
        <v>2922</v>
      </c>
      <c r="AD35" t="n">
        <v>2400</v>
      </c>
      <c r="AE35" t="n">
        <v>2781</v>
      </c>
      <c r="AF35" t="n">
        <v>2936</v>
      </c>
    </row>
    <row r="36">
      <c r="A36" t="s">
        <v>46</v>
      </c>
      <c r="B36" t="s">
        <v>342</v>
      </c>
      <c r="C36" t="s">
        <v>236</v>
      </c>
      <c r="D36" t="s">
        <v>343</v>
      </c>
      <c r="E36" t="s">
        <v>237</v>
      </c>
      <c r="F36" t="n">
        <v>275</v>
      </c>
      <c r="G36" t="n">
        <v>301</v>
      </c>
      <c r="H36" t="n">
        <v>371</v>
      </c>
      <c r="I36" t="n">
        <v>361</v>
      </c>
      <c r="J36" t="n">
        <v>300</v>
      </c>
      <c r="K36" t="n">
        <v>335</v>
      </c>
      <c r="L36" t="n">
        <v>362</v>
      </c>
      <c r="M36" t="n">
        <v>314</v>
      </c>
      <c r="N36" t="n">
        <v>320</v>
      </c>
      <c r="O36" t="n">
        <v>316</v>
      </c>
      <c r="P36" t="n">
        <v>353</v>
      </c>
      <c r="Q36" t="n">
        <v>352</v>
      </c>
      <c r="R36" t="n">
        <v>397</v>
      </c>
      <c r="S36" t="n">
        <v>358</v>
      </c>
      <c r="T36" t="n">
        <v>407</v>
      </c>
      <c r="U36" t="n">
        <v>523</v>
      </c>
      <c r="V36" t="n">
        <v>526</v>
      </c>
      <c r="W36" t="n">
        <v>564</v>
      </c>
      <c r="X36" t="n">
        <v>558</v>
      </c>
      <c r="Y36" t="n">
        <v>424</v>
      </c>
      <c r="Z36" t="n">
        <v>572</v>
      </c>
      <c r="AA36" t="n">
        <v>627</v>
      </c>
      <c r="AB36" t="n">
        <v>721</v>
      </c>
      <c r="AC36" t="n">
        <v>739</v>
      </c>
      <c r="AD36" t="n">
        <v>729</v>
      </c>
      <c r="AE36" t="n">
        <v>713</v>
      </c>
      <c r="AF36" t="n">
        <v>884</v>
      </c>
    </row>
    <row r="37">
      <c r="A37" t="s">
        <v>46</v>
      </c>
      <c r="B37" t="s">
        <v>344</v>
      </c>
      <c r="C37" t="s">
        <v>236</v>
      </c>
      <c r="D37" t="s">
        <v>345</v>
      </c>
      <c r="E37" t="s">
        <v>237</v>
      </c>
      <c r="F37" t="n">
        <v>648</v>
      </c>
      <c r="G37" t="n">
        <v>677</v>
      </c>
      <c r="H37" t="n">
        <v>700</v>
      </c>
      <c r="I37" t="n">
        <v>756</v>
      </c>
      <c r="J37" t="n">
        <v>934</v>
      </c>
      <c r="K37" t="n">
        <v>989</v>
      </c>
      <c r="L37" t="n">
        <v>972</v>
      </c>
      <c r="M37" t="n">
        <v>918</v>
      </c>
      <c r="N37" t="n">
        <v>696</v>
      </c>
      <c r="O37" t="n">
        <v>590</v>
      </c>
      <c r="P37" t="n">
        <v>562</v>
      </c>
      <c r="Q37" t="n">
        <v>497</v>
      </c>
      <c r="R37" t="n">
        <v>524</v>
      </c>
      <c r="S37" t="n">
        <v>581</v>
      </c>
      <c r="T37" t="n">
        <v>550</v>
      </c>
      <c r="U37" t="n">
        <v>611</v>
      </c>
      <c r="V37" t="n">
        <v>591</v>
      </c>
      <c r="W37" t="n">
        <v>555</v>
      </c>
      <c r="X37" t="n">
        <v>605</v>
      </c>
      <c r="Y37" t="n">
        <v>571</v>
      </c>
      <c r="Z37" t="n">
        <v>613</v>
      </c>
      <c r="AA37" t="n">
        <v>701</v>
      </c>
      <c r="AB37" t="n">
        <v>678</v>
      </c>
      <c r="AC37" t="n">
        <v>712</v>
      </c>
      <c r="AD37" t="n">
        <v>601</v>
      </c>
      <c r="AE37" t="n">
        <v>775</v>
      </c>
      <c r="AF37" t="n">
        <v>912</v>
      </c>
    </row>
    <row r="38">
      <c r="A38" t="s">
        <v>46</v>
      </c>
      <c r="B38" t="s">
        <v>346</v>
      </c>
      <c r="C38" t="s">
        <v>236</v>
      </c>
      <c r="D38" t="s">
        <v>347</v>
      </c>
      <c r="E38" t="s">
        <v>237</v>
      </c>
      <c r="F38" t="n">
        <v>165</v>
      </c>
      <c r="G38" t="n">
        <v>162</v>
      </c>
      <c r="H38" t="n">
        <v>182</v>
      </c>
      <c r="I38" t="n">
        <v>245</v>
      </c>
      <c r="J38" t="n">
        <v>323</v>
      </c>
      <c r="K38" t="n">
        <v>365</v>
      </c>
      <c r="L38" t="n">
        <v>417</v>
      </c>
      <c r="M38" t="n">
        <v>457</v>
      </c>
      <c r="N38" t="n">
        <v>472</v>
      </c>
      <c r="O38" t="n">
        <v>363</v>
      </c>
      <c r="P38" t="n">
        <v>524</v>
      </c>
      <c r="Q38" t="n">
        <v>511</v>
      </c>
      <c r="R38" t="n">
        <v>691</v>
      </c>
      <c r="S38" t="n">
        <v>634</v>
      </c>
      <c r="T38" t="n">
        <v>502</v>
      </c>
      <c r="U38" t="n">
        <v>558</v>
      </c>
      <c r="V38" t="n">
        <v>587</v>
      </c>
      <c r="W38" t="n">
        <v>689</v>
      </c>
      <c r="X38" t="n">
        <v>826</v>
      </c>
      <c r="Y38" t="n">
        <v>1243</v>
      </c>
      <c r="Z38" t="n">
        <v>1110</v>
      </c>
      <c r="AA38" t="n">
        <v>923</v>
      </c>
      <c r="AB38" t="n">
        <v>971</v>
      </c>
      <c r="AC38" t="n">
        <v>1471</v>
      </c>
      <c r="AD38" t="n">
        <v>1070</v>
      </c>
      <c r="AE38" t="n">
        <v>1293</v>
      </c>
      <c r="AF38" t="n">
        <v>1140</v>
      </c>
    </row>
    <row r="39">
      <c r="A39" t="s">
        <v>46</v>
      </c>
      <c r="B39" t="s">
        <v>348</v>
      </c>
      <c r="C39" t="s">
        <v>236</v>
      </c>
      <c r="D39" t="s">
        <v>349</v>
      </c>
      <c r="E39" t="s">
        <v>237</v>
      </c>
      <c r="F39" t="n">
        <v>42</v>
      </c>
      <c r="G39" t="n">
        <v>76</v>
      </c>
      <c r="H39" t="n">
        <v>-24</v>
      </c>
      <c r="I39" t="n">
        <v>166</v>
      </c>
      <c r="J39" t="n">
        <v>194</v>
      </c>
      <c r="K39" t="n">
        <v>298</v>
      </c>
      <c r="L39" t="n">
        <v>291</v>
      </c>
      <c r="M39" t="n">
        <v>343</v>
      </c>
      <c r="N39" t="n">
        <v>276</v>
      </c>
      <c r="O39" t="n">
        <v>222</v>
      </c>
      <c r="P39" t="n">
        <v>345</v>
      </c>
      <c r="Q39" t="n">
        <v>386</v>
      </c>
      <c r="R39" t="n">
        <v>587</v>
      </c>
      <c r="S39" t="n">
        <v>643</v>
      </c>
      <c r="T39" t="n">
        <v>615</v>
      </c>
      <c r="U39" t="n">
        <v>438</v>
      </c>
      <c r="V39" t="n">
        <v>467</v>
      </c>
      <c r="W39" t="n">
        <v>431</v>
      </c>
      <c r="X39" t="n">
        <v>420</v>
      </c>
      <c r="Y39" t="n">
        <v>527</v>
      </c>
      <c r="Z39" t="n">
        <v>519</v>
      </c>
      <c r="AA39" t="n">
        <v>618</v>
      </c>
      <c r="AB39" t="n">
        <v>684</v>
      </c>
      <c r="AC39" t="n">
        <v>576</v>
      </c>
      <c r="AD39" t="n">
        <v>703</v>
      </c>
      <c r="AE39" t="n">
        <v>528</v>
      </c>
      <c r="AF39" t="n">
        <v>482</v>
      </c>
    </row>
    <row r="40">
      <c r="A40" t="s">
        <v>46</v>
      </c>
      <c r="B40" t="s">
        <v>350</v>
      </c>
      <c r="C40" t="s">
        <v>236</v>
      </c>
      <c r="D40" t="s">
        <v>351</v>
      </c>
      <c r="E40" t="s">
        <v>237</v>
      </c>
      <c r="F40" t="n">
        <v>4639</v>
      </c>
      <c r="G40" t="n">
        <v>5538</v>
      </c>
      <c r="H40" t="n">
        <v>5947</v>
      </c>
      <c r="I40" t="n">
        <v>7316</v>
      </c>
      <c r="J40" t="n">
        <v>8603</v>
      </c>
      <c r="K40" t="n">
        <v>10271</v>
      </c>
      <c r="L40" t="n">
        <v>10716</v>
      </c>
      <c r="M40" t="n">
        <v>10773</v>
      </c>
      <c r="N40" t="n">
        <v>11071</v>
      </c>
      <c r="O40" t="n">
        <v>12334</v>
      </c>
      <c r="P40" t="n">
        <v>13766</v>
      </c>
      <c r="Q40" t="n">
        <v>14923</v>
      </c>
      <c r="R40" t="n">
        <v>16976</v>
      </c>
      <c r="S40" t="n">
        <v>17466</v>
      </c>
      <c r="T40" t="n">
        <v>14985</v>
      </c>
      <c r="U40" t="n">
        <v>16621</v>
      </c>
      <c r="V40" t="n">
        <v>17170</v>
      </c>
      <c r="W40" t="n">
        <v>17524</v>
      </c>
      <c r="X40" t="n">
        <v>17279</v>
      </c>
      <c r="Y40" t="n">
        <v>16176</v>
      </c>
      <c r="Z40" t="n">
        <v>17197</v>
      </c>
      <c r="AA40" t="n">
        <v>18557</v>
      </c>
      <c r="AB40" t="n">
        <v>19626</v>
      </c>
      <c r="AC40" t="n">
        <v>21735</v>
      </c>
      <c r="AD40" t="n">
        <v>22522</v>
      </c>
      <c r="AE40" t="n">
        <v>22319</v>
      </c>
      <c r="AF40" t="n">
        <v>22298</v>
      </c>
    </row>
    <row r="41">
      <c r="A41" t="s">
        <v>46</v>
      </c>
      <c r="B41" t="s">
        <v>352</v>
      </c>
      <c r="C41" t="s">
        <v>236</v>
      </c>
      <c r="D41" t="s">
        <v>353</v>
      </c>
      <c r="E41" t="s">
        <v>237</v>
      </c>
      <c r="F41" t="n">
        <v>3000</v>
      </c>
      <c r="G41" t="n">
        <v>3239</v>
      </c>
      <c r="H41" t="n">
        <v>3620</v>
      </c>
      <c r="I41" t="n">
        <v>4377</v>
      </c>
      <c r="J41" t="n">
        <v>5256</v>
      </c>
      <c r="K41" t="n">
        <v>5702</v>
      </c>
      <c r="L41" t="n">
        <v>5443</v>
      </c>
      <c r="M41" t="n">
        <v>5762</v>
      </c>
      <c r="N41" t="n">
        <v>6445</v>
      </c>
      <c r="O41" t="n">
        <v>7297</v>
      </c>
      <c r="P41" t="n">
        <v>7975</v>
      </c>
      <c r="Q41" t="n">
        <v>8843</v>
      </c>
      <c r="R41" t="n">
        <v>9269</v>
      </c>
      <c r="S41" t="n">
        <v>8883</v>
      </c>
      <c r="T41" t="n">
        <v>8259</v>
      </c>
      <c r="U41" t="n">
        <v>10087</v>
      </c>
      <c r="V41" t="n">
        <v>10337</v>
      </c>
      <c r="W41" t="n">
        <v>10454</v>
      </c>
      <c r="X41" t="n">
        <v>10380</v>
      </c>
      <c r="Y41" t="n">
        <v>9999</v>
      </c>
      <c r="Z41" t="n">
        <v>10065</v>
      </c>
      <c r="AA41" t="n">
        <v>11107</v>
      </c>
      <c r="AB41" t="n">
        <v>11465</v>
      </c>
      <c r="AC41" t="n">
        <v>12368</v>
      </c>
      <c r="AD41" t="n">
        <v>12632</v>
      </c>
      <c r="AE41" t="n">
        <v>12594</v>
      </c>
      <c r="AF41" t="n">
        <v>12955</v>
      </c>
    </row>
    <row r="42">
      <c r="A42" t="s">
        <v>46</v>
      </c>
      <c r="B42" t="s">
        <v>354</v>
      </c>
      <c r="C42" t="s">
        <v>236</v>
      </c>
      <c r="D42" t="s">
        <v>355</v>
      </c>
      <c r="E42" t="s">
        <v>237</v>
      </c>
      <c r="F42" t="n">
        <v>609</v>
      </c>
      <c r="G42" t="n">
        <v>643</v>
      </c>
      <c r="H42" t="n">
        <v>729</v>
      </c>
      <c r="I42" t="n">
        <v>781</v>
      </c>
      <c r="J42" t="n">
        <v>864</v>
      </c>
      <c r="K42" t="n">
        <v>901</v>
      </c>
      <c r="L42" t="n">
        <v>911</v>
      </c>
      <c r="M42" t="n">
        <v>1057</v>
      </c>
      <c r="N42" t="n">
        <v>993</v>
      </c>
      <c r="O42" t="n">
        <v>1035</v>
      </c>
      <c r="P42" t="n">
        <v>1069</v>
      </c>
      <c r="Q42" t="n">
        <v>1102</v>
      </c>
      <c r="R42" t="n">
        <v>1238</v>
      </c>
      <c r="S42" t="n">
        <v>1216</v>
      </c>
      <c r="T42" t="n">
        <v>1089</v>
      </c>
      <c r="U42" t="n">
        <v>1281</v>
      </c>
      <c r="V42" t="n">
        <v>1368</v>
      </c>
      <c r="W42" t="n">
        <v>1275</v>
      </c>
      <c r="X42" t="n">
        <v>1200</v>
      </c>
      <c r="Y42" t="n">
        <v>1215</v>
      </c>
      <c r="Z42" t="n">
        <v>1238</v>
      </c>
      <c r="AA42" t="n">
        <v>1172</v>
      </c>
      <c r="AB42" t="n">
        <v>1189</v>
      </c>
      <c r="AC42" t="n">
        <v>1351</v>
      </c>
      <c r="AD42" t="n">
        <v>1563</v>
      </c>
      <c r="AE42" t="n">
        <v>1482</v>
      </c>
      <c r="AF42" t="n">
        <v>1775</v>
      </c>
    </row>
    <row r="43">
      <c r="A43" t="s">
        <v>46</v>
      </c>
      <c r="B43" t="s">
        <v>356</v>
      </c>
      <c r="C43" t="s">
        <v>236</v>
      </c>
      <c r="D43" t="s">
        <v>357</v>
      </c>
      <c r="E43" t="s">
        <v>237</v>
      </c>
      <c r="F43" t="n">
        <v>800</v>
      </c>
      <c r="G43" t="n">
        <v>915</v>
      </c>
      <c r="H43" t="n">
        <v>945</v>
      </c>
      <c r="I43" t="n">
        <v>1065</v>
      </c>
      <c r="J43" t="n">
        <v>1152</v>
      </c>
      <c r="K43" t="n">
        <v>1273</v>
      </c>
      <c r="L43" t="n">
        <v>1242</v>
      </c>
      <c r="M43" t="n">
        <v>1480</v>
      </c>
      <c r="N43" t="n">
        <v>1481</v>
      </c>
      <c r="O43" t="n">
        <v>1498</v>
      </c>
      <c r="P43" t="n">
        <v>1546</v>
      </c>
      <c r="Q43" t="n">
        <v>1711</v>
      </c>
      <c r="R43" t="n">
        <v>1846</v>
      </c>
      <c r="S43" t="n">
        <v>1949</v>
      </c>
      <c r="T43" t="n">
        <v>1612</v>
      </c>
      <c r="U43" t="n">
        <v>1831</v>
      </c>
      <c r="V43" t="n">
        <v>1966</v>
      </c>
      <c r="W43" t="n">
        <v>1886</v>
      </c>
      <c r="X43" t="n">
        <v>1786</v>
      </c>
      <c r="Y43" t="n">
        <v>1836</v>
      </c>
      <c r="Z43" t="n">
        <v>1802</v>
      </c>
      <c r="AA43" t="n">
        <v>1852</v>
      </c>
      <c r="AB43" t="n">
        <v>1947</v>
      </c>
      <c r="AC43" t="n">
        <v>2165</v>
      </c>
      <c r="AD43" t="n">
        <v>2420</v>
      </c>
      <c r="AE43" t="n">
        <v>2257</v>
      </c>
      <c r="AF43" t="n">
        <v>3011</v>
      </c>
    </row>
    <row r="44">
      <c r="A44" t="s">
        <v>46</v>
      </c>
      <c r="B44" t="s">
        <v>358</v>
      </c>
      <c r="C44" t="s">
        <v>236</v>
      </c>
      <c r="D44" t="s">
        <v>359</v>
      </c>
      <c r="E44" t="s">
        <v>237</v>
      </c>
      <c r="F44" t="n">
        <v>11200</v>
      </c>
      <c r="G44" t="n">
        <v>11811</v>
      </c>
      <c r="H44" t="n">
        <v>13178</v>
      </c>
      <c r="I44" t="n">
        <v>14647</v>
      </c>
      <c r="J44" t="n">
        <v>15061</v>
      </c>
      <c r="K44" t="n">
        <v>15754</v>
      </c>
      <c r="L44" t="n">
        <v>16957</v>
      </c>
      <c r="M44" t="n">
        <v>16376</v>
      </c>
      <c r="N44" t="n">
        <v>16670</v>
      </c>
      <c r="O44" t="n">
        <v>16900</v>
      </c>
      <c r="P44" t="n">
        <v>17320</v>
      </c>
      <c r="Q44" t="n">
        <v>18047</v>
      </c>
      <c r="R44" t="n">
        <v>20999</v>
      </c>
      <c r="S44" t="n">
        <v>22002</v>
      </c>
      <c r="T44" t="n">
        <v>20458</v>
      </c>
      <c r="U44" t="n">
        <v>20431</v>
      </c>
      <c r="V44" t="n">
        <v>20473</v>
      </c>
      <c r="W44" t="n">
        <v>20475</v>
      </c>
      <c r="X44" t="n">
        <v>20223</v>
      </c>
      <c r="Y44" t="n">
        <v>20647</v>
      </c>
      <c r="Z44" t="n">
        <v>20548</v>
      </c>
      <c r="AA44" t="n">
        <v>22940</v>
      </c>
      <c r="AB44" t="n">
        <v>24586</v>
      </c>
      <c r="AC44" t="n">
        <v>25410</v>
      </c>
      <c r="AD44" t="n">
        <v>25008</v>
      </c>
      <c r="AE44" t="n">
        <v>25245</v>
      </c>
      <c r="AF44" t="n">
        <v>27900</v>
      </c>
    </row>
    <row r="45">
      <c r="A45" t="s">
        <v>46</v>
      </c>
      <c r="B45" t="s">
        <v>360</v>
      </c>
      <c r="C45" t="s">
        <v>236</v>
      </c>
      <c r="D45" t="s">
        <v>361</v>
      </c>
      <c r="E45" t="s">
        <v>237</v>
      </c>
      <c r="F45" t="n">
        <v>10121</v>
      </c>
      <c r="G45" t="n">
        <v>10844</v>
      </c>
      <c r="H45" t="n">
        <v>11996</v>
      </c>
      <c r="I45" t="n">
        <v>13352</v>
      </c>
      <c r="J45" t="n">
        <v>13713</v>
      </c>
      <c r="K45" t="n">
        <v>14466</v>
      </c>
      <c r="L45" t="n">
        <v>15583</v>
      </c>
      <c r="M45" t="n">
        <v>14936</v>
      </c>
      <c r="N45" t="n">
        <v>15237</v>
      </c>
      <c r="O45" t="n">
        <v>15530</v>
      </c>
      <c r="P45" t="n">
        <v>15903</v>
      </c>
      <c r="Q45" t="n">
        <v>16593</v>
      </c>
      <c r="R45" t="n">
        <v>19357</v>
      </c>
      <c r="S45" t="n">
        <v>20351</v>
      </c>
      <c r="T45" t="n">
        <v>18844</v>
      </c>
      <c r="U45" t="n">
        <v>18879</v>
      </c>
      <c r="V45" t="n">
        <v>18884</v>
      </c>
      <c r="W45" t="n">
        <v>18699</v>
      </c>
      <c r="X45" t="n">
        <v>18211</v>
      </c>
      <c r="Y45" t="n">
        <v>18836</v>
      </c>
      <c r="Z45" t="n">
        <v>19206</v>
      </c>
      <c r="AA45" t="n">
        <v>21475</v>
      </c>
      <c r="AB45" t="n">
        <v>23012</v>
      </c>
      <c r="AC45" t="n">
        <v>23904</v>
      </c>
      <c r="AD45" t="n">
        <v>23434</v>
      </c>
      <c r="AE45" t="n">
        <v>23650</v>
      </c>
      <c r="AF45" t="n">
        <v>26364</v>
      </c>
    </row>
    <row r="46">
      <c r="A46" t="s">
        <v>46</v>
      </c>
      <c r="B46" t="s">
        <v>362</v>
      </c>
      <c r="C46" t="s">
        <v>236</v>
      </c>
      <c r="D46" t="s">
        <v>363</v>
      </c>
      <c r="E46" t="s">
        <v>237</v>
      </c>
      <c r="F46" t="n">
        <v>191</v>
      </c>
      <c r="G46" t="n">
        <v>272</v>
      </c>
      <c r="H46" t="n">
        <v>216</v>
      </c>
      <c r="I46" t="n">
        <v>284</v>
      </c>
      <c r="J46" t="n">
        <v>288</v>
      </c>
      <c r="K46" t="n">
        <v>372</v>
      </c>
      <c r="L46" t="n">
        <v>331</v>
      </c>
      <c r="M46" t="n">
        <v>423</v>
      </c>
      <c r="N46" t="n">
        <v>488</v>
      </c>
      <c r="O46" t="n">
        <v>463</v>
      </c>
      <c r="P46" t="n">
        <v>477</v>
      </c>
      <c r="Q46" t="n">
        <v>609</v>
      </c>
      <c r="R46" t="n">
        <v>608</v>
      </c>
      <c r="S46" t="n">
        <v>733</v>
      </c>
      <c r="T46" t="n">
        <v>523</v>
      </c>
      <c r="U46" t="n">
        <v>550</v>
      </c>
      <c r="V46" t="n">
        <v>598</v>
      </c>
      <c r="W46" t="n">
        <v>611</v>
      </c>
      <c r="X46" t="n">
        <v>586</v>
      </c>
      <c r="Y46" t="n">
        <v>621</v>
      </c>
      <c r="Z46" t="n">
        <v>564</v>
      </c>
      <c r="AA46" t="n">
        <v>680</v>
      </c>
      <c r="AB46" t="n">
        <v>758</v>
      </c>
      <c r="AC46" t="n">
        <v>814</v>
      </c>
      <c r="AD46" t="n">
        <v>857</v>
      </c>
      <c r="AE46" t="n">
        <v>775</v>
      </c>
      <c r="AF46" t="n">
        <v>1236</v>
      </c>
    </row>
    <row r="47">
      <c r="A47" t="s">
        <v>46</v>
      </c>
      <c r="B47" t="s">
        <v>364</v>
      </c>
      <c r="C47" t="s">
        <v>236</v>
      </c>
      <c r="D47" t="s">
        <v>365</v>
      </c>
      <c r="E47" t="s">
        <v>237</v>
      </c>
      <c r="F47" t="n">
        <v>1865</v>
      </c>
      <c r="G47" t="n">
        <v>1962</v>
      </c>
      <c r="H47" t="n">
        <v>2231</v>
      </c>
      <c r="I47" t="n">
        <v>2520</v>
      </c>
      <c r="J47" t="n">
        <v>2505</v>
      </c>
      <c r="K47" t="n">
        <v>2390</v>
      </c>
      <c r="L47" t="n">
        <v>2245</v>
      </c>
      <c r="M47" t="n">
        <v>2507</v>
      </c>
      <c r="N47" t="n">
        <v>2681</v>
      </c>
      <c r="O47" t="n">
        <v>2815</v>
      </c>
      <c r="P47" t="n">
        <v>2963</v>
      </c>
      <c r="Q47" t="n">
        <v>2618</v>
      </c>
      <c r="R47" t="n">
        <v>2558</v>
      </c>
      <c r="S47" t="n">
        <v>3083</v>
      </c>
      <c r="T47" t="n">
        <v>3205</v>
      </c>
      <c r="U47" t="n">
        <v>3191</v>
      </c>
      <c r="V47" t="n">
        <v>3001</v>
      </c>
      <c r="W47" t="n">
        <v>3501</v>
      </c>
      <c r="X47" t="n">
        <v>3637</v>
      </c>
      <c r="Y47" t="n">
        <v>3901</v>
      </c>
      <c r="Z47" t="n">
        <v>3412</v>
      </c>
      <c r="AA47" t="n">
        <v>3640</v>
      </c>
      <c r="AB47" t="n">
        <v>3714</v>
      </c>
      <c r="AC47" t="n">
        <v>4045</v>
      </c>
      <c r="AD47" t="n">
        <v>4116</v>
      </c>
      <c r="AE47" t="n">
        <v>4883</v>
      </c>
      <c r="AF47" t="n">
        <v>3939</v>
      </c>
    </row>
    <row r="48">
      <c r="A48" t="s">
        <v>46</v>
      </c>
      <c r="B48" t="s">
        <v>366</v>
      </c>
      <c r="C48" t="s">
        <v>236</v>
      </c>
      <c r="D48" t="s">
        <v>367</v>
      </c>
      <c r="E48" t="s">
        <v>237</v>
      </c>
      <c r="F48" t="n">
        <v>3210</v>
      </c>
      <c r="G48" t="n">
        <v>3551</v>
      </c>
      <c r="H48" t="n">
        <v>4083</v>
      </c>
      <c r="I48" t="n">
        <v>4233</v>
      </c>
      <c r="J48" t="n">
        <v>4306</v>
      </c>
      <c r="K48" t="n">
        <v>4231</v>
      </c>
      <c r="L48" t="n">
        <v>4342</v>
      </c>
      <c r="M48" t="n">
        <v>4958</v>
      </c>
      <c r="N48" t="n">
        <v>5232</v>
      </c>
      <c r="O48" t="n">
        <v>5363</v>
      </c>
      <c r="P48" t="n">
        <v>5399</v>
      </c>
      <c r="Q48" t="n">
        <v>5285</v>
      </c>
      <c r="R48" t="n">
        <v>5436</v>
      </c>
      <c r="S48" t="n">
        <v>6082</v>
      </c>
      <c r="T48" t="n">
        <v>6416</v>
      </c>
      <c r="U48" t="n">
        <v>6595</v>
      </c>
      <c r="V48" t="n">
        <v>6409</v>
      </c>
      <c r="W48" t="n">
        <v>6958</v>
      </c>
      <c r="X48" t="n">
        <v>7224</v>
      </c>
      <c r="Y48" t="n">
        <v>7596</v>
      </c>
      <c r="Z48" t="n">
        <v>7037</v>
      </c>
      <c r="AA48" t="n">
        <v>7666</v>
      </c>
      <c r="AB48" t="n">
        <v>7998</v>
      </c>
      <c r="AC48" t="n">
        <v>8425</v>
      </c>
      <c r="AD48" t="n">
        <v>8910</v>
      </c>
      <c r="AE48" t="n">
        <v>10024</v>
      </c>
      <c r="AF48" t="n">
        <v>9078</v>
      </c>
    </row>
    <row r="49">
      <c r="A49" t="s">
        <v>46</v>
      </c>
      <c r="B49" t="s">
        <v>368</v>
      </c>
      <c r="C49" t="s">
        <v>236</v>
      </c>
      <c r="D49" t="s">
        <v>369</v>
      </c>
      <c r="E49" t="s">
        <v>237</v>
      </c>
      <c r="F49" t="n">
        <v>935</v>
      </c>
      <c r="G49" t="n">
        <v>1104</v>
      </c>
      <c r="H49" t="n">
        <v>1340</v>
      </c>
      <c r="I49" t="n">
        <v>1230</v>
      </c>
      <c r="J49" t="n">
        <v>1287</v>
      </c>
      <c r="K49" t="n">
        <v>1248</v>
      </c>
      <c r="L49" t="n">
        <v>1429</v>
      </c>
      <c r="M49" t="n">
        <v>1665</v>
      </c>
      <c r="N49" t="n">
        <v>1763</v>
      </c>
      <c r="O49" t="n">
        <v>1776</v>
      </c>
      <c r="P49" t="n">
        <v>1649</v>
      </c>
      <c r="Q49" t="n">
        <v>1730</v>
      </c>
      <c r="R49" t="n">
        <v>1842</v>
      </c>
      <c r="S49" t="n">
        <v>1891</v>
      </c>
      <c r="T49" t="n">
        <v>1977</v>
      </c>
      <c r="U49" t="n">
        <v>2227</v>
      </c>
      <c r="V49" t="n">
        <v>2267</v>
      </c>
      <c r="W49" t="n">
        <v>2129</v>
      </c>
      <c r="X49" t="n">
        <v>2165</v>
      </c>
      <c r="Y49" t="n">
        <v>2285</v>
      </c>
      <c r="Z49" t="n">
        <v>2384</v>
      </c>
      <c r="AA49" t="n">
        <v>2531</v>
      </c>
      <c r="AB49" t="n">
        <v>2592</v>
      </c>
      <c r="AC49" t="n">
        <v>2672</v>
      </c>
      <c r="AD49" t="n">
        <v>2949</v>
      </c>
      <c r="AE49" t="n">
        <v>3176</v>
      </c>
      <c r="AF49" t="n">
        <v>3146</v>
      </c>
    </row>
    <row r="50">
      <c r="A50" t="s">
        <v>46</v>
      </c>
      <c r="B50" t="s">
        <v>370</v>
      </c>
      <c r="C50" t="s">
        <v>236</v>
      </c>
      <c r="D50" t="s">
        <v>371</v>
      </c>
      <c r="E50" t="s">
        <v>237</v>
      </c>
      <c r="F50" t="n">
        <v>410</v>
      </c>
      <c r="G50" t="n">
        <v>485</v>
      </c>
      <c r="H50" t="n">
        <v>512</v>
      </c>
      <c r="I50" t="n">
        <v>483</v>
      </c>
      <c r="J50" t="n">
        <v>514</v>
      </c>
      <c r="K50" t="n">
        <v>593</v>
      </c>
      <c r="L50" t="n">
        <v>668</v>
      </c>
      <c r="M50" t="n">
        <v>786</v>
      </c>
      <c r="N50" t="n">
        <v>788</v>
      </c>
      <c r="O50" t="n">
        <v>772</v>
      </c>
      <c r="P50" t="n">
        <v>787</v>
      </c>
      <c r="Q50" t="n">
        <v>937</v>
      </c>
      <c r="R50" t="n">
        <v>1036</v>
      </c>
      <c r="S50" t="n">
        <v>1108</v>
      </c>
      <c r="T50" t="n">
        <v>1234</v>
      </c>
      <c r="U50" t="n">
        <v>1177</v>
      </c>
      <c r="V50" t="n">
        <v>1141</v>
      </c>
      <c r="W50" t="n">
        <v>1328</v>
      </c>
      <c r="X50" t="n">
        <v>1422</v>
      </c>
      <c r="Y50" t="n">
        <v>1410</v>
      </c>
      <c r="Z50" t="n">
        <v>1241</v>
      </c>
      <c r="AA50" t="n">
        <v>1495</v>
      </c>
      <c r="AB50" t="n">
        <v>1692</v>
      </c>
      <c r="AC50" t="n">
        <v>1708</v>
      </c>
      <c r="AD50" t="n">
        <v>1845</v>
      </c>
      <c r="AE50" t="n">
        <v>1965</v>
      </c>
      <c r="AF50" t="n">
        <v>1993</v>
      </c>
    </row>
    <row r="51">
      <c r="A51" t="s">
        <v>46</v>
      </c>
      <c r="B51" t="s">
        <v>372</v>
      </c>
      <c r="C51" t="s">
        <v>236</v>
      </c>
      <c r="D51" t="s">
        <v>373</v>
      </c>
      <c r="E51" t="s">
        <v>237</v>
      </c>
      <c r="F51" t="n">
        <v>262</v>
      </c>
      <c r="G51" t="n">
        <v>282</v>
      </c>
      <c r="H51" t="n">
        <v>323</v>
      </c>
      <c r="I51" t="n">
        <v>305</v>
      </c>
      <c r="J51" t="n">
        <v>317</v>
      </c>
      <c r="K51" t="n">
        <v>366</v>
      </c>
      <c r="L51" t="n">
        <v>415</v>
      </c>
      <c r="M51" t="n">
        <v>524</v>
      </c>
      <c r="N51" t="n">
        <v>507</v>
      </c>
      <c r="O51" t="n">
        <v>495</v>
      </c>
      <c r="P51" t="n">
        <v>530</v>
      </c>
      <c r="Q51" t="n">
        <v>648</v>
      </c>
      <c r="R51" t="n">
        <v>653</v>
      </c>
      <c r="S51" t="n">
        <v>671</v>
      </c>
      <c r="T51" t="n">
        <v>794</v>
      </c>
      <c r="U51" t="n">
        <v>751</v>
      </c>
      <c r="V51" t="n">
        <v>746</v>
      </c>
      <c r="W51" t="n">
        <v>888</v>
      </c>
      <c r="X51" t="n">
        <v>960</v>
      </c>
      <c r="Y51" t="n">
        <v>935</v>
      </c>
      <c r="Z51" t="n">
        <v>810</v>
      </c>
      <c r="AA51" t="n">
        <v>996</v>
      </c>
      <c r="AB51" t="n">
        <v>1209</v>
      </c>
      <c r="AC51" t="n">
        <v>1238</v>
      </c>
      <c r="AD51" t="n">
        <v>1315</v>
      </c>
      <c r="AE51" t="n">
        <v>1408</v>
      </c>
      <c r="AF51" t="n">
        <v>1444</v>
      </c>
    </row>
    <row r="52">
      <c r="A52" t="s">
        <v>46</v>
      </c>
      <c r="B52" t="s">
        <v>374</v>
      </c>
      <c r="C52" t="s">
        <v>236</v>
      </c>
      <c r="D52" t="s">
        <v>375</v>
      </c>
      <c r="E52" t="s">
        <v>237</v>
      </c>
      <c r="F52" t="n">
        <v>148</v>
      </c>
      <c r="G52" t="n">
        <v>203</v>
      </c>
      <c r="H52" t="n">
        <v>189</v>
      </c>
      <c r="I52" t="n">
        <v>178</v>
      </c>
      <c r="J52" t="n">
        <v>197</v>
      </c>
      <c r="K52" t="n">
        <v>227</v>
      </c>
      <c r="L52" t="n">
        <v>253</v>
      </c>
      <c r="M52" t="n">
        <v>262</v>
      </c>
      <c r="N52" t="n">
        <v>281</v>
      </c>
      <c r="O52" t="n">
        <v>277</v>
      </c>
      <c r="P52" t="n">
        <v>257</v>
      </c>
      <c r="Q52" t="n">
        <v>289</v>
      </c>
      <c r="R52" t="n">
        <v>383</v>
      </c>
      <c r="S52" t="n">
        <v>437</v>
      </c>
      <c r="T52" t="n">
        <v>440</v>
      </c>
      <c r="U52" t="n">
        <v>426</v>
      </c>
      <c r="V52" t="n">
        <v>395</v>
      </c>
      <c r="W52" t="n">
        <v>440</v>
      </c>
      <c r="X52" t="n">
        <v>462</v>
      </c>
      <c r="Y52" t="n">
        <v>475</v>
      </c>
      <c r="Z52" t="n">
        <v>431</v>
      </c>
      <c r="AA52" t="n">
        <v>499</v>
      </c>
      <c r="AB52" t="n">
        <v>483</v>
      </c>
      <c r="AC52" t="n">
        <v>470</v>
      </c>
      <c r="AD52" t="n">
        <v>530</v>
      </c>
      <c r="AE52" t="n">
        <v>557</v>
      </c>
      <c r="AF52" t="n">
        <v>549</v>
      </c>
    </row>
    <row r="53">
      <c r="A53" t="s">
        <v>46</v>
      </c>
      <c r="B53" t="s">
        <v>376</v>
      </c>
      <c r="C53" t="s">
        <v>236</v>
      </c>
      <c r="D53" t="s">
        <v>377</v>
      </c>
      <c r="E53" t="s">
        <v>237</v>
      </c>
      <c r="F53" t="n">
        <v>265</v>
      </c>
      <c r="G53" t="n">
        <v>342</v>
      </c>
      <c r="H53" t="n">
        <v>396</v>
      </c>
      <c r="I53" t="n">
        <v>371</v>
      </c>
      <c r="J53" t="n">
        <v>269</v>
      </c>
      <c r="K53" t="n">
        <v>366</v>
      </c>
      <c r="L53" t="n">
        <v>359</v>
      </c>
      <c r="M53" t="n">
        <v>384</v>
      </c>
      <c r="N53" t="n">
        <v>456</v>
      </c>
      <c r="O53" t="n">
        <v>420</v>
      </c>
      <c r="P53" t="n">
        <v>402</v>
      </c>
      <c r="Q53" t="n">
        <v>466</v>
      </c>
      <c r="R53" t="n">
        <v>527</v>
      </c>
      <c r="S53" t="n">
        <v>510</v>
      </c>
      <c r="T53" t="n">
        <v>521</v>
      </c>
      <c r="U53" t="n">
        <v>518</v>
      </c>
      <c r="V53" t="n">
        <v>522</v>
      </c>
      <c r="W53" t="n">
        <v>604</v>
      </c>
      <c r="X53" t="n">
        <v>600</v>
      </c>
      <c r="Y53" t="n">
        <v>569</v>
      </c>
      <c r="Z53" t="n">
        <v>643</v>
      </c>
      <c r="AA53" t="n">
        <v>746</v>
      </c>
      <c r="AB53" t="n">
        <v>801</v>
      </c>
      <c r="AC53" t="n">
        <v>961</v>
      </c>
      <c r="AD53" t="n">
        <v>961</v>
      </c>
      <c r="AE53" t="n">
        <v>902</v>
      </c>
      <c r="AF53" t="n">
        <v>825</v>
      </c>
    </row>
    <row r="54">
      <c r="A54" t="s">
        <v>46</v>
      </c>
      <c r="B54" t="s">
        <v>378</v>
      </c>
      <c r="C54" t="s">
        <v>236</v>
      </c>
      <c r="D54" t="s">
        <v>379</v>
      </c>
      <c r="E54" t="s">
        <v>237</v>
      </c>
      <c r="F54" t="n">
        <v>383</v>
      </c>
      <c r="G54" t="n">
        <v>468</v>
      </c>
      <c r="H54" t="n">
        <v>555</v>
      </c>
      <c r="I54" t="n">
        <v>553</v>
      </c>
      <c r="J54" t="n">
        <v>475</v>
      </c>
      <c r="K54" t="n">
        <v>546</v>
      </c>
      <c r="L54" t="n">
        <v>543</v>
      </c>
      <c r="M54" t="n">
        <v>563</v>
      </c>
      <c r="N54" t="n">
        <v>670</v>
      </c>
      <c r="O54" t="n">
        <v>651</v>
      </c>
      <c r="P54" t="n">
        <v>620</v>
      </c>
      <c r="Q54" t="n">
        <v>665</v>
      </c>
      <c r="R54" t="n">
        <v>758</v>
      </c>
      <c r="S54" t="n">
        <v>782</v>
      </c>
      <c r="T54" t="n">
        <v>802</v>
      </c>
      <c r="U54" t="n">
        <v>814</v>
      </c>
      <c r="V54" t="n">
        <v>774</v>
      </c>
      <c r="W54" t="n">
        <v>845</v>
      </c>
      <c r="X54" t="n">
        <v>827</v>
      </c>
      <c r="Y54" t="n">
        <v>795</v>
      </c>
      <c r="Z54" t="n">
        <v>889</v>
      </c>
      <c r="AA54" t="n">
        <v>983</v>
      </c>
      <c r="AB54" t="n">
        <v>1028</v>
      </c>
      <c r="AC54" t="n">
        <v>1189</v>
      </c>
      <c r="AD54" t="n">
        <v>1209</v>
      </c>
      <c r="AE54" t="n">
        <v>1148</v>
      </c>
      <c r="AF54" t="n">
        <v>1154</v>
      </c>
    </row>
    <row r="55">
      <c r="A55" t="s">
        <v>46</v>
      </c>
      <c r="B55" t="s">
        <v>380</v>
      </c>
      <c r="C55" t="s">
        <v>236</v>
      </c>
      <c r="D55" t="s">
        <v>381</v>
      </c>
      <c r="E55" t="s">
        <v>237</v>
      </c>
      <c r="F55" t="n">
        <v>118</v>
      </c>
      <c r="G55" t="n">
        <v>126</v>
      </c>
      <c r="H55" t="n">
        <v>159</v>
      </c>
      <c r="I55" t="n">
        <v>182</v>
      </c>
      <c r="J55" t="n">
        <v>206</v>
      </c>
      <c r="K55" t="n">
        <v>180</v>
      </c>
      <c r="L55" t="n">
        <v>184</v>
      </c>
      <c r="M55" t="n">
        <v>179</v>
      </c>
      <c r="N55" t="n">
        <v>214</v>
      </c>
      <c r="O55" t="n">
        <v>231</v>
      </c>
      <c r="P55" t="n">
        <v>218</v>
      </c>
      <c r="Q55" t="n">
        <v>199</v>
      </c>
      <c r="R55" t="n">
        <v>231</v>
      </c>
      <c r="S55" t="n">
        <v>272</v>
      </c>
      <c r="T55" t="n">
        <v>281</v>
      </c>
      <c r="U55" t="n">
        <v>296</v>
      </c>
      <c r="V55" t="n">
        <v>252</v>
      </c>
      <c r="W55" t="n">
        <v>241</v>
      </c>
      <c r="X55" t="n">
        <v>227</v>
      </c>
      <c r="Y55" t="n">
        <v>226</v>
      </c>
      <c r="Z55" t="n">
        <v>246</v>
      </c>
      <c r="AA55" t="n">
        <v>237</v>
      </c>
      <c r="AB55" t="n">
        <v>227</v>
      </c>
      <c r="AC55" t="n">
        <v>228</v>
      </c>
      <c r="AD55" t="n">
        <v>248</v>
      </c>
      <c r="AE55" t="n">
        <v>246</v>
      </c>
      <c r="AF55" t="n">
        <v>329</v>
      </c>
    </row>
    <row r="56">
      <c r="A56" t="s">
        <v>46</v>
      </c>
      <c r="B56" t="s">
        <v>382</v>
      </c>
      <c r="C56" t="s">
        <v>236</v>
      </c>
      <c r="D56" t="s">
        <v>383</v>
      </c>
      <c r="E56" t="s">
        <v>237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46</v>
      </c>
      <c r="B57" t="s">
        <v>384</v>
      </c>
      <c r="C57" t="s">
        <v>236</v>
      </c>
      <c r="D57" t="s">
        <v>385</v>
      </c>
      <c r="E57" t="s">
        <v>237</v>
      </c>
      <c r="F57" t="n">
        <v>19049</v>
      </c>
      <c r="G57" t="n">
        <v>20900</v>
      </c>
      <c r="H57" t="n">
        <v>23208</v>
      </c>
      <c r="I57" t="n">
        <v>26196</v>
      </c>
      <c r="J57" t="n">
        <v>27970</v>
      </c>
      <c r="K57" t="n">
        <v>30256</v>
      </c>
      <c r="L57" t="n">
        <v>32015</v>
      </c>
      <c r="M57" t="n">
        <v>32107</v>
      </c>
      <c r="N57" t="n">
        <v>32973</v>
      </c>
      <c r="O57" t="n">
        <v>34597</v>
      </c>
      <c r="P57" t="n">
        <v>36485</v>
      </c>
      <c r="Q57" t="n">
        <v>38255</v>
      </c>
      <c r="R57" t="n">
        <v>43411</v>
      </c>
      <c r="S57" t="n">
        <v>45550</v>
      </c>
      <c r="T57" t="n">
        <v>41859</v>
      </c>
      <c r="U57" t="n">
        <v>43647</v>
      </c>
      <c r="V57" t="n">
        <v>44052</v>
      </c>
      <c r="W57" t="n">
        <v>44957</v>
      </c>
      <c r="X57" t="n">
        <v>44726</v>
      </c>
      <c r="Y57" t="n">
        <v>44419</v>
      </c>
      <c r="Z57" t="n">
        <v>44782</v>
      </c>
      <c r="AA57" t="n">
        <v>49163</v>
      </c>
      <c r="AB57" t="n">
        <v>52210</v>
      </c>
      <c r="AC57" t="n">
        <v>55570</v>
      </c>
      <c r="AD57" t="n">
        <v>56440</v>
      </c>
      <c r="AE57" t="n">
        <v>57588</v>
      </c>
      <c r="AF57" t="n">
        <v>59276</v>
      </c>
    </row>
    <row r="58">
      <c r="A58" t="s">
        <v>46</v>
      </c>
      <c r="B58" t="s">
        <v>386</v>
      </c>
      <c r="C58" t="s">
        <v>236</v>
      </c>
      <c r="D58" t="s">
        <v>387</v>
      </c>
      <c r="E58" t="s">
        <v>237</v>
      </c>
      <c r="F58" t="n">
        <v>19049</v>
      </c>
      <c r="G58" t="n">
        <v>20900</v>
      </c>
      <c r="H58" t="n">
        <v>23208</v>
      </c>
      <c r="I58" t="n">
        <v>26196</v>
      </c>
      <c r="J58" t="n">
        <v>27970</v>
      </c>
      <c r="K58" t="n">
        <v>30256</v>
      </c>
      <c r="L58" t="n">
        <v>32015</v>
      </c>
      <c r="M58" t="n">
        <v>32107</v>
      </c>
      <c r="N58" t="n">
        <v>32973</v>
      </c>
      <c r="O58" t="n">
        <v>34597</v>
      </c>
      <c r="P58" t="n">
        <v>36485</v>
      </c>
      <c r="Q58" t="n">
        <v>38255</v>
      </c>
      <c r="R58" t="n">
        <v>43411</v>
      </c>
      <c r="S58" t="n">
        <v>45550</v>
      </c>
      <c r="T58" t="n">
        <v>41859</v>
      </c>
      <c r="U58" t="n">
        <v>43647</v>
      </c>
      <c r="V58" t="n">
        <v>44052</v>
      </c>
      <c r="W58" t="n">
        <v>44957</v>
      </c>
      <c r="X58" t="n">
        <v>44726</v>
      </c>
      <c r="Y58" t="n">
        <v>44419</v>
      </c>
      <c r="Z58" t="n">
        <v>44782</v>
      </c>
      <c r="AA58" t="n">
        <v>49163</v>
      </c>
      <c r="AB58" t="n">
        <v>52210</v>
      </c>
      <c r="AC58" t="n">
        <v>55570</v>
      </c>
      <c r="AD58" t="n">
        <v>56440</v>
      </c>
      <c r="AE58" t="n">
        <v>57588</v>
      </c>
      <c r="AF58" t="n">
        <v>59276</v>
      </c>
    </row>
    <row r="59">
      <c r="A59" t="s">
        <v>46</v>
      </c>
      <c r="B59" t="s">
        <v>388</v>
      </c>
      <c r="C59" t="s">
        <v>236</v>
      </c>
      <c r="D59" t="s">
        <v>389</v>
      </c>
      <c r="E59" t="s">
        <v>237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72</v>
      </c>
      <c r="B2" t="s">
        <v>197</v>
      </c>
      <c r="C2" t="s">
        <v>236</v>
      </c>
      <c r="D2" t="s">
        <v>199</v>
      </c>
      <c r="E2" t="s">
        <v>237</v>
      </c>
      <c r="F2" t="n">
        <v>394.192149876479</v>
      </c>
      <c r="G2" t="n">
        <v>321.193603603057</v>
      </c>
      <c r="H2" t="n">
        <v>263.837602959654</v>
      </c>
      <c r="I2" t="n">
        <v>218.608299595142</v>
      </c>
      <c r="J2" t="n">
        <v>180.03036437247</v>
      </c>
      <c r="K2" t="n">
        <v>155.480769230769</v>
      </c>
      <c r="L2" t="n">
        <v>138.205128205128</v>
      </c>
      <c r="M2" t="n">
        <v>125.641025641026</v>
      </c>
      <c r="N2" t="n">
        <v>107.692307692308</v>
      </c>
      <c r="O2" t="n">
        <v>107.692307692308</v>
      </c>
      <c r="P2" t="n">
        <v>107.692307692308</v>
      </c>
      <c r="Q2" t="n">
        <v>107.692307692308</v>
      </c>
      <c r="R2" t="n">
        <v>107.692307692308</v>
      </c>
      <c r="S2" t="n">
        <v>107.692307692308</v>
      </c>
      <c r="T2" t="n">
        <v>100</v>
      </c>
      <c r="U2" t="n">
        <v>100</v>
      </c>
      <c r="V2" t="n">
        <v>100</v>
      </c>
      <c r="W2" t="n">
        <v>100</v>
      </c>
      <c r="X2" t="n">
        <v>100</v>
      </c>
      <c r="Y2" t="n">
        <v>100</v>
      </c>
      <c r="Z2" t="n">
        <v>100</v>
      </c>
      <c r="AA2" t="n">
        <v>100</v>
      </c>
      <c r="AB2" t="n">
        <v>100</v>
      </c>
      <c r="AC2" t="n">
        <v>100</v>
      </c>
      <c r="AD2" t="n">
        <v>100</v>
      </c>
      <c r="AE2" t="n">
        <v>100</v>
      </c>
      <c r="AF2" t="n">
        <v>100</v>
      </c>
    </row>
    <row r="3">
      <c r="A3" t="s">
        <v>72</v>
      </c>
      <c r="B3" t="s">
        <v>276</v>
      </c>
      <c r="C3" t="s">
        <v>236</v>
      </c>
      <c r="D3" t="s">
        <v>277</v>
      </c>
      <c r="E3" t="s">
        <v>237</v>
      </c>
      <c r="F3" t="e">
        <v>#NUM!</v>
      </c>
      <c r="G3" t="e">
        <v>#NUM!</v>
      </c>
      <c r="H3" t="e">
        <v>#NUM!</v>
      </c>
      <c r="I3" t="e">
        <v>#NUM!</v>
      </c>
      <c r="J3" t="e">
        <v>#NUM!</v>
      </c>
      <c r="K3" t="e">
        <v>#NUM!</v>
      </c>
      <c r="L3" t="e">
        <v>#NUM!</v>
      </c>
      <c r="M3" t="e">
        <v>#NUM!</v>
      </c>
      <c r="N3" t="e">
        <v>#NUM!</v>
      </c>
      <c r="O3" t="e">
        <v>#NUM!</v>
      </c>
      <c r="P3" t="e">
        <v>#NUM!</v>
      </c>
      <c r="Q3" t="e">
        <v>#NUM!</v>
      </c>
      <c r="R3" t="n">
        <v>0</v>
      </c>
      <c r="S3" t="n">
        <v>100</v>
      </c>
      <c r="T3" t="n">
        <v>100</v>
      </c>
      <c r="U3" t="n">
        <v>100</v>
      </c>
      <c r="V3" t="n">
        <v>100</v>
      </c>
      <c r="W3" t="n">
        <v>100</v>
      </c>
      <c r="X3" t="n">
        <v>100</v>
      </c>
      <c r="Y3" t="n">
        <v>100</v>
      </c>
      <c r="Z3" t="n">
        <v>100</v>
      </c>
      <c r="AA3" t="n">
        <v>100</v>
      </c>
      <c r="AB3" t="n">
        <v>100</v>
      </c>
      <c r="AC3" t="n">
        <v>100</v>
      </c>
      <c r="AD3" t="n">
        <v>100</v>
      </c>
      <c r="AE3" t="n">
        <v>100</v>
      </c>
      <c r="AF3" t="n">
        <v>100</v>
      </c>
    </row>
    <row r="4">
      <c r="A4" t="s">
        <v>72</v>
      </c>
      <c r="B4" t="s">
        <v>278</v>
      </c>
      <c r="C4" t="s">
        <v>236</v>
      </c>
      <c r="D4" t="s">
        <v>279</v>
      </c>
      <c r="E4" t="s">
        <v>237</v>
      </c>
      <c r="F4" t="n">
        <v>584.876301759787</v>
      </c>
      <c r="G4" t="n">
        <v>493.414164036034</v>
      </c>
      <c r="H4" t="n">
        <v>429.747820289449</v>
      </c>
      <c r="I4" t="n">
        <v>362.437920726041</v>
      </c>
      <c r="J4" t="n">
        <v>306.547960987913</v>
      </c>
      <c r="K4" t="n">
        <v>268.47991354497</v>
      </c>
      <c r="L4" t="n">
        <v>234.534177349629</v>
      </c>
      <c r="M4" t="n">
        <v>204.465693074035</v>
      </c>
      <c r="N4" t="n">
        <v>178.313104425031</v>
      </c>
      <c r="O4" t="n">
        <v>166.809033171803</v>
      </c>
      <c r="P4" t="n">
        <v>151.981563556532</v>
      </c>
      <c r="Q4" t="n">
        <v>146.704425933041</v>
      </c>
      <c r="R4" t="n">
        <v>138.817091205458</v>
      </c>
      <c r="S4" t="n">
        <v>131.565452112636</v>
      </c>
      <c r="T4" t="n">
        <v>112.497995284718</v>
      </c>
      <c r="U4" t="n">
        <v>106.983387672722</v>
      </c>
      <c r="V4" t="n">
        <v>103.708386009271</v>
      </c>
      <c r="W4" t="n">
        <v>101.769911504425</v>
      </c>
      <c r="X4" t="n">
        <v>101.769911504425</v>
      </c>
      <c r="Y4" t="n">
        <v>101.769911504425</v>
      </c>
      <c r="Z4" t="n">
        <v>100</v>
      </c>
      <c r="AA4" t="n">
        <v>100</v>
      </c>
      <c r="AB4" t="n">
        <v>100</v>
      </c>
      <c r="AC4" t="n">
        <v>100</v>
      </c>
      <c r="AD4" t="n">
        <v>100</v>
      </c>
      <c r="AE4" t="n">
        <v>100</v>
      </c>
      <c r="AF4" t="n">
        <v>100</v>
      </c>
    </row>
    <row r="5">
      <c r="A5" t="s">
        <v>72</v>
      </c>
      <c r="B5" t="s">
        <v>280</v>
      </c>
      <c r="C5" t="s">
        <v>236</v>
      </c>
      <c r="D5" t="s">
        <v>281</v>
      </c>
      <c r="E5" t="s">
        <v>237</v>
      </c>
      <c r="F5" t="n">
        <v>402.696793002915</v>
      </c>
      <c r="G5" t="n">
        <v>338.265306122449</v>
      </c>
      <c r="H5" t="n">
        <v>298.469387755102</v>
      </c>
      <c r="I5" t="n">
        <v>238.775510204082</v>
      </c>
      <c r="J5" t="n">
        <v>192.857142857143</v>
      </c>
      <c r="K5" t="n">
        <v>168.75</v>
      </c>
      <c r="L5" t="n">
        <v>150</v>
      </c>
      <c r="M5" t="n">
        <v>125</v>
      </c>
      <c r="N5" t="n">
        <v>125</v>
      </c>
      <c r="O5" t="n">
        <v>125</v>
      </c>
      <c r="P5" t="n">
        <v>125</v>
      </c>
      <c r="Q5" t="n">
        <v>125</v>
      </c>
      <c r="R5" t="n">
        <v>125</v>
      </c>
      <c r="S5" t="n">
        <v>125</v>
      </c>
      <c r="T5" t="n">
        <v>100</v>
      </c>
      <c r="U5" t="n">
        <v>100</v>
      </c>
      <c r="V5" t="n">
        <v>100</v>
      </c>
      <c r="W5" t="n">
        <v>100</v>
      </c>
      <c r="X5" t="n">
        <v>100</v>
      </c>
      <c r="Y5" t="n">
        <v>100</v>
      </c>
      <c r="Z5" t="n">
        <v>100</v>
      </c>
      <c r="AA5" t="n">
        <v>100</v>
      </c>
      <c r="AB5" t="n">
        <v>100</v>
      </c>
      <c r="AC5" t="n">
        <v>100</v>
      </c>
      <c r="AD5" t="n">
        <v>100</v>
      </c>
      <c r="AE5" t="n">
        <v>100</v>
      </c>
      <c r="AF5" t="n">
        <v>100</v>
      </c>
    </row>
    <row r="6">
      <c r="A6" t="s">
        <v>72</v>
      </c>
      <c r="B6" t="s">
        <v>282</v>
      </c>
      <c r="C6" t="s">
        <v>236</v>
      </c>
      <c r="D6" t="s">
        <v>283</v>
      </c>
      <c r="E6" t="s">
        <v>237</v>
      </c>
      <c r="F6" t="e">
        <v>#NUM!</v>
      </c>
      <c r="G6" t="e">
        <v>#NUM!</v>
      </c>
      <c r="H6" t="e">
        <v>#NUM!</v>
      </c>
      <c r="I6" t="e">
        <v>#NUM!</v>
      </c>
      <c r="J6" t="e">
        <v>#NUM!</v>
      </c>
      <c r="K6" t="e">
        <v>#NUM!</v>
      </c>
      <c r="L6" t="e">
        <v>#NUM!</v>
      </c>
      <c r="M6" t="e">
        <v>#NUM!</v>
      </c>
      <c r="N6" t="e">
        <v>#NUM!</v>
      </c>
      <c r="O6" t="e">
        <v>#NUM!</v>
      </c>
      <c r="P6" t="e">
        <v>#NUM!</v>
      </c>
      <c r="Q6" t="e">
        <v>#NUM!</v>
      </c>
      <c r="R6" t="e">
        <v>#NUM!</v>
      </c>
      <c r="S6" t="e">
        <v>#NUM!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72</v>
      </c>
      <c r="B7" t="s">
        <v>284</v>
      </c>
      <c r="C7" t="s">
        <v>236</v>
      </c>
      <c r="D7" t="s">
        <v>285</v>
      </c>
      <c r="E7" t="s">
        <v>237</v>
      </c>
      <c r="F7" t="n">
        <v>840.037165340628</v>
      </c>
      <c r="G7" t="n">
        <v>690.030528672659</v>
      </c>
      <c r="H7" t="n">
        <v>584.771634468355</v>
      </c>
      <c r="I7" t="n">
        <v>487.309695390296</v>
      </c>
      <c r="J7" t="n">
        <v>408.480185841866</v>
      </c>
      <c r="K7" t="n">
        <v>346.320157561582</v>
      </c>
      <c r="L7" t="n">
        <v>293.847406415888</v>
      </c>
      <c r="M7" t="n">
        <v>253.777305540994</v>
      </c>
      <c r="N7" t="n">
        <v>212.84548206664</v>
      </c>
      <c r="O7" t="n">
        <v>193.495892787855</v>
      </c>
      <c r="P7" t="n">
        <v>169.308906189373</v>
      </c>
      <c r="Q7" t="n">
        <v>158.727099552537</v>
      </c>
      <c r="R7" t="n">
        <v>148.145292915701</v>
      </c>
      <c r="S7" t="n">
        <v>133.808651665795</v>
      </c>
      <c r="T7" t="n">
        <v>110.19536019536</v>
      </c>
      <c r="U7" t="n">
        <v>102.849002849003</v>
      </c>
      <c r="V7" t="n">
        <v>97.4358974358975</v>
      </c>
      <c r="W7" t="n">
        <v>97.4358974358975</v>
      </c>
      <c r="X7" t="n">
        <v>97.4358974358975</v>
      </c>
      <c r="Y7" t="n">
        <v>97.4358974358974</v>
      </c>
      <c r="Z7" t="n">
        <v>97.4358974358974</v>
      </c>
      <c r="AA7" t="n">
        <v>97.4358974358974</v>
      </c>
      <c r="AB7" t="n">
        <v>100</v>
      </c>
      <c r="AC7" t="n">
        <v>100</v>
      </c>
      <c r="AD7" t="n">
        <v>100</v>
      </c>
      <c r="AE7" t="n">
        <v>100</v>
      </c>
      <c r="AF7" t="n">
        <v>100</v>
      </c>
    </row>
    <row r="8">
      <c r="A8" t="s">
        <v>72</v>
      </c>
      <c r="B8" t="s">
        <v>286</v>
      </c>
      <c r="C8" t="s">
        <v>236</v>
      </c>
      <c r="D8" t="s">
        <v>287</v>
      </c>
      <c r="E8" t="s">
        <v>237</v>
      </c>
      <c r="F8" t="e">
        <v>#NUM!</v>
      </c>
      <c r="G8" t="e">
        <v>#NUM!</v>
      </c>
      <c r="H8" t="e">
        <v>#NUM!</v>
      </c>
      <c r="I8" t="e">
        <v>#NUM!</v>
      </c>
      <c r="J8" t="e">
        <v>#NUM!</v>
      </c>
      <c r="K8" t="e">
        <v>#NUM!</v>
      </c>
      <c r="L8" t="e">
        <v>#NUM!</v>
      </c>
      <c r="M8" t="n">
        <v>0</v>
      </c>
      <c r="N8" t="n">
        <v>226.875</v>
      </c>
      <c r="O8" t="n">
        <v>226.875</v>
      </c>
      <c r="P8" t="n">
        <v>194.464285714286</v>
      </c>
      <c r="Q8" t="n">
        <v>175.017857142857</v>
      </c>
      <c r="R8" t="n">
        <v>159.107142857143</v>
      </c>
      <c r="S8" t="n">
        <v>141.428571428571</v>
      </c>
      <c r="T8" t="n">
        <v>113.142857142857</v>
      </c>
      <c r="U8" t="n">
        <v>102.857142857143</v>
      </c>
      <c r="V8" t="n">
        <v>102.857142857143</v>
      </c>
      <c r="W8" t="n">
        <v>102.857142857143</v>
      </c>
      <c r="X8" t="n">
        <v>102.857142857143</v>
      </c>
      <c r="Y8" t="n">
        <v>102.857142857143</v>
      </c>
      <c r="Z8" t="n">
        <v>97.1428571428571</v>
      </c>
      <c r="AA8" t="n">
        <v>97.1428571428571</v>
      </c>
      <c r="AB8" t="n">
        <v>100</v>
      </c>
      <c r="AC8" t="n">
        <v>100</v>
      </c>
      <c r="AD8" t="n">
        <v>100</v>
      </c>
      <c r="AE8" t="n">
        <v>100</v>
      </c>
      <c r="AF8" t="n">
        <v>100</v>
      </c>
    </row>
    <row r="9">
      <c r="A9" t="s">
        <v>72</v>
      </c>
      <c r="B9" t="s">
        <v>288</v>
      </c>
      <c r="C9" t="s">
        <v>236</v>
      </c>
      <c r="D9" t="s">
        <v>289</v>
      </c>
      <c r="E9" t="s">
        <v>237</v>
      </c>
      <c r="F9" t="n">
        <v>828.605210485538</v>
      </c>
      <c r="G9" t="n">
        <v>736.537964876033</v>
      </c>
      <c r="H9" t="n">
        <v>623.224431818182</v>
      </c>
      <c r="I9" t="n">
        <v>527.34375</v>
      </c>
      <c r="J9" t="n">
        <v>421.875</v>
      </c>
      <c r="K9" t="n">
        <v>361.607142857143</v>
      </c>
      <c r="L9" t="n">
        <v>289.285714285714</v>
      </c>
      <c r="M9" t="n">
        <v>241.071428571429</v>
      </c>
      <c r="N9" t="n">
        <v>192.857142857143</v>
      </c>
      <c r="O9" t="n">
        <v>165.30612244898</v>
      </c>
      <c r="P9" t="n">
        <v>137.755102040816</v>
      </c>
      <c r="Q9" t="n">
        <v>137.755102040816</v>
      </c>
      <c r="R9" t="n">
        <v>128.571428571429</v>
      </c>
      <c r="S9" t="n">
        <v>112.5</v>
      </c>
      <c r="T9" t="n">
        <v>100</v>
      </c>
      <c r="U9" t="n">
        <v>100</v>
      </c>
      <c r="V9" t="n">
        <v>100</v>
      </c>
      <c r="W9" t="n">
        <v>100</v>
      </c>
      <c r="X9" t="n">
        <v>100</v>
      </c>
      <c r="Y9" t="n">
        <v>100</v>
      </c>
      <c r="Z9" t="n">
        <v>100</v>
      </c>
      <c r="AA9" t="n">
        <v>100</v>
      </c>
      <c r="AB9" t="n">
        <v>100</v>
      </c>
      <c r="AC9" t="n">
        <v>100</v>
      </c>
      <c r="AD9" t="n">
        <v>100</v>
      </c>
      <c r="AE9" t="n">
        <v>100</v>
      </c>
      <c r="AF9" t="n">
        <v>100</v>
      </c>
    </row>
    <row r="10">
      <c r="A10" t="s">
        <v>72</v>
      </c>
      <c r="B10" t="s">
        <v>290</v>
      </c>
      <c r="C10" t="s">
        <v>236</v>
      </c>
      <c r="D10" t="s">
        <v>291</v>
      </c>
      <c r="E10" t="s">
        <v>237</v>
      </c>
      <c r="F10" t="n">
        <v>723.857760894798</v>
      </c>
      <c r="G10" t="n">
        <v>651.471984805318</v>
      </c>
      <c r="H10" t="n">
        <v>558.404558404559</v>
      </c>
      <c r="I10" t="n">
        <v>478.632478632479</v>
      </c>
      <c r="J10" t="n">
        <v>388.888888888889</v>
      </c>
      <c r="K10" t="n">
        <v>340.277777777778</v>
      </c>
      <c r="L10" t="n">
        <v>272.222222222222</v>
      </c>
      <c r="M10" t="n">
        <v>233.333333333333</v>
      </c>
      <c r="N10" t="n">
        <v>186.666666666667</v>
      </c>
      <c r="O10" t="n">
        <v>160</v>
      </c>
      <c r="P10" t="n">
        <v>133.333333333333</v>
      </c>
      <c r="Q10" t="n">
        <v>133.333333333333</v>
      </c>
      <c r="R10" t="n">
        <v>125</v>
      </c>
      <c r="S10" t="n">
        <v>111.111111111111</v>
      </c>
      <c r="T10" t="n">
        <v>100</v>
      </c>
      <c r="U10" t="n">
        <v>100</v>
      </c>
      <c r="V10" t="n">
        <v>100</v>
      </c>
      <c r="W10" t="n">
        <v>100</v>
      </c>
      <c r="X10" t="n">
        <v>100</v>
      </c>
      <c r="Y10" t="n">
        <v>100</v>
      </c>
      <c r="Z10" t="n">
        <v>100</v>
      </c>
      <c r="AA10" t="n">
        <v>100</v>
      </c>
      <c r="AB10" t="n">
        <v>100</v>
      </c>
      <c r="AC10" t="n">
        <v>100</v>
      </c>
      <c r="AD10" t="n">
        <v>100</v>
      </c>
      <c r="AE10" t="n">
        <v>100</v>
      </c>
      <c r="AF10" t="n">
        <v>100</v>
      </c>
    </row>
    <row r="11">
      <c r="A11" t="s">
        <v>72</v>
      </c>
      <c r="B11" t="s">
        <v>292</v>
      </c>
      <c r="C11" t="s">
        <v>236</v>
      </c>
      <c r="D11" t="s">
        <v>293</v>
      </c>
      <c r="E11" t="s">
        <v>237</v>
      </c>
      <c r="F11" t="e">
        <v>#NUM!</v>
      </c>
      <c r="G11" t="e">
        <v>#NUM!</v>
      </c>
      <c r="H11" t="e">
        <v>#NUM!</v>
      </c>
      <c r="I11" t="e">
        <v>#NUM!</v>
      </c>
      <c r="J11" t="e">
        <v>#NUM!</v>
      </c>
      <c r="K11" t="e">
        <v>#NUM!</v>
      </c>
      <c r="L11" t="n">
        <v>0</v>
      </c>
      <c r="M11" t="e">
        <v>#NUM!</v>
      </c>
      <c r="N11" t="n">
        <v>0</v>
      </c>
      <c r="O11" t="n">
        <v>0</v>
      </c>
      <c r="P11" t="n">
        <v>0</v>
      </c>
      <c r="Q11" t="n">
        <v>100</v>
      </c>
      <c r="R11" t="n">
        <v>100</v>
      </c>
      <c r="S11" t="n">
        <v>100</v>
      </c>
      <c r="T11" t="n">
        <v>100</v>
      </c>
      <c r="U11" t="n">
        <v>100</v>
      </c>
      <c r="V11" t="n">
        <v>100</v>
      </c>
      <c r="W11" t="n">
        <v>100</v>
      </c>
      <c r="X11" t="n">
        <v>100</v>
      </c>
      <c r="Y11" t="n">
        <v>100</v>
      </c>
      <c r="Z11" t="n">
        <v>100</v>
      </c>
      <c r="AA11" t="n">
        <v>100</v>
      </c>
      <c r="AB11" t="n">
        <v>100</v>
      </c>
      <c r="AC11" t="n">
        <v>100</v>
      </c>
      <c r="AD11" t="n">
        <v>100</v>
      </c>
      <c r="AE11" t="n">
        <v>100</v>
      </c>
      <c r="AF11" t="n">
        <v>100</v>
      </c>
    </row>
    <row r="12">
      <c r="A12" t="s">
        <v>72</v>
      </c>
      <c r="B12" t="s">
        <v>294</v>
      </c>
      <c r="C12" t="s">
        <v>236</v>
      </c>
      <c r="D12" t="s">
        <v>295</v>
      </c>
      <c r="E12" t="s">
        <v>237</v>
      </c>
      <c r="F12" t="n">
        <v>271.141166525782</v>
      </c>
      <c r="G12" t="n">
        <v>225.950972104818</v>
      </c>
      <c r="H12" t="n">
        <v>205.409974640744</v>
      </c>
      <c r="I12" t="n">
        <v>182.586644125106</v>
      </c>
      <c r="J12" t="n">
        <v>162.299239222316</v>
      </c>
      <c r="K12" t="n">
        <v>140.659340659341</v>
      </c>
      <c r="L12" t="n">
        <v>140.659340659341</v>
      </c>
      <c r="M12" t="n">
        <v>140.659340659341</v>
      </c>
      <c r="N12" t="n">
        <v>123.076923076923</v>
      </c>
      <c r="O12" t="n">
        <v>123.076923076923</v>
      </c>
      <c r="P12" t="n">
        <v>123.076923076923</v>
      </c>
      <c r="Q12" t="n">
        <v>123.076923076923</v>
      </c>
      <c r="R12" t="n">
        <v>115.384615384615</v>
      </c>
      <c r="S12" t="n">
        <v>115.384615384615</v>
      </c>
      <c r="T12" t="n">
        <v>100</v>
      </c>
      <c r="U12" t="n">
        <v>100</v>
      </c>
      <c r="V12" t="n">
        <v>100</v>
      </c>
      <c r="W12" t="n">
        <v>100</v>
      </c>
      <c r="X12" t="n">
        <v>100</v>
      </c>
      <c r="Y12" t="n">
        <v>100</v>
      </c>
      <c r="Z12" t="n">
        <v>100</v>
      </c>
      <c r="AA12" t="n">
        <v>100</v>
      </c>
      <c r="AB12" t="n">
        <v>100</v>
      </c>
      <c r="AC12" t="n">
        <v>100</v>
      </c>
      <c r="AD12" t="n">
        <v>100</v>
      </c>
      <c r="AE12" t="n">
        <v>100</v>
      </c>
      <c r="AF12" t="n">
        <v>100</v>
      </c>
    </row>
    <row r="13">
      <c r="A13" t="s">
        <v>72</v>
      </c>
      <c r="B13" t="s">
        <v>296</v>
      </c>
      <c r="C13" t="s">
        <v>236</v>
      </c>
      <c r="D13" t="s">
        <v>297</v>
      </c>
      <c r="E13" t="s">
        <v>237</v>
      </c>
      <c r="F13" t="n">
        <v>564.01353288726</v>
      </c>
      <c r="G13" t="n">
        <v>497.658999606406</v>
      </c>
      <c r="H13" t="n">
        <v>428.539694105516</v>
      </c>
      <c r="I13" t="n">
        <v>365.826568138855</v>
      </c>
      <c r="J13" t="n">
        <v>321.927379962193</v>
      </c>
      <c r="K13" t="n">
        <v>284.781913043478</v>
      </c>
      <c r="L13" t="n">
        <v>237.318260869565</v>
      </c>
      <c r="M13" t="n">
        <v>199.846956521739</v>
      </c>
      <c r="N13" t="n">
        <v>166.539130434783</v>
      </c>
      <c r="O13" t="n">
        <v>154.202898550725</v>
      </c>
      <c r="P13" t="n">
        <v>132.173913043478</v>
      </c>
      <c r="Q13" t="n">
        <v>132.173913043478</v>
      </c>
      <c r="R13" t="n">
        <v>126.666666666667</v>
      </c>
      <c r="S13" t="n">
        <v>126.666666666667</v>
      </c>
      <c r="T13" t="n">
        <v>109.777777777778</v>
      </c>
      <c r="U13" t="n">
        <v>104</v>
      </c>
      <c r="V13" t="n">
        <v>104</v>
      </c>
      <c r="W13" t="n">
        <v>100</v>
      </c>
      <c r="X13" t="n">
        <v>100</v>
      </c>
      <c r="Y13" t="n">
        <v>100</v>
      </c>
      <c r="Z13" t="n">
        <v>100</v>
      </c>
      <c r="AA13" t="n">
        <v>100</v>
      </c>
      <c r="AB13" t="n">
        <v>100</v>
      </c>
      <c r="AC13" t="n">
        <v>100</v>
      </c>
      <c r="AD13" t="n">
        <v>100</v>
      </c>
      <c r="AE13" t="n">
        <v>100</v>
      </c>
      <c r="AF13" t="n">
        <v>100</v>
      </c>
    </row>
    <row r="14">
      <c r="A14" t="s">
        <v>72</v>
      </c>
      <c r="B14" t="s">
        <v>298</v>
      </c>
      <c r="C14" t="s">
        <v>236</v>
      </c>
      <c r="D14" t="s">
        <v>299</v>
      </c>
      <c r="E14" t="s">
        <v>237</v>
      </c>
      <c r="F14" t="n">
        <v>871.096760006934</v>
      </c>
      <c r="G14" t="n">
        <v>725.913966672445</v>
      </c>
      <c r="H14" t="n">
        <v>665.421136116408</v>
      </c>
      <c r="I14" t="n">
        <v>565.607965698947</v>
      </c>
      <c r="J14" t="n">
        <v>460.865749828772</v>
      </c>
      <c r="K14" t="n">
        <v>391.735887354456</v>
      </c>
      <c r="L14" t="n">
        <v>352.56229861901</v>
      </c>
      <c r="M14" t="n">
        <v>293.801915515842</v>
      </c>
      <c r="N14" t="n">
        <v>244.834929596535</v>
      </c>
      <c r="O14" t="n">
        <v>214.230563396968</v>
      </c>
      <c r="P14" t="n">
        <v>190.427167463972</v>
      </c>
      <c r="Q14" t="n">
        <v>179.84788038264</v>
      </c>
      <c r="R14" t="n">
        <v>168.607387858725</v>
      </c>
      <c r="S14" t="n">
        <v>155.118796830027</v>
      </c>
      <c r="T14" t="n">
        <v>131.850977305523</v>
      </c>
      <c r="U14" t="n">
        <v>120.38567493113</v>
      </c>
      <c r="V14" t="n">
        <v>110.353535353535</v>
      </c>
      <c r="W14" t="n">
        <v>104.545454545455</v>
      </c>
      <c r="X14" t="n">
        <v>104.545454545455</v>
      </c>
      <c r="Y14" t="n">
        <v>104.545454545455</v>
      </c>
      <c r="Z14" t="n">
        <v>100</v>
      </c>
      <c r="AA14" t="n">
        <v>100</v>
      </c>
      <c r="AB14" t="n">
        <v>100</v>
      </c>
      <c r="AC14" t="n">
        <v>100</v>
      </c>
      <c r="AD14" t="n">
        <v>100</v>
      </c>
      <c r="AE14" t="n">
        <v>100</v>
      </c>
      <c r="AF14" t="n">
        <v>100</v>
      </c>
    </row>
    <row r="15">
      <c r="A15" t="s">
        <v>72</v>
      </c>
      <c r="B15" t="s">
        <v>300</v>
      </c>
      <c r="C15" t="s">
        <v>236</v>
      </c>
      <c r="D15" t="s">
        <v>301</v>
      </c>
      <c r="E15" t="s">
        <v>237</v>
      </c>
      <c r="F15" t="n">
        <v>737.876167076167</v>
      </c>
      <c r="G15" t="n">
        <v>614.896805896806</v>
      </c>
      <c r="H15" t="n">
        <v>542.556005203064</v>
      </c>
      <c r="I15" t="n">
        <v>459.085850556439</v>
      </c>
      <c r="J15" t="n">
        <v>385.039745627981</v>
      </c>
      <c r="K15" t="n">
        <v>334.817170111288</v>
      </c>
      <c r="L15" t="n">
        <v>306.915739268681</v>
      </c>
      <c r="M15" t="n">
        <v>255.763116057234</v>
      </c>
      <c r="N15" t="n">
        <v>223.79272655008</v>
      </c>
      <c r="O15" t="n">
        <v>198.926868044515</v>
      </c>
      <c r="P15" t="n">
        <v>180.842607313196</v>
      </c>
      <c r="Q15" t="n">
        <v>171.56862745098</v>
      </c>
      <c r="R15" t="n">
        <v>162.037037037037</v>
      </c>
      <c r="S15" t="n">
        <v>150.462962962963</v>
      </c>
      <c r="T15" t="n">
        <v>127.314814814815</v>
      </c>
      <c r="U15" t="n">
        <v>117.521367521368</v>
      </c>
      <c r="V15" t="n">
        <v>109.126984126984</v>
      </c>
      <c r="W15" t="n">
        <v>104.166666666667</v>
      </c>
      <c r="X15" t="n">
        <v>104.166666666667</v>
      </c>
      <c r="Y15" t="n">
        <v>104.166666666667</v>
      </c>
      <c r="Z15" t="n">
        <v>100</v>
      </c>
      <c r="AA15" t="n">
        <v>100</v>
      </c>
      <c r="AB15" t="n">
        <v>100</v>
      </c>
      <c r="AC15" t="n">
        <v>100</v>
      </c>
      <c r="AD15" t="n">
        <v>100</v>
      </c>
      <c r="AE15" t="n">
        <v>100</v>
      </c>
      <c r="AF15" t="n">
        <v>100</v>
      </c>
    </row>
    <row r="16">
      <c r="A16" t="s">
        <v>72</v>
      </c>
      <c r="B16" t="s">
        <v>302</v>
      </c>
      <c r="C16" t="s">
        <v>236</v>
      </c>
      <c r="D16" t="s">
        <v>303</v>
      </c>
      <c r="E16" t="s">
        <v>237</v>
      </c>
      <c r="F16" t="e">
        <v>#NUM!</v>
      </c>
      <c r="G16" t="e">
        <v>#NUM!</v>
      </c>
      <c r="H16" t="e">
        <v>#NUM!</v>
      </c>
      <c r="I16" t="e">
        <v>#NUM!</v>
      </c>
      <c r="J16" t="e">
        <v>#NUM!</v>
      </c>
      <c r="K16" t="e">
        <v>#NUM!</v>
      </c>
      <c r="L16" t="e">
        <v>#NUM!</v>
      </c>
      <c r="M16" t="n">
        <v>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100</v>
      </c>
      <c r="U16" t="n">
        <v>100</v>
      </c>
      <c r="V16" t="n">
        <v>100</v>
      </c>
      <c r="W16" t="n">
        <v>100</v>
      </c>
      <c r="X16" t="n">
        <v>100</v>
      </c>
      <c r="Y16" t="n">
        <v>100</v>
      </c>
      <c r="Z16" t="n">
        <v>100</v>
      </c>
      <c r="AA16" t="n">
        <v>100</v>
      </c>
      <c r="AB16" t="n">
        <v>100</v>
      </c>
      <c r="AC16" t="n">
        <v>100</v>
      </c>
      <c r="AD16" t="n">
        <v>100</v>
      </c>
      <c r="AE16" t="n">
        <v>100</v>
      </c>
      <c r="AF16" t="n">
        <v>100</v>
      </c>
    </row>
    <row r="17">
      <c r="A17" t="s">
        <v>72</v>
      </c>
      <c r="B17" t="s">
        <v>304</v>
      </c>
      <c r="C17" t="s">
        <v>236</v>
      </c>
      <c r="D17" t="s">
        <v>305</v>
      </c>
      <c r="E17" t="s">
        <v>237</v>
      </c>
      <c r="F17" t="n">
        <v>254.691810247366</v>
      </c>
      <c r="G17" t="n">
        <v>206.937095825985</v>
      </c>
      <c r="H17" t="n">
        <v>186.243386243386</v>
      </c>
      <c r="I17" t="n">
        <v>169.312169312169</v>
      </c>
      <c r="J17" t="n">
        <v>152.380952380952</v>
      </c>
      <c r="K17" t="n">
        <v>133.333333333333</v>
      </c>
      <c r="L17" t="n">
        <v>133.333333333333</v>
      </c>
      <c r="M17" t="n">
        <v>133.333333333333</v>
      </c>
      <c r="N17" t="n">
        <v>111.111111111111</v>
      </c>
      <c r="O17" t="n">
        <v>111.111111111111</v>
      </c>
      <c r="P17" t="n">
        <v>111.111111111111</v>
      </c>
      <c r="Q17" t="n">
        <v>111.111111111111</v>
      </c>
      <c r="R17" t="n">
        <v>111.111111111111</v>
      </c>
      <c r="S17" t="n">
        <v>111.111111111111</v>
      </c>
      <c r="T17" t="n">
        <v>100</v>
      </c>
      <c r="U17" t="n">
        <v>100</v>
      </c>
      <c r="V17" t="n">
        <v>100</v>
      </c>
      <c r="W17" t="n">
        <v>100</v>
      </c>
      <c r="X17" t="n">
        <v>100</v>
      </c>
      <c r="Y17" t="n">
        <v>100</v>
      </c>
      <c r="Z17" t="n">
        <v>100</v>
      </c>
      <c r="AA17" t="n">
        <v>100</v>
      </c>
      <c r="AB17" t="n">
        <v>100</v>
      </c>
      <c r="AC17" t="n">
        <v>100</v>
      </c>
      <c r="AD17" t="n">
        <v>100</v>
      </c>
      <c r="AE17" t="n">
        <v>100</v>
      </c>
      <c r="AF17" t="n">
        <v>100</v>
      </c>
    </row>
    <row r="18">
      <c r="A18" t="s">
        <v>72</v>
      </c>
      <c r="B18" t="s">
        <v>306</v>
      </c>
      <c r="C18" t="s">
        <v>236</v>
      </c>
      <c r="D18" t="s">
        <v>307</v>
      </c>
      <c r="E18" t="s">
        <v>237</v>
      </c>
      <c r="F18" t="e">
        <v>#NUM!</v>
      </c>
      <c r="G18" t="e">
        <v>#NUM!</v>
      </c>
      <c r="H18" t="e">
        <v>#NUM!</v>
      </c>
      <c r="I18" t="e">
        <v>#NUM!</v>
      </c>
      <c r="J18" t="e">
        <v>#NUM!</v>
      </c>
      <c r="K18" t="e">
        <v>#NUM!</v>
      </c>
      <c r="L18" t="e">
        <v>#NUM!</v>
      </c>
      <c r="M18" t="e">
        <v>#NUM!</v>
      </c>
      <c r="N18" t="e">
        <v>#NUM!</v>
      </c>
      <c r="O18" t="e">
        <v>#NUM!</v>
      </c>
      <c r="P18" t="e">
        <v>#NUM!</v>
      </c>
      <c r="Q18" t="e">
        <v>#NUM!</v>
      </c>
      <c r="R18" t="e">
        <v>#NUM!</v>
      </c>
      <c r="S18" t="e">
        <v>#NUM!</v>
      </c>
      <c r="T18" t="e">
        <v>#NUM!</v>
      </c>
      <c r="U18" t="e">
        <v>#NUM!</v>
      </c>
      <c r="V18" t="e">
        <v>#NUM!</v>
      </c>
      <c r="W18" t="e">
        <v>#NUM!</v>
      </c>
      <c r="X18" t="e">
        <v>#NUM!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72</v>
      </c>
      <c r="B19" t="s">
        <v>308</v>
      </c>
      <c r="C19" t="s">
        <v>236</v>
      </c>
      <c r="D19" t="s">
        <v>309</v>
      </c>
      <c r="E19" t="s">
        <v>237</v>
      </c>
      <c r="F19" t="n">
        <v>225</v>
      </c>
      <c r="G19" t="n">
        <v>192.857142857143</v>
      </c>
      <c r="H19" t="n">
        <v>165.30612244898</v>
      </c>
      <c r="I19" t="n">
        <v>128.571428571429</v>
      </c>
      <c r="J19" t="n">
        <v>100</v>
      </c>
      <c r="K19" t="n">
        <v>100</v>
      </c>
      <c r="L19" t="n">
        <v>100</v>
      </c>
      <c r="M19" t="n">
        <v>100</v>
      </c>
      <c r="N19" t="n">
        <v>100</v>
      </c>
      <c r="O19" t="n">
        <v>100</v>
      </c>
      <c r="P19" t="n">
        <v>100</v>
      </c>
      <c r="Q19" t="n">
        <v>100</v>
      </c>
      <c r="R19" t="n">
        <v>100</v>
      </c>
      <c r="S19" t="n">
        <v>100</v>
      </c>
      <c r="T19" t="n">
        <v>100</v>
      </c>
      <c r="U19" t="n">
        <v>100</v>
      </c>
      <c r="V19" t="n">
        <v>100</v>
      </c>
      <c r="W19" t="n">
        <v>100</v>
      </c>
      <c r="X19" t="n">
        <v>100</v>
      </c>
      <c r="Y19" t="n">
        <v>100</v>
      </c>
      <c r="Z19" t="n">
        <v>100</v>
      </c>
      <c r="AA19" t="n">
        <v>100</v>
      </c>
      <c r="AB19" t="n">
        <v>100</v>
      </c>
      <c r="AC19" t="n">
        <v>100</v>
      </c>
      <c r="AD19" t="n">
        <v>100</v>
      </c>
      <c r="AE19" t="n">
        <v>100</v>
      </c>
      <c r="AF19" t="n">
        <v>100</v>
      </c>
    </row>
    <row r="20">
      <c r="A20" t="s">
        <v>72</v>
      </c>
      <c r="B20" t="s">
        <v>310</v>
      </c>
      <c r="C20" t="s">
        <v>236</v>
      </c>
      <c r="D20" t="s">
        <v>311</v>
      </c>
      <c r="E20" t="s">
        <v>237</v>
      </c>
      <c r="F20" t="n">
        <v>793.036498915165</v>
      </c>
      <c r="G20" t="n">
        <v>660.86374909597</v>
      </c>
      <c r="H20" t="n">
        <v>563.677903640681</v>
      </c>
      <c r="I20" t="n">
        <v>476.958226157499</v>
      </c>
      <c r="J20" t="n">
        <v>400.644909972299</v>
      </c>
      <c r="K20" t="n">
        <v>352.567520775623</v>
      </c>
      <c r="L20" t="n">
        <v>317.310768698061</v>
      </c>
      <c r="M20" t="n">
        <v>277.646922610803</v>
      </c>
      <c r="N20" t="n">
        <v>237.983076523546</v>
      </c>
      <c r="O20" t="n">
        <v>216.348251385042</v>
      </c>
      <c r="P20" t="n">
        <v>195.743656015038</v>
      </c>
      <c r="Q20" t="n">
        <v>182.694078947368</v>
      </c>
      <c r="R20" t="n">
        <v>171.947368421053</v>
      </c>
      <c r="S20" t="n">
        <v>156.315789473684</v>
      </c>
      <c r="T20" t="n">
        <v>135</v>
      </c>
      <c r="U20" t="n">
        <v>123.75</v>
      </c>
      <c r="V20" t="n">
        <v>112.5</v>
      </c>
      <c r="W20" t="n">
        <v>100</v>
      </c>
      <c r="X20" t="n">
        <v>100</v>
      </c>
      <c r="Y20" t="n">
        <v>100</v>
      </c>
      <c r="Z20" t="n">
        <v>100</v>
      </c>
      <c r="AA20" t="n">
        <v>100</v>
      </c>
      <c r="AB20" t="n">
        <v>100</v>
      </c>
      <c r="AC20" t="n">
        <v>100</v>
      </c>
      <c r="AD20" t="n">
        <v>100</v>
      </c>
      <c r="AE20" t="n">
        <v>100</v>
      </c>
      <c r="AF20" t="n">
        <v>100</v>
      </c>
    </row>
    <row r="21">
      <c r="A21" t="s">
        <v>72</v>
      </c>
      <c r="B21" t="s">
        <v>312</v>
      </c>
      <c r="C21" t="s">
        <v>236</v>
      </c>
      <c r="D21" t="s">
        <v>313</v>
      </c>
      <c r="E21" t="s">
        <v>237</v>
      </c>
      <c r="F21" t="n">
        <v>671.881205214538</v>
      </c>
      <c r="G21" t="n">
        <v>566.899766899766</v>
      </c>
      <c r="H21" t="n">
        <v>485.914085914085</v>
      </c>
      <c r="I21" t="n">
        <v>413.926813926814</v>
      </c>
      <c r="J21" t="n">
        <v>350.245765630381</v>
      </c>
      <c r="K21" t="n">
        <v>311.329569449227</v>
      </c>
      <c r="L21" t="n">
        <v>280.196612504305</v>
      </c>
      <c r="M21" t="n">
        <v>245.172035941267</v>
      </c>
      <c r="N21" t="n">
        <v>212.482431149098</v>
      </c>
      <c r="O21" t="n">
        <v>193.16584649918</v>
      </c>
      <c r="P21" t="n">
        <v>176.368816368816</v>
      </c>
      <c r="Q21" t="n">
        <v>165.345765345765</v>
      </c>
      <c r="R21" t="n">
        <v>156.643356643357</v>
      </c>
      <c r="S21" t="n">
        <v>143.589743589744</v>
      </c>
      <c r="T21" t="n">
        <v>125.641025641026</v>
      </c>
      <c r="U21" t="n">
        <v>116.666666666667</v>
      </c>
      <c r="V21" t="n">
        <v>108.333333333333</v>
      </c>
      <c r="W21" t="n">
        <v>100</v>
      </c>
      <c r="X21" t="n">
        <v>100</v>
      </c>
      <c r="Y21" t="n">
        <v>100</v>
      </c>
      <c r="Z21" t="n">
        <v>100</v>
      </c>
      <c r="AA21" t="n">
        <v>100</v>
      </c>
      <c r="AB21" t="n">
        <v>100</v>
      </c>
      <c r="AC21" t="n">
        <v>100</v>
      </c>
      <c r="AD21" t="n">
        <v>100</v>
      </c>
      <c r="AE21" t="n">
        <v>100</v>
      </c>
      <c r="AF21" t="n">
        <v>100</v>
      </c>
    </row>
    <row r="22">
      <c r="A22" t="s">
        <v>72</v>
      </c>
      <c r="B22" t="s">
        <v>314</v>
      </c>
      <c r="C22" t="s">
        <v>236</v>
      </c>
      <c r="D22" t="s">
        <v>315</v>
      </c>
      <c r="E22" t="s">
        <v>237</v>
      </c>
      <c r="F22" t="e">
        <v>#NUM!</v>
      </c>
      <c r="G22" t="e">
        <v>#NUM!</v>
      </c>
      <c r="H22" t="e">
        <v>#NUM!</v>
      </c>
      <c r="I22" t="e">
        <v>#NUM!</v>
      </c>
      <c r="J22" t="e">
        <v>#NUM!</v>
      </c>
      <c r="K22" t="e">
        <v>#NUM!</v>
      </c>
      <c r="L22" t="n">
        <v>0</v>
      </c>
      <c r="M22" t="n">
        <v>0</v>
      </c>
      <c r="N22" t="e">
        <v>#NUM!</v>
      </c>
      <c r="O22" t="n">
        <v>0</v>
      </c>
      <c r="P22" t="n">
        <v>100</v>
      </c>
      <c r="Q22" t="n">
        <v>100</v>
      </c>
      <c r="R22" t="n">
        <v>100</v>
      </c>
      <c r="S22" t="n">
        <v>100</v>
      </c>
      <c r="T22" t="n">
        <v>100</v>
      </c>
      <c r="U22" t="n">
        <v>100</v>
      </c>
      <c r="V22" t="n">
        <v>100</v>
      </c>
      <c r="W22" t="n">
        <v>100</v>
      </c>
      <c r="X22" t="n">
        <v>100</v>
      </c>
      <c r="Y22" t="n">
        <v>100</v>
      </c>
      <c r="Z22" t="n">
        <v>100</v>
      </c>
      <c r="AA22" t="n">
        <v>100</v>
      </c>
      <c r="AB22" t="n">
        <v>100</v>
      </c>
      <c r="AC22" t="n">
        <v>100</v>
      </c>
      <c r="AD22" t="n">
        <v>100</v>
      </c>
      <c r="AE22" t="n">
        <v>100</v>
      </c>
      <c r="AF22" t="n">
        <v>100</v>
      </c>
    </row>
    <row r="23">
      <c r="A23" t="s">
        <v>72</v>
      </c>
      <c r="B23" t="s">
        <v>316</v>
      </c>
      <c r="C23" t="s">
        <v>236</v>
      </c>
      <c r="D23" t="s">
        <v>317</v>
      </c>
      <c r="E23" t="s">
        <v>237</v>
      </c>
      <c r="F23" t="n">
        <v>622.454468608315</v>
      </c>
      <c r="G23" t="n">
        <v>577.993435136292</v>
      </c>
      <c r="H23" t="n">
        <v>500.927643784787</v>
      </c>
      <c r="I23" t="n">
        <v>407.003710575139</v>
      </c>
      <c r="J23" t="n">
        <v>339.169758812616</v>
      </c>
      <c r="K23" t="n">
        <v>288.294294990724</v>
      </c>
      <c r="L23" t="n">
        <v>252.257508116883</v>
      </c>
      <c r="M23" t="n">
        <v>224.228896103896</v>
      </c>
      <c r="N23" t="n">
        <v>189.732142857143</v>
      </c>
      <c r="O23" t="n">
        <v>177.083333333333</v>
      </c>
      <c r="P23" t="n">
        <v>156.25</v>
      </c>
      <c r="Q23" t="n">
        <v>156.25</v>
      </c>
      <c r="R23" t="n">
        <v>144.230769230769</v>
      </c>
      <c r="S23" t="n">
        <v>125</v>
      </c>
      <c r="T23" t="n">
        <v>100</v>
      </c>
      <c r="U23" t="n">
        <v>100</v>
      </c>
      <c r="V23" t="n">
        <v>100</v>
      </c>
      <c r="W23" t="n">
        <v>100</v>
      </c>
      <c r="X23" t="n">
        <v>100</v>
      </c>
      <c r="Y23" t="n">
        <v>100</v>
      </c>
      <c r="Z23" t="n">
        <v>100</v>
      </c>
      <c r="AA23" t="n">
        <v>100</v>
      </c>
      <c r="AB23" t="n">
        <v>100</v>
      </c>
      <c r="AC23" t="n">
        <v>100</v>
      </c>
      <c r="AD23" t="n">
        <v>100</v>
      </c>
      <c r="AE23" t="n">
        <v>100</v>
      </c>
      <c r="AF23" t="n">
        <v>100</v>
      </c>
    </row>
    <row r="24">
      <c r="A24" t="s">
        <v>72</v>
      </c>
      <c r="B24" t="s">
        <v>318</v>
      </c>
      <c r="C24" t="s">
        <v>236</v>
      </c>
      <c r="D24" t="s">
        <v>319</v>
      </c>
      <c r="E24" t="s">
        <v>237</v>
      </c>
      <c r="F24" t="n">
        <v>963.248369328218</v>
      </c>
      <c r="G24" t="n">
        <v>825.641459424187</v>
      </c>
      <c r="H24" t="n">
        <v>701.795240510559</v>
      </c>
      <c r="I24" t="n">
        <v>581.751317791647</v>
      </c>
      <c r="J24" t="n">
        <v>482.241223958866</v>
      </c>
      <c r="K24" t="n">
        <v>414.727452604624</v>
      </c>
      <c r="L24" t="n">
        <v>358.17370906763</v>
      </c>
      <c r="M24" t="n">
        <v>313.401995434176</v>
      </c>
      <c r="N24" t="n">
        <v>271.61506270962</v>
      </c>
      <c r="O24" t="n">
        <v>243.516952774142</v>
      </c>
      <c r="P24" t="n">
        <v>218.325543866472</v>
      </c>
      <c r="Q24" t="n">
        <v>200.859500357154</v>
      </c>
      <c r="R24" t="n">
        <v>183.136603266817</v>
      </c>
      <c r="S24" t="n">
        <v>165.527314491161</v>
      </c>
      <c r="T24" t="n">
        <v>137.939428742635</v>
      </c>
      <c r="U24" t="n">
        <v>126.116049136123</v>
      </c>
      <c r="V24" t="n">
        <v>118.472652218782</v>
      </c>
      <c r="W24" t="n">
        <v>112.693498452012</v>
      </c>
      <c r="X24" t="n">
        <v>105.650154798762</v>
      </c>
      <c r="Y24" t="n">
        <v>102.941176470588</v>
      </c>
      <c r="Z24" t="n">
        <v>100</v>
      </c>
      <c r="AA24" t="n">
        <v>100</v>
      </c>
      <c r="AB24" t="n">
        <v>100</v>
      </c>
      <c r="AC24" t="n">
        <v>100</v>
      </c>
      <c r="AD24" t="n">
        <v>100</v>
      </c>
      <c r="AE24" t="n">
        <v>100</v>
      </c>
      <c r="AF24" t="n">
        <v>100</v>
      </c>
    </row>
    <row r="25">
      <c r="A25" t="s">
        <v>72</v>
      </c>
      <c r="B25" t="s">
        <v>320</v>
      </c>
      <c r="C25" t="s">
        <v>236</v>
      </c>
      <c r="D25" t="s">
        <v>321</v>
      </c>
      <c r="E25" t="s">
        <v>237</v>
      </c>
      <c r="F25" t="n">
        <v>439.453125</v>
      </c>
      <c r="G25" t="n">
        <v>351.5625</v>
      </c>
      <c r="H25" t="n">
        <v>301.339285714286</v>
      </c>
      <c r="I25" t="n">
        <v>241.071428571429</v>
      </c>
      <c r="J25" t="n">
        <v>187.5</v>
      </c>
      <c r="K25" t="n">
        <v>150</v>
      </c>
      <c r="L25" t="n">
        <v>150</v>
      </c>
      <c r="M25" t="n">
        <v>150</v>
      </c>
      <c r="N25" t="n">
        <v>150</v>
      </c>
      <c r="O25" t="n">
        <v>150</v>
      </c>
      <c r="P25" t="n">
        <v>150</v>
      </c>
      <c r="Q25" t="n">
        <v>150</v>
      </c>
      <c r="R25" t="n">
        <v>150</v>
      </c>
      <c r="S25" t="n">
        <v>133.333333333333</v>
      </c>
      <c r="T25" t="n">
        <v>100</v>
      </c>
      <c r="U25" t="n">
        <v>100</v>
      </c>
      <c r="V25" t="n">
        <v>100</v>
      </c>
      <c r="W25" t="n">
        <v>100</v>
      </c>
      <c r="X25" t="n">
        <v>100</v>
      </c>
      <c r="Y25" t="n">
        <v>100</v>
      </c>
      <c r="Z25" t="n">
        <v>100</v>
      </c>
      <c r="AA25" t="n">
        <v>100</v>
      </c>
      <c r="AB25" t="n">
        <v>100</v>
      </c>
      <c r="AC25" t="n">
        <v>100</v>
      </c>
      <c r="AD25" t="n">
        <v>100</v>
      </c>
      <c r="AE25" t="n">
        <v>100</v>
      </c>
      <c r="AF25" t="n">
        <v>100</v>
      </c>
    </row>
    <row r="26">
      <c r="A26" t="s">
        <v>72</v>
      </c>
      <c r="B26" t="s">
        <v>322</v>
      </c>
      <c r="C26" t="s">
        <v>236</v>
      </c>
      <c r="D26" t="s">
        <v>323</v>
      </c>
      <c r="E26" t="s">
        <v>237</v>
      </c>
      <c r="F26" t="n">
        <v>1138.92863925835</v>
      </c>
      <c r="G26" t="n">
        <v>981.835033843405</v>
      </c>
      <c r="H26" t="n">
        <v>826.808449552341</v>
      </c>
      <c r="I26" t="n">
        <v>692.211725206612</v>
      </c>
      <c r="J26" t="n">
        <v>574.02923553719</v>
      </c>
      <c r="K26" t="n">
        <v>494.852789256198</v>
      </c>
      <c r="L26" t="n">
        <v>418.721590909091</v>
      </c>
      <c r="M26" t="n">
        <v>358.904220779221</v>
      </c>
      <c r="N26" t="n">
        <v>314.041193181818</v>
      </c>
      <c r="O26" t="n">
        <v>274.786044034091</v>
      </c>
      <c r="P26" t="n">
        <v>242.458274147727</v>
      </c>
      <c r="Q26" t="n">
        <v>222.25341796875</v>
      </c>
      <c r="R26" t="n">
        <v>200.028076171875</v>
      </c>
      <c r="S26" t="n">
        <v>178.596496582031</v>
      </c>
      <c r="T26" t="n">
        <v>150.397049753289</v>
      </c>
      <c r="U26" t="n">
        <v>133.686266447368</v>
      </c>
      <c r="V26" t="n">
        <v>125.822368421053</v>
      </c>
      <c r="W26" t="n">
        <v>119.830827067669</v>
      </c>
      <c r="X26" t="n">
        <v>111.842105263158</v>
      </c>
      <c r="Y26" t="n">
        <v>106.25</v>
      </c>
      <c r="Z26" t="n">
        <v>100</v>
      </c>
      <c r="AA26" t="n">
        <v>100</v>
      </c>
      <c r="AB26" t="n">
        <v>100</v>
      </c>
      <c r="AC26" t="n">
        <v>100</v>
      </c>
      <c r="AD26" t="n">
        <v>100</v>
      </c>
      <c r="AE26" t="n">
        <v>100</v>
      </c>
      <c r="AF26" t="n">
        <v>100</v>
      </c>
    </row>
    <row r="27">
      <c r="A27" t="s">
        <v>72</v>
      </c>
      <c r="B27" t="s">
        <v>324</v>
      </c>
      <c r="C27" t="s">
        <v>236</v>
      </c>
      <c r="D27" t="s">
        <v>325</v>
      </c>
      <c r="E27" t="s">
        <v>237</v>
      </c>
      <c r="F27" t="n">
        <v>906.154886146186</v>
      </c>
      <c r="G27" t="n">
        <v>785.334234660028</v>
      </c>
      <c r="H27" t="n">
        <v>680.623003372024</v>
      </c>
      <c r="I27" t="n">
        <v>562.253785394281</v>
      </c>
      <c r="J27" t="n">
        <v>475.75320302593</v>
      </c>
      <c r="K27" t="n">
        <v>416.284052647689</v>
      </c>
      <c r="L27" t="n">
        <v>356.814902269448</v>
      </c>
      <c r="M27" t="n">
        <v>312.213039485767</v>
      </c>
      <c r="N27" t="n">
        <v>260.177532904806</v>
      </c>
      <c r="O27" t="n">
        <v>234.159779614325</v>
      </c>
      <c r="P27" t="n">
        <v>210.743801652892</v>
      </c>
      <c r="Q27" t="n">
        <v>189.669421487603</v>
      </c>
      <c r="R27" t="n">
        <v>173.863636363636</v>
      </c>
      <c r="S27" t="n">
        <v>162.272727272727</v>
      </c>
      <c r="T27" t="n">
        <v>137.307692307692</v>
      </c>
      <c r="U27" t="n">
        <v>125.865384615385</v>
      </c>
      <c r="V27" t="n">
        <v>114.423076923077</v>
      </c>
      <c r="W27" t="n">
        <v>107.692307692308</v>
      </c>
      <c r="X27" t="n">
        <v>100</v>
      </c>
      <c r="Y27" t="n">
        <v>100</v>
      </c>
      <c r="Z27" t="n">
        <v>100</v>
      </c>
      <c r="AA27" t="n">
        <v>100</v>
      </c>
      <c r="AB27" t="n">
        <v>100</v>
      </c>
      <c r="AC27" t="n">
        <v>100</v>
      </c>
      <c r="AD27" t="n">
        <v>100</v>
      </c>
      <c r="AE27" t="n">
        <v>100</v>
      </c>
      <c r="AF27" t="n">
        <v>100</v>
      </c>
    </row>
    <row r="28">
      <c r="A28" t="s">
        <v>72</v>
      </c>
      <c r="B28" t="s">
        <v>326</v>
      </c>
      <c r="C28" t="s">
        <v>236</v>
      </c>
      <c r="D28" t="s">
        <v>327</v>
      </c>
      <c r="E28" t="s">
        <v>237</v>
      </c>
      <c r="F28" t="n">
        <v>618.882970588236</v>
      </c>
      <c r="G28" t="n">
        <v>521.164606811146</v>
      </c>
      <c r="H28" t="n">
        <v>400.895851393189</v>
      </c>
      <c r="I28" t="n">
        <v>346.228235294118</v>
      </c>
      <c r="J28" t="n">
        <v>280.28</v>
      </c>
      <c r="K28" t="n">
        <v>233.566666666667</v>
      </c>
      <c r="L28" t="n">
        <v>233.566666666667</v>
      </c>
      <c r="M28" t="n">
        <v>233.566666666667</v>
      </c>
      <c r="N28" t="n">
        <v>194.638888888889</v>
      </c>
      <c r="O28" t="n">
        <v>162.199074074074</v>
      </c>
      <c r="P28" t="n">
        <v>139.027777777778</v>
      </c>
      <c r="Q28" t="n">
        <v>139.027777777778</v>
      </c>
      <c r="R28" t="n">
        <v>126.388888888889</v>
      </c>
      <c r="S28" t="n">
        <v>116.666666666667</v>
      </c>
      <c r="T28" t="n">
        <v>100</v>
      </c>
      <c r="U28" t="n">
        <v>100</v>
      </c>
      <c r="V28" t="n">
        <v>100</v>
      </c>
      <c r="W28" t="n">
        <v>100</v>
      </c>
      <c r="X28" t="n">
        <v>100</v>
      </c>
      <c r="Y28" t="n">
        <v>100</v>
      </c>
      <c r="Z28" t="n">
        <v>100</v>
      </c>
      <c r="AA28" t="n">
        <v>100</v>
      </c>
      <c r="AB28" t="n">
        <v>100</v>
      </c>
      <c r="AC28" t="n">
        <v>100</v>
      </c>
      <c r="AD28" t="n">
        <v>100</v>
      </c>
      <c r="AE28" t="n">
        <v>100</v>
      </c>
      <c r="AF28" t="n">
        <v>100</v>
      </c>
    </row>
    <row r="29">
      <c r="A29" t="s">
        <v>72</v>
      </c>
      <c r="B29" t="s">
        <v>328</v>
      </c>
      <c r="C29" t="s">
        <v>236</v>
      </c>
      <c r="D29" t="s">
        <v>329</v>
      </c>
      <c r="E29" t="s">
        <v>237</v>
      </c>
      <c r="F29" t="e">
        <v>#NUM!</v>
      </c>
      <c r="G29" t="e">
        <v>#NUM!</v>
      </c>
      <c r="H29" t="n">
        <v>0</v>
      </c>
      <c r="I29" t="e">
        <v>#NUM!</v>
      </c>
      <c r="J29" t="e">
        <v>#NUM!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100</v>
      </c>
      <c r="Q29" t="n">
        <v>100</v>
      </c>
      <c r="R29" t="n">
        <v>100</v>
      </c>
      <c r="S29" t="n">
        <v>100</v>
      </c>
      <c r="T29" t="n">
        <v>100</v>
      </c>
      <c r="U29" t="n">
        <v>100</v>
      </c>
      <c r="V29" t="n">
        <v>100</v>
      </c>
      <c r="W29" t="n">
        <v>100</v>
      </c>
      <c r="X29" t="n">
        <v>100</v>
      </c>
      <c r="Y29" t="n">
        <v>100</v>
      </c>
      <c r="Z29" t="n">
        <v>100</v>
      </c>
      <c r="AA29" t="n">
        <v>100</v>
      </c>
      <c r="AB29" t="n">
        <v>100</v>
      </c>
      <c r="AC29" t="n">
        <v>100</v>
      </c>
      <c r="AD29" t="n">
        <v>100</v>
      </c>
      <c r="AE29" t="n">
        <v>100</v>
      </c>
      <c r="AF29" t="n">
        <v>100</v>
      </c>
    </row>
    <row r="30">
      <c r="A30" t="s">
        <v>72</v>
      </c>
      <c r="B30" t="s">
        <v>330</v>
      </c>
      <c r="C30" t="s">
        <v>236</v>
      </c>
      <c r="D30" t="s">
        <v>331</v>
      </c>
      <c r="E30" t="s">
        <v>237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100</v>
      </c>
      <c r="Q30" t="n">
        <v>100</v>
      </c>
      <c r="R30" t="n">
        <v>100</v>
      </c>
      <c r="S30" t="n">
        <v>100</v>
      </c>
      <c r="T30" t="n">
        <v>100</v>
      </c>
      <c r="U30" t="n">
        <v>100</v>
      </c>
      <c r="V30" t="n">
        <v>100</v>
      </c>
      <c r="W30" t="n">
        <v>100</v>
      </c>
      <c r="X30" t="n">
        <v>100</v>
      </c>
      <c r="Y30" t="n">
        <v>100</v>
      </c>
      <c r="Z30" t="n">
        <v>100</v>
      </c>
      <c r="AA30" t="n">
        <v>100</v>
      </c>
      <c r="AB30" t="n">
        <v>100</v>
      </c>
      <c r="AC30" t="n">
        <v>100</v>
      </c>
      <c r="AD30" t="n">
        <v>100</v>
      </c>
      <c r="AE30" t="n">
        <v>100</v>
      </c>
      <c r="AF30" t="n">
        <v>0</v>
      </c>
    </row>
    <row r="31">
      <c r="A31" t="s">
        <v>72</v>
      </c>
      <c r="B31" t="s">
        <v>332</v>
      </c>
      <c r="C31" t="s">
        <v>236</v>
      </c>
      <c r="D31" t="s">
        <v>333</v>
      </c>
      <c r="E31" t="s">
        <v>237</v>
      </c>
      <c r="F31" t="e">
        <v>#NUM!</v>
      </c>
      <c r="G31" t="n">
        <v>0</v>
      </c>
      <c r="H31" t="n">
        <v>0</v>
      </c>
      <c r="I31" t="e">
        <v>#NUM!</v>
      </c>
      <c r="J31" t="e">
        <v>#NUM!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e">
        <v>#NUM!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72</v>
      </c>
      <c r="B32" t="s">
        <v>334</v>
      </c>
      <c r="C32" t="s">
        <v>236</v>
      </c>
      <c r="D32" t="s">
        <v>335</v>
      </c>
      <c r="E32" t="s">
        <v>237</v>
      </c>
      <c r="F32" t="n">
        <v>814.007421150278</v>
      </c>
      <c r="G32" t="n">
        <v>688.775510204081</v>
      </c>
      <c r="H32" t="n">
        <v>535.714285714286</v>
      </c>
      <c r="I32" t="n">
        <v>446.428571428571</v>
      </c>
      <c r="J32" t="n">
        <v>357.142857142857</v>
      </c>
      <c r="K32" t="n">
        <v>306.122448979592</v>
      </c>
      <c r="L32" t="n">
        <v>306.122448979592</v>
      </c>
      <c r="M32" t="n">
        <v>306.122448979592</v>
      </c>
      <c r="N32" t="n">
        <v>244.897959183673</v>
      </c>
      <c r="O32" t="n">
        <v>204.081632653061</v>
      </c>
      <c r="P32" t="n">
        <v>163.265306122449</v>
      </c>
      <c r="Q32" t="n">
        <v>163.265306122449</v>
      </c>
      <c r="R32" t="n">
        <v>142.857142857143</v>
      </c>
      <c r="S32" t="n">
        <v>125</v>
      </c>
      <c r="T32" t="n">
        <v>100</v>
      </c>
      <c r="U32" t="n">
        <v>100</v>
      </c>
      <c r="V32" t="n">
        <v>100</v>
      </c>
      <c r="W32" t="n">
        <v>100</v>
      </c>
      <c r="X32" t="n">
        <v>100</v>
      </c>
      <c r="Y32" t="n">
        <v>100</v>
      </c>
      <c r="Z32" t="n">
        <v>100</v>
      </c>
      <c r="AA32" t="n">
        <v>100</v>
      </c>
      <c r="AB32" t="n">
        <v>100</v>
      </c>
      <c r="AC32" t="n">
        <v>100</v>
      </c>
      <c r="AD32" t="n">
        <v>100</v>
      </c>
      <c r="AE32" t="n">
        <v>100</v>
      </c>
      <c r="AF32" t="n">
        <v>100</v>
      </c>
    </row>
    <row r="33">
      <c r="A33" t="s">
        <v>72</v>
      </c>
      <c r="B33" t="s">
        <v>336</v>
      </c>
      <c r="C33" t="s">
        <v>236</v>
      </c>
      <c r="D33" t="s">
        <v>337</v>
      </c>
      <c r="E33" t="s">
        <v>237</v>
      </c>
      <c r="F33" t="e">
        <v>#NUM!</v>
      </c>
      <c r="G33" t="e">
        <v>#NUM!</v>
      </c>
      <c r="H33" t="e">
        <v>#NUM!</v>
      </c>
      <c r="I33" t="e">
        <v>#NUM!</v>
      </c>
      <c r="J33" t="e">
        <v>#NUM!</v>
      </c>
      <c r="K33" t="e">
        <v>#NUM!</v>
      </c>
      <c r="L33" t="e">
        <v>#NUM!</v>
      </c>
      <c r="M33" t="e">
        <v>#NUM!</v>
      </c>
      <c r="N33" t="e">
        <v>#NUM!</v>
      </c>
      <c r="O33" t="n">
        <v>0</v>
      </c>
      <c r="P33" t="n">
        <v>0</v>
      </c>
      <c r="Q33" t="n">
        <v>0</v>
      </c>
      <c r="R33" t="n">
        <v>100</v>
      </c>
      <c r="S33" t="n">
        <v>100</v>
      </c>
      <c r="T33" t="n">
        <v>100</v>
      </c>
      <c r="U33" t="n">
        <v>100</v>
      </c>
      <c r="V33" t="n">
        <v>100</v>
      </c>
      <c r="W33" t="n">
        <v>100</v>
      </c>
      <c r="X33" t="n">
        <v>100</v>
      </c>
      <c r="Y33" t="n">
        <v>100</v>
      </c>
      <c r="Z33" t="n">
        <v>100</v>
      </c>
      <c r="AA33" t="n">
        <v>100</v>
      </c>
      <c r="AB33" t="n">
        <v>100</v>
      </c>
      <c r="AC33" t="n">
        <v>100</v>
      </c>
      <c r="AD33" t="n">
        <v>100</v>
      </c>
      <c r="AE33" t="n">
        <v>100</v>
      </c>
      <c r="AF33" t="n">
        <v>100</v>
      </c>
    </row>
    <row r="34">
      <c r="A34" t="s">
        <v>72</v>
      </c>
      <c r="B34" t="s">
        <v>338</v>
      </c>
      <c r="C34" t="s">
        <v>236</v>
      </c>
      <c r="D34" t="s">
        <v>339</v>
      </c>
      <c r="E34" t="s">
        <v>237</v>
      </c>
      <c r="F34" t="n">
        <v>408.333333333333</v>
      </c>
      <c r="G34" t="n">
        <v>350</v>
      </c>
      <c r="H34" t="n">
        <v>300</v>
      </c>
      <c r="I34" t="n">
        <v>250</v>
      </c>
      <c r="J34" t="n">
        <v>200</v>
      </c>
      <c r="K34" t="n">
        <v>150</v>
      </c>
      <c r="L34" t="n">
        <v>150</v>
      </c>
      <c r="M34" t="n">
        <v>150</v>
      </c>
      <c r="N34" t="n">
        <v>150</v>
      </c>
      <c r="O34" t="n">
        <v>150</v>
      </c>
      <c r="P34" t="n">
        <v>150</v>
      </c>
      <c r="Q34" t="n">
        <v>150</v>
      </c>
      <c r="R34" t="n">
        <v>150</v>
      </c>
      <c r="S34" t="n">
        <v>133.333333333333</v>
      </c>
      <c r="T34" t="n">
        <v>100</v>
      </c>
      <c r="U34" t="n">
        <v>100</v>
      </c>
      <c r="V34" t="n">
        <v>100</v>
      </c>
      <c r="W34" t="n">
        <v>100</v>
      </c>
      <c r="X34" t="n">
        <v>100</v>
      </c>
      <c r="Y34" t="n">
        <v>100</v>
      </c>
      <c r="Z34" t="n">
        <v>100</v>
      </c>
      <c r="AA34" t="n">
        <v>100</v>
      </c>
      <c r="AB34" t="n">
        <v>100</v>
      </c>
      <c r="AC34" t="n">
        <v>100</v>
      </c>
      <c r="AD34" t="n">
        <v>100</v>
      </c>
      <c r="AE34" t="n">
        <v>100</v>
      </c>
      <c r="AF34" t="n">
        <v>100</v>
      </c>
    </row>
    <row r="35">
      <c r="A35" t="s">
        <v>72</v>
      </c>
      <c r="B35" t="s">
        <v>340</v>
      </c>
      <c r="C35" t="s">
        <v>236</v>
      </c>
      <c r="D35" t="s">
        <v>341</v>
      </c>
      <c r="E35" t="s">
        <v>237</v>
      </c>
      <c r="F35" t="n">
        <v>1018.95200995523</v>
      </c>
      <c r="G35" t="n">
        <v>847.699571307294</v>
      </c>
      <c r="H35" t="n">
        <v>710.038957163375</v>
      </c>
      <c r="I35" t="n">
        <v>578.88526443893</v>
      </c>
      <c r="J35" t="n">
        <v>471.01844497826</v>
      </c>
      <c r="K35" t="n">
        <v>392.515370815216</v>
      </c>
      <c r="L35" t="n">
        <v>331.184844125339</v>
      </c>
      <c r="M35" t="n">
        <v>285.817057258854</v>
      </c>
      <c r="N35" t="n">
        <v>249.522827765666</v>
      </c>
      <c r="O35" t="n">
        <v>223.71012144508</v>
      </c>
      <c r="P35" t="n">
        <v>198.479656620447</v>
      </c>
      <c r="Q35" t="n">
        <v>184.427999514575</v>
      </c>
      <c r="R35" t="n">
        <v>168.619885270468</v>
      </c>
      <c r="S35" t="n">
        <v>152.934314547634</v>
      </c>
      <c r="T35" t="n">
        <v>128.324194965256</v>
      </c>
      <c r="U35" t="n">
        <v>117.630512051485</v>
      </c>
      <c r="V35" t="n">
        <v>109.061401902039</v>
      </c>
      <c r="W35" t="n">
        <v>102.888115001923</v>
      </c>
      <c r="X35" t="n">
        <v>98.7998455316484</v>
      </c>
      <c r="Y35" t="n">
        <v>96.5746237854401</v>
      </c>
      <c r="Z35" t="n">
        <v>93.8770085959026</v>
      </c>
      <c r="AA35" t="n">
        <v>93.8770085959026</v>
      </c>
      <c r="AB35" t="n">
        <v>96.1360809952693</v>
      </c>
      <c r="AC35" t="n">
        <v>97.6467908394806</v>
      </c>
      <c r="AD35" t="n">
        <v>99.5391705069124</v>
      </c>
      <c r="AE35" t="n">
        <v>100</v>
      </c>
      <c r="AF35" t="n">
        <v>101.619433198381</v>
      </c>
    </row>
    <row r="36">
      <c r="A36" t="s">
        <v>72</v>
      </c>
      <c r="B36" t="s">
        <v>342</v>
      </c>
      <c r="C36" t="s">
        <v>236</v>
      </c>
      <c r="D36" t="s">
        <v>343</v>
      </c>
      <c r="E36" t="s">
        <v>237</v>
      </c>
      <c r="F36" t="n">
        <v>310.040285899935</v>
      </c>
      <c r="G36" t="n">
        <v>253.66932482722</v>
      </c>
      <c r="H36" t="n">
        <v>217.430849851903</v>
      </c>
      <c r="I36" t="n">
        <v>183.979949874687</v>
      </c>
      <c r="J36" t="n">
        <v>160.982456140351</v>
      </c>
      <c r="K36" t="n">
        <v>128.785964912281</v>
      </c>
      <c r="L36" t="n">
        <v>128.785964912281</v>
      </c>
      <c r="M36" t="n">
        <v>128.785964912281</v>
      </c>
      <c r="N36" t="n">
        <v>128.785964912281</v>
      </c>
      <c r="O36" t="n">
        <v>128.785964912281</v>
      </c>
      <c r="P36" t="n">
        <v>128.785964912281</v>
      </c>
      <c r="Q36" t="n">
        <v>128.785964912281</v>
      </c>
      <c r="R36" t="n">
        <v>128.785964912281</v>
      </c>
      <c r="S36" t="n">
        <v>120.736842105263</v>
      </c>
      <c r="T36" t="n">
        <v>100.614035087719</v>
      </c>
      <c r="U36" t="n">
        <v>100.614035087719</v>
      </c>
      <c r="V36" t="n">
        <v>100.614035087719</v>
      </c>
      <c r="W36" t="n">
        <v>100.614035087719</v>
      </c>
      <c r="X36" t="n">
        <v>100.614035087719</v>
      </c>
      <c r="Y36" t="n">
        <v>100.614035087719</v>
      </c>
      <c r="Z36" t="n">
        <v>97.3684210526316</v>
      </c>
      <c r="AA36" t="n">
        <v>97.3684210526316</v>
      </c>
      <c r="AB36" t="n">
        <v>100</v>
      </c>
      <c r="AC36" t="n">
        <v>100</v>
      </c>
      <c r="AD36" t="n">
        <v>100</v>
      </c>
      <c r="AE36" t="n">
        <v>100</v>
      </c>
      <c r="AF36" t="n">
        <v>100</v>
      </c>
    </row>
    <row r="37">
      <c r="A37" t="s">
        <v>72</v>
      </c>
      <c r="B37" t="s">
        <v>344</v>
      </c>
      <c r="C37" t="s">
        <v>236</v>
      </c>
      <c r="D37" t="s">
        <v>345</v>
      </c>
      <c r="E37" t="s">
        <v>237</v>
      </c>
      <c r="F37" t="n">
        <v>1075.97177594004</v>
      </c>
      <c r="G37" t="n">
        <v>892.269277608814</v>
      </c>
      <c r="H37" t="n">
        <v>739.64426959678</v>
      </c>
      <c r="I37" t="n">
        <v>600.08874703135</v>
      </c>
      <c r="J37" t="n">
        <v>484.687064909936</v>
      </c>
      <c r="K37" t="n">
        <v>401.935614803362</v>
      </c>
      <c r="L37" t="n">
        <v>336.756866456871</v>
      </c>
      <c r="M37" t="n">
        <v>289.767536253586</v>
      </c>
      <c r="N37" t="n">
        <v>251.131864753108</v>
      </c>
      <c r="O37" t="n">
        <v>224.972295507993</v>
      </c>
      <c r="P37" t="n">
        <v>198.645750288972</v>
      </c>
      <c r="Q37" t="n">
        <v>184.110695389779</v>
      </c>
      <c r="R37" t="n">
        <v>167.865634031858</v>
      </c>
      <c r="S37" t="n">
        <v>152.605121847143</v>
      </c>
      <c r="T37" t="n">
        <v>129.996955647566</v>
      </c>
      <c r="U37" t="n">
        <v>117.616293204941</v>
      </c>
      <c r="V37" t="n">
        <v>109.062380971854</v>
      </c>
      <c r="W37" t="n">
        <v>103.113523827935</v>
      </c>
      <c r="X37" t="n">
        <v>99.4308979769374</v>
      </c>
      <c r="Y37" t="n">
        <v>97.6230634682658</v>
      </c>
      <c r="Z37" t="n">
        <v>94.1365254872563</v>
      </c>
      <c r="AA37" t="n">
        <v>94.1365254872563</v>
      </c>
      <c r="AB37" t="n">
        <v>96.1394302848576</v>
      </c>
      <c r="AC37" t="n">
        <v>97.8260869565217</v>
      </c>
      <c r="AD37" t="n">
        <v>100</v>
      </c>
      <c r="AE37" t="n">
        <v>100</v>
      </c>
      <c r="AF37" t="n">
        <v>101.754385964912</v>
      </c>
    </row>
    <row r="38">
      <c r="A38" t="s">
        <v>72</v>
      </c>
      <c r="B38" t="s">
        <v>346</v>
      </c>
      <c r="C38" t="s">
        <v>236</v>
      </c>
      <c r="D38" t="s">
        <v>347</v>
      </c>
      <c r="E38" t="s">
        <v>237</v>
      </c>
      <c r="F38" t="n">
        <v>1051.56129209742</v>
      </c>
      <c r="G38" t="n">
        <v>889.782631774737</v>
      </c>
      <c r="H38" t="n">
        <v>757.962982622925</v>
      </c>
      <c r="I38" t="n">
        <v>618.33822266607</v>
      </c>
      <c r="J38" t="n">
        <v>504.765896053935</v>
      </c>
      <c r="K38" t="n">
        <v>427.95369448051</v>
      </c>
      <c r="L38" t="n">
        <v>356.628078733758</v>
      </c>
      <c r="M38" t="n">
        <v>303.79428929172</v>
      </c>
      <c r="N38" t="n">
        <v>261.891628699759</v>
      </c>
      <c r="O38" t="n">
        <v>232.79255884423</v>
      </c>
      <c r="P38" t="n">
        <v>205.405198980203</v>
      </c>
      <c r="Q38" t="n">
        <v>190.301875525776</v>
      </c>
      <c r="R38" t="n">
        <v>173.259916523468</v>
      </c>
      <c r="S38" t="n">
        <v>155.682823542826</v>
      </c>
      <c r="T38" t="n">
        <v>129.735686285688</v>
      </c>
      <c r="U38" t="n">
        <v>118.81057586163</v>
      </c>
      <c r="V38" t="n">
        <v>109.770640741724</v>
      </c>
      <c r="W38" t="n">
        <v>103.049989267741</v>
      </c>
      <c r="X38" t="n">
        <v>98.5203194098181</v>
      </c>
      <c r="Y38" t="n">
        <v>96.1173847900664</v>
      </c>
      <c r="Z38" t="n">
        <v>93.6346479135703</v>
      </c>
      <c r="AA38" t="n">
        <v>93.6346479135703</v>
      </c>
      <c r="AB38" t="n">
        <v>95.8947945873461</v>
      </c>
      <c r="AC38" t="n">
        <v>97.4389941781246</v>
      </c>
      <c r="AD38" t="n">
        <v>99.3589743589744</v>
      </c>
      <c r="AE38" t="n">
        <v>100</v>
      </c>
      <c r="AF38" t="n">
        <v>101.704545454545</v>
      </c>
    </row>
    <row r="39">
      <c r="A39" t="s">
        <v>72</v>
      </c>
      <c r="B39" t="s">
        <v>348</v>
      </c>
      <c r="C39" t="s">
        <v>236</v>
      </c>
      <c r="D39" t="s">
        <v>349</v>
      </c>
      <c r="E39" t="s">
        <v>237</v>
      </c>
      <c r="F39" t="n">
        <v>432.164217560775</v>
      </c>
      <c r="G39" t="n">
        <v>357.653145567538</v>
      </c>
      <c r="H39" t="n">
        <v>309.966059491867</v>
      </c>
      <c r="I39" t="n">
        <v>256.523635441545</v>
      </c>
      <c r="J39" t="n">
        <v>215.479853770898</v>
      </c>
      <c r="K39" t="n">
        <v>184.13732958604</v>
      </c>
      <c r="L39" t="n">
        <v>155.063014388244</v>
      </c>
      <c r="M39" t="n">
        <v>134.837403815864</v>
      </c>
      <c r="N39" t="n">
        <v>115.224690533557</v>
      </c>
      <c r="O39" t="n">
        <v>115.224690533557</v>
      </c>
      <c r="P39" t="n">
        <v>115.224690533557</v>
      </c>
      <c r="Q39" t="n">
        <v>115.224690533557</v>
      </c>
      <c r="R39" t="n">
        <v>112.41433222786</v>
      </c>
      <c r="S39" t="n">
        <v>107.917758938746</v>
      </c>
      <c r="T39" t="n">
        <v>104.64752381939</v>
      </c>
      <c r="U39" t="n">
        <v>104.64752381939</v>
      </c>
      <c r="V39" t="n">
        <v>104.64752381939</v>
      </c>
      <c r="W39" t="n">
        <v>101.569655471761</v>
      </c>
      <c r="X39" t="n">
        <v>99.3125520168328</v>
      </c>
      <c r="Y39" t="n">
        <v>97.0554485619048</v>
      </c>
      <c r="Z39" t="n">
        <v>94.7446045485261</v>
      </c>
      <c r="AA39" t="n">
        <v>94.7446045485261</v>
      </c>
      <c r="AB39" t="n">
        <v>96.4830376595082</v>
      </c>
      <c r="AC39" t="n">
        <v>98.0392156862745</v>
      </c>
      <c r="AD39" t="n">
        <v>100</v>
      </c>
      <c r="AE39" t="n">
        <v>100</v>
      </c>
      <c r="AF39" t="n">
        <v>101.351351351351</v>
      </c>
    </row>
    <row r="40">
      <c r="A40" t="s">
        <v>72</v>
      </c>
      <c r="B40" t="s">
        <v>350</v>
      </c>
      <c r="C40" t="s">
        <v>236</v>
      </c>
      <c r="D40" t="s">
        <v>351</v>
      </c>
      <c r="E40" t="s">
        <v>237</v>
      </c>
      <c r="F40" t="e">
        <v>#NUM!</v>
      </c>
      <c r="G40" t="e">
        <v>#NUM!</v>
      </c>
      <c r="H40" t="e">
        <v>#NUM!</v>
      </c>
      <c r="I40" t="e">
        <v>#NUM!</v>
      </c>
      <c r="J40" t="e">
        <v>#NUM!</v>
      </c>
      <c r="K40" t="e">
        <v>#NUM!</v>
      </c>
      <c r="L40" t="n">
        <v>0</v>
      </c>
      <c r="M40" t="n">
        <v>0</v>
      </c>
      <c r="N40" t="n">
        <v>109.090909090909</v>
      </c>
      <c r="O40" t="n">
        <v>109.090909090909</v>
      </c>
      <c r="P40" t="n">
        <v>109.090909090909</v>
      </c>
      <c r="Q40" t="n">
        <v>109.090909090909</v>
      </c>
      <c r="R40" t="n">
        <v>109.090909090909</v>
      </c>
      <c r="S40" t="n">
        <v>100</v>
      </c>
      <c r="T40" t="n">
        <v>100</v>
      </c>
      <c r="U40" t="n">
        <v>100</v>
      </c>
      <c r="V40" t="n">
        <v>100</v>
      </c>
      <c r="W40" t="n">
        <v>100</v>
      </c>
      <c r="X40" t="n">
        <v>100</v>
      </c>
      <c r="Y40" t="n">
        <v>100</v>
      </c>
      <c r="Z40" t="n">
        <v>100</v>
      </c>
      <c r="AA40" t="n">
        <v>100</v>
      </c>
      <c r="AB40" t="n">
        <v>100</v>
      </c>
      <c r="AC40" t="n">
        <v>100</v>
      </c>
      <c r="AD40" t="n">
        <v>100</v>
      </c>
      <c r="AE40" t="n">
        <v>100</v>
      </c>
      <c r="AF40" t="n">
        <v>100</v>
      </c>
    </row>
    <row r="41">
      <c r="A41" t="s">
        <v>72</v>
      </c>
      <c r="B41" t="s">
        <v>352</v>
      </c>
      <c r="C41" t="s">
        <v>236</v>
      </c>
      <c r="D41" t="s">
        <v>353</v>
      </c>
      <c r="E41" t="s">
        <v>237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/>
      <c r="AD41"/>
      <c r="AE41"/>
      <c r="AF41"/>
    </row>
    <row r="42">
      <c r="A42" t="s">
        <v>72</v>
      </c>
      <c r="B42" t="s">
        <v>354</v>
      </c>
      <c r="C42" t="s">
        <v>236</v>
      </c>
      <c r="D42" t="s">
        <v>355</v>
      </c>
      <c r="E42" t="s">
        <v>237</v>
      </c>
      <c r="F42" t="n">
        <v>327.171449481499</v>
      </c>
      <c r="G42" t="n">
        <v>292.117365608481</v>
      </c>
      <c r="H42" t="n">
        <v>271.25183949359</v>
      </c>
      <c r="I42" t="n">
        <v>246.592581357809</v>
      </c>
      <c r="J42" t="n">
        <v>221.933323222028</v>
      </c>
      <c r="K42" t="n">
        <v>203.438879620192</v>
      </c>
      <c r="L42" t="n">
        <v>203.438879620192</v>
      </c>
      <c r="M42" t="n">
        <v>203.438879620192</v>
      </c>
      <c r="N42" t="n">
        <v>180.834559662393</v>
      </c>
      <c r="O42" t="n">
        <v>180.834559662393</v>
      </c>
      <c r="P42" t="n">
        <v>162.751103696154</v>
      </c>
      <c r="Q42" t="n">
        <v>152.579159715144</v>
      </c>
      <c r="R42" t="n">
        <v>144.950201729387</v>
      </c>
      <c r="S42" t="n">
        <v>131.01268233233</v>
      </c>
      <c r="T42" t="n">
        <v>120.094958804636</v>
      </c>
      <c r="U42" t="n">
        <v>113.423016648823</v>
      </c>
      <c r="V42" t="n">
        <v>105.483405483405</v>
      </c>
      <c r="W42" t="n">
        <v>100.577200577201</v>
      </c>
      <c r="X42" t="n">
        <v>97.6190476190476</v>
      </c>
      <c r="Y42" t="n">
        <v>97.6190476190476</v>
      </c>
      <c r="Z42" t="n">
        <v>97.6190476190476</v>
      </c>
      <c r="AA42" t="n">
        <v>97.6190476190476</v>
      </c>
      <c r="AB42" t="n">
        <v>100</v>
      </c>
      <c r="AC42" t="n">
        <v>100</v>
      </c>
      <c r="AD42" t="n">
        <v>100</v>
      </c>
      <c r="AE42" t="n">
        <v>100</v>
      </c>
      <c r="AF42" t="n">
        <v>100</v>
      </c>
    </row>
    <row r="43">
      <c r="A43" t="s">
        <v>72</v>
      </c>
      <c r="B43" t="s">
        <v>356</v>
      </c>
      <c r="C43" t="s">
        <v>236</v>
      </c>
      <c r="D43" t="s">
        <v>357</v>
      </c>
      <c r="E43" t="s">
        <v>237</v>
      </c>
      <c r="F43" t="n">
        <v>352.66106090462</v>
      </c>
      <c r="G43" t="n">
        <v>317.394954814158</v>
      </c>
      <c r="H43" t="n">
        <v>296.235291159881</v>
      </c>
      <c r="I43" t="n">
        <v>272.53646786709</v>
      </c>
      <c r="J43" t="n">
        <v>247.760425333719</v>
      </c>
      <c r="K43" t="n">
        <v>230.063252095596</v>
      </c>
      <c r="L43" t="n">
        <v>230.063252095596</v>
      </c>
      <c r="M43" t="n">
        <v>230.063252095596</v>
      </c>
      <c r="N43" t="n">
        <v>204.500668529418</v>
      </c>
      <c r="O43" t="n">
        <v>204.500668529418</v>
      </c>
      <c r="P43" t="n">
        <v>185.909698663108</v>
      </c>
      <c r="Q43" t="n">
        <v>176.614213729952</v>
      </c>
      <c r="R43" t="n">
        <v>162.762118535446</v>
      </c>
      <c r="S43" t="n">
        <v>146.020872057515</v>
      </c>
      <c r="T43" t="n">
        <v>123.840486428525</v>
      </c>
      <c r="U43" t="n">
        <v>116.661327794987</v>
      </c>
      <c r="V43" t="n">
        <v>108.977048718671</v>
      </c>
      <c r="W43" t="n">
        <v>103.138992537313</v>
      </c>
      <c r="X43" t="n">
        <v>99.7388059701492</v>
      </c>
      <c r="Y43" t="n">
        <v>98.5074626865672</v>
      </c>
      <c r="Z43" t="n">
        <v>98.5074626865672</v>
      </c>
      <c r="AA43" t="n">
        <v>98.5074626865672</v>
      </c>
      <c r="AB43" t="n">
        <v>100</v>
      </c>
      <c r="AC43" t="n">
        <v>100</v>
      </c>
      <c r="AD43" t="n">
        <v>100</v>
      </c>
      <c r="AE43" t="n">
        <v>100</v>
      </c>
      <c r="AF43" t="n">
        <v>100</v>
      </c>
    </row>
    <row r="44">
      <c r="A44" t="s">
        <v>72</v>
      </c>
      <c r="B44" t="s">
        <v>358</v>
      </c>
      <c r="C44" t="s">
        <v>236</v>
      </c>
      <c r="D44" t="s">
        <v>359</v>
      </c>
      <c r="E44" t="s">
        <v>237</v>
      </c>
      <c r="F44" t="n">
        <v>676.616337339272</v>
      </c>
      <c r="G44" t="n">
        <v>573.501861272157</v>
      </c>
      <c r="H44" t="n">
        <v>492.200831130127</v>
      </c>
      <c r="I44" t="n">
        <v>413.360278838325</v>
      </c>
      <c r="J44" t="n">
        <v>345.019815402776</v>
      </c>
      <c r="K44" t="n">
        <v>296.50140386176</v>
      </c>
      <c r="L44" t="n">
        <v>257.519147577146</v>
      </c>
      <c r="M44" t="n">
        <v>226.39045940848</v>
      </c>
      <c r="N44" t="n">
        <v>196.989101043743</v>
      </c>
      <c r="O44" t="n">
        <v>183.187316894181</v>
      </c>
      <c r="P44" t="n">
        <v>167.801505501494</v>
      </c>
      <c r="Q44" t="n">
        <v>160.112487729188</v>
      </c>
      <c r="R44" t="n">
        <v>150.031331094387</v>
      </c>
      <c r="S44" t="n">
        <v>138.058146691089</v>
      </c>
      <c r="T44" t="n">
        <v>118.858007085044</v>
      </c>
      <c r="U44" t="n">
        <v>112.180590956671</v>
      </c>
      <c r="V44" t="n">
        <v>106.42774013838</v>
      </c>
      <c r="W44" t="n">
        <v>102.113102024662</v>
      </c>
      <c r="X44" t="n">
        <v>99.4492819718445</v>
      </c>
      <c r="Y44" t="n">
        <v>97.9509877048487</v>
      </c>
      <c r="Z44" t="n">
        <v>95.8888616479045</v>
      </c>
      <c r="AA44" t="n">
        <v>95.8888616479045</v>
      </c>
      <c r="AB44" t="n">
        <v>97.4480301299843</v>
      </c>
      <c r="AC44" t="n">
        <v>98.6081257267698</v>
      </c>
      <c r="AD44" t="n">
        <v>99.7920997920998</v>
      </c>
      <c r="AE44" t="n">
        <v>100</v>
      </c>
      <c r="AF44" t="n">
        <v>100.956022944551</v>
      </c>
    </row>
    <row r="45">
      <c r="A45" t="s">
        <v>72</v>
      </c>
      <c r="B45" t="s">
        <v>360</v>
      </c>
      <c r="C45" t="s">
        <v>236</v>
      </c>
      <c r="D45" t="s">
        <v>361</v>
      </c>
      <c r="E45" t="s">
        <v>237</v>
      </c>
      <c r="F45" t="n">
        <v>688.178195747482</v>
      </c>
      <c r="G45" t="n">
        <v>584.395487591668</v>
      </c>
      <c r="H45" t="n">
        <v>502.769397219552</v>
      </c>
      <c r="I45" t="n">
        <v>422.548687710587</v>
      </c>
      <c r="J45" t="n">
        <v>352.960873265889</v>
      </c>
      <c r="K45" t="n">
        <v>303.25821968355</v>
      </c>
      <c r="L45" t="n">
        <v>263.157959229527</v>
      </c>
      <c r="M45" t="n">
        <v>231.016529094623</v>
      </c>
      <c r="N45" t="n">
        <v>201.157249823889</v>
      </c>
      <c r="O45" t="n">
        <v>186.356381943871</v>
      </c>
      <c r="P45" t="n">
        <v>170.107324117702</v>
      </c>
      <c r="Q45" t="n">
        <v>162.029602022727</v>
      </c>
      <c r="R45" t="n">
        <v>151.576079311584</v>
      </c>
      <c r="S45" t="n">
        <v>139.217963028277</v>
      </c>
      <c r="T45" t="n">
        <v>119.556200596037</v>
      </c>
      <c r="U45" t="n">
        <v>112.589056039158</v>
      </c>
      <c r="V45" t="n">
        <v>106.663316247624</v>
      </c>
      <c r="W45" t="n">
        <v>102.219011403973</v>
      </c>
      <c r="X45" t="n">
        <v>99.4687241016237</v>
      </c>
      <c r="Y45" t="n">
        <v>97.9295562238423</v>
      </c>
      <c r="Z45" t="n">
        <v>95.8235442620393</v>
      </c>
      <c r="AA45" t="n">
        <v>95.8235442620393</v>
      </c>
      <c r="AB45" t="n">
        <v>97.411779802294</v>
      </c>
      <c r="AC45" t="n">
        <v>98.584238536123</v>
      </c>
      <c r="AD45" t="n">
        <v>99.7885835095137</v>
      </c>
      <c r="AE45" t="n">
        <v>100</v>
      </c>
      <c r="AF45" t="n">
        <v>100.970873786408</v>
      </c>
    </row>
    <row r="46">
      <c r="A46" t="s">
        <v>72</v>
      </c>
      <c r="B46" t="s">
        <v>362</v>
      </c>
      <c r="C46" t="s">
        <v>236</v>
      </c>
      <c r="D46" t="s">
        <v>363</v>
      </c>
      <c r="E46" t="s">
        <v>237</v>
      </c>
      <c r="F46" t="e">
        <v>#NUM!</v>
      </c>
      <c r="G46" t="e">
        <v>#NUM!</v>
      </c>
      <c r="H46" t="e">
        <v>#NUM!</v>
      </c>
      <c r="I46" t="e">
        <v>#NUM!</v>
      </c>
      <c r="J46" t="e">
        <v>#NUM!</v>
      </c>
      <c r="K46" t="e">
        <v>#NUM!</v>
      </c>
      <c r="L46" t="n">
        <v>0</v>
      </c>
      <c r="M46" t="n">
        <v>0</v>
      </c>
      <c r="N46" t="n">
        <v>0</v>
      </c>
      <c r="O46" t="n">
        <v>0</v>
      </c>
      <c r="P46" t="n">
        <v>185.697587941763</v>
      </c>
      <c r="Q46" t="n">
        <v>185.697587941763</v>
      </c>
      <c r="R46" t="n">
        <v>169.845354824783</v>
      </c>
      <c r="S46" t="n">
        <v>151.894219762001</v>
      </c>
      <c r="T46" t="n">
        <v>126.95636278615</v>
      </c>
      <c r="U46" t="n">
        <v>119.488341445788</v>
      </c>
      <c r="V46" t="n">
        <v>112.354709120667</v>
      </c>
      <c r="W46" t="n">
        <v>105.841392649903</v>
      </c>
      <c r="X46" t="n">
        <v>102.127659574468</v>
      </c>
      <c r="Y46" t="n">
        <v>100</v>
      </c>
      <c r="Z46" t="n">
        <v>100</v>
      </c>
      <c r="AA46" t="n">
        <v>100</v>
      </c>
      <c r="AB46" t="n">
        <v>100</v>
      </c>
      <c r="AC46" t="n">
        <v>100</v>
      </c>
      <c r="AD46" t="n">
        <v>100</v>
      </c>
      <c r="AE46" t="n">
        <v>100</v>
      </c>
      <c r="AF46" t="n">
        <v>100</v>
      </c>
    </row>
    <row r="47">
      <c r="A47" t="s">
        <v>72</v>
      </c>
      <c r="B47" t="s">
        <v>364</v>
      </c>
      <c r="C47" t="s">
        <v>236</v>
      </c>
      <c r="D47" t="s">
        <v>365</v>
      </c>
      <c r="E47" t="s">
        <v>237</v>
      </c>
      <c r="F47" t="n">
        <v>467.726173711257</v>
      </c>
      <c r="G47" t="n">
        <v>389.771811426047</v>
      </c>
      <c r="H47" t="n">
        <v>325.99096955633</v>
      </c>
      <c r="I47" t="n">
        <v>266.719884182452</v>
      </c>
      <c r="J47" t="n">
        <v>221.320754959907</v>
      </c>
      <c r="K47" t="n">
        <v>191.140652010829</v>
      </c>
      <c r="L47" t="n">
        <v>162.179947160703</v>
      </c>
      <c r="M47" t="n">
        <v>139.011383280603</v>
      </c>
      <c r="N47" t="n">
        <v>118.668254020027</v>
      </c>
      <c r="O47" t="n">
        <v>113.394109396914</v>
      </c>
      <c r="P47" t="n">
        <v>113.394109396914</v>
      </c>
      <c r="Q47" t="n">
        <v>113.394109396914</v>
      </c>
      <c r="R47" t="n">
        <v>113.394109396914</v>
      </c>
      <c r="S47" t="n">
        <v>108.66935483871</v>
      </c>
      <c r="T47" t="n">
        <v>104.788306451613</v>
      </c>
      <c r="U47" t="n">
        <v>104.788306451613</v>
      </c>
      <c r="V47" t="n">
        <v>104.788306451613</v>
      </c>
      <c r="W47" t="n">
        <v>98.4375</v>
      </c>
      <c r="X47" t="n">
        <v>98.4375</v>
      </c>
      <c r="Y47" t="n">
        <v>98.4375</v>
      </c>
      <c r="Z47" t="n">
        <v>95.4545454545454</v>
      </c>
      <c r="AA47" t="n">
        <v>95.4545454545454</v>
      </c>
      <c r="AB47" t="n">
        <v>98.1818181818182</v>
      </c>
      <c r="AC47" t="n">
        <v>98.1818181818182</v>
      </c>
      <c r="AD47" t="n">
        <v>100</v>
      </c>
      <c r="AE47" t="n">
        <v>100</v>
      </c>
      <c r="AF47" t="n">
        <v>101.754385964912</v>
      </c>
    </row>
    <row r="48">
      <c r="A48" t="s">
        <v>72</v>
      </c>
      <c r="B48" t="s">
        <v>366</v>
      </c>
      <c r="C48" t="s">
        <v>236</v>
      </c>
      <c r="D48" t="s">
        <v>367</v>
      </c>
      <c r="E48" t="s">
        <v>237</v>
      </c>
      <c r="F48" t="n">
        <v>478.866377099325</v>
      </c>
      <c r="G48" t="n">
        <v>406.310865417609</v>
      </c>
      <c r="H48" t="n">
        <v>345.364235604968</v>
      </c>
      <c r="I48" t="n">
        <v>285.163130316028</v>
      </c>
      <c r="J48" t="n">
        <v>238.378554248555</v>
      </c>
      <c r="K48" t="n">
        <v>205.056820858972</v>
      </c>
      <c r="L48" t="n">
        <v>174.516443284231</v>
      </c>
      <c r="M48" t="n">
        <v>148.174338637555</v>
      </c>
      <c r="N48" t="n">
        <v>125.948187841922</v>
      </c>
      <c r="O48" t="n">
        <v>122.012306971862</v>
      </c>
      <c r="P48" t="n">
        <v>122.012306971862</v>
      </c>
      <c r="Q48" t="n">
        <v>122.012306971862</v>
      </c>
      <c r="R48" t="n">
        <v>122.012306971862</v>
      </c>
      <c r="S48" t="n">
        <v>115.040175144898</v>
      </c>
      <c r="T48" t="n">
        <v>108.02553031899</v>
      </c>
      <c r="U48" t="n">
        <v>106.459942923062</v>
      </c>
      <c r="V48" t="n">
        <v>104.770102559204</v>
      </c>
      <c r="W48" t="n">
        <v>100.404681619237</v>
      </c>
      <c r="X48" t="n">
        <v>100.404681619237</v>
      </c>
      <c r="Y48" t="n">
        <v>100.404681619237</v>
      </c>
      <c r="Z48" t="n">
        <v>97.5763807285546</v>
      </c>
      <c r="AA48" t="n">
        <v>97.5763807285546</v>
      </c>
      <c r="AB48" t="n">
        <v>98.9130434782609</v>
      </c>
      <c r="AC48" t="n">
        <v>98.9130434782609</v>
      </c>
      <c r="AD48" t="n">
        <v>100</v>
      </c>
      <c r="AE48" t="n">
        <v>100</v>
      </c>
      <c r="AF48" t="n">
        <v>101.149425287356</v>
      </c>
    </row>
    <row r="49">
      <c r="A49" t="s">
        <v>72</v>
      </c>
      <c r="B49" t="s">
        <v>368</v>
      </c>
      <c r="C49" t="s">
        <v>236</v>
      </c>
      <c r="D49" t="s">
        <v>369</v>
      </c>
      <c r="E49" t="s">
        <v>237</v>
      </c>
      <c r="F49" t="n">
        <v>706.464544291342</v>
      </c>
      <c r="G49" t="n">
        <v>597.777691323443</v>
      </c>
      <c r="H49" t="n">
        <v>489.090838355544</v>
      </c>
      <c r="I49" t="n">
        <v>413.846093993153</v>
      </c>
      <c r="J49" t="n">
        <v>331.076875194522</v>
      </c>
      <c r="K49" t="n">
        <v>270.881079704609</v>
      </c>
      <c r="L49" t="n">
        <v>225.734233087174</v>
      </c>
      <c r="M49" t="n">
        <v>169.300674815381</v>
      </c>
      <c r="N49" t="n">
        <v>126.975506111536</v>
      </c>
      <c r="O49" t="n">
        <v>126.975506111536</v>
      </c>
      <c r="P49" t="n">
        <v>126.975506111536</v>
      </c>
      <c r="Q49" t="n">
        <v>126.975506111536</v>
      </c>
      <c r="R49" t="n">
        <v>126.975506111536</v>
      </c>
      <c r="S49" t="n">
        <v>118.510472370766</v>
      </c>
      <c r="T49" t="n">
        <v>108.901515151515</v>
      </c>
      <c r="U49" t="n">
        <v>108.901515151515</v>
      </c>
      <c r="V49" t="n">
        <v>108.901515151515</v>
      </c>
      <c r="W49" t="n">
        <v>104.545454545455</v>
      </c>
      <c r="X49" t="n">
        <v>104.545454545455</v>
      </c>
      <c r="Y49" t="n">
        <v>104.545454545455</v>
      </c>
      <c r="Z49" t="n">
        <v>100</v>
      </c>
      <c r="AA49" t="n">
        <v>100</v>
      </c>
      <c r="AB49" t="n">
        <v>100</v>
      </c>
      <c r="AC49" t="n">
        <v>100</v>
      </c>
      <c r="AD49" t="n">
        <v>100</v>
      </c>
      <c r="AE49" t="n">
        <v>100</v>
      </c>
      <c r="AF49" t="n">
        <v>100</v>
      </c>
    </row>
    <row r="50">
      <c r="A50" t="s">
        <v>72</v>
      </c>
      <c r="B50" t="s">
        <v>370</v>
      </c>
      <c r="C50" t="s">
        <v>236</v>
      </c>
      <c r="D50" t="s">
        <v>371</v>
      </c>
      <c r="E50" t="s">
        <v>237</v>
      </c>
      <c r="F50" t="n">
        <v>319.687638368957</v>
      </c>
      <c r="G50" t="n">
        <v>296.852807056889</v>
      </c>
      <c r="H50" t="n">
        <v>275.649035124254</v>
      </c>
      <c r="I50" t="n">
        <v>232.125503262529</v>
      </c>
      <c r="J50" t="n">
        <v>207.691239761211</v>
      </c>
      <c r="K50" t="n">
        <v>181.729834791059</v>
      </c>
      <c r="L50" t="n">
        <v>159.013605442177</v>
      </c>
      <c r="M50" t="n">
        <v>143.112244897959</v>
      </c>
      <c r="N50" t="n">
        <v>130.102040816327</v>
      </c>
      <c r="O50" t="n">
        <v>130.102040816327</v>
      </c>
      <c r="P50" t="n">
        <v>130.102040816327</v>
      </c>
      <c r="Q50" t="n">
        <v>130.102040816327</v>
      </c>
      <c r="R50" t="n">
        <v>130.102040816327</v>
      </c>
      <c r="S50" t="n">
        <v>121.970663265306</v>
      </c>
      <c r="T50" t="n">
        <v>114.795918367347</v>
      </c>
      <c r="U50" t="n">
        <v>107.142857142857</v>
      </c>
      <c r="V50" t="n">
        <v>100</v>
      </c>
      <c r="W50" t="n">
        <v>100</v>
      </c>
      <c r="X50" t="n">
        <v>100</v>
      </c>
      <c r="Y50" t="n">
        <v>100</v>
      </c>
      <c r="Z50" t="n">
        <v>100</v>
      </c>
      <c r="AA50" t="n">
        <v>100</v>
      </c>
      <c r="AB50" t="n">
        <v>100</v>
      </c>
      <c r="AC50" t="n">
        <v>100</v>
      </c>
      <c r="AD50" t="n">
        <v>100</v>
      </c>
      <c r="AE50" t="n">
        <v>100</v>
      </c>
      <c r="AF50" t="n">
        <v>100</v>
      </c>
    </row>
    <row r="51">
      <c r="A51" t="s">
        <v>72</v>
      </c>
      <c r="B51" t="s">
        <v>372</v>
      </c>
      <c r="C51" t="s">
        <v>236</v>
      </c>
      <c r="D51" t="s">
        <v>373</v>
      </c>
      <c r="E51" t="s">
        <v>237</v>
      </c>
      <c r="F51" t="n">
        <v>357.5</v>
      </c>
      <c r="G51" t="n">
        <v>330</v>
      </c>
      <c r="H51" t="n">
        <v>304.615384615385</v>
      </c>
      <c r="I51" t="n">
        <v>253.846153846154</v>
      </c>
      <c r="J51" t="n">
        <v>225.641025641026</v>
      </c>
      <c r="K51" t="n">
        <v>195.555555555556</v>
      </c>
      <c r="L51" t="n">
        <v>171.111111111111</v>
      </c>
      <c r="M51" t="n">
        <v>154</v>
      </c>
      <c r="N51" t="n">
        <v>140</v>
      </c>
      <c r="O51" t="n">
        <v>140</v>
      </c>
      <c r="P51" t="n">
        <v>140</v>
      </c>
      <c r="Q51" t="n">
        <v>140</v>
      </c>
      <c r="R51" t="n">
        <v>140</v>
      </c>
      <c r="S51" t="n">
        <v>129.230769230769</v>
      </c>
      <c r="T51" t="n">
        <v>120</v>
      </c>
      <c r="U51" t="n">
        <v>109.090909090909</v>
      </c>
      <c r="V51" t="n">
        <v>100</v>
      </c>
      <c r="W51" t="n">
        <v>100</v>
      </c>
      <c r="X51" t="n">
        <v>100</v>
      </c>
      <c r="Y51" t="n">
        <v>100</v>
      </c>
      <c r="Z51" t="n">
        <v>100</v>
      </c>
      <c r="AA51" t="n">
        <v>100</v>
      </c>
      <c r="AB51" t="n">
        <v>100</v>
      </c>
      <c r="AC51" t="n">
        <v>100</v>
      </c>
      <c r="AD51" t="n">
        <v>100</v>
      </c>
      <c r="AE51" t="n">
        <v>100</v>
      </c>
      <c r="AF51" t="n">
        <v>100</v>
      </c>
    </row>
    <row r="52">
      <c r="A52" t="s">
        <v>72</v>
      </c>
      <c r="B52" t="s">
        <v>374</v>
      </c>
      <c r="C52" t="s">
        <v>236</v>
      </c>
      <c r="D52" t="s">
        <v>375</v>
      </c>
      <c r="E52" t="s">
        <v>237</v>
      </c>
      <c r="F52" t="e">
        <v>#NUM!</v>
      </c>
      <c r="G52" t="e">
        <v>#NUM!</v>
      </c>
      <c r="H52" t="e">
        <v>#NUM!</v>
      </c>
      <c r="I52" t="e">
        <v>#NUM!</v>
      </c>
      <c r="J52" t="e">
        <v>#NUM!</v>
      </c>
      <c r="K52" t="e">
        <v>#NUM!</v>
      </c>
      <c r="L52" t="n">
        <v>0</v>
      </c>
      <c r="M52" t="n">
        <v>0</v>
      </c>
      <c r="N52" t="n">
        <v>0</v>
      </c>
      <c r="O52" t="n">
        <v>100</v>
      </c>
      <c r="P52" t="n">
        <v>100</v>
      </c>
      <c r="Q52" t="n">
        <v>100</v>
      </c>
      <c r="R52" t="n">
        <v>100</v>
      </c>
      <c r="S52" t="n">
        <v>100</v>
      </c>
      <c r="T52" t="n">
        <v>100</v>
      </c>
      <c r="U52" t="n">
        <v>100</v>
      </c>
      <c r="V52" t="n">
        <v>100</v>
      </c>
      <c r="W52" t="n">
        <v>100</v>
      </c>
      <c r="X52" t="n">
        <v>100</v>
      </c>
      <c r="Y52" t="n">
        <v>100</v>
      </c>
      <c r="Z52" t="n">
        <v>100</v>
      </c>
      <c r="AA52" t="n">
        <v>100</v>
      </c>
      <c r="AB52" t="n">
        <v>100</v>
      </c>
      <c r="AC52" t="n">
        <v>100</v>
      </c>
      <c r="AD52" t="n">
        <v>100</v>
      </c>
      <c r="AE52" t="n">
        <v>100</v>
      </c>
      <c r="AF52" t="n">
        <v>100</v>
      </c>
    </row>
    <row r="53">
      <c r="A53" t="s">
        <v>72</v>
      </c>
      <c r="B53" t="s">
        <v>376</v>
      </c>
      <c r="C53" t="s">
        <v>236</v>
      </c>
      <c r="D53" t="s">
        <v>377</v>
      </c>
      <c r="E53" t="s">
        <v>237</v>
      </c>
      <c r="F53" t="n">
        <v>151.12160566706</v>
      </c>
      <c r="G53" t="n">
        <v>136.009445100354</v>
      </c>
      <c r="H53" t="n">
        <v>124.675324675325</v>
      </c>
      <c r="I53" t="n">
        <v>114.285714285714</v>
      </c>
      <c r="J53" t="n">
        <v>114.285714285714</v>
      </c>
      <c r="K53" t="n">
        <v>100</v>
      </c>
      <c r="L53" t="n">
        <v>100</v>
      </c>
      <c r="M53" t="n">
        <v>100</v>
      </c>
      <c r="N53" t="n">
        <v>100</v>
      </c>
      <c r="O53" t="n">
        <v>100</v>
      </c>
      <c r="P53" t="n">
        <v>100</v>
      </c>
      <c r="Q53" t="n">
        <v>100</v>
      </c>
      <c r="R53" t="n">
        <v>100</v>
      </c>
      <c r="S53" t="n">
        <v>100</v>
      </c>
      <c r="T53" t="n">
        <v>100</v>
      </c>
      <c r="U53" t="n">
        <v>100</v>
      </c>
      <c r="V53" t="n">
        <v>100</v>
      </c>
      <c r="W53" t="n">
        <v>100</v>
      </c>
      <c r="X53" t="n">
        <v>100</v>
      </c>
      <c r="Y53" t="n">
        <v>100</v>
      </c>
      <c r="Z53" t="n">
        <v>100</v>
      </c>
      <c r="AA53" t="n">
        <v>100</v>
      </c>
      <c r="AB53" t="n">
        <v>100</v>
      </c>
      <c r="AC53" t="n">
        <v>100</v>
      </c>
      <c r="AD53" t="n">
        <v>100</v>
      </c>
      <c r="AE53" t="n">
        <v>100</v>
      </c>
      <c r="AF53" t="n">
        <v>100</v>
      </c>
    </row>
    <row r="54">
      <c r="A54" t="s">
        <v>72</v>
      </c>
      <c r="B54" t="s">
        <v>378</v>
      </c>
      <c r="C54" t="s">
        <v>236</v>
      </c>
      <c r="D54" t="s">
        <v>379</v>
      </c>
      <c r="E54" t="s">
        <v>237</v>
      </c>
      <c r="F54" t="n">
        <v>168.547418967587</v>
      </c>
      <c r="G54" t="n">
        <v>155.582232893157</v>
      </c>
      <c r="H54" t="n">
        <v>145.210084033613</v>
      </c>
      <c r="I54" t="n">
        <v>137.142857142857</v>
      </c>
      <c r="J54" t="n">
        <v>120</v>
      </c>
      <c r="K54" t="n">
        <v>110</v>
      </c>
      <c r="L54" t="n">
        <v>110</v>
      </c>
      <c r="M54" t="n">
        <v>110</v>
      </c>
      <c r="N54" t="n">
        <v>100</v>
      </c>
      <c r="O54" t="n">
        <v>100</v>
      </c>
      <c r="P54" t="n">
        <v>100</v>
      </c>
      <c r="Q54" t="n">
        <v>100</v>
      </c>
      <c r="R54" t="n">
        <v>100</v>
      </c>
      <c r="S54" t="n">
        <v>100</v>
      </c>
      <c r="T54" t="n">
        <v>100</v>
      </c>
      <c r="U54" t="n">
        <v>100</v>
      </c>
      <c r="V54" t="n">
        <v>100</v>
      </c>
      <c r="W54" t="n">
        <v>100</v>
      </c>
      <c r="X54" t="n">
        <v>100</v>
      </c>
      <c r="Y54" t="n">
        <v>100</v>
      </c>
      <c r="Z54" t="n">
        <v>100</v>
      </c>
      <c r="AA54" t="n">
        <v>100</v>
      </c>
      <c r="AB54" t="n">
        <v>100</v>
      </c>
      <c r="AC54" t="n">
        <v>100</v>
      </c>
      <c r="AD54" t="n">
        <v>100</v>
      </c>
      <c r="AE54" t="n">
        <v>100</v>
      </c>
      <c r="AF54" t="n">
        <v>100</v>
      </c>
    </row>
    <row r="55">
      <c r="A55" t="s">
        <v>72</v>
      </c>
      <c r="B55" t="s">
        <v>380</v>
      </c>
      <c r="C55" t="s">
        <v>236</v>
      </c>
      <c r="D55" t="s">
        <v>381</v>
      </c>
      <c r="E55" t="s">
        <v>237</v>
      </c>
      <c r="F55" t="e">
        <v>#NUM!</v>
      </c>
      <c r="G55" t="e">
        <v>#NUM!</v>
      </c>
      <c r="H55" t="e">
        <v>#NUM!</v>
      </c>
      <c r="I55" t="e">
        <v>#NUM!</v>
      </c>
      <c r="J55" t="e">
        <v>#NUM!</v>
      </c>
      <c r="K55" t="e">
        <v>#NUM!</v>
      </c>
      <c r="L55" t="e">
        <v>#NUM!</v>
      </c>
      <c r="M55" t="e">
        <v>#NUM!</v>
      </c>
      <c r="N55" t="e">
        <v>#NUM!</v>
      </c>
      <c r="O55" t="e">
        <v>#NUM!</v>
      </c>
      <c r="P55" t="e">
        <v>#NUM!</v>
      </c>
      <c r="Q55" t="e">
        <v>#NUM!</v>
      </c>
      <c r="R55" t="e">
        <v>#NUM!</v>
      </c>
      <c r="S55" t="e">
        <v>#NUM!</v>
      </c>
      <c r="T55" t="e">
        <v>#NUM!</v>
      </c>
      <c r="U55" t="e">
        <v>#NUM!</v>
      </c>
      <c r="V55" t="e">
        <v>#NUM!</v>
      </c>
      <c r="W55" t="e">
        <v>#NUM!</v>
      </c>
      <c r="X55" t="e">
        <v>#NUM!</v>
      </c>
      <c r="Y55" t="e">
        <v>#NUM!</v>
      </c>
      <c r="Z55" t="e">
        <v>#NUM!</v>
      </c>
      <c r="AA55" t="e">
        <v>#NUM!</v>
      </c>
      <c r="AB55" t="e">
        <v>#NUM!</v>
      </c>
      <c r="AC55" t="e">
        <v>#NUM!</v>
      </c>
      <c r="AD55" t="e">
        <v>#NUM!</v>
      </c>
      <c r="AE55" t="n">
        <v>0</v>
      </c>
      <c r="AF55" t="n">
        <v>0</v>
      </c>
    </row>
    <row r="56">
      <c r="A56" t="s">
        <v>72</v>
      </c>
      <c r="B56" t="s">
        <v>382</v>
      </c>
      <c r="C56" t="s">
        <v>236</v>
      </c>
      <c r="D56" t="s">
        <v>383</v>
      </c>
      <c r="E56" t="s">
        <v>237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72</v>
      </c>
      <c r="B57" t="s">
        <v>384</v>
      </c>
      <c r="C57" t="s">
        <v>236</v>
      </c>
      <c r="D57" t="s">
        <v>385</v>
      </c>
      <c r="E57" t="s">
        <v>237</v>
      </c>
      <c r="F57" t="n">
        <v>643.941398370289</v>
      </c>
      <c r="G57" t="n">
        <v>546.032179904631</v>
      </c>
      <c r="H57" t="n">
        <v>468.285876143376</v>
      </c>
      <c r="I57" t="n">
        <v>392.445232963343</v>
      </c>
      <c r="J57" t="n">
        <v>327.73351901726</v>
      </c>
      <c r="K57" t="n">
        <v>281.764296052793</v>
      </c>
      <c r="L57" t="n">
        <v>243.943585173223</v>
      </c>
      <c r="M57" t="n">
        <v>213.263563725057</v>
      </c>
      <c r="N57" t="n">
        <v>184.944011902489</v>
      </c>
      <c r="O57" t="n">
        <v>173.232517745075</v>
      </c>
      <c r="P57" t="n">
        <v>160.633789181797</v>
      </c>
      <c r="Q57" t="n">
        <v>154.147389143577</v>
      </c>
      <c r="R57" t="n">
        <v>145.455828230009</v>
      </c>
      <c r="S57" t="n">
        <v>134.170462246646</v>
      </c>
      <c r="T57" t="n">
        <v>117.274922556328</v>
      </c>
      <c r="U57" t="n">
        <v>111.377150822354</v>
      </c>
      <c r="V57" t="n">
        <v>106.099475374889</v>
      </c>
      <c r="W57" t="n">
        <v>101.812627884995</v>
      </c>
      <c r="X57" t="n">
        <v>99.5289801567332</v>
      </c>
      <c r="Y57" t="n">
        <v>98.1997116404496</v>
      </c>
      <c r="Z57" t="n">
        <v>96.0793399990903</v>
      </c>
      <c r="AA57" t="n">
        <v>96.0793399990903</v>
      </c>
      <c r="AB57" t="n">
        <v>97.608142226738</v>
      </c>
      <c r="AC57" t="n">
        <v>98.672958323757</v>
      </c>
      <c r="AD57" t="n">
        <v>99.8355263157895</v>
      </c>
      <c r="AE57" t="n">
        <v>100</v>
      </c>
      <c r="AF57" t="n">
        <v>100.975609756098</v>
      </c>
    </row>
    <row r="58">
      <c r="A58" t="s">
        <v>72</v>
      </c>
      <c r="B58" t="s">
        <v>386</v>
      </c>
      <c r="C58" t="s">
        <v>236</v>
      </c>
      <c r="D58" t="s">
        <v>387</v>
      </c>
      <c r="E58" t="s">
        <v>237</v>
      </c>
      <c r="F58" t="n">
        <v>643.941398370289</v>
      </c>
      <c r="G58" t="n">
        <v>546.032179904631</v>
      </c>
      <c r="H58" t="n">
        <v>468.285876143376</v>
      </c>
      <c r="I58" t="n">
        <v>392.445232963343</v>
      </c>
      <c r="J58" t="n">
        <v>327.73351901726</v>
      </c>
      <c r="K58" t="n">
        <v>281.764296052793</v>
      </c>
      <c r="L58" t="n">
        <v>243.943585173223</v>
      </c>
      <c r="M58" t="n">
        <v>213.263563725057</v>
      </c>
      <c r="N58" t="n">
        <v>184.944011902489</v>
      </c>
      <c r="O58" t="n">
        <v>173.232517745075</v>
      </c>
      <c r="P58" t="n">
        <v>160.633789181797</v>
      </c>
      <c r="Q58" t="n">
        <v>154.147389143577</v>
      </c>
      <c r="R58" t="n">
        <v>145.455828230009</v>
      </c>
      <c r="S58" t="n">
        <v>134.170462246646</v>
      </c>
      <c r="T58" t="n">
        <v>117.274922556328</v>
      </c>
      <c r="U58" t="n">
        <v>111.377150822354</v>
      </c>
      <c r="V58" t="n">
        <v>106.099475374889</v>
      </c>
      <c r="W58" t="n">
        <v>101.812627884995</v>
      </c>
      <c r="X58" t="n">
        <v>99.5289801567332</v>
      </c>
      <c r="Y58" t="n">
        <v>98.1997116404496</v>
      </c>
      <c r="Z58" t="n">
        <v>96.0793399990903</v>
      </c>
      <c r="AA58" t="n">
        <v>96.0793399990903</v>
      </c>
      <c r="AB58" t="n">
        <v>97.608142226738</v>
      </c>
      <c r="AC58" t="n">
        <v>98.672958323757</v>
      </c>
      <c r="AD58" t="n">
        <v>99.8355263157895</v>
      </c>
      <c r="AE58" t="n">
        <v>100</v>
      </c>
      <c r="AF58" t="n">
        <v>100.975609756098</v>
      </c>
    </row>
    <row r="59">
      <c r="A59" t="s">
        <v>72</v>
      </c>
      <c r="B59" t="s">
        <v>388</v>
      </c>
      <c r="C59" t="s">
        <v>236</v>
      </c>
      <c r="D59" t="s">
        <v>389</v>
      </c>
      <c r="E59" t="s">
        <v>237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74</v>
      </c>
      <c r="B2" t="s">
        <v>197</v>
      </c>
      <c r="C2" t="s">
        <v>236</v>
      </c>
      <c r="D2" t="s">
        <v>199</v>
      </c>
      <c r="E2" t="s">
        <v>237</v>
      </c>
      <c r="F2" t="n">
        <v>159.637188208617</v>
      </c>
      <c r="G2" t="n">
        <v>159.637188208617</v>
      </c>
      <c r="H2" t="n">
        <v>159.637188208617</v>
      </c>
      <c r="I2" t="n">
        <v>159.637188208617</v>
      </c>
      <c r="J2" t="n">
        <v>159.637188208617</v>
      </c>
      <c r="K2" t="n">
        <v>159.637188208617</v>
      </c>
      <c r="L2" t="n">
        <v>159.637188208617</v>
      </c>
      <c r="M2" t="n">
        <v>159.637188208617</v>
      </c>
      <c r="N2" t="n">
        <v>159.637188208617</v>
      </c>
      <c r="O2" t="n">
        <v>143.673469387755</v>
      </c>
      <c r="P2" t="n">
        <v>143.673469387755</v>
      </c>
      <c r="Q2" t="n">
        <v>143.673469387755</v>
      </c>
      <c r="R2" t="n">
        <v>130.612244897959</v>
      </c>
      <c r="S2" t="n">
        <v>114.285714285714</v>
      </c>
      <c r="T2" t="n">
        <v>114.285714285714</v>
      </c>
      <c r="U2" t="n">
        <v>100</v>
      </c>
      <c r="V2" t="n">
        <v>100</v>
      </c>
      <c r="W2" t="n">
        <v>100</v>
      </c>
      <c r="X2" t="n">
        <v>100</v>
      </c>
      <c r="Y2" t="n">
        <v>100</v>
      </c>
      <c r="Z2" t="n">
        <v>100</v>
      </c>
      <c r="AA2" t="n">
        <v>100</v>
      </c>
      <c r="AB2" t="n">
        <v>100</v>
      </c>
      <c r="AC2" t="n">
        <v>100</v>
      </c>
      <c r="AD2" t="n">
        <v>100</v>
      </c>
      <c r="AE2" t="n">
        <v>100</v>
      </c>
      <c r="AF2" t="n">
        <v>100</v>
      </c>
    </row>
    <row r="3">
      <c r="A3" t="s">
        <v>74</v>
      </c>
      <c r="B3" t="s">
        <v>276</v>
      </c>
      <c r="C3" t="s">
        <v>236</v>
      </c>
      <c r="D3" t="s">
        <v>277</v>
      </c>
      <c r="E3" t="s">
        <v>237</v>
      </c>
      <c r="F3" t="e">
        <v>#NUM!</v>
      </c>
      <c r="G3" t="e">
        <v>#NUM!</v>
      </c>
      <c r="H3" t="n">
        <v>0</v>
      </c>
      <c r="I3" t="n">
        <v>128.925619834711</v>
      </c>
      <c r="J3" t="n">
        <v>128.925619834711</v>
      </c>
      <c r="K3" t="n">
        <v>128.925619834711</v>
      </c>
      <c r="L3" t="n">
        <v>128.925619834711</v>
      </c>
      <c r="M3" t="n">
        <v>128.925619834711</v>
      </c>
      <c r="N3" t="n">
        <v>128.925619834711</v>
      </c>
      <c r="O3" t="n">
        <v>128.925619834711</v>
      </c>
      <c r="P3" t="n">
        <v>128.925619834711</v>
      </c>
      <c r="Q3" t="n">
        <v>128.925619834711</v>
      </c>
      <c r="R3" t="n">
        <v>109.090909090909</v>
      </c>
      <c r="S3" t="n">
        <v>100</v>
      </c>
      <c r="T3" t="n">
        <v>100</v>
      </c>
      <c r="U3" t="n">
        <v>100</v>
      </c>
      <c r="V3" t="n">
        <v>100</v>
      </c>
      <c r="W3" t="n">
        <v>100</v>
      </c>
      <c r="X3" t="n">
        <v>100</v>
      </c>
      <c r="Y3" t="n">
        <v>100</v>
      </c>
      <c r="Z3" t="n">
        <v>100</v>
      </c>
      <c r="AA3" t="n">
        <v>100</v>
      </c>
      <c r="AB3" t="n">
        <v>100</v>
      </c>
      <c r="AC3" t="n">
        <v>100</v>
      </c>
      <c r="AD3" t="n">
        <v>100</v>
      </c>
      <c r="AE3" t="n">
        <v>100</v>
      </c>
      <c r="AF3" t="n">
        <v>100</v>
      </c>
    </row>
    <row r="4">
      <c r="A4" t="s">
        <v>74</v>
      </c>
      <c r="B4" t="s">
        <v>278</v>
      </c>
      <c r="C4" t="s">
        <v>236</v>
      </c>
      <c r="D4" t="s">
        <v>279</v>
      </c>
      <c r="E4" t="s">
        <v>237</v>
      </c>
      <c r="F4" t="n">
        <v>175.082888114576</v>
      </c>
      <c r="G4" t="n">
        <v>173.33205923343</v>
      </c>
      <c r="H4" t="n">
        <v>168.925311964784</v>
      </c>
      <c r="I4" t="n">
        <v>167.735697091792</v>
      </c>
      <c r="J4" t="n">
        <v>165.437947816562</v>
      </c>
      <c r="K4" t="n">
        <v>165.437947816562</v>
      </c>
      <c r="L4" t="n">
        <v>163.261132713713</v>
      </c>
      <c r="M4" t="n">
        <v>163.261132713713</v>
      </c>
      <c r="N4" t="n">
        <v>160.710177515061</v>
      </c>
      <c r="O4" t="n">
        <v>155.317218538045</v>
      </c>
      <c r="P4" t="n">
        <v>152.890386998389</v>
      </c>
      <c r="Q4" t="n">
        <v>147.898047831094</v>
      </c>
      <c r="R4" t="n">
        <v>131.511616395263</v>
      </c>
      <c r="S4" t="n">
        <v>121.821286766138</v>
      </c>
      <c r="T4" t="n">
        <v>117.180475841714</v>
      </c>
      <c r="U4" t="n">
        <v>105.014196929186</v>
      </c>
      <c r="V4" t="n">
        <v>102.421253795132</v>
      </c>
      <c r="W4" t="n">
        <v>102.421253795132</v>
      </c>
      <c r="X4" t="n">
        <v>102.421253795132</v>
      </c>
      <c r="Y4" t="n">
        <v>101.673653402467</v>
      </c>
      <c r="Z4" t="n">
        <v>101.673653402467</v>
      </c>
      <c r="AA4" t="n">
        <v>101.673653402467</v>
      </c>
      <c r="AB4" t="n">
        <v>101.235404896422</v>
      </c>
      <c r="AC4" t="n">
        <v>100.666666666667</v>
      </c>
      <c r="AD4" t="n">
        <v>100.666666666667</v>
      </c>
      <c r="AE4" t="n">
        <v>100</v>
      </c>
      <c r="AF4" t="n">
        <v>99.4535519125683</v>
      </c>
    </row>
    <row r="5">
      <c r="A5" t="s">
        <v>74</v>
      </c>
      <c r="B5" t="s">
        <v>280</v>
      </c>
      <c r="C5" t="s">
        <v>236</v>
      </c>
      <c r="D5" t="s">
        <v>281</v>
      </c>
      <c r="E5" t="s">
        <v>237</v>
      </c>
      <c r="F5" t="n">
        <v>128.305785123967</v>
      </c>
      <c r="G5" t="n">
        <v>128.305785123967</v>
      </c>
      <c r="H5" t="n">
        <v>128.305785123967</v>
      </c>
      <c r="I5" t="n">
        <v>128.305785123967</v>
      </c>
      <c r="J5" t="n">
        <v>128.305785123967</v>
      </c>
      <c r="K5" t="n">
        <v>128.305785123967</v>
      </c>
      <c r="L5" t="n">
        <v>128.305785123967</v>
      </c>
      <c r="M5" t="n">
        <v>128.305785123967</v>
      </c>
      <c r="N5" t="n">
        <v>128.305785123967</v>
      </c>
      <c r="O5" t="n">
        <v>128.305785123967</v>
      </c>
      <c r="P5" t="n">
        <v>128.305785123967</v>
      </c>
      <c r="Q5" t="n">
        <v>128.305785123967</v>
      </c>
      <c r="R5" t="n">
        <v>117.613636363636</v>
      </c>
      <c r="S5" t="n">
        <v>112.5</v>
      </c>
      <c r="T5" t="n">
        <v>112.5</v>
      </c>
      <c r="U5" t="n">
        <v>100</v>
      </c>
      <c r="V5" t="n">
        <v>100</v>
      </c>
      <c r="W5" t="n">
        <v>100</v>
      </c>
      <c r="X5" t="n">
        <v>100</v>
      </c>
      <c r="Y5" t="n">
        <v>100</v>
      </c>
      <c r="Z5" t="n">
        <v>100</v>
      </c>
      <c r="AA5" t="n">
        <v>100</v>
      </c>
      <c r="AB5" t="n">
        <v>100</v>
      </c>
      <c r="AC5" t="n">
        <v>100</v>
      </c>
      <c r="AD5" t="n">
        <v>100</v>
      </c>
      <c r="AE5" t="n">
        <v>100</v>
      </c>
      <c r="AF5" t="n">
        <v>100</v>
      </c>
    </row>
    <row r="6">
      <c r="A6" t="s">
        <v>74</v>
      </c>
      <c r="B6" t="s">
        <v>282</v>
      </c>
      <c r="C6" t="s">
        <v>236</v>
      </c>
      <c r="D6" t="s">
        <v>283</v>
      </c>
      <c r="E6" t="s">
        <v>237</v>
      </c>
      <c r="F6" t="e">
        <v>#NUM!</v>
      </c>
      <c r="G6" t="n">
        <v>0</v>
      </c>
      <c r="H6" t="e">
        <v>#NUM!</v>
      </c>
      <c r="I6" t="e">
        <v>#NUM!</v>
      </c>
      <c r="J6" t="n">
        <v>0</v>
      </c>
      <c r="K6" t="e">
        <v>#NUM!</v>
      </c>
      <c r="L6" t="e">
        <v>#NUM!</v>
      </c>
      <c r="M6" t="n">
        <v>0</v>
      </c>
      <c r="N6" t="n">
        <v>0</v>
      </c>
      <c r="O6" t="e">
        <v>#NUM!</v>
      </c>
      <c r="P6" t="e">
        <v>#NUM!</v>
      </c>
      <c r="Q6" t="e">
        <v>#NUM!</v>
      </c>
      <c r="R6" t="e">
        <v>#NUM!</v>
      </c>
      <c r="S6" t="e">
        <v>#NUM!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74</v>
      </c>
      <c r="B7" t="s">
        <v>284</v>
      </c>
      <c r="C7" t="s">
        <v>236</v>
      </c>
      <c r="D7" t="s">
        <v>285</v>
      </c>
      <c r="E7" t="s">
        <v>237</v>
      </c>
      <c r="F7" t="n">
        <v>207.469150758716</v>
      </c>
      <c r="G7" t="n">
        <v>202.753942786927</v>
      </c>
      <c r="H7" t="n">
        <v>197.121888820624</v>
      </c>
      <c r="I7" t="n">
        <v>193.179451044211</v>
      </c>
      <c r="J7" t="n">
        <v>188.467757116304</v>
      </c>
      <c r="K7" t="n">
        <v>188.467757116304</v>
      </c>
      <c r="L7" t="n">
        <v>184.911761699015</v>
      </c>
      <c r="M7" t="n">
        <v>184.911761699015</v>
      </c>
      <c r="N7" t="n">
        <v>180.802611439037</v>
      </c>
      <c r="O7" t="n">
        <v>171.982971856645</v>
      </c>
      <c r="P7" t="n">
        <v>166.771366648868</v>
      </c>
      <c r="Q7" t="n">
        <v>157.241574268932</v>
      </c>
      <c r="R7" t="n">
        <v>138.023159636063</v>
      </c>
      <c r="S7" t="n">
        <v>125.475599669148</v>
      </c>
      <c r="T7" t="n">
        <v>121.554487179487</v>
      </c>
      <c r="U7" t="n">
        <v>105.128205128205</v>
      </c>
      <c r="V7" t="n">
        <v>100</v>
      </c>
      <c r="W7" t="n">
        <v>100</v>
      </c>
      <c r="X7" t="n">
        <v>100</v>
      </c>
      <c r="Y7" t="n">
        <v>100</v>
      </c>
      <c r="Z7" t="n">
        <v>100</v>
      </c>
      <c r="AA7" t="n">
        <v>100</v>
      </c>
      <c r="AB7" t="n">
        <v>100</v>
      </c>
      <c r="AC7" t="n">
        <v>100</v>
      </c>
      <c r="AD7" t="n">
        <v>100</v>
      </c>
      <c r="AE7" t="n">
        <v>100</v>
      </c>
      <c r="AF7" t="n">
        <v>100</v>
      </c>
    </row>
    <row r="8">
      <c r="A8" t="s">
        <v>74</v>
      </c>
      <c r="B8" t="s">
        <v>286</v>
      </c>
      <c r="C8" t="s">
        <v>236</v>
      </c>
      <c r="D8" t="s">
        <v>287</v>
      </c>
      <c r="E8" t="s">
        <v>237</v>
      </c>
      <c r="F8" t="e">
        <v>#NUM!</v>
      </c>
      <c r="G8" t="e">
        <v>#NUM!</v>
      </c>
      <c r="H8" t="e">
        <v>#NUM!</v>
      </c>
      <c r="I8" t="e">
        <v>#NUM!</v>
      </c>
      <c r="J8" t="e">
        <v>#NUM!</v>
      </c>
      <c r="K8" t="e">
        <v>#NUM!</v>
      </c>
      <c r="L8" t="e">
        <v>#NUM!</v>
      </c>
      <c r="M8" t="n">
        <v>0</v>
      </c>
      <c r="N8" t="n">
        <v>178.993197278912</v>
      </c>
      <c r="O8" t="n">
        <v>178.993197278912</v>
      </c>
      <c r="P8" t="n">
        <v>178.993197278912</v>
      </c>
      <c r="Q8" t="n">
        <v>165.224489795918</v>
      </c>
      <c r="R8" t="n">
        <v>143.673469387755</v>
      </c>
      <c r="S8" t="n">
        <v>125.714285714286</v>
      </c>
      <c r="T8" t="n">
        <v>110</v>
      </c>
      <c r="U8" t="n">
        <v>100</v>
      </c>
      <c r="V8" t="n">
        <v>100</v>
      </c>
      <c r="W8" t="n">
        <v>100</v>
      </c>
      <c r="X8" t="n">
        <v>100</v>
      </c>
      <c r="Y8" t="n">
        <v>100</v>
      </c>
      <c r="Z8" t="n">
        <v>100</v>
      </c>
      <c r="AA8" t="n">
        <v>100</v>
      </c>
      <c r="AB8" t="n">
        <v>100</v>
      </c>
      <c r="AC8" t="n">
        <v>100</v>
      </c>
      <c r="AD8" t="n">
        <v>100</v>
      </c>
      <c r="AE8" t="n">
        <v>100</v>
      </c>
      <c r="AF8" t="n">
        <v>100</v>
      </c>
    </row>
    <row r="9">
      <c r="A9" t="s">
        <v>74</v>
      </c>
      <c r="B9" t="s">
        <v>288</v>
      </c>
      <c r="C9" t="s">
        <v>236</v>
      </c>
      <c r="D9" t="s">
        <v>289</v>
      </c>
      <c r="E9" t="s">
        <v>237</v>
      </c>
      <c r="F9" t="n">
        <v>195.308187951162</v>
      </c>
      <c r="G9" t="n">
        <v>195.308187951162</v>
      </c>
      <c r="H9" t="n">
        <v>183.819471012858</v>
      </c>
      <c r="I9" t="n">
        <v>183.819471012858</v>
      </c>
      <c r="J9" t="n">
        <v>183.819471012858</v>
      </c>
      <c r="K9" t="n">
        <v>183.819471012858</v>
      </c>
      <c r="L9" t="n">
        <v>183.819471012858</v>
      </c>
      <c r="M9" t="n">
        <v>183.819471012858</v>
      </c>
      <c r="N9" t="n">
        <v>183.819471012858</v>
      </c>
      <c r="O9" t="n">
        <v>174.144762012181</v>
      </c>
      <c r="P9" t="n">
        <v>174.144762012181</v>
      </c>
      <c r="Q9" t="n">
        <v>167.69495601173</v>
      </c>
      <c r="R9" t="n">
        <v>147.798944281525</v>
      </c>
      <c r="S9" t="n">
        <v>135.482365591398</v>
      </c>
      <c r="T9" t="n">
        <v>130.271505376344</v>
      </c>
      <c r="U9" t="n">
        <v>114.945445920304</v>
      </c>
      <c r="V9" t="n">
        <v>109.720652923926</v>
      </c>
      <c r="W9" t="n">
        <v>109.720652923926</v>
      </c>
      <c r="X9" t="n">
        <v>109.720652923926</v>
      </c>
      <c r="Y9" t="n">
        <v>104.950189753321</v>
      </c>
      <c r="Z9" t="n">
        <v>104.950189753321</v>
      </c>
      <c r="AA9" t="n">
        <v>104.950189753321</v>
      </c>
      <c r="AB9" t="n">
        <v>103.729838709677</v>
      </c>
      <c r="AC9" t="n">
        <v>102.083333333333</v>
      </c>
      <c r="AD9" t="n">
        <v>102.083333333333</v>
      </c>
      <c r="AE9" t="n">
        <v>100</v>
      </c>
      <c r="AF9" t="n">
        <v>98.6486486486486</v>
      </c>
    </row>
    <row r="10">
      <c r="A10" t="s">
        <v>74</v>
      </c>
      <c r="B10" t="s">
        <v>290</v>
      </c>
      <c r="C10" t="s">
        <v>236</v>
      </c>
      <c r="D10" t="s">
        <v>291</v>
      </c>
      <c r="E10" t="s">
        <v>237</v>
      </c>
      <c r="F10" t="n">
        <v>190.223052269085</v>
      </c>
      <c r="G10" t="n">
        <v>190.223052269085</v>
      </c>
      <c r="H10" t="n">
        <v>179.655104920802</v>
      </c>
      <c r="I10" t="n">
        <v>179.655104920802</v>
      </c>
      <c r="J10" t="n">
        <v>179.655104920802</v>
      </c>
      <c r="K10" t="n">
        <v>179.655104920802</v>
      </c>
      <c r="L10" t="n">
        <v>179.655104920802</v>
      </c>
      <c r="M10" t="n">
        <v>179.655104920802</v>
      </c>
      <c r="N10" t="n">
        <v>179.655104920802</v>
      </c>
      <c r="O10" t="n">
        <v>171.100099924574</v>
      </c>
      <c r="P10" t="n">
        <v>171.100099924574</v>
      </c>
      <c r="Q10" t="n">
        <v>165.396763260421</v>
      </c>
      <c r="R10" t="n">
        <v>144.722167852869</v>
      </c>
      <c r="S10" t="n">
        <v>133.868005263903</v>
      </c>
      <c r="T10" t="n">
        <v>129.549682513455</v>
      </c>
      <c r="U10" t="n">
        <v>112.651897837787</v>
      </c>
      <c r="V10" t="n">
        <v>108.319132536334</v>
      </c>
      <c r="W10" t="n">
        <v>108.319132536333</v>
      </c>
      <c r="X10" t="n">
        <v>108.319132536333</v>
      </c>
      <c r="Y10" t="n">
        <v>104.583990035081</v>
      </c>
      <c r="Z10" t="n">
        <v>104.583990035081</v>
      </c>
      <c r="AA10" t="n">
        <v>104.583990035081</v>
      </c>
      <c r="AB10" t="n">
        <v>103.421945701357</v>
      </c>
      <c r="AC10" t="n">
        <v>101.923076923077</v>
      </c>
      <c r="AD10" t="n">
        <v>101.923076923077</v>
      </c>
      <c r="AE10" t="n">
        <v>100</v>
      </c>
      <c r="AF10" t="n">
        <v>98.75</v>
      </c>
    </row>
    <row r="11">
      <c r="A11" t="s">
        <v>74</v>
      </c>
      <c r="B11" t="s">
        <v>292</v>
      </c>
      <c r="C11" t="s">
        <v>236</v>
      </c>
      <c r="D11" t="s">
        <v>293</v>
      </c>
      <c r="E11" t="s">
        <v>237</v>
      </c>
      <c r="F11" t="n">
        <v>150</v>
      </c>
      <c r="G11" t="n">
        <v>150</v>
      </c>
      <c r="H11" t="n">
        <v>150</v>
      </c>
      <c r="I11" t="n">
        <v>150</v>
      </c>
      <c r="J11" t="n">
        <v>150</v>
      </c>
      <c r="K11" t="n">
        <v>150</v>
      </c>
      <c r="L11" t="n">
        <v>150</v>
      </c>
      <c r="M11" t="n">
        <v>150</v>
      </c>
      <c r="N11" t="n">
        <v>150</v>
      </c>
      <c r="O11" t="n">
        <v>150</v>
      </c>
      <c r="P11" t="n">
        <v>150</v>
      </c>
      <c r="Q11" t="n">
        <v>150</v>
      </c>
      <c r="R11" t="n">
        <v>120</v>
      </c>
      <c r="S11" t="n">
        <v>120</v>
      </c>
      <c r="T11" t="n">
        <v>120</v>
      </c>
      <c r="U11" t="n">
        <v>100</v>
      </c>
      <c r="V11" t="n">
        <v>100</v>
      </c>
      <c r="W11" t="n">
        <v>100</v>
      </c>
      <c r="X11" t="n">
        <v>100</v>
      </c>
      <c r="Y11" t="n">
        <v>100</v>
      </c>
      <c r="Z11" t="n">
        <v>100</v>
      </c>
      <c r="AA11" t="n">
        <v>100</v>
      </c>
      <c r="AB11" t="n">
        <v>100</v>
      </c>
      <c r="AC11" t="n">
        <v>100</v>
      </c>
      <c r="AD11" t="n">
        <v>100</v>
      </c>
      <c r="AE11" t="n">
        <v>100</v>
      </c>
      <c r="AF11" t="n">
        <v>100</v>
      </c>
    </row>
    <row r="12">
      <c r="A12" t="s">
        <v>74</v>
      </c>
      <c r="B12" t="s">
        <v>294</v>
      </c>
      <c r="C12" t="s">
        <v>236</v>
      </c>
      <c r="D12" t="s">
        <v>295</v>
      </c>
      <c r="E12" t="s">
        <v>237</v>
      </c>
      <c r="F12" t="n">
        <v>117.02786377709</v>
      </c>
      <c r="G12" t="n">
        <v>117.02786377709</v>
      </c>
      <c r="H12" t="n">
        <v>117.02786377709</v>
      </c>
      <c r="I12" t="n">
        <v>117.02786377709</v>
      </c>
      <c r="J12" t="n">
        <v>117.02786377709</v>
      </c>
      <c r="K12" t="n">
        <v>117.02786377709</v>
      </c>
      <c r="L12" t="n">
        <v>117.02786377709</v>
      </c>
      <c r="M12" t="n">
        <v>117.02786377709</v>
      </c>
      <c r="N12" t="n">
        <v>117.02786377709</v>
      </c>
      <c r="O12" t="n">
        <v>117.02786377709</v>
      </c>
      <c r="P12" t="n">
        <v>117.02786377709</v>
      </c>
      <c r="Q12" t="n">
        <v>117.02786377709</v>
      </c>
      <c r="R12" t="n">
        <v>105.882352941176</v>
      </c>
      <c r="S12" t="n">
        <v>100</v>
      </c>
      <c r="T12" t="n">
        <v>100</v>
      </c>
      <c r="U12" t="n">
        <v>100</v>
      </c>
      <c r="V12" t="n">
        <v>100</v>
      </c>
      <c r="W12" t="n">
        <v>100</v>
      </c>
      <c r="X12" t="n">
        <v>100</v>
      </c>
      <c r="Y12" t="n">
        <v>100</v>
      </c>
      <c r="Z12" t="n">
        <v>100</v>
      </c>
      <c r="AA12" t="n">
        <v>100</v>
      </c>
      <c r="AB12" t="n">
        <v>100</v>
      </c>
      <c r="AC12" t="n">
        <v>100</v>
      </c>
      <c r="AD12" t="n">
        <v>100</v>
      </c>
      <c r="AE12" t="n">
        <v>100</v>
      </c>
      <c r="AF12" t="n">
        <v>100</v>
      </c>
    </row>
    <row r="13">
      <c r="A13" t="s">
        <v>74</v>
      </c>
      <c r="B13" t="s">
        <v>296</v>
      </c>
      <c r="C13" t="s">
        <v>236</v>
      </c>
      <c r="D13" t="s">
        <v>297</v>
      </c>
      <c r="E13" t="s">
        <v>237</v>
      </c>
      <c r="F13" t="n">
        <v>140.33264033264</v>
      </c>
      <c r="G13" t="n">
        <v>140.33264033264</v>
      </c>
      <c r="H13" t="n">
        <v>140.33264033264</v>
      </c>
      <c r="I13" t="n">
        <v>140.33264033264</v>
      </c>
      <c r="J13" t="n">
        <v>140.33264033264</v>
      </c>
      <c r="K13" t="n">
        <v>140.33264033264</v>
      </c>
      <c r="L13" t="n">
        <v>140.33264033264</v>
      </c>
      <c r="M13" t="n">
        <v>140.33264033264</v>
      </c>
      <c r="N13" t="n">
        <v>140.33264033264</v>
      </c>
      <c r="O13" t="n">
        <v>140.33264033264</v>
      </c>
      <c r="P13" t="n">
        <v>140.33264033264</v>
      </c>
      <c r="Q13" t="n">
        <v>140.33264033264</v>
      </c>
      <c r="R13" t="n">
        <v>126.299376299376</v>
      </c>
      <c r="S13" t="n">
        <v>121.621621621622</v>
      </c>
      <c r="T13" t="n">
        <v>113.513513513514</v>
      </c>
      <c r="U13" t="n">
        <v>100</v>
      </c>
      <c r="V13" t="n">
        <v>100</v>
      </c>
      <c r="W13" t="n">
        <v>100</v>
      </c>
      <c r="X13" t="n">
        <v>100</v>
      </c>
      <c r="Y13" t="n">
        <v>100</v>
      </c>
      <c r="Z13" t="n">
        <v>100</v>
      </c>
      <c r="AA13" t="n">
        <v>100</v>
      </c>
      <c r="AB13" t="n">
        <v>100</v>
      </c>
      <c r="AC13" t="n">
        <v>100</v>
      </c>
      <c r="AD13" t="n">
        <v>100</v>
      </c>
      <c r="AE13" t="n">
        <v>100</v>
      </c>
      <c r="AF13" t="n">
        <v>100</v>
      </c>
    </row>
    <row r="14">
      <c r="A14" t="s">
        <v>74</v>
      </c>
      <c r="B14" t="s">
        <v>298</v>
      </c>
      <c r="C14" t="s">
        <v>236</v>
      </c>
      <c r="D14" t="s">
        <v>299</v>
      </c>
      <c r="E14" t="s">
        <v>237</v>
      </c>
      <c r="F14" t="n">
        <v>197.700119459077</v>
      </c>
      <c r="G14" t="n">
        <v>197.700119459077</v>
      </c>
      <c r="H14" t="n">
        <v>188.713750392755</v>
      </c>
      <c r="I14" t="n">
        <v>188.713750392755</v>
      </c>
      <c r="J14" t="n">
        <v>184.424801520192</v>
      </c>
      <c r="K14" t="n">
        <v>184.424801520192</v>
      </c>
      <c r="L14" t="n">
        <v>180.23332875837</v>
      </c>
      <c r="M14" t="n">
        <v>180.23332875837</v>
      </c>
      <c r="N14" t="n">
        <v>172.397097073223</v>
      </c>
      <c r="O14" t="n">
        <v>162.819480569155</v>
      </c>
      <c r="P14" t="n">
        <v>157.885556915545</v>
      </c>
      <c r="Q14" t="n">
        <v>150.868421052632</v>
      </c>
      <c r="R14" t="n">
        <v>134.105263157895</v>
      </c>
      <c r="S14" t="n">
        <v>123.157894736842</v>
      </c>
      <c r="T14" t="n">
        <v>117</v>
      </c>
      <c r="U14" t="n">
        <v>104</v>
      </c>
      <c r="V14" t="n">
        <v>100</v>
      </c>
      <c r="W14" t="n">
        <v>100</v>
      </c>
      <c r="X14" t="n">
        <v>100</v>
      </c>
      <c r="Y14" t="n">
        <v>100</v>
      </c>
      <c r="Z14" t="n">
        <v>100</v>
      </c>
      <c r="AA14" t="n">
        <v>100</v>
      </c>
      <c r="AB14" t="n">
        <v>100</v>
      </c>
      <c r="AC14" t="n">
        <v>100</v>
      </c>
      <c r="AD14" t="n">
        <v>100</v>
      </c>
      <c r="AE14" t="n">
        <v>100</v>
      </c>
      <c r="AF14" t="n">
        <v>100</v>
      </c>
    </row>
    <row r="15">
      <c r="A15" t="s">
        <v>74</v>
      </c>
      <c r="B15" t="s">
        <v>300</v>
      </c>
      <c r="C15" t="s">
        <v>236</v>
      </c>
      <c r="D15" t="s">
        <v>301</v>
      </c>
      <c r="E15" t="s">
        <v>237</v>
      </c>
      <c r="F15" t="n">
        <v>183.969420531148</v>
      </c>
      <c r="G15" t="n">
        <v>183.969420531148</v>
      </c>
      <c r="H15" t="n">
        <v>176.893673587642</v>
      </c>
      <c r="I15" t="n">
        <v>176.893673587642</v>
      </c>
      <c r="J15" t="n">
        <v>173.208388721233</v>
      </c>
      <c r="K15" t="n">
        <v>173.208388721233</v>
      </c>
      <c r="L15" t="n">
        <v>169.599880622874</v>
      </c>
      <c r="M15" t="n">
        <v>169.599880622874</v>
      </c>
      <c r="N15" t="n">
        <v>163.318403562767</v>
      </c>
      <c r="O15" t="n">
        <v>155.152483384629</v>
      </c>
      <c r="P15" t="n">
        <v>150.959173022882</v>
      </c>
      <c r="Q15" t="n">
        <v>144.797574123989</v>
      </c>
      <c r="R15" t="n">
        <v>127.96064690027</v>
      </c>
      <c r="S15" t="n">
        <v>118.980952380952</v>
      </c>
      <c r="T15" t="n">
        <v>114.404761904762</v>
      </c>
      <c r="U15" t="n">
        <v>103.333333333333</v>
      </c>
      <c r="V15" t="n">
        <v>100</v>
      </c>
      <c r="W15" t="n">
        <v>100</v>
      </c>
      <c r="X15" t="n">
        <v>100</v>
      </c>
      <c r="Y15" t="n">
        <v>100</v>
      </c>
      <c r="Z15" t="n">
        <v>100</v>
      </c>
      <c r="AA15" t="n">
        <v>100</v>
      </c>
      <c r="AB15" t="n">
        <v>100</v>
      </c>
      <c r="AC15" t="n">
        <v>100</v>
      </c>
      <c r="AD15" t="n">
        <v>100</v>
      </c>
      <c r="AE15" t="n">
        <v>100</v>
      </c>
      <c r="AF15" t="n">
        <v>100</v>
      </c>
    </row>
    <row r="16">
      <c r="A16" t="s">
        <v>74</v>
      </c>
      <c r="B16" t="s">
        <v>302</v>
      </c>
      <c r="C16" t="s">
        <v>236</v>
      </c>
      <c r="D16" t="s">
        <v>303</v>
      </c>
      <c r="E16" t="s">
        <v>237</v>
      </c>
      <c r="F16" t="n">
        <v>116.666666666667</v>
      </c>
      <c r="G16" t="n">
        <v>116.666666666667</v>
      </c>
      <c r="H16" t="n">
        <v>116.666666666667</v>
      </c>
      <c r="I16" t="n">
        <v>116.666666666667</v>
      </c>
      <c r="J16" t="n">
        <v>116.666666666667</v>
      </c>
      <c r="K16" t="n">
        <v>116.666666666667</v>
      </c>
      <c r="L16" t="n">
        <v>116.666666666667</v>
      </c>
      <c r="M16" t="n">
        <v>116.666666666667</v>
      </c>
      <c r="N16" t="n">
        <v>116.666666666667</v>
      </c>
      <c r="O16" t="n">
        <v>116.666666666667</v>
      </c>
      <c r="P16" t="n">
        <v>116.666666666667</v>
      </c>
      <c r="Q16" t="n">
        <v>116.666666666667</v>
      </c>
      <c r="R16" t="n">
        <v>100</v>
      </c>
      <c r="S16" t="n">
        <v>100</v>
      </c>
      <c r="T16" t="n">
        <v>100</v>
      </c>
      <c r="U16" t="n">
        <v>100</v>
      </c>
      <c r="V16" t="n">
        <v>100</v>
      </c>
      <c r="W16" t="n">
        <v>100</v>
      </c>
      <c r="X16" t="n">
        <v>100</v>
      </c>
      <c r="Y16" t="n">
        <v>100</v>
      </c>
      <c r="Z16" t="n">
        <v>100</v>
      </c>
      <c r="AA16" t="n">
        <v>100</v>
      </c>
      <c r="AB16" t="n">
        <v>100</v>
      </c>
      <c r="AC16" t="n">
        <v>100</v>
      </c>
      <c r="AD16" t="n">
        <v>100</v>
      </c>
      <c r="AE16" t="n">
        <v>100</v>
      </c>
      <c r="AF16" t="n">
        <v>100</v>
      </c>
    </row>
    <row r="17">
      <c r="A17" t="s">
        <v>74</v>
      </c>
      <c r="B17" t="s">
        <v>304</v>
      </c>
      <c r="C17" t="s">
        <v>236</v>
      </c>
      <c r="D17" t="s">
        <v>305</v>
      </c>
      <c r="E17" t="s">
        <v>237</v>
      </c>
      <c r="F17" t="n">
        <v>126.5625</v>
      </c>
      <c r="G17" t="n">
        <v>126.5625</v>
      </c>
      <c r="H17" t="n">
        <v>126.5625</v>
      </c>
      <c r="I17" t="n">
        <v>126.5625</v>
      </c>
      <c r="J17" t="n">
        <v>126.5625</v>
      </c>
      <c r="K17" t="n">
        <v>126.5625</v>
      </c>
      <c r="L17" t="n">
        <v>126.5625</v>
      </c>
      <c r="M17" t="n">
        <v>126.5625</v>
      </c>
      <c r="N17" t="n">
        <v>126.5625</v>
      </c>
      <c r="O17" t="n">
        <v>126.5625</v>
      </c>
      <c r="P17" t="n">
        <v>126.5625</v>
      </c>
      <c r="Q17" t="n">
        <v>126.5625</v>
      </c>
      <c r="R17" t="n">
        <v>118.125</v>
      </c>
      <c r="S17" t="n">
        <v>105</v>
      </c>
      <c r="T17" t="n">
        <v>100</v>
      </c>
      <c r="U17" t="n">
        <v>100</v>
      </c>
      <c r="V17" t="n">
        <v>100</v>
      </c>
      <c r="W17" t="n">
        <v>100</v>
      </c>
      <c r="X17" t="n">
        <v>100</v>
      </c>
      <c r="Y17" t="n">
        <v>100</v>
      </c>
      <c r="Z17" t="n">
        <v>100</v>
      </c>
      <c r="AA17" t="n">
        <v>100</v>
      </c>
      <c r="AB17" t="n">
        <v>100</v>
      </c>
      <c r="AC17" t="n">
        <v>100</v>
      </c>
      <c r="AD17" t="n">
        <v>100</v>
      </c>
      <c r="AE17" t="n">
        <v>100</v>
      </c>
      <c r="AF17" t="n">
        <v>100</v>
      </c>
    </row>
    <row r="18">
      <c r="A18" t="s">
        <v>74</v>
      </c>
      <c r="B18" t="s">
        <v>306</v>
      </c>
      <c r="C18" t="s">
        <v>236</v>
      </c>
      <c r="D18" t="s">
        <v>307</v>
      </c>
      <c r="E18" t="s">
        <v>237</v>
      </c>
      <c r="F18" t="n">
        <v>0</v>
      </c>
      <c r="G18" t="e">
        <v>#NUM!</v>
      </c>
      <c r="H18" t="e">
        <v>#NUM!</v>
      </c>
      <c r="I18" t="e">
        <v>#NUM!</v>
      </c>
      <c r="J18" t="e">
        <v>#NUM!</v>
      </c>
      <c r="K18" t="n">
        <v>0</v>
      </c>
      <c r="L18" t="e">
        <v>#NUM!</v>
      </c>
      <c r="M18" t="n">
        <v>0</v>
      </c>
      <c r="N18" t="e">
        <v>#NUM!</v>
      </c>
      <c r="O18" t="e">
        <v>#NUM!</v>
      </c>
      <c r="P18" t="e">
        <v>#NUM!</v>
      </c>
      <c r="Q18" t="e">
        <v>#NUM!</v>
      </c>
      <c r="R18" t="e">
        <v>#NUM!</v>
      </c>
      <c r="S18" t="e">
        <v>#NUM!</v>
      </c>
      <c r="T18" t="e">
        <v>#NUM!</v>
      </c>
      <c r="U18" t="e">
        <v>#NUM!</v>
      </c>
      <c r="V18" t="e">
        <v>#NUM!</v>
      </c>
      <c r="W18" t="e">
        <v>#NUM!</v>
      </c>
      <c r="X18" t="e">
        <v>#NUM!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74</v>
      </c>
      <c r="B19" t="s">
        <v>308</v>
      </c>
      <c r="C19" t="s">
        <v>236</v>
      </c>
      <c r="D19" t="s">
        <v>309</v>
      </c>
      <c r="E19" t="s">
        <v>237</v>
      </c>
      <c r="F19" t="n">
        <v>0</v>
      </c>
      <c r="G19" t="e">
        <v>#NUM!</v>
      </c>
      <c r="H19" t="e">
        <v>#NUM!</v>
      </c>
      <c r="I19" t="e">
        <v>#NUM!</v>
      </c>
      <c r="J19" t="e">
        <v>#NUM!</v>
      </c>
      <c r="K19" t="n">
        <v>0</v>
      </c>
      <c r="L19" t="e">
        <v>#NUM!</v>
      </c>
      <c r="M19" t="e">
        <v>#NUM!</v>
      </c>
      <c r="N19" t="e">
        <v>#NUM!</v>
      </c>
      <c r="O19" t="n">
        <v>0</v>
      </c>
      <c r="P19" t="n">
        <v>100</v>
      </c>
      <c r="Q19" t="n">
        <v>100</v>
      </c>
      <c r="R19" t="n">
        <v>100</v>
      </c>
      <c r="S19" t="n">
        <v>100</v>
      </c>
      <c r="T19" t="n">
        <v>100</v>
      </c>
      <c r="U19" t="n">
        <v>100</v>
      </c>
      <c r="V19" t="n">
        <v>100</v>
      </c>
      <c r="W19" t="n">
        <v>100</v>
      </c>
      <c r="X19" t="n">
        <v>100</v>
      </c>
      <c r="Y19" t="n">
        <v>100</v>
      </c>
      <c r="Z19" t="n">
        <v>100</v>
      </c>
      <c r="AA19" t="n">
        <v>100</v>
      </c>
      <c r="AB19" t="n">
        <v>100</v>
      </c>
      <c r="AC19" t="n">
        <v>100</v>
      </c>
      <c r="AD19" t="n">
        <v>100</v>
      </c>
      <c r="AE19" t="n">
        <v>100</v>
      </c>
      <c r="AF19" t="n">
        <v>100</v>
      </c>
    </row>
    <row r="20">
      <c r="A20" t="s">
        <v>74</v>
      </c>
      <c r="B20" t="s">
        <v>310</v>
      </c>
      <c r="C20" t="s">
        <v>236</v>
      </c>
      <c r="D20" t="s">
        <v>311</v>
      </c>
      <c r="E20" t="s">
        <v>237</v>
      </c>
      <c r="F20" t="n">
        <v>218.734875283447</v>
      </c>
      <c r="G20" t="n">
        <v>218.734875283447</v>
      </c>
      <c r="H20" t="n">
        <v>208.318928841378</v>
      </c>
      <c r="I20" t="n">
        <v>208.318928841378</v>
      </c>
      <c r="J20" t="n">
        <v>208.318928841378</v>
      </c>
      <c r="K20" t="n">
        <v>208.318928841378</v>
      </c>
      <c r="L20" t="n">
        <v>208.318928841378</v>
      </c>
      <c r="M20" t="n">
        <v>208.318928841378</v>
      </c>
      <c r="N20" t="n">
        <v>198.398979848931</v>
      </c>
      <c r="O20" t="n">
        <v>186.374799252026</v>
      </c>
      <c r="P20" t="n">
        <v>180.362708953574</v>
      </c>
      <c r="Q20" t="n">
        <v>169.090039643976</v>
      </c>
      <c r="R20" t="n">
        <v>147.953784688479</v>
      </c>
      <c r="S20" t="n">
        <v>134.254360180286</v>
      </c>
      <c r="T20" t="n">
        <v>126.508916323731</v>
      </c>
      <c r="U20" t="n">
        <v>110.185185185185</v>
      </c>
      <c r="V20" t="n">
        <v>103.703703703704</v>
      </c>
      <c r="W20" t="n">
        <v>103.703703703704</v>
      </c>
      <c r="X20" t="n">
        <v>103.703703703704</v>
      </c>
      <c r="Y20" t="n">
        <v>100</v>
      </c>
      <c r="Z20" t="n">
        <v>100</v>
      </c>
      <c r="AA20" t="n">
        <v>100</v>
      </c>
      <c r="AB20" t="n">
        <v>100</v>
      </c>
      <c r="AC20" t="n">
        <v>100</v>
      </c>
      <c r="AD20" t="n">
        <v>100</v>
      </c>
      <c r="AE20" t="n">
        <v>100</v>
      </c>
      <c r="AF20" t="n">
        <v>100</v>
      </c>
    </row>
    <row r="21">
      <c r="A21" t="s">
        <v>74</v>
      </c>
      <c r="B21" t="s">
        <v>312</v>
      </c>
      <c r="C21" t="s">
        <v>236</v>
      </c>
      <c r="D21" t="s">
        <v>313</v>
      </c>
      <c r="E21" t="s">
        <v>237</v>
      </c>
      <c r="F21" t="n">
        <v>201.858033459596</v>
      </c>
      <c r="G21" t="n">
        <v>201.858033459596</v>
      </c>
      <c r="H21" t="n">
        <v>192.682668302342</v>
      </c>
      <c r="I21" t="n">
        <v>192.682668302342</v>
      </c>
      <c r="J21" t="n">
        <v>192.682668302342</v>
      </c>
      <c r="K21" t="n">
        <v>192.682668302342</v>
      </c>
      <c r="L21" t="n">
        <v>192.682668302342</v>
      </c>
      <c r="M21" t="n">
        <v>192.682668302342</v>
      </c>
      <c r="N21" t="n">
        <v>184.305160984848</v>
      </c>
      <c r="O21" t="n">
        <v>173.7734375</v>
      </c>
      <c r="P21" t="n">
        <v>168.507575757576</v>
      </c>
      <c r="Q21" t="n">
        <v>158.785984848485</v>
      </c>
      <c r="R21" t="n">
        <v>141.143097643098</v>
      </c>
      <c r="S21" t="n">
        <v>129.181818181818</v>
      </c>
      <c r="T21" t="n">
        <v>122.5</v>
      </c>
      <c r="U21" t="n">
        <v>108.5</v>
      </c>
      <c r="V21" t="n">
        <v>103.333333333333</v>
      </c>
      <c r="W21" t="n">
        <v>103.333333333333</v>
      </c>
      <c r="X21" t="n">
        <v>103.333333333333</v>
      </c>
      <c r="Y21" t="n">
        <v>100</v>
      </c>
      <c r="Z21" t="n">
        <v>100</v>
      </c>
      <c r="AA21" t="n">
        <v>100</v>
      </c>
      <c r="AB21" t="n">
        <v>100</v>
      </c>
      <c r="AC21" t="n">
        <v>100</v>
      </c>
      <c r="AD21" t="n">
        <v>100</v>
      </c>
      <c r="AE21" t="n">
        <v>100</v>
      </c>
      <c r="AF21" t="n">
        <v>100</v>
      </c>
    </row>
    <row r="22">
      <c r="A22" t="s">
        <v>74</v>
      </c>
      <c r="B22" t="s">
        <v>314</v>
      </c>
      <c r="C22" t="s">
        <v>236</v>
      </c>
      <c r="D22" t="s">
        <v>315</v>
      </c>
      <c r="E22" t="s">
        <v>237</v>
      </c>
      <c r="F22" t="n">
        <v>100</v>
      </c>
      <c r="G22" t="n">
        <v>100</v>
      </c>
      <c r="H22" t="n">
        <v>100</v>
      </c>
      <c r="I22" t="n">
        <v>100</v>
      </c>
      <c r="J22" t="n">
        <v>100</v>
      </c>
      <c r="K22" t="n">
        <v>100</v>
      </c>
      <c r="L22" t="n">
        <v>100</v>
      </c>
      <c r="M22" t="n">
        <v>100</v>
      </c>
      <c r="N22" t="n">
        <v>100</v>
      </c>
      <c r="O22" t="n">
        <v>100</v>
      </c>
      <c r="P22" t="n">
        <v>100</v>
      </c>
      <c r="Q22" t="n">
        <v>100</v>
      </c>
      <c r="R22" t="n">
        <v>100</v>
      </c>
      <c r="S22" t="n">
        <v>100</v>
      </c>
      <c r="T22" t="n">
        <v>100</v>
      </c>
      <c r="U22" t="n">
        <v>100</v>
      </c>
      <c r="V22" t="n">
        <v>100</v>
      </c>
      <c r="W22" t="n">
        <v>100</v>
      </c>
      <c r="X22" t="n">
        <v>100</v>
      </c>
      <c r="Y22" t="n">
        <v>100</v>
      </c>
      <c r="Z22" t="n">
        <v>100</v>
      </c>
      <c r="AA22" t="n">
        <v>100</v>
      </c>
      <c r="AB22" t="n">
        <v>100</v>
      </c>
      <c r="AC22" t="n">
        <v>100</v>
      </c>
      <c r="AD22" t="n">
        <v>100</v>
      </c>
      <c r="AE22" t="n">
        <v>100</v>
      </c>
      <c r="AF22" t="n">
        <v>100</v>
      </c>
    </row>
    <row r="23">
      <c r="A23" t="s">
        <v>74</v>
      </c>
      <c r="B23" t="s">
        <v>316</v>
      </c>
      <c r="C23" t="s">
        <v>236</v>
      </c>
      <c r="D23" t="s">
        <v>317</v>
      </c>
      <c r="E23" t="s">
        <v>237</v>
      </c>
      <c r="F23" t="n">
        <v>156.960227272727</v>
      </c>
      <c r="G23" t="n">
        <v>156.960227272727</v>
      </c>
      <c r="H23" t="n">
        <v>156.960227272727</v>
      </c>
      <c r="I23" t="n">
        <v>156.960227272727</v>
      </c>
      <c r="J23" t="n">
        <v>156.960227272727</v>
      </c>
      <c r="K23" t="n">
        <v>156.960227272727</v>
      </c>
      <c r="L23" t="n">
        <v>156.960227272727</v>
      </c>
      <c r="M23" t="n">
        <v>156.960227272727</v>
      </c>
      <c r="N23" t="n">
        <v>156.960227272727</v>
      </c>
      <c r="O23" t="n">
        <v>156.960227272727</v>
      </c>
      <c r="P23" t="n">
        <v>156.960227272727</v>
      </c>
      <c r="Q23" t="n">
        <v>147.727272727273</v>
      </c>
      <c r="R23" t="n">
        <v>132.954545454545</v>
      </c>
      <c r="S23" t="n">
        <v>112.5</v>
      </c>
      <c r="T23" t="n">
        <v>112.5</v>
      </c>
      <c r="U23" t="n">
        <v>100</v>
      </c>
      <c r="V23" t="n">
        <v>100</v>
      </c>
      <c r="W23" t="n">
        <v>100</v>
      </c>
      <c r="X23" t="n">
        <v>100</v>
      </c>
      <c r="Y23" t="n">
        <v>100</v>
      </c>
      <c r="Z23" t="n">
        <v>100</v>
      </c>
      <c r="AA23" t="n">
        <v>100</v>
      </c>
      <c r="AB23" t="n">
        <v>100</v>
      </c>
      <c r="AC23" t="n">
        <v>100</v>
      </c>
      <c r="AD23" t="n">
        <v>100</v>
      </c>
      <c r="AE23" t="n">
        <v>100</v>
      </c>
      <c r="AF23" t="n">
        <v>100</v>
      </c>
    </row>
    <row r="24">
      <c r="A24" t="s">
        <v>74</v>
      </c>
      <c r="B24" t="s">
        <v>318</v>
      </c>
      <c r="C24" t="s">
        <v>236</v>
      </c>
      <c r="D24" t="s">
        <v>319</v>
      </c>
      <c r="E24" t="s">
        <v>237</v>
      </c>
      <c r="F24" t="n">
        <v>233.501860431855</v>
      </c>
      <c r="G24" t="n">
        <v>233.501860431855</v>
      </c>
      <c r="H24" t="n">
        <v>222.888139503135</v>
      </c>
      <c r="I24" t="n">
        <v>218.430376713072</v>
      </c>
      <c r="J24" t="n">
        <v>211.14936415597</v>
      </c>
      <c r="K24" t="n">
        <v>211.14936415597</v>
      </c>
      <c r="L24" t="n">
        <v>206.238913826761</v>
      </c>
      <c r="M24" t="n">
        <v>206.238913826761</v>
      </c>
      <c r="N24" t="n">
        <v>198.306647910347</v>
      </c>
      <c r="O24" t="n">
        <v>183.617266583655</v>
      </c>
      <c r="P24" t="n">
        <v>175.966547142669</v>
      </c>
      <c r="Q24" t="n">
        <v>167.587187754923</v>
      </c>
      <c r="R24" t="n">
        <v>146.961072338932</v>
      </c>
      <c r="S24" t="n">
        <v>133.772258154669</v>
      </c>
      <c r="T24" t="n">
        <v>125.90330179263</v>
      </c>
      <c r="U24" t="n">
        <v>109.274563820018</v>
      </c>
      <c r="V24" t="n">
        <v>106.060606060606</v>
      </c>
      <c r="W24" t="n">
        <v>106.060606060606</v>
      </c>
      <c r="X24" t="n">
        <v>106.060606060606</v>
      </c>
      <c r="Y24" t="n">
        <v>100</v>
      </c>
      <c r="Z24" t="n">
        <v>100</v>
      </c>
      <c r="AA24" t="n">
        <v>100</v>
      </c>
      <c r="AB24" t="n">
        <v>100</v>
      </c>
      <c r="AC24" t="n">
        <v>100</v>
      </c>
      <c r="AD24" t="n">
        <v>100</v>
      </c>
      <c r="AE24" t="n">
        <v>100</v>
      </c>
      <c r="AF24" t="n">
        <v>100</v>
      </c>
    </row>
    <row r="25">
      <c r="A25" t="s">
        <v>74</v>
      </c>
      <c r="B25" t="s">
        <v>320</v>
      </c>
      <c r="C25" t="s">
        <v>236</v>
      </c>
      <c r="D25" t="s">
        <v>321</v>
      </c>
      <c r="E25" t="s">
        <v>237</v>
      </c>
      <c r="F25" t="n">
        <v>126.388888888889</v>
      </c>
      <c r="G25" t="n">
        <v>126.388888888889</v>
      </c>
      <c r="H25" t="n">
        <v>126.388888888889</v>
      </c>
      <c r="I25" t="n">
        <v>126.388888888889</v>
      </c>
      <c r="J25" t="n">
        <v>126.388888888889</v>
      </c>
      <c r="K25" t="n">
        <v>126.388888888889</v>
      </c>
      <c r="L25" t="n">
        <v>126.388888888889</v>
      </c>
      <c r="M25" t="n">
        <v>126.388888888889</v>
      </c>
      <c r="N25" t="n">
        <v>126.388888888889</v>
      </c>
      <c r="O25" t="n">
        <v>126.388888888889</v>
      </c>
      <c r="P25" t="n">
        <v>126.388888888889</v>
      </c>
      <c r="Q25" t="n">
        <v>126.388888888889</v>
      </c>
      <c r="R25" t="n">
        <v>126.388888888889</v>
      </c>
      <c r="S25" t="n">
        <v>116.666666666667</v>
      </c>
      <c r="T25" t="n">
        <v>116.666666666667</v>
      </c>
      <c r="U25" t="n">
        <v>100</v>
      </c>
      <c r="V25" t="n">
        <v>100</v>
      </c>
      <c r="W25" t="n">
        <v>100</v>
      </c>
      <c r="X25" t="n">
        <v>100</v>
      </c>
      <c r="Y25" t="n">
        <v>100</v>
      </c>
      <c r="Z25" t="n">
        <v>100</v>
      </c>
      <c r="AA25" t="n">
        <v>100</v>
      </c>
      <c r="AB25" t="n">
        <v>100</v>
      </c>
      <c r="AC25" t="n">
        <v>100</v>
      </c>
      <c r="AD25" t="n">
        <v>100</v>
      </c>
      <c r="AE25" t="n">
        <v>100</v>
      </c>
      <c r="AF25" t="n">
        <v>100</v>
      </c>
    </row>
    <row r="26">
      <c r="A26" t="s">
        <v>74</v>
      </c>
      <c r="B26" t="s">
        <v>322</v>
      </c>
      <c r="C26" t="s">
        <v>236</v>
      </c>
      <c r="D26" t="s">
        <v>323</v>
      </c>
      <c r="E26" t="s">
        <v>237</v>
      </c>
      <c r="F26" t="n">
        <v>240.268152003256</v>
      </c>
      <c r="G26" t="n">
        <v>240.268152003256</v>
      </c>
      <c r="H26" t="n">
        <v>231.369331558691</v>
      </c>
      <c r="I26" t="n">
        <v>223.657020506735</v>
      </c>
      <c r="J26" t="n">
        <v>216.667738615899</v>
      </c>
      <c r="K26" t="n">
        <v>216.667738615899</v>
      </c>
      <c r="L26" t="n">
        <v>207.63991617357</v>
      </c>
      <c r="M26" t="n">
        <v>207.63991617357</v>
      </c>
      <c r="N26" t="n">
        <v>199.949548907882</v>
      </c>
      <c r="O26" t="n">
        <v>185.667438271605</v>
      </c>
      <c r="P26" t="n">
        <v>178.240740740741</v>
      </c>
      <c r="Q26" t="n">
        <v>168.859649122807</v>
      </c>
      <c r="R26" t="n">
        <v>146.345029239766</v>
      </c>
      <c r="S26" t="n">
        <v>131.710526315789</v>
      </c>
      <c r="T26" t="n">
        <v>125.438596491228</v>
      </c>
      <c r="U26" t="n">
        <v>108.333333333333</v>
      </c>
      <c r="V26" t="n">
        <v>108.333333333333</v>
      </c>
      <c r="W26" t="n">
        <v>108.333333333333</v>
      </c>
      <c r="X26" t="n">
        <v>108.333333333333</v>
      </c>
      <c r="Y26" t="n">
        <v>100</v>
      </c>
      <c r="Z26" t="n">
        <v>100</v>
      </c>
      <c r="AA26" t="n">
        <v>100</v>
      </c>
      <c r="AB26" t="n">
        <v>100</v>
      </c>
      <c r="AC26" t="n">
        <v>100</v>
      </c>
      <c r="AD26" t="n">
        <v>100</v>
      </c>
      <c r="AE26" t="n">
        <v>100</v>
      </c>
      <c r="AF26" t="n">
        <v>100</v>
      </c>
    </row>
    <row r="27">
      <c r="A27" t="s">
        <v>74</v>
      </c>
      <c r="B27" t="s">
        <v>324</v>
      </c>
      <c r="C27" t="s">
        <v>236</v>
      </c>
      <c r="D27" t="s">
        <v>325</v>
      </c>
      <c r="E27" t="s">
        <v>237</v>
      </c>
      <c r="F27" t="n">
        <v>244.097107921796</v>
      </c>
      <c r="G27" t="n">
        <v>244.097107921796</v>
      </c>
      <c r="H27" t="n">
        <v>227.823967393677</v>
      </c>
      <c r="I27" t="n">
        <v>227.823967393677</v>
      </c>
      <c r="J27" t="n">
        <v>218.711008697929</v>
      </c>
      <c r="K27" t="n">
        <v>218.711008697929</v>
      </c>
      <c r="L27" t="n">
        <v>218.711008697929</v>
      </c>
      <c r="M27" t="n">
        <v>218.711008697929</v>
      </c>
      <c r="N27" t="n">
        <v>209.201834406715</v>
      </c>
      <c r="O27" t="n">
        <v>191.768348206156</v>
      </c>
      <c r="P27" t="n">
        <v>182.6365221011</v>
      </c>
      <c r="Q27" t="n">
        <v>172.490048651039</v>
      </c>
      <c r="R27" t="n">
        <v>150.928792569659</v>
      </c>
      <c r="S27" t="n">
        <v>137.992038920832</v>
      </c>
      <c r="T27" t="n">
        <v>127.377266696152</v>
      </c>
      <c r="U27" t="n">
        <v>111.455108359133</v>
      </c>
      <c r="V27" t="n">
        <v>105.882352941176</v>
      </c>
      <c r="W27" t="n">
        <v>105.882352941176</v>
      </c>
      <c r="X27" t="n">
        <v>105.882352941176</v>
      </c>
      <c r="Y27" t="n">
        <v>100</v>
      </c>
      <c r="Z27" t="n">
        <v>100</v>
      </c>
      <c r="AA27" t="n">
        <v>100</v>
      </c>
      <c r="AB27" t="n">
        <v>100</v>
      </c>
      <c r="AC27" t="n">
        <v>100</v>
      </c>
      <c r="AD27" t="n">
        <v>100</v>
      </c>
      <c r="AE27" t="n">
        <v>100</v>
      </c>
      <c r="AF27" t="n">
        <v>100</v>
      </c>
    </row>
    <row r="28">
      <c r="A28" t="s">
        <v>74</v>
      </c>
      <c r="B28" t="s">
        <v>326</v>
      </c>
      <c r="C28" t="s">
        <v>236</v>
      </c>
      <c r="D28" t="s">
        <v>327</v>
      </c>
      <c r="E28" t="s">
        <v>237</v>
      </c>
      <c r="F28" t="n">
        <v>207.558995159093</v>
      </c>
      <c r="G28" t="n">
        <v>207.558995159093</v>
      </c>
      <c r="H28" t="n">
        <v>201.454318830885</v>
      </c>
      <c r="I28" t="n">
        <v>201.454318830885</v>
      </c>
      <c r="J28" t="n">
        <v>201.454318830885</v>
      </c>
      <c r="K28" t="n">
        <v>201.454318830885</v>
      </c>
      <c r="L28" t="n">
        <v>201.454318830885</v>
      </c>
      <c r="M28" t="n">
        <v>201.454318830885</v>
      </c>
      <c r="N28" t="n">
        <v>194.849259197085</v>
      </c>
      <c r="O28" t="n">
        <v>185.26650874477</v>
      </c>
      <c r="P28" t="n">
        <v>180.391074304118</v>
      </c>
      <c r="Q28" t="n">
        <v>167.950310559006</v>
      </c>
      <c r="R28" t="n">
        <v>147.592697157915</v>
      </c>
      <c r="S28" t="n">
        <v>135.293305728088</v>
      </c>
      <c r="T28" t="n">
        <v>126.273752012882</v>
      </c>
      <c r="U28" t="n">
        <v>111.703703703704</v>
      </c>
      <c r="V28" t="n">
        <v>104</v>
      </c>
      <c r="W28" t="n">
        <v>104</v>
      </c>
      <c r="X28" t="n">
        <v>104</v>
      </c>
      <c r="Y28" t="n">
        <v>100</v>
      </c>
      <c r="Z28" t="n">
        <v>100</v>
      </c>
      <c r="AA28" t="n">
        <v>100</v>
      </c>
      <c r="AB28" t="n">
        <v>100</v>
      </c>
      <c r="AC28" t="n">
        <v>100</v>
      </c>
      <c r="AD28" t="n">
        <v>100</v>
      </c>
      <c r="AE28" t="n">
        <v>100</v>
      </c>
      <c r="AF28" t="n">
        <v>100</v>
      </c>
    </row>
    <row r="29">
      <c r="A29" t="s">
        <v>74</v>
      </c>
      <c r="B29" t="s">
        <v>328</v>
      </c>
      <c r="C29" t="s">
        <v>236</v>
      </c>
      <c r="D29" t="s">
        <v>329</v>
      </c>
      <c r="E29" t="s">
        <v>237</v>
      </c>
      <c r="F29" t="n">
        <v>212.755408653846</v>
      </c>
      <c r="G29" t="n">
        <v>212.755408653846</v>
      </c>
      <c r="H29" t="n">
        <v>200.240384615385</v>
      </c>
      <c r="I29" t="n">
        <v>200.240384615385</v>
      </c>
      <c r="J29" t="n">
        <v>200.240384615385</v>
      </c>
      <c r="K29" t="n">
        <v>200.240384615385</v>
      </c>
      <c r="L29" t="n">
        <v>200.240384615385</v>
      </c>
      <c r="M29" t="n">
        <v>200.240384615385</v>
      </c>
      <c r="N29" t="n">
        <v>193.088942307692</v>
      </c>
      <c r="O29" t="n">
        <v>181.730769230769</v>
      </c>
      <c r="P29" t="n">
        <v>181.730769230769</v>
      </c>
      <c r="Q29" t="n">
        <v>167.751479289941</v>
      </c>
      <c r="R29" t="n">
        <v>145.384615384615</v>
      </c>
      <c r="S29" t="n">
        <v>135</v>
      </c>
      <c r="T29" t="n">
        <v>122.727272727273</v>
      </c>
      <c r="U29" t="n">
        <v>109.090909090909</v>
      </c>
      <c r="V29" t="n">
        <v>100</v>
      </c>
      <c r="W29" t="n">
        <v>100</v>
      </c>
      <c r="X29" t="n">
        <v>100</v>
      </c>
      <c r="Y29" t="n">
        <v>100</v>
      </c>
      <c r="Z29" t="n">
        <v>100</v>
      </c>
      <c r="AA29" t="n">
        <v>100</v>
      </c>
      <c r="AB29" t="n">
        <v>100</v>
      </c>
      <c r="AC29" t="n">
        <v>100</v>
      </c>
      <c r="AD29" t="n">
        <v>100</v>
      </c>
      <c r="AE29" t="n">
        <v>100</v>
      </c>
      <c r="AF29" t="n">
        <v>100</v>
      </c>
    </row>
    <row r="30">
      <c r="A30" t="s">
        <v>74</v>
      </c>
      <c r="B30" t="s">
        <v>330</v>
      </c>
      <c r="C30" t="s">
        <v>236</v>
      </c>
      <c r="D30" t="s">
        <v>331</v>
      </c>
      <c r="E30" t="s">
        <v>237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100</v>
      </c>
      <c r="M30" t="n">
        <v>100</v>
      </c>
      <c r="N30" t="n">
        <v>100</v>
      </c>
      <c r="O30" t="n">
        <v>100</v>
      </c>
      <c r="P30" t="n">
        <v>100</v>
      </c>
      <c r="Q30" t="n">
        <v>100</v>
      </c>
      <c r="R30" t="n">
        <v>100</v>
      </c>
      <c r="S30" t="n">
        <v>100</v>
      </c>
      <c r="T30" t="n">
        <v>100</v>
      </c>
      <c r="U30" t="n">
        <v>100</v>
      </c>
      <c r="V30" t="n">
        <v>100</v>
      </c>
      <c r="W30" t="n">
        <v>100</v>
      </c>
      <c r="X30" t="n">
        <v>100</v>
      </c>
      <c r="Y30" t="n">
        <v>100</v>
      </c>
      <c r="Z30" t="n">
        <v>100</v>
      </c>
      <c r="AA30" t="n">
        <v>100</v>
      </c>
      <c r="AB30" t="n">
        <v>100</v>
      </c>
      <c r="AC30" t="n">
        <v>100</v>
      </c>
      <c r="AD30" t="n">
        <v>100</v>
      </c>
      <c r="AE30" t="n">
        <v>100</v>
      </c>
      <c r="AF30" t="n">
        <v>0</v>
      </c>
    </row>
    <row r="31">
      <c r="A31" t="s">
        <v>74</v>
      </c>
      <c r="B31" t="s">
        <v>332</v>
      </c>
      <c r="C31" t="s">
        <v>236</v>
      </c>
      <c r="D31" t="s">
        <v>333</v>
      </c>
      <c r="E31" t="s">
        <v>237</v>
      </c>
      <c r="F31" t="e">
        <v>#NUM!</v>
      </c>
      <c r="G31" t="e">
        <v>#NUM!</v>
      </c>
      <c r="H31" t="e">
        <v>#NUM!</v>
      </c>
      <c r="I31" t="e">
        <v>#NUM!</v>
      </c>
      <c r="J31" t="e">
        <v>#NUM!</v>
      </c>
      <c r="K31" t="e">
        <v>#NUM!</v>
      </c>
      <c r="L31" t="e">
        <v>#NUM!</v>
      </c>
      <c r="M31" t="e">
        <v>#NUM!</v>
      </c>
      <c r="N31" t="e">
        <v>#NUM!</v>
      </c>
      <c r="O31" t="e">
        <v>#NUM!</v>
      </c>
      <c r="P31" t="e">
        <v>#NUM!</v>
      </c>
      <c r="Q31" t="e">
        <v>#NUM!</v>
      </c>
      <c r="R31" t="e">
        <v>#NUM!</v>
      </c>
      <c r="S31" t="e">
        <v>#NUM!</v>
      </c>
      <c r="T31" t="e">
        <v>#NUM!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74</v>
      </c>
      <c r="B32" t="s">
        <v>334</v>
      </c>
      <c r="C32" t="s">
        <v>236</v>
      </c>
      <c r="D32" t="s">
        <v>335</v>
      </c>
      <c r="E32" t="s">
        <v>237</v>
      </c>
      <c r="F32" t="n">
        <v>233.572095920274</v>
      </c>
      <c r="G32" t="n">
        <v>233.572095920274</v>
      </c>
      <c r="H32" t="n">
        <v>233.572095920274</v>
      </c>
      <c r="I32" t="n">
        <v>233.572095920274</v>
      </c>
      <c r="J32" t="n">
        <v>233.572095920274</v>
      </c>
      <c r="K32" t="n">
        <v>233.572095920274</v>
      </c>
      <c r="L32" t="n">
        <v>233.572095920274</v>
      </c>
      <c r="M32" t="n">
        <v>233.572095920274</v>
      </c>
      <c r="N32" t="n">
        <v>224.229212083463</v>
      </c>
      <c r="O32" t="n">
        <v>214.036975170578</v>
      </c>
      <c r="P32" t="n">
        <v>203.335126412049</v>
      </c>
      <c r="Q32" t="n">
        <v>186.390532544379</v>
      </c>
      <c r="R32" t="n">
        <v>161.538461538461</v>
      </c>
      <c r="S32" t="n">
        <v>150</v>
      </c>
      <c r="T32" t="n">
        <v>140</v>
      </c>
      <c r="U32" t="n">
        <v>118.461538461538</v>
      </c>
      <c r="V32" t="n">
        <v>107.692307692308</v>
      </c>
      <c r="W32" t="n">
        <v>107.692307692308</v>
      </c>
      <c r="X32" t="n">
        <v>107.692307692308</v>
      </c>
      <c r="Y32" t="n">
        <v>100</v>
      </c>
      <c r="Z32" t="n">
        <v>100</v>
      </c>
      <c r="AA32" t="n">
        <v>100</v>
      </c>
      <c r="AB32" t="n">
        <v>100</v>
      </c>
      <c r="AC32" t="n">
        <v>100</v>
      </c>
      <c r="AD32" t="n">
        <v>100</v>
      </c>
      <c r="AE32" t="n">
        <v>100</v>
      </c>
      <c r="AF32" t="n">
        <v>100</v>
      </c>
    </row>
    <row r="33">
      <c r="A33" t="s">
        <v>74</v>
      </c>
      <c r="B33" t="s">
        <v>336</v>
      </c>
      <c r="C33" t="s">
        <v>236</v>
      </c>
      <c r="D33" t="s">
        <v>337</v>
      </c>
      <c r="E33" t="s">
        <v>237</v>
      </c>
      <c r="F33" t="e">
        <v>#NUM!</v>
      </c>
      <c r="G33" t="e">
        <v>#NUM!</v>
      </c>
      <c r="H33" t="e">
        <v>#NUM!</v>
      </c>
      <c r="I33" t="e">
        <v>#NUM!</v>
      </c>
      <c r="J33" t="e">
        <v>#NUM!</v>
      </c>
      <c r="K33" t="e">
        <v>#NUM!</v>
      </c>
      <c r="L33" t="e">
        <v>#NUM!</v>
      </c>
      <c r="M33" t="e">
        <v>#NUM!</v>
      </c>
      <c r="N33" t="e">
        <v>#NUM!</v>
      </c>
      <c r="O33" t="e">
        <v>#NUM!</v>
      </c>
      <c r="P33" t="n">
        <v>0</v>
      </c>
      <c r="Q33" t="n">
        <v>0</v>
      </c>
      <c r="R33" t="n">
        <v>100</v>
      </c>
      <c r="S33" t="n">
        <v>100</v>
      </c>
      <c r="T33" t="n">
        <v>100</v>
      </c>
      <c r="U33" t="n">
        <v>100</v>
      </c>
      <c r="V33" t="n">
        <v>100</v>
      </c>
      <c r="W33" t="n">
        <v>100</v>
      </c>
      <c r="X33" t="n">
        <v>100</v>
      </c>
      <c r="Y33" t="n">
        <v>100</v>
      </c>
      <c r="Z33" t="n">
        <v>100</v>
      </c>
      <c r="AA33" t="n">
        <v>100</v>
      </c>
      <c r="AB33" t="n">
        <v>100</v>
      </c>
      <c r="AC33" t="n">
        <v>100</v>
      </c>
      <c r="AD33" t="n">
        <v>100</v>
      </c>
      <c r="AE33" t="n">
        <v>100</v>
      </c>
      <c r="AF33" t="n">
        <v>100</v>
      </c>
    </row>
    <row r="34">
      <c r="A34" t="s">
        <v>74</v>
      </c>
      <c r="B34" t="s">
        <v>338</v>
      </c>
      <c r="C34" t="s">
        <v>236</v>
      </c>
      <c r="D34" t="s">
        <v>339</v>
      </c>
      <c r="E34" t="s">
        <v>237</v>
      </c>
      <c r="F34" t="n">
        <v>159.107142857143</v>
      </c>
      <c r="G34" t="n">
        <v>159.107142857143</v>
      </c>
      <c r="H34" t="n">
        <v>159.107142857143</v>
      </c>
      <c r="I34" t="n">
        <v>159.107142857143</v>
      </c>
      <c r="J34" t="n">
        <v>159.107142857143</v>
      </c>
      <c r="K34" t="n">
        <v>159.107142857143</v>
      </c>
      <c r="L34" t="n">
        <v>159.107142857143</v>
      </c>
      <c r="M34" t="n">
        <v>159.107142857143</v>
      </c>
      <c r="N34" t="n">
        <v>159.107142857143</v>
      </c>
      <c r="O34" t="n">
        <v>148.5</v>
      </c>
      <c r="P34" t="n">
        <v>148.5</v>
      </c>
      <c r="Q34" t="n">
        <v>135</v>
      </c>
      <c r="R34" t="n">
        <v>123.75</v>
      </c>
      <c r="S34" t="n">
        <v>112.5</v>
      </c>
      <c r="T34" t="n">
        <v>112.5</v>
      </c>
      <c r="U34" t="n">
        <v>100</v>
      </c>
      <c r="V34" t="n">
        <v>100</v>
      </c>
      <c r="W34" t="n">
        <v>100</v>
      </c>
      <c r="X34" t="n">
        <v>100</v>
      </c>
      <c r="Y34" t="n">
        <v>100</v>
      </c>
      <c r="Z34" t="n">
        <v>100</v>
      </c>
      <c r="AA34" t="n">
        <v>100</v>
      </c>
      <c r="AB34" t="n">
        <v>100</v>
      </c>
      <c r="AC34" t="n">
        <v>100</v>
      </c>
      <c r="AD34" t="n">
        <v>100</v>
      </c>
      <c r="AE34" t="n">
        <v>100</v>
      </c>
      <c r="AF34" t="n">
        <v>100</v>
      </c>
    </row>
    <row r="35">
      <c r="A35" t="s">
        <v>74</v>
      </c>
      <c r="B35" t="s">
        <v>340</v>
      </c>
      <c r="C35" t="s">
        <v>236</v>
      </c>
      <c r="D35" t="s">
        <v>341</v>
      </c>
      <c r="E35" t="s">
        <v>237</v>
      </c>
      <c r="F35" t="n">
        <v>245.069455124212</v>
      </c>
      <c r="G35" t="n">
        <v>236.900473286738</v>
      </c>
      <c r="H35" t="n">
        <v>230.977961454569</v>
      </c>
      <c r="I35" t="n">
        <v>226.06353674277</v>
      </c>
      <c r="J35" t="n">
        <v>221.877174951237</v>
      </c>
      <c r="K35" t="n">
        <v>221.877174951237</v>
      </c>
      <c r="L35" t="n">
        <v>217.349069339987</v>
      </c>
      <c r="M35" t="n">
        <v>210.337809038697</v>
      </c>
      <c r="N35" t="n">
        <v>203.084781140811</v>
      </c>
      <c r="O35" t="n">
        <v>189.393672299858</v>
      </c>
      <c r="P35" t="n">
        <v>186.33893564986</v>
      </c>
      <c r="Q35" t="n">
        <v>178.237242795518</v>
      </c>
      <c r="R35" t="n">
        <v>157.867272190316</v>
      </c>
      <c r="S35" t="n">
        <v>141.249664591336</v>
      </c>
      <c r="T35" t="n">
        <v>130.655939746985</v>
      </c>
      <c r="U35" t="n">
        <v>114.323947278612</v>
      </c>
      <c r="V35" t="n">
        <v>108.306897421843</v>
      </c>
      <c r="W35" t="n">
        <v>106.406776414442</v>
      </c>
      <c r="X35" t="n">
        <v>107.550935300619</v>
      </c>
      <c r="Y35" t="n">
        <v>103.33325156334</v>
      </c>
      <c r="Z35" t="n">
        <v>103.33325156334</v>
      </c>
      <c r="AA35" t="n">
        <v>102.457546041617</v>
      </c>
      <c r="AB35" t="n">
        <v>102.457546041617</v>
      </c>
      <c r="AC35" t="n">
        <v>101.769911504425</v>
      </c>
      <c r="AD35" t="n">
        <v>101.769911504425</v>
      </c>
      <c r="AE35" t="n">
        <v>100</v>
      </c>
      <c r="AF35" t="n">
        <v>98.3870967741936</v>
      </c>
    </row>
    <row r="36">
      <c r="A36" t="s">
        <v>74</v>
      </c>
      <c r="B36" t="s">
        <v>342</v>
      </c>
      <c r="C36" t="s">
        <v>236</v>
      </c>
      <c r="D36" t="s">
        <v>343</v>
      </c>
      <c r="E36" t="s">
        <v>237</v>
      </c>
      <c r="F36" t="n">
        <v>160.714285714286</v>
      </c>
      <c r="G36" t="n">
        <v>160.714285714286</v>
      </c>
      <c r="H36" t="n">
        <v>160.714285714286</v>
      </c>
      <c r="I36" t="n">
        <v>160.714285714286</v>
      </c>
      <c r="J36" t="n">
        <v>160.714285714286</v>
      </c>
      <c r="K36" t="n">
        <v>160.714285714286</v>
      </c>
      <c r="L36" t="n">
        <v>160.714285714286</v>
      </c>
      <c r="M36" t="n">
        <v>160.714285714286</v>
      </c>
      <c r="N36" t="n">
        <v>160.714285714286</v>
      </c>
      <c r="O36" t="n">
        <v>160.714285714286</v>
      </c>
      <c r="P36" t="n">
        <v>160.714285714286</v>
      </c>
      <c r="Q36" t="n">
        <v>160.714285714286</v>
      </c>
      <c r="R36" t="n">
        <v>142.857142857143</v>
      </c>
      <c r="S36" t="n">
        <v>125</v>
      </c>
      <c r="T36" t="n">
        <v>111.111111111111</v>
      </c>
      <c r="U36" t="n">
        <v>100</v>
      </c>
      <c r="V36" t="n">
        <v>100</v>
      </c>
      <c r="W36" t="n">
        <v>100</v>
      </c>
      <c r="X36" t="n">
        <v>100</v>
      </c>
      <c r="Y36" t="n">
        <v>100</v>
      </c>
      <c r="Z36" t="n">
        <v>100</v>
      </c>
      <c r="AA36" t="n">
        <v>100</v>
      </c>
      <c r="AB36" t="n">
        <v>100</v>
      </c>
      <c r="AC36" t="n">
        <v>100</v>
      </c>
      <c r="AD36" t="n">
        <v>100</v>
      </c>
      <c r="AE36" t="n">
        <v>100</v>
      </c>
      <c r="AF36" t="n">
        <v>100</v>
      </c>
    </row>
    <row r="37">
      <c r="A37" t="s">
        <v>74</v>
      </c>
      <c r="B37" t="s">
        <v>344</v>
      </c>
      <c r="C37" t="s">
        <v>236</v>
      </c>
      <c r="D37" t="s">
        <v>345</v>
      </c>
      <c r="E37" t="s">
        <v>237</v>
      </c>
      <c r="F37" t="n">
        <v>266.217075390209</v>
      </c>
      <c r="G37" t="n">
        <v>254.116299236109</v>
      </c>
      <c r="H37" t="n">
        <v>245.040717120533</v>
      </c>
      <c r="I37" t="n">
        <v>238.039553774232</v>
      </c>
      <c r="J37" t="n">
        <v>232.629563915727</v>
      </c>
      <c r="K37" t="n">
        <v>232.629563915727</v>
      </c>
      <c r="L37" t="n">
        <v>226.342278404491</v>
      </c>
      <c r="M37" t="n">
        <v>216.501309778209</v>
      </c>
      <c r="N37" t="n">
        <v>204.473459234975</v>
      </c>
      <c r="O37" t="n">
        <v>189.656541899107</v>
      </c>
      <c r="P37" t="n">
        <v>185.786000227697</v>
      </c>
      <c r="Q37" t="n">
        <v>176.496700216312</v>
      </c>
      <c r="R37" t="n">
        <v>155.732382543805</v>
      </c>
      <c r="S37" t="n">
        <v>139.165107805102</v>
      </c>
      <c r="T37" t="n">
        <v>132.538197909621</v>
      </c>
      <c r="U37" t="n">
        <v>115.546121254542</v>
      </c>
      <c r="V37" t="n">
        <v>109.197433273523</v>
      </c>
      <c r="W37" t="n">
        <v>106.797489685094</v>
      </c>
      <c r="X37" t="n">
        <v>108.260468995848</v>
      </c>
      <c r="Y37" t="n">
        <v>104.0966048037</v>
      </c>
      <c r="Z37" t="n">
        <v>104.0966048037</v>
      </c>
      <c r="AA37" t="n">
        <v>102.913688840022</v>
      </c>
      <c r="AB37" t="n">
        <v>102.913688840022</v>
      </c>
      <c r="AC37" t="n">
        <v>101.960784313725</v>
      </c>
      <c r="AD37" t="n">
        <v>101.960784313725</v>
      </c>
      <c r="AE37" t="n">
        <v>100</v>
      </c>
      <c r="AF37" t="n">
        <v>98.1651376146789</v>
      </c>
    </row>
    <row r="38">
      <c r="A38" t="s">
        <v>74</v>
      </c>
      <c r="B38" t="s">
        <v>346</v>
      </c>
      <c r="C38" t="s">
        <v>236</v>
      </c>
      <c r="D38" t="s">
        <v>347</v>
      </c>
      <c r="E38" t="s">
        <v>237</v>
      </c>
      <c r="F38" t="n">
        <v>201.432575521644</v>
      </c>
      <c r="G38" t="n">
        <v>201.432575521644</v>
      </c>
      <c r="H38" t="n">
        <v>201.432575521644</v>
      </c>
      <c r="I38" t="n">
        <v>201.432575521644</v>
      </c>
      <c r="J38" t="n">
        <v>201.432575521644</v>
      </c>
      <c r="K38" t="n">
        <v>201.432575521644</v>
      </c>
      <c r="L38" t="n">
        <v>201.432575521644</v>
      </c>
      <c r="M38" t="n">
        <v>201.432575521644</v>
      </c>
      <c r="N38" t="n">
        <v>201.432575521644</v>
      </c>
      <c r="O38" t="n">
        <v>188.843039551542</v>
      </c>
      <c r="P38" t="n">
        <v>188.843039551542</v>
      </c>
      <c r="Q38" t="n">
        <v>180.259265026472</v>
      </c>
      <c r="R38" t="n">
        <v>160.230457801308</v>
      </c>
      <c r="S38" t="n">
        <v>144.970414201183</v>
      </c>
      <c r="T38" t="n">
        <v>130.473372781065</v>
      </c>
      <c r="U38" t="n">
        <v>113.076923076923</v>
      </c>
      <c r="V38" t="n">
        <v>105</v>
      </c>
      <c r="W38" t="n">
        <v>105</v>
      </c>
      <c r="X38" t="n">
        <v>105</v>
      </c>
      <c r="Y38" t="n">
        <v>100</v>
      </c>
      <c r="Z38" t="n">
        <v>100</v>
      </c>
      <c r="AA38" t="n">
        <v>100</v>
      </c>
      <c r="AB38" t="n">
        <v>100</v>
      </c>
      <c r="AC38" t="n">
        <v>100</v>
      </c>
      <c r="AD38" t="n">
        <v>100</v>
      </c>
      <c r="AE38" t="n">
        <v>100</v>
      </c>
      <c r="AF38" t="n">
        <v>100</v>
      </c>
    </row>
    <row r="39">
      <c r="A39" t="s">
        <v>74</v>
      </c>
      <c r="B39" t="s">
        <v>348</v>
      </c>
      <c r="C39" t="s">
        <v>236</v>
      </c>
      <c r="D39" t="s">
        <v>349</v>
      </c>
      <c r="E39" t="s">
        <v>237</v>
      </c>
      <c r="F39" t="n">
        <v>170</v>
      </c>
      <c r="G39" t="n">
        <v>170</v>
      </c>
      <c r="H39" t="n">
        <v>170</v>
      </c>
      <c r="I39" t="n">
        <v>170</v>
      </c>
      <c r="J39" t="n">
        <v>170</v>
      </c>
      <c r="K39" t="n">
        <v>170</v>
      </c>
      <c r="L39" t="n">
        <v>170</v>
      </c>
      <c r="M39" t="n">
        <v>170</v>
      </c>
      <c r="N39" t="n">
        <v>170</v>
      </c>
      <c r="O39" t="n">
        <v>170</v>
      </c>
      <c r="P39" t="n">
        <v>170</v>
      </c>
      <c r="Q39" t="n">
        <v>154.545454545455</v>
      </c>
      <c r="R39" t="n">
        <v>136.363636363636</v>
      </c>
      <c r="S39" t="n">
        <v>122.727272727273</v>
      </c>
      <c r="T39" t="n">
        <v>112.5</v>
      </c>
      <c r="U39" t="n">
        <v>100</v>
      </c>
      <c r="V39" t="n">
        <v>100</v>
      </c>
      <c r="W39" t="n">
        <v>100</v>
      </c>
      <c r="X39" t="n">
        <v>100</v>
      </c>
      <c r="Y39" t="n">
        <v>100</v>
      </c>
      <c r="Z39" t="n">
        <v>100</v>
      </c>
      <c r="AA39" t="n">
        <v>100</v>
      </c>
      <c r="AB39" t="n">
        <v>100</v>
      </c>
      <c r="AC39" t="n">
        <v>100</v>
      </c>
      <c r="AD39" t="n">
        <v>100</v>
      </c>
      <c r="AE39" t="n">
        <v>100</v>
      </c>
      <c r="AF39" t="n">
        <v>100</v>
      </c>
    </row>
    <row r="40">
      <c r="A40" t="s">
        <v>74</v>
      </c>
      <c r="B40" t="s">
        <v>350</v>
      </c>
      <c r="C40" t="s">
        <v>236</v>
      </c>
      <c r="D40" t="s">
        <v>351</v>
      </c>
      <c r="E40" t="s">
        <v>237</v>
      </c>
      <c r="F40" t="n">
        <v>0</v>
      </c>
      <c r="G40" t="n">
        <v>0</v>
      </c>
      <c r="H40" t="n">
        <v>0</v>
      </c>
      <c r="I40" t="n">
        <v>124.444444444444</v>
      </c>
      <c r="J40" t="n">
        <v>124.444444444444</v>
      </c>
      <c r="K40" t="n">
        <v>124.444444444444</v>
      </c>
      <c r="L40" t="n">
        <v>124.444444444444</v>
      </c>
      <c r="M40" t="n">
        <v>124.444444444444</v>
      </c>
      <c r="N40" t="n">
        <v>124.444444444444</v>
      </c>
      <c r="O40" t="n">
        <v>124.444444444444</v>
      </c>
      <c r="P40" t="n">
        <v>124.444444444444</v>
      </c>
      <c r="Q40" t="n">
        <v>124.444444444444</v>
      </c>
      <c r="R40" t="n">
        <v>106.666666666667</v>
      </c>
      <c r="S40" t="n">
        <v>100</v>
      </c>
      <c r="T40" t="n">
        <v>100</v>
      </c>
      <c r="U40" t="n">
        <v>100</v>
      </c>
      <c r="V40" t="n">
        <v>100</v>
      </c>
      <c r="W40" t="n">
        <v>100</v>
      </c>
      <c r="X40" t="n">
        <v>100</v>
      </c>
      <c r="Y40" t="n">
        <v>100</v>
      </c>
      <c r="Z40" t="n">
        <v>100</v>
      </c>
      <c r="AA40" t="n">
        <v>100</v>
      </c>
      <c r="AB40" t="n">
        <v>100</v>
      </c>
      <c r="AC40" t="n">
        <v>100</v>
      </c>
      <c r="AD40" t="n">
        <v>100</v>
      </c>
      <c r="AE40" t="n">
        <v>100</v>
      </c>
      <c r="AF40" t="n">
        <v>100</v>
      </c>
    </row>
    <row r="41">
      <c r="A41" t="s">
        <v>74</v>
      </c>
      <c r="B41" t="s">
        <v>352</v>
      </c>
      <c r="C41" t="s">
        <v>236</v>
      </c>
      <c r="D41" t="s">
        <v>353</v>
      </c>
      <c r="E41" t="s">
        <v>237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/>
      <c r="AD41"/>
      <c r="AE41"/>
      <c r="AF41"/>
    </row>
    <row r="42">
      <c r="A42" t="s">
        <v>74</v>
      </c>
      <c r="B42" t="s">
        <v>354</v>
      </c>
      <c r="C42" t="s">
        <v>236</v>
      </c>
      <c r="D42" t="s">
        <v>355</v>
      </c>
      <c r="E42" t="s">
        <v>237</v>
      </c>
      <c r="F42" t="n">
        <v>150.423</v>
      </c>
      <c r="G42" t="n">
        <v>150.423</v>
      </c>
      <c r="H42" t="n">
        <v>150.423</v>
      </c>
      <c r="I42" t="n">
        <v>150.423</v>
      </c>
      <c r="J42" t="n">
        <v>150.423</v>
      </c>
      <c r="K42" t="n">
        <v>150.423</v>
      </c>
      <c r="L42" t="n">
        <v>150.423</v>
      </c>
      <c r="M42" t="n">
        <v>150.423</v>
      </c>
      <c r="N42" t="n">
        <v>150.423</v>
      </c>
      <c r="O42" t="n">
        <v>150.423</v>
      </c>
      <c r="P42" t="n">
        <v>150.423</v>
      </c>
      <c r="Q42" t="n">
        <v>144.6375</v>
      </c>
      <c r="R42" t="n">
        <v>124.6875</v>
      </c>
      <c r="S42" t="n">
        <v>111.5625</v>
      </c>
      <c r="T42" t="n">
        <v>111.5625</v>
      </c>
      <c r="U42" t="n">
        <v>105</v>
      </c>
      <c r="V42" t="n">
        <v>100</v>
      </c>
      <c r="W42" t="n">
        <v>100</v>
      </c>
      <c r="X42" t="n">
        <v>100</v>
      </c>
      <c r="Y42" t="n">
        <v>100</v>
      </c>
      <c r="Z42" t="n">
        <v>100</v>
      </c>
      <c r="AA42" t="n">
        <v>100</v>
      </c>
      <c r="AB42" t="n">
        <v>100</v>
      </c>
      <c r="AC42" t="n">
        <v>100</v>
      </c>
      <c r="AD42" t="n">
        <v>100</v>
      </c>
      <c r="AE42" t="n">
        <v>100</v>
      </c>
      <c r="AF42" t="n">
        <v>100</v>
      </c>
    </row>
    <row r="43">
      <c r="A43" t="s">
        <v>74</v>
      </c>
      <c r="B43" t="s">
        <v>356</v>
      </c>
      <c r="C43" t="s">
        <v>236</v>
      </c>
      <c r="D43" t="s">
        <v>357</v>
      </c>
      <c r="E43" t="s">
        <v>237</v>
      </c>
      <c r="F43" t="n">
        <v>148.049303675331</v>
      </c>
      <c r="G43" t="n">
        <v>148.049303675331</v>
      </c>
      <c r="H43" t="n">
        <v>148.049303675331</v>
      </c>
      <c r="I43" t="n">
        <v>148.049303675331</v>
      </c>
      <c r="J43" t="n">
        <v>148.049303675331</v>
      </c>
      <c r="K43" t="n">
        <v>148.049303675331</v>
      </c>
      <c r="L43" t="n">
        <v>148.049303675331</v>
      </c>
      <c r="M43" t="n">
        <v>148.049303675331</v>
      </c>
      <c r="N43" t="n">
        <v>148.049303675331</v>
      </c>
      <c r="O43" t="n">
        <v>144.047971143566</v>
      </c>
      <c r="P43" t="n">
        <v>144.047971143566</v>
      </c>
      <c r="Q43" t="n">
        <v>138.168462117298</v>
      </c>
      <c r="R43" t="n">
        <v>123.095538977229</v>
      </c>
      <c r="S43" t="n">
        <v>112.978097417457</v>
      </c>
      <c r="T43" t="n">
        <v>109.839816933638</v>
      </c>
      <c r="U43" t="n">
        <v>104.347826086957</v>
      </c>
      <c r="V43" t="n">
        <v>100</v>
      </c>
      <c r="W43" t="n">
        <v>100</v>
      </c>
      <c r="X43" t="n">
        <v>100</v>
      </c>
      <c r="Y43" t="n">
        <v>100</v>
      </c>
      <c r="Z43" t="n">
        <v>100</v>
      </c>
      <c r="AA43" t="n">
        <v>100</v>
      </c>
      <c r="AB43" t="n">
        <v>100</v>
      </c>
      <c r="AC43" t="n">
        <v>100</v>
      </c>
      <c r="AD43" t="n">
        <v>100</v>
      </c>
      <c r="AE43" t="n">
        <v>100</v>
      </c>
      <c r="AF43" t="n">
        <v>100</v>
      </c>
    </row>
    <row r="44">
      <c r="A44" t="s">
        <v>74</v>
      </c>
      <c r="B44" t="s">
        <v>358</v>
      </c>
      <c r="C44" t="s">
        <v>236</v>
      </c>
      <c r="D44" t="s">
        <v>359</v>
      </c>
      <c r="E44" t="s">
        <v>237</v>
      </c>
      <c r="F44" t="n">
        <v>189.492582746444</v>
      </c>
      <c r="G44" t="n">
        <v>187.913477890224</v>
      </c>
      <c r="H44" t="n">
        <v>183.141072102536</v>
      </c>
      <c r="I44" t="n">
        <v>181.68371609111</v>
      </c>
      <c r="J44" t="n">
        <v>179.429575692957</v>
      </c>
      <c r="K44" t="n">
        <v>179.429575692957</v>
      </c>
      <c r="L44" t="n">
        <v>177.473939990581</v>
      </c>
      <c r="M44" t="n">
        <v>176.64462251399</v>
      </c>
      <c r="N44" t="n">
        <v>173.011828220643</v>
      </c>
      <c r="O44" t="n">
        <v>164.572226844026</v>
      </c>
      <c r="P44" t="n">
        <v>161.748683736408</v>
      </c>
      <c r="Q44" t="n">
        <v>155.140833423908</v>
      </c>
      <c r="R44" t="n">
        <v>137.687489663719</v>
      </c>
      <c r="S44" t="n">
        <v>125.982069072711</v>
      </c>
      <c r="T44" t="n">
        <v>120.382866002813</v>
      </c>
      <c r="U44" t="n">
        <v>107.559473754687</v>
      </c>
      <c r="V44" t="n">
        <v>103.936417796634</v>
      </c>
      <c r="W44" t="n">
        <v>103.50957419172</v>
      </c>
      <c r="X44" t="n">
        <v>103.765153387255</v>
      </c>
      <c r="Y44" t="n">
        <v>101.498438871514</v>
      </c>
      <c r="Z44" t="n">
        <v>101.498438871514</v>
      </c>
      <c r="AA44" t="n">
        <v>101.295035186401</v>
      </c>
      <c r="AB44" t="n">
        <v>101.109513143935</v>
      </c>
      <c r="AC44" t="n">
        <v>100.705882352941</v>
      </c>
      <c r="AD44" t="n">
        <v>100.705882352941</v>
      </c>
      <c r="AE44" t="n">
        <v>100</v>
      </c>
      <c r="AF44" t="n">
        <v>99.3421052631579</v>
      </c>
    </row>
    <row r="45">
      <c r="A45" t="s">
        <v>74</v>
      </c>
      <c r="B45" t="s">
        <v>360</v>
      </c>
      <c r="C45" t="s">
        <v>236</v>
      </c>
      <c r="D45" t="s">
        <v>361</v>
      </c>
      <c r="E45" t="s">
        <v>237</v>
      </c>
      <c r="F45" t="n">
        <v>190.319791111363</v>
      </c>
      <c r="G45" t="n">
        <v>188.679103256954</v>
      </c>
      <c r="H45" t="n">
        <v>183.697476768322</v>
      </c>
      <c r="I45" t="n">
        <v>182.179315803295</v>
      </c>
      <c r="J45" t="n">
        <v>179.825577873019</v>
      </c>
      <c r="K45" t="n">
        <v>179.825577873019</v>
      </c>
      <c r="L45" t="n">
        <v>177.805065762087</v>
      </c>
      <c r="M45" t="n">
        <v>176.946104091738</v>
      </c>
      <c r="N45" t="n">
        <v>173.171253871115</v>
      </c>
      <c r="O45" t="n">
        <v>165.099712377122</v>
      </c>
      <c r="P45" t="n">
        <v>162.159005031982</v>
      </c>
      <c r="Q45" t="n">
        <v>155.414597951086</v>
      </c>
      <c r="R45" t="n">
        <v>137.878395079313</v>
      </c>
      <c r="S45" t="n">
        <v>126.221038060946</v>
      </c>
      <c r="T45" t="n">
        <v>120.495547674676</v>
      </c>
      <c r="U45" t="n">
        <v>107.699560310994</v>
      </c>
      <c r="V45" t="n">
        <v>104.017524061045</v>
      </c>
      <c r="W45" t="n">
        <v>103.582304295099</v>
      </c>
      <c r="X45" t="n">
        <v>103.843875770592</v>
      </c>
      <c r="Y45" t="n">
        <v>101.524781770753</v>
      </c>
      <c r="Z45" t="n">
        <v>101.524781770753</v>
      </c>
      <c r="AA45" t="n">
        <v>101.318010321118</v>
      </c>
      <c r="AB45" t="n">
        <v>101.129686881859</v>
      </c>
      <c r="AC45" t="n">
        <v>100.719424460432</v>
      </c>
      <c r="AD45" t="n">
        <v>100.719424460432</v>
      </c>
      <c r="AE45" t="n">
        <v>100</v>
      </c>
      <c r="AF45" t="n">
        <v>99.3303571428571</v>
      </c>
    </row>
    <row r="46">
      <c r="A46" t="s">
        <v>74</v>
      </c>
      <c r="B46" t="s">
        <v>362</v>
      </c>
      <c r="C46" t="s">
        <v>236</v>
      </c>
      <c r="D46" t="s">
        <v>363</v>
      </c>
      <c r="E46" t="s">
        <v>237</v>
      </c>
      <c r="F46" t="n">
        <v>143.606421531798</v>
      </c>
      <c r="G46" t="n">
        <v>143.606421531798</v>
      </c>
      <c r="H46" t="n">
        <v>143.606421531798</v>
      </c>
      <c r="I46" t="n">
        <v>143.606421531798</v>
      </c>
      <c r="J46" t="n">
        <v>143.606421531798</v>
      </c>
      <c r="K46" t="n">
        <v>143.606421531798</v>
      </c>
      <c r="L46" t="n">
        <v>143.606421531798</v>
      </c>
      <c r="M46" t="n">
        <v>143.606421531798</v>
      </c>
      <c r="N46" t="n">
        <v>143.606421531798</v>
      </c>
      <c r="O46" t="n">
        <v>135.628287002254</v>
      </c>
      <c r="P46" t="n">
        <v>135.628287002254</v>
      </c>
      <c r="Q46" t="n">
        <v>129.731404958678</v>
      </c>
      <c r="R46" t="n">
        <v>119.752066115702</v>
      </c>
      <c r="S46" t="n">
        <v>112.909090909091</v>
      </c>
      <c r="T46" t="n">
        <v>108.566433566434</v>
      </c>
      <c r="U46" t="n">
        <v>103.846153846154</v>
      </c>
      <c r="V46" t="n">
        <v>100</v>
      </c>
      <c r="W46" t="n">
        <v>100</v>
      </c>
      <c r="X46" t="n">
        <v>100</v>
      </c>
      <c r="Y46" t="n">
        <v>100</v>
      </c>
      <c r="Z46" t="n">
        <v>100</v>
      </c>
      <c r="AA46" t="n">
        <v>100</v>
      </c>
      <c r="AB46" t="n">
        <v>100</v>
      </c>
      <c r="AC46" t="n">
        <v>100</v>
      </c>
      <c r="AD46" t="n">
        <v>100</v>
      </c>
      <c r="AE46" t="n">
        <v>100</v>
      </c>
      <c r="AF46" t="n">
        <v>100</v>
      </c>
    </row>
    <row r="47">
      <c r="A47" t="s">
        <v>74</v>
      </c>
      <c r="B47" t="s">
        <v>364</v>
      </c>
      <c r="C47" t="s">
        <v>236</v>
      </c>
      <c r="D47" t="s">
        <v>365</v>
      </c>
      <c r="E47" t="s">
        <v>237</v>
      </c>
      <c r="F47" t="n">
        <v>131.017369727047</v>
      </c>
      <c r="G47" t="n">
        <v>131.017369727047</v>
      </c>
      <c r="H47" t="n">
        <v>131.017369727047</v>
      </c>
      <c r="I47" t="n">
        <v>131.017369727047</v>
      </c>
      <c r="J47" t="n">
        <v>131.017369727047</v>
      </c>
      <c r="K47" t="n">
        <v>131.017369727047</v>
      </c>
      <c r="L47" t="n">
        <v>131.017369727047</v>
      </c>
      <c r="M47" t="n">
        <v>131.017369727047</v>
      </c>
      <c r="N47" t="n">
        <v>131.017369727047</v>
      </c>
      <c r="O47" t="n">
        <v>123.076923076923</v>
      </c>
      <c r="P47" t="n">
        <v>123.076923076923</v>
      </c>
      <c r="Q47" t="n">
        <v>123.076923076923</v>
      </c>
      <c r="R47" t="n">
        <v>114.285714285714</v>
      </c>
      <c r="S47" t="n">
        <v>114.285714285714</v>
      </c>
      <c r="T47" t="n">
        <v>114.285714285714</v>
      </c>
      <c r="U47" t="n">
        <v>100</v>
      </c>
      <c r="V47" t="n">
        <v>100</v>
      </c>
      <c r="W47" t="n">
        <v>100</v>
      </c>
      <c r="X47" t="n">
        <v>100</v>
      </c>
      <c r="Y47" t="n">
        <v>100</v>
      </c>
      <c r="Z47" t="n">
        <v>100</v>
      </c>
      <c r="AA47" t="n">
        <v>100</v>
      </c>
      <c r="AB47" t="n">
        <v>100</v>
      </c>
      <c r="AC47" t="n">
        <v>100</v>
      </c>
      <c r="AD47" t="n">
        <v>100</v>
      </c>
      <c r="AE47" t="n">
        <v>100</v>
      </c>
      <c r="AF47" t="n">
        <v>100</v>
      </c>
    </row>
    <row r="48">
      <c r="A48" t="s">
        <v>74</v>
      </c>
      <c r="B48" t="s">
        <v>366</v>
      </c>
      <c r="C48" t="s">
        <v>236</v>
      </c>
      <c r="D48" t="s">
        <v>367</v>
      </c>
      <c r="E48" t="s">
        <v>237</v>
      </c>
      <c r="F48" t="n">
        <v>161.800940098921</v>
      </c>
      <c r="G48" t="n">
        <v>161.800940098921</v>
      </c>
      <c r="H48" t="n">
        <v>161.800940098921</v>
      </c>
      <c r="I48" t="n">
        <v>161.800940098921</v>
      </c>
      <c r="J48" t="n">
        <v>161.800940098921</v>
      </c>
      <c r="K48" t="n">
        <v>161.800940098921</v>
      </c>
      <c r="L48" t="n">
        <v>161.800940098921</v>
      </c>
      <c r="M48" t="n">
        <v>161.800940098921</v>
      </c>
      <c r="N48" t="n">
        <v>159.699629188545</v>
      </c>
      <c r="O48" t="n">
        <v>148.292512817935</v>
      </c>
      <c r="P48" t="n">
        <v>146.505856036996</v>
      </c>
      <c r="Q48" t="n">
        <v>142.932542475118</v>
      </c>
      <c r="R48" t="n">
        <v>127.726952850106</v>
      </c>
      <c r="S48" t="n">
        <v>119.211822660099</v>
      </c>
      <c r="T48" t="n">
        <v>113.793103448276</v>
      </c>
      <c r="U48" t="n">
        <v>100</v>
      </c>
      <c r="V48" t="n">
        <v>100</v>
      </c>
      <c r="W48" t="n">
        <v>100</v>
      </c>
      <c r="X48" t="n">
        <v>100</v>
      </c>
      <c r="Y48" t="n">
        <v>100</v>
      </c>
      <c r="Z48" t="n">
        <v>100</v>
      </c>
      <c r="AA48" t="n">
        <v>100</v>
      </c>
      <c r="AB48" t="n">
        <v>100</v>
      </c>
      <c r="AC48" t="n">
        <v>100</v>
      </c>
      <c r="AD48" t="n">
        <v>100</v>
      </c>
      <c r="AE48" t="n">
        <v>100</v>
      </c>
      <c r="AF48" t="n">
        <v>100</v>
      </c>
    </row>
    <row r="49">
      <c r="A49" t="s">
        <v>74</v>
      </c>
      <c r="B49" t="s">
        <v>368</v>
      </c>
      <c r="C49" t="s">
        <v>236</v>
      </c>
      <c r="D49" t="s">
        <v>369</v>
      </c>
      <c r="E49" t="s">
        <v>237</v>
      </c>
      <c r="F49" t="n">
        <v>137.340392401121</v>
      </c>
      <c r="G49" t="n">
        <v>137.340392401121</v>
      </c>
      <c r="H49" t="n">
        <v>137.340392401121</v>
      </c>
      <c r="I49" t="n">
        <v>137.340392401121</v>
      </c>
      <c r="J49" t="n">
        <v>137.340392401121</v>
      </c>
      <c r="K49" t="n">
        <v>137.340392401121</v>
      </c>
      <c r="L49" t="n">
        <v>137.340392401121</v>
      </c>
      <c r="M49" t="n">
        <v>137.340392401121</v>
      </c>
      <c r="N49" t="n">
        <v>137.340392401121</v>
      </c>
      <c r="O49" t="n">
        <v>124.260355029586</v>
      </c>
      <c r="P49" t="n">
        <v>124.260355029586</v>
      </c>
      <c r="Q49" t="n">
        <v>115.976331360947</v>
      </c>
      <c r="R49" t="n">
        <v>107.692307692308</v>
      </c>
      <c r="S49" t="n">
        <v>100</v>
      </c>
      <c r="T49" t="n">
        <v>100</v>
      </c>
      <c r="U49" t="n">
        <v>100</v>
      </c>
      <c r="V49" t="n">
        <v>100</v>
      </c>
      <c r="W49" t="n">
        <v>100</v>
      </c>
      <c r="X49" t="n">
        <v>100</v>
      </c>
      <c r="Y49" t="n">
        <v>100</v>
      </c>
      <c r="Z49" t="n">
        <v>100</v>
      </c>
      <c r="AA49" t="n">
        <v>100</v>
      </c>
      <c r="AB49" t="n">
        <v>100</v>
      </c>
      <c r="AC49" t="n">
        <v>100</v>
      </c>
      <c r="AD49" t="n">
        <v>100</v>
      </c>
      <c r="AE49" t="n">
        <v>100</v>
      </c>
      <c r="AF49" t="n">
        <v>100</v>
      </c>
    </row>
    <row r="50">
      <c r="A50" t="s">
        <v>74</v>
      </c>
      <c r="B50" t="s">
        <v>370</v>
      </c>
      <c r="C50" t="s">
        <v>236</v>
      </c>
      <c r="D50" t="s">
        <v>371</v>
      </c>
      <c r="E50" t="s">
        <v>237</v>
      </c>
      <c r="F50" t="n">
        <v>190.734681737061</v>
      </c>
      <c r="G50" t="n">
        <v>190.734681737061</v>
      </c>
      <c r="H50" t="n">
        <v>190.734681737061</v>
      </c>
      <c r="I50" t="n">
        <v>190.734681737061</v>
      </c>
      <c r="J50" t="n">
        <v>190.734681737061</v>
      </c>
      <c r="K50" t="n">
        <v>190.734681737061</v>
      </c>
      <c r="L50" t="n">
        <v>190.734681737061</v>
      </c>
      <c r="M50" t="n">
        <v>190.734681737061</v>
      </c>
      <c r="N50" t="n">
        <v>185.12483815656</v>
      </c>
      <c r="O50" t="n">
        <v>172.50269010043</v>
      </c>
      <c r="P50" t="n">
        <v>168.395483193277</v>
      </c>
      <c r="Q50" t="n">
        <v>168.395483193277</v>
      </c>
      <c r="R50" t="n">
        <v>141.806722689076</v>
      </c>
      <c r="S50" t="n">
        <v>126.050420168067</v>
      </c>
      <c r="T50" t="n">
        <v>117.647058823529</v>
      </c>
      <c r="U50" t="n">
        <v>100</v>
      </c>
      <c r="V50" t="n">
        <v>100</v>
      </c>
      <c r="W50" t="n">
        <v>100</v>
      </c>
      <c r="X50" t="n">
        <v>100</v>
      </c>
      <c r="Y50" t="n">
        <v>100</v>
      </c>
      <c r="Z50" t="n">
        <v>100</v>
      </c>
      <c r="AA50" t="n">
        <v>100</v>
      </c>
      <c r="AB50" t="n">
        <v>100</v>
      </c>
      <c r="AC50" t="n">
        <v>100</v>
      </c>
      <c r="AD50" t="n">
        <v>100</v>
      </c>
      <c r="AE50" t="n">
        <v>100</v>
      </c>
      <c r="AF50" t="n">
        <v>100</v>
      </c>
    </row>
    <row r="51">
      <c r="A51" t="s">
        <v>74</v>
      </c>
      <c r="B51" t="s">
        <v>372</v>
      </c>
      <c r="C51" t="s">
        <v>236</v>
      </c>
      <c r="D51" t="s">
        <v>373</v>
      </c>
      <c r="E51" t="s">
        <v>237</v>
      </c>
      <c r="F51" t="n">
        <v>194.770665322581</v>
      </c>
      <c r="G51" t="n">
        <v>194.770665322581</v>
      </c>
      <c r="H51" t="n">
        <v>194.770665322581</v>
      </c>
      <c r="I51" t="n">
        <v>194.770665322581</v>
      </c>
      <c r="J51" t="n">
        <v>194.770665322581</v>
      </c>
      <c r="K51" t="n">
        <v>194.770665322581</v>
      </c>
      <c r="L51" t="n">
        <v>194.770665322581</v>
      </c>
      <c r="M51" t="n">
        <v>194.770665322581</v>
      </c>
      <c r="N51" t="n">
        <v>188.68408203125</v>
      </c>
      <c r="O51" t="n">
        <v>174.8779296875</v>
      </c>
      <c r="P51" t="n">
        <v>170.393880208333</v>
      </c>
      <c r="Q51" t="n">
        <v>170.393880208333</v>
      </c>
      <c r="R51" t="n">
        <v>143.489583333333</v>
      </c>
      <c r="S51" t="n">
        <v>127.546296296296</v>
      </c>
      <c r="T51" t="n">
        <v>118.75</v>
      </c>
      <c r="U51" t="n">
        <v>100</v>
      </c>
      <c r="V51" t="n">
        <v>100</v>
      </c>
      <c r="W51" t="n">
        <v>100</v>
      </c>
      <c r="X51" t="n">
        <v>100</v>
      </c>
      <c r="Y51" t="n">
        <v>100</v>
      </c>
      <c r="Z51" t="n">
        <v>100</v>
      </c>
      <c r="AA51" t="n">
        <v>100</v>
      </c>
      <c r="AB51" t="n">
        <v>100</v>
      </c>
      <c r="AC51" t="n">
        <v>100</v>
      </c>
      <c r="AD51" t="n">
        <v>100</v>
      </c>
      <c r="AE51" t="n">
        <v>100</v>
      </c>
      <c r="AF51" t="n">
        <v>100</v>
      </c>
    </row>
    <row r="52">
      <c r="A52" t="s">
        <v>74</v>
      </c>
      <c r="B52" t="s">
        <v>374</v>
      </c>
      <c r="C52" t="s">
        <v>236</v>
      </c>
      <c r="D52" t="s">
        <v>375</v>
      </c>
      <c r="E52" t="s">
        <v>237</v>
      </c>
      <c r="F52" t="n">
        <v>0</v>
      </c>
      <c r="G52" t="n">
        <v>0</v>
      </c>
      <c r="H52" t="e">
        <v>#NUM!</v>
      </c>
      <c r="I52" t="e">
        <v>#NUM!</v>
      </c>
      <c r="J52" t="e">
        <v>#NUM!</v>
      </c>
      <c r="K52" t="n">
        <v>0</v>
      </c>
      <c r="L52" t="e">
        <v>#NUM!</v>
      </c>
      <c r="M52" t="n">
        <v>0</v>
      </c>
      <c r="N52" t="e">
        <v>#NUM!</v>
      </c>
      <c r="O52" t="e">
        <v>#NUM!</v>
      </c>
      <c r="P52" t="e">
        <v>#NUM!</v>
      </c>
      <c r="Q52" t="n">
        <v>0</v>
      </c>
      <c r="R52" t="n">
        <v>0</v>
      </c>
      <c r="S52" t="n">
        <v>0</v>
      </c>
      <c r="T52" t="e">
        <v>#NUM!</v>
      </c>
      <c r="U52" t="e">
        <v>#NUM!</v>
      </c>
      <c r="V52" t="n">
        <v>0</v>
      </c>
      <c r="W52" t="n">
        <v>100</v>
      </c>
      <c r="X52" t="n">
        <v>100</v>
      </c>
      <c r="Y52" t="n">
        <v>100</v>
      </c>
      <c r="Z52" t="n">
        <v>100</v>
      </c>
      <c r="AA52" t="n">
        <v>100</v>
      </c>
      <c r="AB52" t="n">
        <v>100</v>
      </c>
      <c r="AC52" t="n">
        <v>100</v>
      </c>
      <c r="AD52" t="n">
        <v>100</v>
      </c>
      <c r="AE52" t="n">
        <v>100</v>
      </c>
      <c r="AF52" t="n">
        <v>100</v>
      </c>
    </row>
    <row r="53">
      <c r="A53" t="s">
        <v>74</v>
      </c>
      <c r="B53" t="s">
        <v>376</v>
      </c>
      <c r="C53" t="s">
        <v>236</v>
      </c>
      <c r="D53" t="s">
        <v>377</v>
      </c>
      <c r="E53" t="s">
        <v>237</v>
      </c>
      <c r="F53" t="n">
        <v>145.894736842105</v>
      </c>
      <c r="G53" t="n">
        <v>145.894736842105</v>
      </c>
      <c r="H53" t="n">
        <v>145.894736842105</v>
      </c>
      <c r="I53" t="n">
        <v>145.894736842105</v>
      </c>
      <c r="J53" t="n">
        <v>145.894736842105</v>
      </c>
      <c r="K53" t="n">
        <v>145.894736842105</v>
      </c>
      <c r="L53" t="n">
        <v>145.894736842105</v>
      </c>
      <c r="M53" t="n">
        <v>145.894736842105</v>
      </c>
      <c r="N53" t="n">
        <v>145.894736842105</v>
      </c>
      <c r="O53" t="n">
        <v>145.894736842105</v>
      </c>
      <c r="P53" t="n">
        <v>145.894736842105</v>
      </c>
      <c r="Q53" t="n">
        <v>145.894736842105</v>
      </c>
      <c r="R53" t="n">
        <v>132</v>
      </c>
      <c r="S53" t="n">
        <v>116.470588235294</v>
      </c>
      <c r="T53" t="n">
        <v>110</v>
      </c>
      <c r="U53" t="n">
        <v>100</v>
      </c>
      <c r="V53" t="n">
        <v>100</v>
      </c>
      <c r="W53" t="n">
        <v>100</v>
      </c>
      <c r="X53" t="n">
        <v>100</v>
      </c>
      <c r="Y53" t="n">
        <v>100</v>
      </c>
      <c r="Z53" t="n">
        <v>100</v>
      </c>
      <c r="AA53" t="n">
        <v>100</v>
      </c>
      <c r="AB53" t="n">
        <v>100</v>
      </c>
      <c r="AC53" t="n">
        <v>100</v>
      </c>
      <c r="AD53" t="n">
        <v>100</v>
      </c>
      <c r="AE53" t="n">
        <v>100</v>
      </c>
      <c r="AF53" t="n">
        <v>100</v>
      </c>
    </row>
    <row r="54">
      <c r="A54" t="s">
        <v>74</v>
      </c>
      <c r="B54" t="s">
        <v>378</v>
      </c>
      <c r="C54" t="s">
        <v>236</v>
      </c>
      <c r="D54" t="s">
        <v>379</v>
      </c>
      <c r="E54" t="s">
        <v>237</v>
      </c>
      <c r="F54" t="n">
        <v>144</v>
      </c>
      <c r="G54" t="n">
        <v>144</v>
      </c>
      <c r="H54" t="n">
        <v>144</v>
      </c>
      <c r="I54" t="n">
        <v>144</v>
      </c>
      <c r="J54" t="n">
        <v>144</v>
      </c>
      <c r="K54" t="n">
        <v>144</v>
      </c>
      <c r="L54" t="n">
        <v>144</v>
      </c>
      <c r="M54" t="n">
        <v>144</v>
      </c>
      <c r="N54" t="n">
        <v>144</v>
      </c>
      <c r="O54" t="n">
        <v>144</v>
      </c>
      <c r="P54" t="n">
        <v>144</v>
      </c>
      <c r="Q54" t="n">
        <v>144</v>
      </c>
      <c r="R54" t="n">
        <v>128.571428571429</v>
      </c>
      <c r="S54" t="n">
        <v>117.391304347826</v>
      </c>
      <c r="T54" t="n">
        <v>112.5</v>
      </c>
      <c r="U54" t="n">
        <v>100</v>
      </c>
      <c r="V54" t="n">
        <v>100</v>
      </c>
      <c r="W54" t="n">
        <v>100</v>
      </c>
      <c r="X54" t="n">
        <v>100</v>
      </c>
      <c r="Y54" t="n">
        <v>100</v>
      </c>
      <c r="Z54" t="n">
        <v>100</v>
      </c>
      <c r="AA54" t="n">
        <v>100</v>
      </c>
      <c r="AB54" t="n">
        <v>100</v>
      </c>
      <c r="AC54" t="n">
        <v>100</v>
      </c>
      <c r="AD54" t="n">
        <v>100</v>
      </c>
      <c r="AE54" t="n">
        <v>100</v>
      </c>
      <c r="AF54" t="n">
        <v>100</v>
      </c>
    </row>
    <row r="55">
      <c r="A55" t="s">
        <v>74</v>
      </c>
      <c r="B55" t="s">
        <v>380</v>
      </c>
      <c r="C55" t="s">
        <v>236</v>
      </c>
      <c r="D55" t="s">
        <v>381</v>
      </c>
      <c r="E55" t="s">
        <v>237</v>
      </c>
      <c r="F55" t="n">
        <v>136.111111111111</v>
      </c>
      <c r="G55" t="n">
        <v>136.111111111111</v>
      </c>
      <c r="H55" t="n">
        <v>136.111111111111</v>
      </c>
      <c r="I55" t="n">
        <v>136.111111111111</v>
      </c>
      <c r="J55" t="n">
        <v>136.111111111111</v>
      </c>
      <c r="K55" t="n">
        <v>136.111111111111</v>
      </c>
      <c r="L55" t="n">
        <v>136.111111111111</v>
      </c>
      <c r="M55" t="n">
        <v>136.111111111111</v>
      </c>
      <c r="N55" t="n">
        <v>136.111111111111</v>
      </c>
      <c r="O55" t="n">
        <v>136.111111111111</v>
      </c>
      <c r="P55" t="n">
        <v>136.111111111111</v>
      </c>
      <c r="Q55" t="n">
        <v>136.111111111111</v>
      </c>
      <c r="R55" t="n">
        <v>116.666666666667</v>
      </c>
      <c r="S55" t="n">
        <v>116.666666666667</v>
      </c>
      <c r="T55" t="n">
        <v>116.666666666667</v>
      </c>
      <c r="U55" t="n">
        <v>100</v>
      </c>
      <c r="V55" t="n">
        <v>100</v>
      </c>
      <c r="W55" t="n">
        <v>100</v>
      </c>
      <c r="X55" t="n">
        <v>100</v>
      </c>
      <c r="Y55" t="n">
        <v>100</v>
      </c>
      <c r="Z55" t="n">
        <v>100</v>
      </c>
      <c r="AA55" t="n">
        <v>100</v>
      </c>
      <c r="AB55" t="n">
        <v>100</v>
      </c>
      <c r="AC55" t="n">
        <v>100</v>
      </c>
      <c r="AD55" t="n">
        <v>100</v>
      </c>
      <c r="AE55" t="n">
        <v>100</v>
      </c>
      <c r="AF55" t="n">
        <v>100</v>
      </c>
    </row>
    <row r="56">
      <c r="A56" t="s">
        <v>74</v>
      </c>
      <c r="B56" t="s">
        <v>382</v>
      </c>
      <c r="C56" t="s">
        <v>236</v>
      </c>
      <c r="D56" t="s">
        <v>383</v>
      </c>
      <c r="E56" t="s">
        <v>237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74</v>
      </c>
      <c r="B57" t="s">
        <v>384</v>
      </c>
      <c r="C57" t="s">
        <v>236</v>
      </c>
      <c r="D57" t="s">
        <v>385</v>
      </c>
      <c r="E57" t="s">
        <v>237</v>
      </c>
      <c r="F57" t="n">
        <v>186.390246919335</v>
      </c>
      <c r="G57" t="n">
        <v>185.029734168099</v>
      </c>
      <c r="H57" t="n">
        <v>180.894991505125</v>
      </c>
      <c r="I57" t="n">
        <v>179.635861633859</v>
      </c>
      <c r="J57" t="n">
        <v>177.736962462254</v>
      </c>
      <c r="K57" t="n">
        <v>177.736962462254</v>
      </c>
      <c r="L57" t="n">
        <v>176.102599589038</v>
      </c>
      <c r="M57" t="n">
        <v>175.420031373576</v>
      </c>
      <c r="N57" t="n">
        <v>172.060924389827</v>
      </c>
      <c r="O57" t="n">
        <v>163.096405640105</v>
      </c>
      <c r="P57" t="n">
        <v>160.471111384329</v>
      </c>
      <c r="Q57" t="n">
        <v>154.15749388724</v>
      </c>
      <c r="R57" t="n">
        <v>136.829713566582</v>
      </c>
      <c r="S57" t="n">
        <v>125.412134818642</v>
      </c>
      <c r="T57" t="n">
        <v>119.899513507932</v>
      </c>
      <c r="U57" t="n">
        <v>107.087670330673</v>
      </c>
      <c r="V57" t="n">
        <v>103.681303083574</v>
      </c>
      <c r="W57" t="n">
        <v>103.280989172055</v>
      </c>
      <c r="X57" t="n">
        <v>103.516253384292</v>
      </c>
      <c r="Y57" t="n">
        <v>101.413214376484</v>
      </c>
      <c r="Z57" t="n">
        <v>101.413214376484</v>
      </c>
      <c r="AA57" t="n">
        <v>101.222229038676</v>
      </c>
      <c r="AB57" t="n">
        <v>101.04649600215</v>
      </c>
      <c r="AC57" t="n">
        <v>100.665188470067</v>
      </c>
      <c r="AD57" t="n">
        <v>100.665188470067</v>
      </c>
      <c r="AE57" t="n">
        <v>100</v>
      </c>
      <c r="AF57" t="n">
        <v>99.3827160493827</v>
      </c>
    </row>
    <row r="58">
      <c r="A58" t="s">
        <v>74</v>
      </c>
      <c r="B58" t="s">
        <v>386</v>
      </c>
      <c r="C58" t="s">
        <v>236</v>
      </c>
      <c r="D58" t="s">
        <v>387</v>
      </c>
      <c r="E58" t="s">
        <v>237</v>
      </c>
      <c r="F58" t="n">
        <v>186.390246919335</v>
      </c>
      <c r="G58" t="n">
        <v>185.029734168099</v>
      </c>
      <c r="H58" t="n">
        <v>180.894991505125</v>
      </c>
      <c r="I58" t="n">
        <v>179.635861633859</v>
      </c>
      <c r="J58" t="n">
        <v>177.736962462254</v>
      </c>
      <c r="K58" t="n">
        <v>177.736962462254</v>
      </c>
      <c r="L58" t="n">
        <v>176.102599589038</v>
      </c>
      <c r="M58" t="n">
        <v>175.420031373576</v>
      </c>
      <c r="N58" t="n">
        <v>172.060924389827</v>
      </c>
      <c r="O58" t="n">
        <v>163.096405640105</v>
      </c>
      <c r="P58" t="n">
        <v>160.471111384329</v>
      </c>
      <c r="Q58" t="n">
        <v>154.15749388724</v>
      </c>
      <c r="R58" t="n">
        <v>136.829713566582</v>
      </c>
      <c r="S58" t="n">
        <v>125.412134818642</v>
      </c>
      <c r="T58" t="n">
        <v>119.899513507932</v>
      </c>
      <c r="U58" t="n">
        <v>107.087670330673</v>
      </c>
      <c r="V58" t="n">
        <v>103.681303083574</v>
      </c>
      <c r="W58" t="n">
        <v>103.280989172055</v>
      </c>
      <c r="X58" t="n">
        <v>103.516253384292</v>
      </c>
      <c r="Y58" t="n">
        <v>101.413214376484</v>
      </c>
      <c r="Z58" t="n">
        <v>101.413214376484</v>
      </c>
      <c r="AA58" t="n">
        <v>101.222229038676</v>
      </c>
      <c r="AB58" t="n">
        <v>101.04649600215</v>
      </c>
      <c r="AC58" t="n">
        <v>100.665188470067</v>
      </c>
      <c r="AD58" t="n">
        <v>100.665188470067</v>
      </c>
      <c r="AE58" t="n">
        <v>100</v>
      </c>
      <c r="AF58" t="n">
        <v>99.3827160493827</v>
      </c>
    </row>
    <row r="59">
      <c r="A59" t="s">
        <v>74</v>
      </c>
      <c r="B59" t="s">
        <v>388</v>
      </c>
      <c r="C59" t="s">
        <v>236</v>
      </c>
      <c r="D59" t="s">
        <v>389</v>
      </c>
      <c r="E59" t="s">
        <v>237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76</v>
      </c>
      <c r="B2" t="s">
        <v>197</v>
      </c>
      <c r="C2" t="s">
        <v>236</v>
      </c>
      <c r="D2" t="s">
        <v>199</v>
      </c>
      <c r="E2" t="s">
        <v>237</v>
      </c>
      <c r="F2" t="n">
        <v>66.6666666666667</v>
      </c>
      <c r="G2" t="n">
        <v>66.6666666666667</v>
      </c>
      <c r="H2" t="n">
        <v>66.6666666666667</v>
      </c>
      <c r="I2" t="n">
        <v>66.6666666666667</v>
      </c>
      <c r="J2" t="n">
        <v>66.6666666666667</v>
      </c>
      <c r="K2" t="n">
        <v>66.6666666666667</v>
      </c>
      <c r="L2" t="n">
        <v>66.6666666666667</v>
      </c>
      <c r="M2" t="n">
        <v>66.6666666666667</v>
      </c>
      <c r="N2" t="n">
        <v>66.6666666666667</v>
      </c>
      <c r="O2" t="n">
        <v>66.6666666666667</v>
      </c>
      <c r="P2" t="n">
        <v>66.6666666666667</v>
      </c>
      <c r="Q2" t="n">
        <v>66.6666666666667</v>
      </c>
      <c r="R2" t="n">
        <v>66.6666666666667</v>
      </c>
      <c r="S2" t="n">
        <v>66.6666666666667</v>
      </c>
      <c r="T2" t="n">
        <v>66.6666666666667</v>
      </c>
      <c r="U2" t="n">
        <v>66.6666666666667</v>
      </c>
      <c r="V2" t="n">
        <v>66.6666666666667</v>
      </c>
      <c r="W2" t="n">
        <v>66.6666666666667</v>
      </c>
      <c r="X2" t="n">
        <v>66.6666666666667</v>
      </c>
      <c r="Y2" t="n">
        <v>66.6666666666667</v>
      </c>
      <c r="Z2" t="n">
        <v>80</v>
      </c>
      <c r="AA2" t="n">
        <v>100</v>
      </c>
      <c r="AB2" t="n">
        <v>100</v>
      </c>
      <c r="AC2" t="n">
        <v>100</v>
      </c>
      <c r="AD2" t="n">
        <v>100</v>
      </c>
      <c r="AE2" t="n">
        <v>100</v>
      </c>
      <c r="AF2" t="n">
        <v>100</v>
      </c>
    </row>
    <row r="3">
      <c r="A3" t="s">
        <v>76</v>
      </c>
      <c r="B3" t="s">
        <v>276</v>
      </c>
      <c r="C3" t="s">
        <v>236</v>
      </c>
      <c r="D3" t="s">
        <v>277</v>
      </c>
      <c r="E3" t="s">
        <v>237</v>
      </c>
      <c r="F3" t="n">
        <v>0</v>
      </c>
      <c r="G3" t="n">
        <v>0</v>
      </c>
      <c r="H3" t="n">
        <v>0</v>
      </c>
      <c r="I3" t="n">
        <v>0</v>
      </c>
      <c r="J3" t="n">
        <v>100</v>
      </c>
      <c r="K3" t="n">
        <v>100</v>
      </c>
      <c r="L3" t="n">
        <v>100</v>
      </c>
      <c r="M3" t="n">
        <v>100</v>
      </c>
      <c r="N3" t="n">
        <v>100</v>
      </c>
      <c r="O3" t="n">
        <v>100</v>
      </c>
      <c r="P3" t="n">
        <v>100</v>
      </c>
      <c r="Q3" t="n">
        <v>100</v>
      </c>
      <c r="R3" t="n">
        <v>100</v>
      </c>
      <c r="S3" t="n">
        <v>100</v>
      </c>
      <c r="T3" t="n">
        <v>100</v>
      </c>
      <c r="U3" t="n">
        <v>100</v>
      </c>
      <c r="V3" t="n">
        <v>100</v>
      </c>
      <c r="W3" t="n">
        <v>100</v>
      </c>
      <c r="X3" t="n">
        <v>100</v>
      </c>
      <c r="Y3" t="n">
        <v>100</v>
      </c>
      <c r="Z3" t="n">
        <v>100</v>
      </c>
      <c r="AA3" t="n">
        <v>100</v>
      </c>
      <c r="AB3" t="n">
        <v>100</v>
      </c>
      <c r="AC3" t="n">
        <v>100</v>
      </c>
      <c r="AD3" t="n">
        <v>100</v>
      </c>
      <c r="AE3" t="n">
        <v>100</v>
      </c>
      <c r="AF3" t="n">
        <v>100</v>
      </c>
    </row>
    <row r="4">
      <c r="A4" t="s">
        <v>76</v>
      </c>
      <c r="B4" t="s">
        <v>278</v>
      </c>
      <c r="C4" t="s">
        <v>236</v>
      </c>
      <c r="D4" t="s">
        <v>279</v>
      </c>
      <c r="E4" t="s">
        <v>237</v>
      </c>
      <c r="F4" t="n">
        <v>84.820753458922</v>
      </c>
      <c r="G4" t="n">
        <v>84.820753458922</v>
      </c>
      <c r="H4" t="n">
        <v>84.820753458922</v>
      </c>
      <c r="I4" t="n">
        <v>84.5480179172535</v>
      </c>
      <c r="J4" t="n">
        <v>84.057884480052</v>
      </c>
      <c r="K4" t="n">
        <v>84.057884480052</v>
      </c>
      <c r="L4" t="n">
        <v>83.5347026264417</v>
      </c>
      <c r="M4" t="n">
        <v>82.7055740643927</v>
      </c>
      <c r="N4" t="n">
        <v>81.7621644743046</v>
      </c>
      <c r="O4" t="n">
        <v>84.3066301737124</v>
      </c>
      <c r="P4" t="n">
        <v>84.5871846834418</v>
      </c>
      <c r="Q4" t="n">
        <v>86.5716347639918</v>
      </c>
      <c r="R4" t="n">
        <v>87.7140756919624</v>
      </c>
      <c r="S4" t="n">
        <v>89.8972957311474</v>
      </c>
      <c r="T4" t="n">
        <v>90.1320145189572</v>
      </c>
      <c r="U4" t="n">
        <v>90.4738552819873</v>
      </c>
      <c r="V4" t="n">
        <v>91.936741001721</v>
      </c>
      <c r="W4" t="n">
        <v>93.28544624869</v>
      </c>
      <c r="X4" t="n">
        <v>94.4563932727321</v>
      </c>
      <c r="Y4" t="n">
        <v>95.6067417699643</v>
      </c>
      <c r="Z4" t="n">
        <v>96.4056839017467</v>
      </c>
      <c r="AA4" t="n">
        <v>96.831629485996</v>
      </c>
      <c r="AB4" t="n">
        <v>97.6001344819166</v>
      </c>
      <c r="AC4" t="n">
        <v>98.3395294401129</v>
      </c>
      <c r="AD4" t="n">
        <v>98.987108655617</v>
      </c>
      <c r="AE4" t="n">
        <v>100</v>
      </c>
      <c r="AF4" t="n">
        <v>100.371057513915</v>
      </c>
    </row>
    <row r="5">
      <c r="A5" t="s">
        <v>76</v>
      </c>
      <c r="B5" t="s">
        <v>280</v>
      </c>
      <c r="C5" t="s">
        <v>236</v>
      </c>
      <c r="D5" t="s">
        <v>281</v>
      </c>
      <c r="E5" t="s">
        <v>237</v>
      </c>
      <c r="F5" t="n">
        <v>100</v>
      </c>
      <c r="G5" t="n">
        <v>100</v>
      </c>
      <c r="H5" t="n">
        <v>100</v>
      </c>
      <c r="I5" t="n">
        <v>100</v>
      </c>
      <c r="J5" t="n">
        <v>100</v>
      </c>
      <c r="K5" t="n">
        <v>100</v>
      </c>
      <c r="L5" t="n">
        <v>100</v>
      </c>
      <c r="M5" t="n">
        <v>100</v>
      </c>
      <c r="N5" t="n">
        <v>100</v>
      </c>
      <c r="O5" t="n">
        <v>100</v>
      </c>
      <c r="P5" t="n">
        <v>100</v>
      </c>
      <c r="Q5" t="n">
        <v>100</v>
      </c>
      <c r="R5" t="n">
        <v>100</v>
      </c>
      <c r="S5" t="n">
        <v>100</v>
      </c>
      <c r="T5" t="n">
        <v>100</v>
      </c>
      <c r="U5" t="n">
        <v>100</v>
      </c>
      <c r="V5" t="n">
        <v>100</v>
      </c>
      <c r="W5" t="n">
        <v>100</v>
      </c>
      <c r="X5" t="n">
        <v>100</v>
      </c>
      <c r="Y5" t="n">
        <v>100</v>
      </c>
      <c r="Z5" t="n">
        <v>100</v>
      </c>
      <c r="AA5" t="n">
        <v>100</v>
      </c>
      <c r="AB5" t="n">
        <v>100</v>
      </c>
      <c r="AC5" t="n">
        <v>100</v>
      </c>
      <c r="AD5" t="n">
        <v>100</v>
      </c>
      <c r="AE5" t="n">
        <v>100</v>
      </c>
      <c r="AF5" t="n">
        <v>100</v>
      </c>
    </row>
    <row r="6">
      <c r="A6" t="s">
        <v>76</v>
      </c>
      <c r="B6" t="s">
        <v>282</v>
      </c>
      <c r="C6" t="s">
        <v>236</v>
      </c>
      <c r="D6" t="s">
        <v>283</v>
      </c>
      <c r="E6" t="s">
        <v>237</v>
      </c>
      <c r="F6" t="n">
        <v>100</v>
      </c>
      <c r="G6" t="n">
        <v>100</v>
      </c>
      <c r="H6" t="n">
        <v>100</v>
      </c>
      <c r="I6" t="n">
        <v>100</v>
      </c>
      <c r="J6" t="n">
        <v>100</v>
      </c>
      <c r="K6" t="n">
        <v>100</v>
      </c>
      <c r="L6" t="n">
        <v>100</v>
      </c>
      <c r="M6" t="n">
        <v>100</v>
      </c>
      <c r="N6" t="n">
        <v>100</v>
      </c>
      <c r="O6" t="n">
        <v>100</v>
      </c>
      <c r="P6" t="n">
        <v>100</v>
      </c>
      <c r="Q6" t="n">
        <v>100</v>
      </c>
      <c r="R6" t="n">
        <v>100</v>
      </c>
      <c r="S6" t="n">
        <v>100</v>
      </c>
      <c r="T6" t="n">
        <v>100</v>
      </c>
      <c r="U6" t="n">
        <v>100</v>
      </c>
      <c r="V6" t="n">
        <v>100</v>
      </c>
      <c r="W6" t="n">
        <v>100</v>
      </c>
      <c r="X6" t="n">
        <v>100</v>
      </c>
      <c r="Y6" t="n">
        <v>100</v>
      </c>
      <c r="Z6" t="n">
        <v>100</v>
      </c>
      <c r="AA6" t="n">
        <v>100</v>
      </c>
      <c r="AB6" t="n">
        <v>100</v>
      </c>
      <c r="AC6" t="n">
        <v>100</v>
      </c>
      <c r="AD6" t="n">
        <v>100</v>
      </c>
      <c r="AE6" t="n">
        <v>100</v>
      </c>
      <c r="AF6" t="n">
        <v>100</v>
      </c>
    </row>
    <row r="7">
      <c r="A7" t="s">
        <v>76</v>
      </c>
      <c r="B7" t="s">
        <v>284</v>
      </c>
      <c r="C7" t="s">
        <v>236</v>
      </c>
      <c r="D7" t="s">
        <v>285</v>
      </c>
      <c r="E7" t="s">
        <v>237</v>
      </c>
      <c r="F7" t="n">
        <v>85.4491859486724</v>
      </c>
      <c r="G7" t="n">
        <v>85.4491859486724</v>
      </c>
      <c r="H7" t="n">
        <v>85.4491859486724</v>
      </c>
      <c r="I7" t="n">
        <v>84.3942577270839</v>
      </c>
      <c r="J7" t="n">
        <v>83.3393295054953</v>
      </c>
      <c r="K7" t="n">
        <v>83.3393295054953</v>
      </c>
      <c r="L7" t="n">
        <v>82.228138445422</v>
      </c>
      <c r="M7" t="n">
        <v>80.8461529253309</v>
      </c>
      <c r="N7" t="n">
        <v>79.4873940526363</v>
      </c>
      <c r="O7" t="n">
        <v>81.8025608697033</v>
      </c>
      <c r="P7" t="n">
        <v>82.3106513098878</v>
      </c>
      <c r="Q7" t="n">
        <v>84.719743543348</v>
      </c>
      <c r="R7" t="n">
        <v>86.34896938072</v>
      </c>
      <c r="S7" t="n">
        <v>88.5442821615858</v>
      </c>
      <c r="T7" t="n">
        <v>89.2201927124376</v>
      </c>
      <c r="U7" t="n">
        <v>89.9515057674576</v>
      </c>
      <c r="V7" t="n">
        <v>91.7687079041739</v>
      </c>
      <c r="W7" t="n">
        <v>93.4074348310342</v>
      </c>
      <c r="X7" t="n">
        <v>95.13720214272</v>
      </c>
      <c r="Y7" t="n">
        <v>96.6968284073547</v>
      </c>
      <c r="Z7" t="n">
        <v>96.6968284073547</v>
      </c>
      <c r="AA7" t="n">
        <v>96.6968284073547</v>
      </c>
      <c r="AB7" t="n">
        <v>98.0214424951267</v>
      </c>
      <c r="AC7" t="n">
        <v>98.0214424951267</v>
      </c>
      <c r="AD7" t="n">
        <v>99.1228070175439</v>
      </c>
      <c r="AE7" t="n">
        <v>100</v>
      </c>
      <c r="AF7" t="n">
        <v>100</v>
      </c>
    </row>
    <row r="8">
      <c r="A8" t="s">
        <v>76</v>
      </c>
      <c r="B8" t="s">
        <v>286</v>
      </c>
      <c r="C8" t="s">
        <v>236</v>
      </c>
      <c r="D8" t="s">
        <v>287</v>
      </c>
      <c r="E8" t="s">
        <v>237</v>
      </c>
      <c r="F8" t="n">
        <v>89.527388818169</v>
      </c>
      <c r="G8" t="n">
        <v>89.527388818169</v>
      </c>
      <c r="H8" t="n">
        <v>89.527388818169</v>
      </c>
      <c r="I8" t="n">
        <v>89.527388818169</v>
      </c>
      <c r="J8" t="n">
        <v>89.527388818169</v>
      </c>
      <c r="K8" t="n">
        <v>89.527388818169</v>
      </c>
      <c r="L8" t="n">
        <v>89.527388818169</v>
      </c>
      <c r="M8" t="n">
        <v>89.527388818169</v>
      </c>
      <c r="N8" t="n">
        <v>89.527388818169</v>
      </c>
      <c r="O8" t="n">
        <v>93.5968155826312</v>
      </c>
      <c r="P8" t="n">
        <v>93.5968155826312</v>
      </c>
      <c r="Q8" t="n">
        <v>93.5968155826312</v>
      </c>
      <c r="R8" t="n">
        <v>93.5968155826312</v>
      </c>
      <c r="S8" t="n">
        <v>93.5968155826312</v>
      </c>
      <c r="T8" t="n">
        <v>93.5968155826312</v>
      </c>
      <c r="U8" t="n">
        <v>93.5968155826312</v>
      </c>
      <c r="V8" t="n">
        <v>93.5968155826312</v>
      </c>
      <c r="W8" t="n">
        <v>93.5968155826312</v>
      </c>
      <c r="X8" t="n">
        <v>93.5968155826312</v>
      </c>
      <c r="Y8" t="n">
        <v>93.5968155826312</v>
      </c>
      <c r="Z8" t="n">
        <v>93.5968155826312</v>
      </c>
      <c r="AA8" t="n">
        <v>93.5968155826312</v>
      </c>
      <c r="AB8" t="n">
        <v>93.5968155826312</v>
      </c>
      <c r="AC8" t="n">
        <v>95.6315289648623</v>
      </c>
      <c r="AD8" t="n">
        <v>97.4358974358974</v>
      </c>
      <c r="AE8" t="n">
        <v>100</v>
      </c>
      <c r="AF8" t="n">
        <v>100</v>
      </c>
    </row>
    <row r="9">
      <c r="A9" t="s">
        <v>76</v>
      </c>
      <c r="B9" t="s">
        <v>288</v>
      </c>
      <c r="C9" t="s">
        <v>236</v>
      </c>
      <c r="D9" t="s">
        <v>289</v>
      </c>
      <c r="E9" t="s">
        <v>237</v>
      </c>
      <c r="F9" t="n">
        <v>100</v>
      </c>
      <c r="G9" t="n">
        <v>100</v>
      </c>
      <c r="H9" t="n">
        <v>100</v>
      </c>
      <c r="I9" t="n">
        <v>100</v>
      </c>
      <c r="J9" t="n">
        <v>100</v>
      </c>
      <c r="K9" t="n">
        <v>100</v>
      </c>
      <c r="L9" t="n">
        <v>100</v>
      </c>
      <c r="M9" t="n">
        <v>100</v>
      </c>
      <c r="N9" t="n">
        <v>100</v>
      </c>
      <c r="O9" t="n">
        <v>100</v>
      </c>
      <c r="P9" t="n">
        <v>100</v>
      </c>
      <c r="Q9" t="n">
        <v>100</v>
      </c>
      <c r="R9" t="n">
        <v>100</v>
      </c>
      <c r="S9" t="n">
        <v>100</v>
      </c>
      <c r="T9" t="n">
        <v>100</v>
      </c>
      <c r="U9" t="n">
        <v>100</v>
      </c>
      <c r="V9" t="n">
        <v>100</v>
      </c>
      <c r="W9" t="n">
        <v>100</v>
      </c>
      <c r="X9" t="n">
        <v>100</v>
      </c>
      <c r="Y9" t="n">
        <v>100</v>
      </c>
      <c r="Z9" t="n">
        <v>100</v>
      </c>
      <c r="AA9" t="n">
        <v>100</v>
      </c>
      <c r="AB9" t="n">
        <v>100</v>
      </c>
      <c r="AC9" t="n">
        <v>100</v>
      </c>
      <c r="AD9" t="n">
        <v>100</v>
      </c>
      <c r="AE9" t="n">
        <v>100</v>
      </c>
      <c r="AF9" t="n">
        <v>100</v>
      </c>
    </row>
    <row r="10">
      <c r="A10" t="s">
        <v>76</v>
      </c>
      <c r="B10" t="s">
        <v>290</v>
      </c>
      <c r="C10" t="s">
        <v>236</v>
      </c>
      <c r="D10" t="s">
        <v>291</v>
      </c>
      <c r="E10" t="s">
        <v>237</v>
      </c>
      <c r="F10" t="n">
        <v>100</v>
      </c>
      <c r="G10" t="n">
        <v>100</v>
      </c>
      <c r="H10" t="n">
        <v>100</v>
      </c>
      <c r="I10" t="n">
        <v>100</v>
      </c>
      <c r="J10" t="n">
        <v>100</v>
      </c>
      <c r="K10" t="n">
        <v>100</v>
      </c>
      <c r="L10" t="n">
        <v>100</v>
      </c>
      <c r="M10" t="n">
        <v>100</v>
      </c>
      <c r="N10" t="n">
        <v>100</v>
      </c>
      <c r="O10" t="n">
        <v>100</v>
      </c>
      <c r="P10" t="n">
        <v>100</v>
      </c>
      <c r="Q10" t="n">
        <v>100</v>
      </c>
      <c r="R10" t="n">
        <v>100</v>
      </c>
      <c r="S10" t="n">
        <v>100</v>
      </c>
      <c r="T10" t="n">
        <v>100</v>
      </c>
      <c r="U10" t="n">
        <v>100</v>
      </c>
      <c r="V10" t="n">
        <v>100</v>
      </c>
      <c r="W10" t="n">
        <v>100</v>
      </c>
      <c r="X10" t="n">
        <v>100</v>
      </c>
      <c r="Y10" t="n">
        <v>100</v>
      </c>
      <c r="Z10" t="n">
        <v>100</v>
      </c>
      <c r="AA10" t="n">
        <v>100</v>
      </c>
      <c r="AB10" t="n">
        <v>100</v>
      </c>
      <c r="AC10" t="n">
        <v>100</v>
      </c>
      <c r="AD10" t="n">
        <v>100</v>
      </c>
      <c r="AE10" t="n">
        <v>100</v>
      </c>
      <c r="AF10" t="n">
        <v>100</v>
      </c>
    </row>
    <row r="11">
      <c r="A11" t="s">
        <v>76</v>
      </c>
      <c r="B11" t="s">
        <v>292</v>
      </c>
      <c r="C11" t="s">
        <v>236</v>
      </c>
      <c r="D11" t="s">
        <v>293</v>
      </c>
      <c r="E11" t="s">
        <v>237</v>
      </c>
      <c r="F11" t="n">
        <v>100</v>
      </c>
      <c r="G11" t="n">
        <v>100</v>
      </c>
      <c r="H11" t="n">
        <v>100</v>
      </c>
      <c r="I11" t="n">
        <v>99.9999999999999</v>
      </c>
      <c r="J11" t="n">
        <v>100</v>
      </c>
      <c r="K11" t="n">
        <v>100</v>
      </c>
      <c r="L11" t="n">
        <v>99.9999999999999</v>
      </c>
      <c r="M11" t="n">
        <v>99.9999999999999</v>
      </c>
      <c r="N11" t="n">
        <v>100</v>
      </c>
      <c r="O11" t="n">
        <v>100</v>
      </c>
      <c r="P11" t="n">
        <v>100</v>
      </c>
      <c r="Q11" t="n">
        <v>100</v>
      </c>
      <c r="R11" t="n">
        <v>100</v>
      </c>
      <c r="S11" t="n">
        <v>100</v>
      </c>
      <c r="T11" t="n">
        <v>100</v>
      </c>
      <c r="U11" t="n">
        <v>100</v>
      </c>
      <c r="V11" t="n">
        <v>100</v>
      </c>
      <c r="W11" t="n">
        <v>100</v>
      </c>
      <c r="X11" t="n">
        <v>100</v>
      </c>
      <c r="Y11" t="n">
        <v>100</v>
      </c>
      <c r="Z11" t="n">
        <v>100</v>
      </c>
      <c r="AA11" t="n">
        <v>100</v>
      </c>
      <c r="AB11" t="n">
        <v>100</v>
      </c>
      <c r="AC11" t="n">
        <v>100</v>
      </c>
      <c r="AD11" t="n">
        <v>100</v>
      </c>
      <c r="AE11" t="n">
        <v>100</v>
      </c>
      <c r="AF11" t="n">
        <v>100</v>
      </c>
    </row>
    <row r="12">
      <c r="A12" t="s">
        <v>76</v>
      </c>
      <c r="B12" t="s">
        <v>294</v>
      </c>
      <c r="C12" t="s">
        <v>236</v>
      </c>
      <c r="D12" t="s">
        <v>295</v>
      </c>
      <c r="E12" t="s">
        <v>237</v>
      </c>
      <c r="F12" t="n">
        <v>95.2702702702702</v>
      </c>
      <c r="G12" t="n">
        <v>95.2702702702702</v>
      </c>
      <c r="H12" t="n">
        <v>95.2702702702702</v>
      </c>
      <c r="I12" t="n">
        <v>95.2702702702703</v>
      </c>
      <c r="J12" t="n">
        <v>95.2702702702703</v>
      </c>
      <c r="K12" t="n">
        <v>95.2702702702703</v>
      </c>
      <c r="L12" t="n">
        <v>95.2702702702703</v>
      </c>
      <c r="M12" t="n">
        <v>95.2702702702703</v>
      </c>
      <c r="N12" t="n">
        <v>95.2702702702703</v>
      </c>
      <c r="O12" t="n">
        <v>95.2702702702703</v>
      </c>
      <c r="P12" t="n">
        <v>95.2702702702703</v>
      </c>
      <c r="Q12" t="n">
        <v>97.2972972972973</v>
      </c>
      <c r="R12" t="n">
        <v>97.2972972972973</v>
      </c>
      <c r="S12" t="n">
        <v>100</v>
      </c>
      <c r="T12" t="n">
        <v>100</v>
      </c>
      <c r="U12" t="n">
        <v>100</v>
      </c>
      <c r="V12" t="n">
        <v>100</v>
      </c>
      <c r="W12" t="n">
        <v>100</v>
      </c>
      <c r="X12" t="n">
        <v>100</v>
      </c>
      <c r="Y12" t="n">
        <v>100</v>
      </c>
      <c r="Z12" t="n">
        <v>100</v>
      </c>
      <c r="AA12" t="n">
        <v>100</v>
      </c>
      <c r="AB12" t="n">
        <v>100</v>
      </c>
      <c r="AC12" t="n">
        <v>100</v>
      </c>
      <c r="AD12" t="n">
        <v>100</v>
      </c>
      <c r="AE12" t="n">
        <v>100</v>
      </c>
      <c r="AF12" t="n">
        <v>100</v>
      </c>
    </row>
    <row r="13">
      <c r="A13" t="s">
        <v>76</v>
      </c>
      <c r="B13" t="s">
        <v>296</v>
      </c>
      <c r="C13" t="s">
        <v>236</v>
      </c>
      <c r="D13" t="s">
        <v>297</v>
      </c>
      <c r="E13" t="s">
        <v>237</v>
      </c>
      <c r="F13" t="n">
        <v>93.1515215553677</v>
      </c>
      <c r="G13" t="n">
        <v>93.1515215553677</v>
      </c>
      <c r="H13" t="n">
        <v>93.1515215553677</v>
      </c>
      <c r="I13" t="n">
        <v>93.1515215553677</v>
      </c>
      <c r="J13" t="n">
        <v>93.1515215553677</v>
      </c>
      <c r="K13" t="n">
        <v>93.1515215553677</v>
      </c>
      <c r="L13" t="n">
        <v>93.1515215553677</v>
      </c>
      <c r="M13" t="n">
        <v>93.1515215553677</v>
      </c>
      <c r="N13" t="n">
        <v>91.3250211327135</v>
      </c>
      <c r="O13" t="n">
        <v>93.4488588334742</v>
      </c>
      <c r="P13" t="n">
        <v>93.4488588334742</v>
      </c>
      <c r="Q13" t="n">
        <v>95.2811893988365</v>
      </c>
      <c r="R13" t="n">
        <v>96.7699579831933</v>
      </c>
      <c r="S13" t="n">
        <v>98.5294117647059</v>
      </c>
      <c r="T13" t="n">
        <v>98.5294117647059</v>
      </c>
      <c r="U13" t="n">
        <v>98.5294117647059</v>
      </c>
      <c r="V13" t="n">
        <v>98.5294117647059</v>
      </c>
      <c r="W13" t="n">
        <v>98.5294117647059</v>
      </c>
      <c r="X13" t="n">
        <v>98.5294117647059</v>
      </c>
      <c r="Y13" t="n">
        <v>100</v>
      </c>
      <c r="Z13" t="n">
        <v>100</v>
      </c>
      <c r="AA13" t="n">
        <v>100</v>
      </c>
      <c r="AB13" t="n">
        <v>100</v>
      </c>
      <c r="AC13" t="n">
        <v>100</v>
      </c>
      <c r="AD13" t="n">
        <v>100</v>
      </c>
      <c r="AE13" t="n">
        <v>100</v>
      </c>
      <c r="AF13" t="n">
        <v>100</v>
      </c>
    </row>
    <row r="14">
      <c r="A14" t="s">
        <v>76</v>
      </c>
      <c r="B14" t="s">
        <v>298</v>
      </c>
      <c r="C14" t="s">
        <v>236</v>
      </c>
      <c r="D14" t="s">
        <v>299</v>
      </c>
      <c r="E14" t="s">
        <v>237</v>
      </c>
      <c r="F14" t="n">
        <v>78.6564070946599</v>
      </c>
      <c r="G14" t="n">
        <v>78.6564070946599</v>
      </c>
      <c r="H14" t="n">
        <v>78.6564070946599</v>
      </c>
      <c r="I14" t="n">
        <v>78.6564070946599</v>
      </c>
      <c r="J14" t="n">
        <v>77.6853403404048</v>
      </c>
      <c r="K14" t="n">
        <v>77.6853403404048</v>
      </c>
      <c r="L14" t="n">
        <v>76.9383659140548</v>
      </c>
      <c r="M14" t="n">
        <v>75.8623048523198</v>
      </c>
      <c r="N14" t="n">
        <v>74.3450587552734</v>
      </c>
      <c r="O14" t="n">
        <v>78.9201392940594</v>
      </c>
      <c r="P14" t="n">
        <v>79.4228153405184</v>
      </c>
      <c r="Q14" t="n">
        <v>81.9848416418254</v>
      </c>
      <c r="R14" t="n">
        <v>83.4044925793462</v>
      </c>
      <c r="S14" t="n">
        <v>85.9415113650298</v>
      </c>
      <c r="T14" t="n">
        <v>86.2430605277141</v>
      </c>
      <c r="U14" t="n">
        <v>86.7770732863996</v>
      </c>
      <c r="V14" t="n">
        <v>88.4367440869592</v>
      </c>
      <c r="W14" t="n">
        <v>90.2628715459819</v>
      </c>
      <c r="X14" t="n">
        <v>91.777349256485</v>
      </c>
      <c r="Y14" t="n">
        <v>93.2226618432013</v>
      </c>
      <c r="Z14" t="n">
        <v>94.4824275437851</v>
      </c>
      <c r="AA14" t="n">
        <v>95.4465339472931</v>
      </c>
      <c r="AB14" t="n">
        <v>96.326225504411</v>
      </c>
      <c r="AC14" t="n">
        <v>97.3025048169557</v>
      </c>
      <c r="AD14" t="n">
        <v>98.2658959537572</v>
      </c>
      <c r="AE14" t="n">
        <v>100</v>
      </c>
      <c r="AF14" t="n">
        <v>100.589970501475</v>
      </c>
    </row>
    <row r="15">
      <c r="A15" t="s">
        <v>76</v>
      </c>
      <c r="B15" t="s">
        <v>300</v>
      </c>
      <c r="C15" t="s">
        <v>236</v>
      </c>
      <c r="D15" t="s">
        <v>301</v>
      </c>
      <c r="E15" t="s">
        <v>237</v>
      </c>
      <c r="F15" t="n">
        <v>79.8428419708187</v>
      </c>
      <c r="G15" t="n">
        <v>79.8428419708186</v>
      </c>
      <c r="H15" t="n">
        <v>79.8428419708186</v>
      </c>
      <c r="I15" t="n">
        <v>79.8428419708186</v>
      </c>
      <c r="J15" t="n">
        <v>79.0444135511105</v>
      </c>
      <c r="K15" t="n">
        <v>79.0444135511105</v>
      </c>
      <c r="L15" t="n">
        <v>78.3745456396604</v>
      </c>
      <c r="M15" t="n">
        <v>77.3225383156381</v>
      </c>
      <c r="N15" t="n">
        <v>75.9580229335974</v>
      </c>
      <c r="O15" t="n">
        <v>80.177913096575</v>
      </c>
      <c r="P15" t="n">
        <v>80.6387057005784</v>
      </c>
      <c r="Q15" t="n">
        <v>83.0005087964112</v>
      </c>
      <c r="R15" t="n">
        <v>84.3127698050501</v>
      </c>
      <c r="S15" t="n">
        <v>86.867702223385</v>
      </c>
      <c r="T15" t="n">
        <v>87.1333526888999</v>
      </c>
      <c r="U15" t="n">
        <v>87.6201311955418</v>
      </c>
      <c r="V15" t="n">
        <v>89.3769258059787</v>
      </c>
      <c r="W15" t="n">
        <v>91.0678406185243</v>
      </c>
      <c r="X15" t="n">
        <v>92.5087874637541</v>
      </c>
      <c r="Y15" t="n">
        <v>93.8209688462187</v>
      </c>
      <c r="Z15" t="n">
        <v>94.9888647239724</v>
      </c>
      <c r="AA15" t="n">
        <v>95.8724820702419</v>
      </c>
      <c r="AB15" t="n">
        <v>96.6487774716204</v>
      </c>
      <c r="AC15" t="n">
        <v>97.5300733148267</v>
      </c>
      <c r="AD15" t="n">
        <v>98.4126984126984</v>
      </c>
      <c r="AE15" t="n">
        <v>100</v>
      </c>
      <c r="AF15" t="n">
        <v>100.536193029491</v>
      </c>
    </row>
    <row r="16">
      <c r="A16" t="s">
        <v>76</v>
      </c>
      <c r="B16" t="s">
        <v>302</v>
      </c>
      <c r="C16" t="s">
        <v>236</v>
      </c>
      <c r="D16" t="s">
        <v>303</v>
      </c>
      <c r="E16" t="s">
        <v>237</v>
      </c>
      <c r="F16" t="n">
        <v>94.2857142857143</v>
      </c>
      <c r="G16" t="n">
        <v>94.2857142857143</v>
      </c>
      <c r="H16" t="n">
        <v>94.2857142857143</v>
      </c>
      <c r="I16" t="n">
        <v>94.2857142857143</v>
      </c>
      <c r="J16" t="n">
        <v>94.2857142857143</v>
      </c>
      <c r="K16" t="n">
        <v>94.2857142857143</v>
      </c>
      <c r="L16" t="n">
        <v>94.2857142857143</v>
      </c>
      <c r="M16" t="n">
        <v>94.2857142857143</v>
      </c>
      <c r="N16" t="n">
        <v>94.2857142857143</v>
      </c>
      <c r="O16" t="n">
        <v>94.2857142857143</v>
      </c>
      <c r="P16" t="n">
        <v>94.2857142857143</v>
      </c>
      <c r="Q16" t="n">
        <v>94.2857142857143</v>
      </c>
      <c r="R16" t="n">
        <v>94.2857142857143</v>
      </c>
      <c r="S16" t="n">
        <v>97.0588235294118</v>
      </c>
      <c r="T16" t="n">
        <v>97.0588235294118</v>
      </c>
      <c r="U16" t="n">
        <v>97.0588235294118</v>
      </c>
      <c r="V16" t="n">
        <v>100</v>
      </c>
      <c r="W16" t="n">
        <v>100</v>
      </c>
      <c r="X16" t="n">
        <v>100</v>
      </c>
      <c r="Y16" t="n">
        <v>100</v>
      </c>
      <c r="Z16" t="n">
        <v>100</v>
      </c>
      <c r="AA16" t="n">
        <v>100</v>
      </c>
      <c r="AB16" t="n">
        <v>100</v>
      </c>
      <c r="AC16" t="n">
        <v>100</v>
      </c>
      <c r="AD16" t="n">
        <v>100</v>
      </c>
      <c r="AE16" t="n">
        <v>100</v>
      </c>
      <c r="AF16" t="n">
        <v>100</v>
      </c>
    </row>
    <row r="17">
      <c r="A17" t="s">
        <v>76</v>
      </c>
      <c r="B17" t="s">
        <v>304</v>
      </c>
      <c r="C17" t="s">
        <v>236</v>
      </c>
      <c r="D17" t="s">
        <v>305</v>
      </c>
      <c r="E17" t="s">
        <v>237</v>
      </c>
      <c r="F17" t="n">
        <v>76.4481226556427</v>
      </c>
      <c r="G17" t="n">
        <v>76.4481226556427</v>
      </c>
      <c r="H17" t="n">
        <v>76.4481226556427</v>
      </c>
      <c r="I17" t="n">
        <v>76.4481226556427</v>
      </c>
      <c r="J17" t="n">
        <v>76.4481226556427</v>
      </c>
      <c r="K17" t="n">
        <v>76.4481226556427</v>
      </c>
      <c r="L17" t="n">
        <v>76.4481226556427</v>
      </c>
      <c r="M17" t="n">
        <v>76.4481226556427</v>
      </c>
      <c r="N17" t="n">
        <v>76.4481226556427</v>
      </c>
      <c r="O17" t="n">
        <v>78.9546184804179</v>
      </c>
      <c r="P17" t="n">
        <v>78.9546184804179</v>
      </c>
      <c r="Q17" t="n">
        <v>80.3901569982437</v>
      </c>
      <c r="R17" t="n">
        <v>81.4208000366827</v>
      </c>
      <c r="S17" t="n">
        <v>84.5523692688628</v>
      </c>
      <c r="T17" t="n">
        <v>84.5523692688628</v>
      </c>
      <c r="U17" t="n">
        <v>84.5523692688628</v>
      </c>
      <c r="V17" t="n">
        <v>86.879498698281</v>
      </c>
      <c r="W17" t="n">
        <v>89.1658012956043</v>
      </c>
      <c r="X17" t="n">
        <v>91.1326939712426</v>
      </c>
      <c r="Y17" t="n">
        <v>92.8740830280179</v>
      </c>
      <c r="Z17" t="n">
        <v>94.3482748221134</v>
      </c>
      <c r="AA17" t="n">
        <v>94.9730978341804</v>
      </c>
      <c r="AB17" t="n">
        <v>96.6792013880878</v>
      </c>
      <c r="AC17" t="n">
        <v>98.047303294523</v>
      </c>
      <c r="AD17" t="n">
        <v>98.5981308411215</v>
      </c>
      <c r="AE17" t="n">
        <v>100</v>
      </c>
      <c r="AF17" t="n">
        <v>100.888888888889</v>
      </c>
    </row>
    <row r="18">
      <c r="A18" t="s">
        <v>76</v>
      </c>
      <c r="B18" t="s">
        <v>306</v>
      </c>
      <c r="C18" t="s">
        <v>236</v>
      </c>
      <c r="D18" t="s">
        <v>307</v>
      </c>
      <c r="E18" t="s">
        <v>237</v>
      </c>
      <c r="F18" t="n">
        <v>100</v>
      </c>
      <c r="G18" t="n">
        <v>100</v>
      </c>
      <c r="H18" t="n">
        <v>100</v>
      </c>
      <c r="I18" t="n">
        <v>100</v>
      </c>
      <c r="J18" t="n">
        <v>100</v>
      </c>
      <c r="K18" t="n">
        <v>100</v>
      </c>
      <c r="L18" t="n">
        <v>100</v>
      </c>
      <c r="M18" t="n">
        <v>100</v>
      </c>
      <c r="N18" t="n">
        <v>100</v>
      </c>
      <c r="O18" t="n">
        <v>100</v>
      </c>
      <c r="P18" t="n">
        <v>100</v>
      </c>
      <c r="Q18" t="n">
        <v>100</v>
      </c>
      <c r="R18" t="n">
        <v>100</v>
      </c>
      <c r="S18" t="n">
        <v>100</v>
      </c>
      <c r="T18" t="n">
        <v>100</v>
      </c>
      <c r="U18" t="n">
        <v>100</v>
      </c>
      <c r="V18" t="n">
        <v>100</v>
      </c>
      <c r="W18" t="n">
        <v>100</v>
      </c>
      <c r="X18" t="n">
        <v>100</v>
      </c>
      <c r="Y18" t="n">
        <v>100</v>
      </c>
      <c r="Z18" t="n">
        <v>100</v>
      </c>
      <c r="AA18" t="n">
        <v>100</v>
      </c>
      <c r="AB18" t="n">
        <v>100</v>
      </c>
      <c r="AC18" t="n">
        <v>100</v>
      </c>
      <c r="AD18" t="n">
        <v>100</v>
      </c>
      <c r="AE18" t="n">
        <v>100</v>
      </c>
      <c r="AF18" t="n">
        <v>100</v>
      </c>
    </row>
    <row r="19">
      <c r="A19" t="s">
        <v>76</v>
      </c>
      <c r="B19" t="s">
        <v>308</v>
      </c>
      <c r="C19" t="s">
        <v>236</v>
      </c>
      <c r="D19" t="s">
        <v>309</v>
      </c>
      <c r="E19" t="s">
        <v>237</v>
      </c>
      <c r="F19" t="n">
        <v>100</v>
      </c>
      <c r="G19" t="n">
        <v>100</v>
      </c>
      <c r="H19" t="n">
        <v>100</v>
      </c>
      <c r="I19" t="n">
        <v>100</v>
      </c>
      <c r="J19" t="n">
        <v>100</v>
      </c>
      <c r="K19" t="n">
        <v>100</v>
      </c>
      <c r="L19" t="n">
        <v>100</v>
      </c>
      <c r="M19" t="n">
        <v>100</v>
      </c>
      <c r="N19" t="n">
        <v>100</v>
      </c>
      <c r="O19" t="n">
        <v>100</v>
      </c>
      <c r="P19" t="n">
        <v>100</v>
      </c>
      <c r="Q19" t="n">
        <v>100</v>
      </c>
      <c r="R19" t="n">
        <v>100</v>
      </c>
      <c r="S19" t="n">
        <v>100</v>
      </c>
      <c r="T19" t="n">
        <v>100</v>
      </c>
      <c r="U19" t="n">
        <v>100</v>
      </c>
      <c r="V19" t="n">
        <v>100</v>
      </c>
      <c r="W19" t="n">
        <v>100</v>
      </c>
      <c r="X19" t="n">
        <v>100</v>
      </c>
      <c r="Y19" t="n">
        <v>100</v>
      </c>
      <c r="Z19" t="n">
        <v>100</v>
      </c>
      <c r="AA19" t="n">
        <v>100</v>
      </c>
      <c r="AB19" t="n">
        <v>100</v>
      </c>
      <c r="AC19" t="n">
        <v>100</v>
      </c>
      <c r="AD19" t="n">
        <v>100</v>
      </c>
      <c r="AE19" t="n">
        <v>100</v>
      </c>
      <c r="AF19" t="n">
        <v>100</v>
      </c>
    </row>
    <row r="20">
      <c r="A20" t="s">
        <v>76</v>
      </c>
      <c r="B20" t="s">
        <v>310</v>
      </c>
      <c r="C20" t="s">
        <v>236</v>
      </c>
      <c r="D20" t="s">
        <v>311</v>
      </c>
      <c r="E20" t="s">
        <v>237</v>
      </c>
      <c r="F20" t="n">
        <v>78.4477139741532</v>
      </c>
      <c r="G20" t="n">
        <v>78.4477139741531</v>
      </c>
      <c r="H20" t="n">
        <v>78.4477139741532</v>
      </c>
      <c r="I20" t="n">
        <v>78.4477139741532</v>
      </c>
      <c r="J20" t="n">
        <v>78.4477139741532</v>
      </c>
      <c r="K20" t="n">
        <v>78.4477139741532</v>
      </c>
      <c r="L20" t="n">
        <v>78.4477139741532</v>
      </c>
      <c r="M20" t="n">
        <v>78.4477139741532</v>
      </c>
      <c r="N20" t="n">
        <v>78.4477139741531</v>
      </c>
      <c r="O20" t="n">
        <v>81.3531848620847</v>
      </c>
      <c r="P20" t="n">
        <v>81.3531848620847</v>
      </c>
      <c r="Q20" t="n">
        <v>83.2901654540391</v>
      </c>
      <c r="R20" t="n">
        <v>85.1831237598128</v>
      </c>
      <c r="S20" t="n">
        <v>86.9577721714755</v>
      </c>
      <c r="T20" t="n">
        <v>86.9577721714755</v>
      </c>
      <c r="U20" t="n">
        <v>86.9577721714755</v>
      </c>
      <c r="V20" t="n">
        <v>88.2180297391781</v>
      </c>
      <c r="W20" t="n">
        <v>90.6349620607994</v>
      </c>
      <c r="X20" t="n">
        <v>92.6052873229907</v>
      </c>
      <c r="Y20" t="n">
        <v>93.6576201334792</v>
      </c>
      <c r="Z20" t="n">
        <v>94.7099529439677</v>
      </c>
      <c r="AA20" t="n">
        <v>95.6763810352327</v>
      </c>
      <c r="AB20" t="n">
        <v>96.6942148760331</v>
      </c>
      <c r="AC20" t="n">
        <v>97.5206611570248</v>
      </c>
      <c r="AD20" t="n">
        <v>98.3471074380165</v>
      </c>
      <c r="AE20" t="n">
        <v>100</v>
      </c>
      <c r="AF20" t="n">
        <v>100.680272108844</v>
      </c>
    </row>
    <row r="21">
      <c r="A21" t="s">
        <v>76</v>
      </c>
      <c r="B21" t="s">
        <v>312</v>
      </c>
      <c r="C21" t="s">
        <v>236</v>
      </c>
      <c r="D21" t="s">
        <v>313</v>
      </c>
      <c r="E21" t="s">
        <v>237</v>
      </c>
      <c r="F21" t="n">
        <v>79.7498486997214</v>
      </c>
      <c r="G21" t="n">
        <v>79.7498486997214</v>
      </c>
      <c r="H21" t="n">
        <v>79.7498486997214</v>
      </c>
      <c r="I21" t="n">
        <v>79.7498486997214</v>
      </c>
      <c r="J21" t="n">
        <v>79.7498486997214</v>
      </c>
      <c r="K21" t="n">
        <v>79.7498486997214</v>
      </c>
      <c r="L21" t="n">
        <v>79.7498486997214</v>
      </c>
      <c r="M21" t="n">
        <v>79.7498486997214</v>
      </c>
      <c r="N21" t="n">
        <v>79.7498486997214</v>
      </c>
      <c r="O21" t="n">
        <v>82.4998434824704</v>
      </c>
      <c r="P21" t="n">
        <v>82.4998434824704</v>
      </c>
      <c r="Q21" t="n">
        <v>84.3748399252538</v>
      </c>
      <c r="R21" t="n">
        <v>86.1326490903633</v>
      </c>
      <c r="S21" t="n">
        <v>87.8215245627234</v>
      </c>
      <c r="T21" t="n">
        <v>87.8215245627234</v>
      </c>
      <c r="U21" t="n">
        <v>87.8215245627234</v>
      </c>
      <c r="V21" t="n">
        <v>89.0412679594279</v>
      </c>
      <c r="W21" t="n">
        <v>91.3844592215181</v>
      </c>
      <c r="X21" t="n">
        <v>93.2494481852225</v>
      </c>
      <c r="Y21" t="n">
        <v>94.1913618032551</v>
      </c>
      <c r="Z21" t="n">
        <v>95.1427897002577</v>
      </c>
      <c r="AA21" t="n">
        <v>96.0319746507274</v>
      </c>
      <c r="AB21" t="n">
        <v>96.9465648854962</v>
      </c>
      <c r="AC21" t="n">
        <v>97.7099236641221</v>
      </c>
      <c r="AD21" t="n">
        <v>98.4615384615385</v>
      </c>
      <c r="AE21" t="n">
        <v>100</v>
      </c>
      <c r="AF21" t="n">
        <v>100.636942675159</v>
      </c>
    </row>
    <row r="22">
      <c r="A22" t="s">
        <v>76</v>
      </c>
      <c r="B22" t="s">
        <v>314</v>
      </c>
      <c r="C22" t="s">
        <v>236</v>
      </c>
      <c r="D22" t="s">
        <v>315</v>
      </c>
      <c r="E22" t="s">
        <v>237</v>
      </c>
      <c r="F22" t="n">
        <v>0</v>
      </c>
      <c r="G22" t="n">
        <v>0</v>
      </c>
      <c r="H22" t="n">
        <v>0</v>
      </c>
      <c r="I22" t="n">
        <v>0</v>
      </c>
      <c r="J22" t="n">
        <v>100</v>
      </c>
      <c r="K22" t="n">
        <v>100</v>
      </c>
      <c r="L22" t="n">
        <v>100</v>
      </c>
      <c r="M22" t="n">
        <v>100</v>
      </c>
      <c r="N22" t="n">
        <v>100</v>
      </c>
      <c r="O22" t="n">
        <v>100</v>
      </c>
      <c r="P22" t="n">
        <v>100</v>
      </c>
      <c r="Q22" t="n">
        <v>100</v>
      </c>
      <c r="R22" t="n">
        <v>100</v>
      </c>
      <c r="S22" t="n">
        <v>100</v>
      </c>
      <c r="T22" t="n">
        <v>100</v>
      </c>
      <c r="U22" t="n">
        <v>100</v>
      </c>
      <c r="V22" t="n">
        <v>100</v>
      </c>
      <c r="W22" t="n">
        <v>100</v>
      </c>
      <c r="X22" t="n">
        <v>100</v>
      </c>
      <c r="Y22" t="n">
        <v>100</v>
      </c>
      <c r="Z22" t="n">
        <v>100</v>
      </c>
      <c r="AA22" t="n">
        <v>100</v>
      </c>
      <c r="AB22" t="n">
        <v>100</v>
      </c>
      <c r="AC22" t="n">
        <v>100</v>
      </c>
      <c r="AD22" t="n">
        <v>100</v>
      </c>
      <c r="AE22" t="n">
        <v>100</v>
      </c>
      <c r="AF22" t="n">
        <v>100</v>
      </c>
    </row>
    <row r="23">
      <c r="A23" t="s">
        <v>76</v>
      </c>
      <c r="B23" t="s">
        <v>316</v>
      </c>
      <c r="C23" t="s">
        <v>236</v>
      </c>
      <c r="D23" t="s">
        <v>317</v>
      </c>
      <c r="E23" t="s">
        <v>237</v>
      </c>
      <c r="F23" t="n">
        <v>83.967541561499</v>
      </c>
      <c r="G23" t="n">
        <v>83.967541561499</v>
      </c>
      <c r="H23" t="n">
        <v>83.967541561499</v>
      </c>
      <c r="I23" t="n">
        <v>83.967541561499</v>
      </c>
      <c r="J23" t="n">
        <v>83.967541561499</v>
      </c>
      <c r="K23" t="n">
        <v>83.967541561499</v>
      </c>
      <c r="L23" t="n">
        <v>83.967541561499</v>
      </c>
      <c r="M23" t="n">
        <v>83.967541561499</v>
      </c>
      <c r="N23" t="n">
        <v>83.967541561499</v>
      </c>
      <c r="O23" t="n">
        <v>86.3666141775419</v>
      </c>
      <c r="P23" t="n">
        <v>86.3666141775419</v>
      </c>
      <c r="Q23" t="n">
        <v>88.3751400886475</v>
      </c>
      <c r="R23" t="n">
        <v>88.3751400886475</v>
      </c>
      <c r="S23" t="n">
        <v>91.4225587123939</v>
      </c>
      <c r="T23" t="n">
        <v>91.4225587123939</v>
      </c>
      <c r="U23" t="n">
        <v>91.4225587123939</v>
      </c>
      <c r="V23" t="n">
        <v>91.4225587123939</v>
      </c>
      <c r="W23" t="n">
        <v>93.0847870526193</v>
      </c>
      <c r="X23" t="n">
        <v>93.0847870526193</v>
      </c>
      <c r="Y23" t="n">
        <v>94.293680390965</v>
      </c>
      <c r="Z23" t="n">
        <v>95.390118535046</v>
      </c>
      <c r="AA23" t="n">
        <v>96.4383615958706</v>
      </c>
      <c r="AB23" t="n">
        <v>97.1689552443242</v>
      </c>
      <c r="AC23" t="n">
        <v>98.2026675341575</v>
      </c>
      <c r="AD23" t="n">
        <v>99.0566037735849</v>
      </c>
      <c r="AE23" t="n">
        <v>100</v>
      </c>
      <c r="AF23" t="n">
        <v>100</v>
      </c>
    </row>
    <row r="24">
      <c r="A24" t="s">
        <v>76</v>
      </c>
      <c r="B24" t="s">
        <v>318</v>
      </c>
      <c r="C24" t="s">
        <v>236</v>
      </c>
      <c r="D24" t="s">
        <v>319</v>
      </c>
      <c r="E24" t="s">
        <v>237</v>
      </c>
      <c r="F24" t="n">
        <v>80.7182627786217</v>
      </c>
      <c r="G24" t="n">
        <v>80.7182627786217</v>
      </c>
      <c r="H24" t="n">
        <v>80.7182627786217</v>
      </c>
      <c r="I24" t="n">
        <v>80.7182627786217</v>
      </c>
      <c r="J24" t="n">
        <v>79.840890357115</v>
      </c>
      <c r="K24" t="n">
        <v>79.840890357115</v>
      </c>
      <c r="L24" t="n">
        <v>78.7692005536638</v>
      </c>
      <c r="M24" t="n">
        <v>77.4111108889454</v>
      </c>
      <c r="N24" t="n">
        <v>75.9050581479154</v>
      </c>
      <c r="O24" t="n">
        <v>78.941260473832</v>
      </c>
      <c r="P24" t="n">
        <v>79.2815245275985</v>
      </c>
      <c r="Q24" t="n">
        <v>81.6599702634264</v>
      </c>
      <c r="R24" t="n">
        <v>83.2611461509446</v>
      </c>
      <c r="S24" t="n">
        <v>86.0135807344469</v>
      </c>
      <c r="T24" t="n">
        <v>86.3749823341715</v>
      </c>
      <c r="U24" t="n">
        <v>86.7623140935175</v>
      </c>
      <c r="V24" t="n">
        <v>88.5329735648138</v>
      </c>
      <c r="W24" t="n">
        <v>90.6923143834678</v>
      </c>
      <c r="X24" t="n">
        <v>92.1318749292371</v>
      </c>
      <c r="Y24" t="n">
        <v>93.6493411045422</v>
      </c>
      <c r="Z24" t="n">
        <v>94.6403394231088</v>
      </c>
      <c r="AA24" t="n">
        <v>95.4290089183014</v>
      </c>
      <c r="AB24" t="n">
        <v>96.4469183467633</v>
      </c>
      <c r="AC24" t="n">
        <v>97.6033562166285</v>
      </c>
      <c r="AD24" t="n">
        <v>98.3157894736842</v>
      </c>
      <c r="AE24" t="n">
        <v>100</v>
      </c>
      <c r="AF24" t="n">
        <v>100.62630480167</v>
      </c>
    </row>
    <row r="25">
      <c r="A25" t="s">
        <v>76</v>
      </c>
      <c r="B25" t="s">
        <v>320</v>
      </c>
      <c r="C25" t="s">
        <v>236</v>
      </c>
      <c r="D25" t="s">
        <v>321</v>
      </c>
      <c r="E25" t="s">
        <v>237</v>
      </c>
      <c r="F25" t="n">
        <v>81.7260606060607</v>
      </c>
      <c r="G25" t="n">
        <v>81.7260606060607</v>
      </c>
      <c r="H25" t="n">
        <v>81.7260606060607</v>
      </c>
      <c r="I25" t="n">
        <v>81.7260606060607</v>
      </c>
      <c r="J25" t="n">
        <v>81.7260606060607</v>
      </c>
      <c r="K25" t="n">
        <v>81.7260606060607</v>
      </c>
      <c r="L25" t="n">
        <v>81.7260606060607</v>
      </c>
      <c r="M25" t="n">
        <v>81.7260606060607</v>
      </c>
      <c r="N25" t="n">
        <v>81.7260606060606</v>
      </c>
      <c r="O25" t="n">
        <v>87.5636363636364</v>
      </c>
      <c r="P25" t="n">
        <v>87.5636363636364</v>
      </c>
      <c r="Q25" t="n">
        <v>87.5636363636364</v>
      </c>
      <c r="R25" t="n">
        <v>87.5636363636364</v>
      </c>
      <c r="S25" t="n">
        <v>91.7333333333333</v>
      </c>
      <c r="T25" t="n">
        <v>91.7333333333333</v>
      </c>
      <c r="U25" t="n">
        <v>91.7333333333333</v>
      </c>
      <c r="V25" t="n">
        <v>91.7333333333333</v>
      </c>
      <c r="W25" t="n">
        <v>95.5555555555556</v>
      </c>
      <c r="X25" t="n">
        <v>95.5555555555556</v>
      </c>
      <c r="Y25" t="n">
        <v>95.5555555555555</v>
      </c>
      <c r="Z25" t="n">
        <v>95.5555555555555</v>
      </c>
      <c r="AA25" t="n">
        <v>95.5555555555555</v>
      </c>
      <c r="AB25" t="n">
        <v>95.5555555555555</v>
      </c>
      <c r="AC25" t="n">
        <v>97.7777777777778</v>
      </c>
      <c r="AD25" t="n">
        <v>97.7777777777778</v>
      </c>
      <c r="AE25" t="n">
        <v>100</v>
      </c>
      <c r="AF25" t="n">
        <v>100</v>
      </c>
    </row>
    <row r="26">
      <c r="A26" t="s">
        <v>76</v>
      </c>
      <c r="B26" t="s">
        <v>322</v>
      </c>
      <c r="C26" t="s">
        <v>236</v>
      </c>
      <c r="D26" t="s">
        <v>323</v>
      </c>
      <c r="E26" t="s">
        <v>237</v>
      </c>
      <c r="F26" t="n">
        <v>80.4693549191449</v>
      </c>
      <c r="G26" t="n">
        <v>80.4693549191449</v>
      </c>
      <c r="H26" t="n">
        <v>80.4693549191449</v>
      </c>
      <c r="I26" t="n">
        <v>80.4693549191449</v>
      </c>
      <c r="J26" t="n">
        <v>79.2120212485333</v>
      </c>
      <c r="K26" t="n">
        <v>79.2120212485333</v>
      </c>
      <c r="L26" t="n">
        <v>77.7585896659914</v>
      </c>
      <c r="M26" t="n">
        <v>76.5530301362861</v>
      </c>
      <c r="N26" t="n">
        <v>75.0219695335604</v>
      </c>
      <c r="O26" t="n">
        <v>77.6390149824055</v>
      </c>
      <c r="P26" t="n">
        <v>78.093044309788</v>
      </c>
      <c r="Q26" t="n">
        <v>80.862301200206</v>
      </c>
      <c r="R26" t="n">
        <v>82.6862628814136</v>
      </c>
      <c r="S26" t="n">
        <v>85.2383080320746</v>
      </c>
      <c r="T26" t="n">
        <v>85.7456789132179</v>
      </c>
      <c r="U26" t="n">
        <v>86.3495217224659</v>
      </c>
      <c r="V26" t="n">
        <v>88.3232250761222</v>
      </c>
      <c r="W26" t="n">
        <v>90.312486902161</v>
      </c>
      <c r="X26" t="n">
        <v>91.7869764842371</v>
      </c>
      <c r="Y26" t="n">
        <v>93.5521106473955</v>
      </c>
      <c r="Z26" t="n">
        <v>94.6072096396594</v>
      </c>
      <c r="AA26" t="n">
        <v>95.4227890331047</v>
      </c>
      <c r="AB26" t="n">
        <v>96.5071389084809</v>
      </c>
      <c r="AC26" t="n">
        <v>97.5715558817362</v>
      </c>
      <c r="AD26" t="n">
        <v>98.3552631578947</v>
      </c>
      <c r="AE26" t="n">
        <v>100</v>
      </c>
      <c r="AF26" t="n">
        <v>100.687285223368</v>
      </c>
    </row>
    <row r="27">
      <c r="A27" t="s">
        <v>76</v>
      </c>
      <c r="B27" t="s">
        <v>324</v>
      </c>
      <c r="C27" t="s">
        <v>236</v>
      </c>
      <c r="D27" t="s">
        <v>325</v>
      </c>
      <c r="E27" t="s">
        <v>237</v>
      </c>
      <c r="F27" t="n">
        <v>81.127817267139</v>
      </c>
      <c r="G27" t="n">
        <v>81.127817267139</v>
      </c>
      <c r="H27" t="n">
        <v>81.1278172671389</v>
      </c>
      <c r="I27" t="n">
        <v>81.1278172671389</v>
      </c>
      <c r="J27" t="n">
        <v>81.1278172671389</v>
      </c>
      <c r="K27" t="n">
        <v>81.1278172671389</v>
      </c>
      <c r="L27" t="n">
        <v>81.1278172671389</v>
      </c>
      <c r="M27" t="n">
        <v>78.5925729775408</v>
      </c>
      <c r="N27" t="n">
        <v>76.6756809536984</v>
      </c>
      <c r="O27" t="n">
        <v>80.6077671564522</v>
      </c>
      <c r="P27" t="n">
        <v>80.6077671564522</v>
      </c>
      <c r="Q27" t="n">
        <v>82.39905087104</v>
      </c>
      <c r="R27" t="n">
        <v>83.9537499440785</v>
      </c>
      <c r="S27" t="n">
        <v>86.7996397726913</v>
      </c>
      <c r="T27" t="n">
        <v>86.7996397726913</v>
      </c>
      <c r="U27" t="n">
        <v>86.7996397726913</v>
      </c>
      <c r="V27" t="n">
        <v>88.4070405092226</v>
      </c>
      <c r="W27" t="n">
        <v>90.5633097899354</v>
      </c>
      <c r="X27" t="n">
        <v>92.2099154224797</v>
      </c>
      <c r="Y27" t="n">
        <v>93.5462910083127</v>
      </c>
      <c r="Z27" t="n">
        <v>94.5973729297544</v>
      </c>
      <c r="AA27" t="n">
        <v>95.5339805825243</v>
      </c>
      <c r="AB27" t="n">
        <v>96.6712898751734</v>
      </c>
      <c r="AC27" t="n">
        <v>97.6190476190476</v>
      </c>
      <c r="AD27" t="n">
        <v>98.4126984126984</v>
      </c>
      <c r="AE27" t="n">
        <v>100</v>
      </c>
      <c r="AF27" t="n">
        <v>100.675675675676</v>
      </c>
    </row>
    <row r="28">
      <c r="A28" t="s">
        <v>76</v>
      </c>
      <c r="B28" t="s">
        <v>326</v>
      </c>
      <c r="C28" t="s">
        <v>236</v>
      </c>
      <c r="D28" t="s">
        <v>327</v>
      </c>
      <c r="E28" t="s">
        <v>237</v>
      </c>
      <c r="F28" t="n">
        <v>84.8618128502653</v>
      </c>
      <c r="G28" t="n">
        <v>84.8618128502653</v>
      </c>
      <c r="H28" t="n">
        <v>84.8618128502653</v>
      </c>
      <c r="I28" t="n">
        <v>84.8618128502653</v>
      </c>
      <c r="J28" t="n">
        <v>84.8618128502653</v>
      </c>
      <c r="K28" t="n">
        <v>84.8618128502653</v>
      </c>
      <c r="L28" t="n">
        <v>84.8618128502653</v>
      </c>
      <c r="M28" t="n">
        <v>84.8618128502653</v>
      </c>
      <c r="N28" t="n">
        <v>84.8618128502653</v>
      </c>
      <c r="O28" t="n">
        <v>88.3612690502763</v>
      </c>
      <c r="P28" t="n">
        <v>88.3612690502763</v>
      </c>
      <c r="Q28" t="n">
        <v>90.3248528069491</v>
      </c>
      <c r="R28" t="n">
        <v>90.3248528069491</v>
      </c>
      <c r="S28" t="n">
        <v>93.7988856072163</v>
      </c>
      <c r="T28" t="n">
        <v>93.7988856072163</v>
      </c>
      <c r="U28" t="n">
        <v>93.7988856072163</v>
      </c>
      <c r="V28" t="n">
        <v>94.8184387116426</v>
      </c>
      <c r="W28" t="n">
        <v>96.6776237844199</v>
      </c>
      <c r="X28" t="n">
        <v>97.7638892201999</v>
      </c>
      <c r="Y28" t="n">
        <v>98.7223587223587</v>
      </c>
      <c r="Z28" t="n">
        <v>98.7223587223587</v>
      </c>
      <c r="AA28" t="n">
        <v>98.7223587223587</v>
      </c>
      <c r="AB28" t="n">
        <v>98.7223587223587</v>
      </c>
      <c r="AC28" t="n">
        <v>99.3939393939394</v>
      </c>
      <c r="AD28" t="n">
        <v>99.3939393939394</v>
      </c>
      <c r="AE28" t="n">
        <v>100</v>
      </c>
      <c r="AF28" t="n">
        <v>100</v>
      </c>
    </row>
    <row r="29">
      <c r="A29" t="s">
        <v>76</v>
      </c>
      <c r="B29" t="s">
        <v>328</v>
      </c>
      <c r="C29" t="s">
        <v>236</v>
      </c>
      <c r="D29" t="s">
        <v>329</v>
      </c>
      <c r="E29" t="s">
        <v>237</v>
      </c>
      <c r="F29" t="n">
        <v>100</v>
      </c>
      <c r="G29" t="n">
        <v>100</v>
      </c>
      <c r="H29" t="n">
        <v>100</v>
      </c>
      <c r="I29" t="n">
        <v>100</v>
      </c>
      <c r="J29" t="n">
        <v>100</v>
      </c>
      <c r="K29" t="n">
        <v>100</v>
      </c>
      <c r="L29" t="n">
        <v>100</v>
      </c>
      <c r="M29" t="n">
        <v>100</v>
      </c>
      <c r="N29" t="n">
        <v>100</v>
      </c>
      <c r="O29" t="n">
        <v>100</v>
      </c>
      <c r="P29" t="n">
        <v>100</v>
      </c>
      <c r="Q29" t="n">
        <v>100</v>
      </c>
      <c r="R29" t="n">
        <v>100</v>
      </c>
      <c r="S29" t="n">
        <v>100</v>
      </c>
      <c r="T29" t="n">
        <v>100</v>
      </c>
      <c r="U29" t="n">
        <v>100</v>
      </c>
      <c r="V29" t="n">
        <v>100</v>
      </c>
      <c r="W29" t="n">
        <v>100</v>
      </c>
      <c r="X29" t="n">
        <v>100</v>
      </c>
      <c r="Y29" t="n">
        <v>100</v>
      </c>
      <c r="Z29" t="n">
        <v>100</v>
      </c>
      <c r="AA29" t="n">
        <v>100</v>
      </c>
      <c r="AB29" t="n">
        <v>100</v>
      </c>
      <c r="AC29" t="n">
        <v>100</v>
      </c>
      <c r="AD29" t="n">
        <v>100</v>
      </c>
      <c r="AE29" t="n">
        <v>100</v>
      </c>
      <c r="AF29" t="n">
        <v>100</v>
      </c>
    </row>
    <row r="30">
      <c r="A30" t="s">
        <v>76</v>
      </c>
      <c r="B30" t="s">
        <v>330</v>
      </c>
      <c r="C30" t="s">
        <v>236</v>
      </c>
      <c r="D30" t="s">
        <v>331</v>
      </c>
      <c r="E30" t="s">
        <v>237</v>
      </c>
      <c r="F30" t="n">
        <v>100</v>
      </c>
      <c r="G30" t="n">
        <v>100</v>
      </c>
      <c r="H30" t="n">
        <v>100</v>
      </c>
      <c r="I30" t="n">
        <v>100</v>
      </c>
      <c r="J30" t="n">
        <v>100</v>
      </c>
      <c r="K30" t="n">
        <v>100</v>
      </c>
      <c r="L30" t="n">
        <v>100</v>
      </c>
      <c r="M30" t="n">
        <v>100</v>
      </c>
      <c r="N30" t="n">
        <v>100</v>
      </c>
      <c r="O30" t="n">
        <v>100</v>
      </c>
      <c r="P30" t="n">
        <v>100</v>
      </c>
      <c r="Q30" t="n">
        <v>100</v>
      </c>
      <c r="R30" t="n">
        <v>100</v>
      </c>
      <c r="S30" t="n">
        <v>100</v>
      </c>
      <c r="T30" t="n">
        <v>100</v>
      </c>
      <c r="U30" t="n">
        <v>100</v>
      </c>
      <c r="V30" t="n">
        <v>100</v>
      </c>
      <c r="W30" t="n">
        <v>100</v>
      </c>
      <c r="X30" t="n">
        <v>100</v>
      </c>
      <c r="Y30" t="n">
        <v>100</v>
      </c>
      <c r="Z30" t="n">
        <v>100</v>
      </c>
      <c r="AA30" t="n">
        <v>100</v>
      </c>
      <c r="AB30" t="n">
        <v>100</v>
      </c>
      <c r="AC30" t="n">
        <v>100</v>
      </c>
      <c r="AD30" t="n">
        <v>100</v>
      </c>
      <c r="AE30" t="n">
        <v>100</v>
      </c>
      <c r="AF30" t="n">
        <v>100</v>
      </c>
    </row>
    <row r="31">
      <c r="A31" t="s">
        <v>76</v>
      </c>
      <c r="B31" t="s">
        <v>332</v>
      </c>
      <c r="C31" t="s">
        <v>236</v>
      </c>
      <c r="D31" t="s">
        <v>333</v>
      </c>
      <c r="E31" t="s">
        <v>237</v>
      </c>
      <c r="F31" t="n">
        <v>86.3068181818182</v>
      </c>
      <c r="G31" t="n">
        <v>86.3068181818182</v>
      </c>
      <c r="H31" t="n">
        <v>86.3068181818182</v>
      </c>
      <c r="I31" t="n">
        <v>86.3068181818182</v>
      </c>
      <c r="J31" t="n">
        <v>86.3068181818182</v>
      </c>
      <c r="K31" t="n">
        <v>86.3068181818182</v>
      </c>
      <c r="L31" t="n">
        <v>86.3068181818182</v>
      </c>
      <c r="M31" t="n">
        <v>86.3068181818182</v>
      </c>
      <c r="N31" t="n">
        <v>86.3068181818182</v>
      </c>
      <c r="O31" t="n">
        <v>90.4166666666667</v>
      </c>
      <c r="P31" t="n">
        <v>90.4166666666667</v>
      </c>
      <c r="Q31" t="n">
        <v>93.3333333333333</v>
      </c>
      <c r="R31" t="n">
        <v>93.3333333333333</v>
      </c>
      <c r="S31" t="n">
        <v>97.7777777777778</v>
      </c>
      <c r="T31" t="n">
        <v>97.7777777777778</v>
      </c>
      <c r="U31" t="n">
        <v>97.7777777777778</v>
      </c>
      <c r="V31" t="n">
        <v>97.7777777777778</v>
      </c>
      <c r="W31" t="n">
        <v>97.7777777777778</v>
      </c>
      <c r="X31" t="n">
        <v>97.7777777777778</v>
      </c>
      <c r="Y31" t="n">
        <v>97.7777777777778</v>
      </c>
      <c r="Z31" t="n">
        <v>97.7777777777778</v>
      </c>
      <c r="AA31" t="n">
        <v>97.7777777777778</v>
      </c>
      <c r="AB31" t="n">
        <v>97.7777777777778</v>
      </c>
      <c r="AC31" t="n">
        <v>100</v>
      </c>
      <c r="AD31" t="n">
        <v>100</v>
      </c>
      <c r="AE31" t="n">
        <v>100</v>
      </c>
      <c r="AF31" t="n">
        <v>100</v>
      </c>
    </row>
    <row r="32">
      <c r="A32" t="s">
        <v>76</v>
      </c>
      <c r="B32" t="s">
        <v>334</v>
      </c>
      <c r="C32" t="s">
        <v>236</v>
      </c>
      <c r="D32" t="s">
        <v>335</v>
      </c>
      <c r="E32" t="s">
        <v>237</v>
      </c>
      <c r="F32" t="n">
        <v>84.903399362095</v>
      </c>
      <c r="G32" t="n">
        <v>84.903399362095</v>
      </c>
      <c r="H32" t="n">
        <v>84.903399362095</v>
      </c>
      <c r="I32" t="n">
        <v>84.903399362095</v>
      </c>
      <c r="J32" t="n">
        <v>84.903399362095</v>
      </c>
      <c r="K32" t="n">
        <v>84.903399362095</v>
      </c>
      <c r="L32" t="n">
        <v>84.903399362095</v>
      </c>
      <c r="M32" t="n">
        <v>84.903399362095</v>
      </c>
      <c r="N32" t="n">
        <v>84.903399362095</v>
      </c>
      <c r="O32" t="n">
        <v>89.3719993285211</v>
      </c>
      <c r="P32" t="n">
        <v>89.3719993285211</v>
      </c>
      <c r="Q32" t="n">
        <v>89.3719993285211</v>
      </c>
      <c r="R32" t="n">
        <v>89.3719993285211</v>
      </c>
      <c r="S32" t="n">
        <v>93.4343629343629</v>
      </c>
      <c r="T32" t="n">
        <v>93.4343629343629</v>
      </c>
      <c r="U32" t="n">
        <v>93.4343629343629</v>
      </c>
      <c r="V32" t="n">
        <v>95.8301158301158</v>
      </c>
      <c r="W32" t="n">
        <v>98.6486486486486</v>
      </c>
      <c r="X32" t="n">
        <v>98.6486486486486</v>
      </c>
      <c r="Y32" t="n">
        <v>98.6486486486486</v>
      </c>
      <c r="Z32" t="n">
        <v>98.6486486486486</v>
      </c>
      <c r="AA32" t="n">
        <v>98.6486486486486</v>
      </c>
      <c r="AB32" t="n">
        <v>98.6486486486486</v>
      </c>
      <c r="AC32" t="n">
        <v>98.6486486486486</v>
      </c>
      <c r="AD32" t="n">
        <v>98.6486486486486</v>
      </c>
      <c r="AE32" t="n">
        <v>100</v>
      </c>
      <c r="AF32" t="n">
        <v>100</v>
      </c>
    </row>
    <row r="33">
      <c r="A33" t="s">
        <v>76</v>
      </c>
      <c r="B33" t="s">
        <v>336</v>
      </c>
      <c r="C33" t="s">
        <v>236</v>
      </c>
      <c r="D33" t="s">
        <v>337</v>
      </c>
      <c r="E33" t="s">
        <v>237</v>
      </c>
      <c r="F33" t="n">
        <v>76.2185932677469</v>
      </c>
      <c r="G33" t="n">
        <v>76.2185932677469</v>
      </c>
      <c r="H33" t="n">
        <v>76.2185932677469</v>
      </c>
      <c r="I33" t="n">
        <v>76.2185932677469</v>
      </c>
      <c r="J33" t="n">
        <v>76.2185932677469</v>
      </c>
      <c r="K33" t="n">
        <v>76.2185932677469</v>
      </c>
      <c r="L33" t="n">
        <v>76.2185932677469</v>
      </c>
      <c r="M33" t="n">
        <v>76.2185932677469</v>
      </c>
      <c r="N33" t="n">
        <v>76.2185932677469</v>
      </c>
      <c r="O33" t="n">
        <v>81.2998328189301</v>
      </c>
      <c r="P33" t="n">
        <v>81.2998328189301</v>
      </c>
      <c r="Q33" t="n">
        <v>86.0821759259259</v>
      </c>
      <c r="R33" t="n">
        <v>86.0821759259259</v>
      </c>
      <c r="S33" t="n">
        <v>91.1458333333334</v>
      </c>
      <c r="T33" t="n">
        <v>91.1458333333333</v>
      </c>
      <c r="U33" t="n">
        <v>91.1458333333333</v>
      </c>
      <c r="V33" t="n">
        <v>91.1458333333333</v>
      </c>
      <c r="W33" t="n">
        <v>93.75</v>
      </c>
      <c r="X33" t="n">
        <v>96.7741935483871</v>
      </c>
      <c r="Y33" t="n">
        <v>100</v>
      </c>
      <c r="Z33" t="n">
        <v>100</v>
      </c>
      <c r="AA33" t="n">
        <v>100</v>
      </c>
      <c r="AB33" t="n">
        <v>100</v>
      </c>
      <c r="AC33" t="n">
        <v>100</v>
      </c>
      <c r="AD33" t="n">
        <v>100</v>
      </c>
      <c r="AE33" t="n">
        <v>100</v>
      </c>
      <c r="AF33" t="n">
        <v>100</v>
      </c>
    </row>
    <row r="34">
      <c r="A34" t="s">
        <v>76</v>
      </c>
      <c r="B34" t="s">
        <v>338</v>
      </c>
      <c r="C34" t="s">
        <v>236</v>
      </c>
      <c r="D34" t="s">
        <v>339</v>
      </c>
      <c r="E34" t="s">
        <v>237</v>
      </c>
      <c r="F34" t="n">
        <v>100</v>
      </c>
      <c r="G34" t="n">
        <v>100</v>
      </c>
      <c r="H34" t="n">
        <v>100</v>
      </c>
      <c r="I34" t="n">
        <v>100</v>
      </c>
      <c r="J34" t="n">
        <v>100</v>
      </c>
      <c r="K34" t="n">
        <v>100</v>
      </c>
      <c r="L34" t="n">
        <v>100</v>
      </c>
      <c r="M34" t="n">
        <v>100</v>
      </c>
      <c r="N34" t="n">
        <v>100</v>
      </c>
      <c r="O34" t="n">
        <v>100</v>
      </c>
      <c r="P34" t="n">
        <v>100</v>
      </c>
      <c r="Q34" t="n">
        <v>100</v>
      </c>
      <c r="R34" t="n">
        <v>100</v>
      </c>
      <c r="S34" t="n">
        <v>100</v>
      </c>
      <c r="T34" t="n">
        <v>100</v>
      </c>
      <c r="U34" t="n">
        <v>100</v>
      </c>
      <c r="V34" t="n">
        <v>100</v>
      </c>
      <c r="W34" t="n">
        <v>100</v>
      </c>
      <c r="X34" t="n">
        <v>100</v>
      </c>
      <c r="Y34" t="n">
        <v>100</v>
      </c>
      <c r="Z34" t="n">
        <v>100</v>
      </c>
      <c r="AA34" t="n">
        <v>100</v>
      </c>
      <c r="AB34" t="n">
        <v>100</v>
      </c>
      <c r="AC34" t="n">
        <v>100</v>
      </c>
      <c r="AD34" t="n">
        <v>100</v>
      </c>
      <c r="AE34" t="n">
        <v>100</v>
      </c>
      <c r="AF34" t="n">
        <v>100</v>
      </c>
    </row>
    <row r="35">
      <c r="A35" t="s">
        <v>76</v>
      </c>
      <c r="B35" t="s">
        <v>340</v>
      </c>
      <c r="C35" t="s">
        <v>236</v>
      </c>
      <c r="D35" t="s">
        <v>341</v>
      </c>
      <c r="E35" t="s">
        <v>237</v>
      </c>
      <c r="F35" t="n">
        <v>81.5182000828822</v>
      </c>
      <c r="G35" t="n">
        <v>81.5182000828822</v>
      </c>
      <c r="H35" t="n">
        <v>81.5182000828822</v>
      </c>
      <c r="I35" t="n">
        <v>80.3646406477471</v>
      </c>
      <c r="J35" t="n">
        <v>79.3885518949404</v>
      </c>
      <c r="K35" t="n">
        <v>79.3885518949404</v>
      </c>
      <c r="L35" t="n">
        <v>78.6489070015093</v>
      </c>
      <c r="M35" t="n">
        <v>77.3380918848175</v>
      </c>
      <c r="N35" t="n">
        <v>75.7393716391365</v>
      </c>
      <c r="O35" t="n">
        <v>79.3583177242829</v>
      </c>
      <c r="P35" t="n">
        <v>78.6096543495256</v>
      </c>
      <c r="Q35" t="n">
        <v>80.9104247207312</v>
      </c>
      <c r="R35" t="n">
        <v>82.4402436755349</v>
      </c>
      <c r="S35" t="n">
        <v>85.1623271931233</v>
      </c>
      <c r="T35" t="n">
        <v>85.5442210370387</v>
      </c>
      <c r="U35" t="n">
        <v>86.3667616239333</v>
      </c>
      <c r="V35" t="n">
        <v>88.1567463208024</v>
      </c>
      <c r="W35" t="n">
        <v>89.8614347855693</v>
      </c>
      <c r="X35" t="n">
        <v>91.4414160565243</v>
      </c>
      <c r="Y35" t="n">
        <v>93.0873615455418</v>
      </c>
      <c r="Z35" t="n">
        <v>94.1411807328498</v>
      </c>
      <c r="AA35" t="n">
        <v>94.9772480572979</v>
      </c>
      <c r="AB35" t="n">
        <v>96.1773215887078</v>
      </c>
      <c r="AC35" t="n">
        <v>97.3696024348488</v>
      </c>
      <c r="AD35" t="n">
        <v>98.2857142857143</v>
      </c>
      <c r="AE35" t="n">
        <v>100</v>
      </c>
      <c r="AF35" t="n">
        <v>100.985221674877</v>
      </c>
    </row>
    <row r="36">
      <c r="A36" t="s">
        <v>76</v>
      </c>
      <c r="B36" t="s">
        <v>342</v>
      </c>
      <c r="C36" t="s">
        <v>236</v>
      </c>
      <c r="D36" t="s">
        <v>343</v>
      </c>
      <c r="E36" t="s">
        <v>237</v>
      </c>
      <c r="F36" t="n">
        <v>77.390830518423</v>
      </c>
      <c r="G36" t="n">
        <v>77.390830518423</v>
      </c>
      <c r="H36" t="n">
        <v>77.390830518423</v>
      </c>
      <c r="I36" t="n">
        <v>77.390830518423</v>
      </c>
      <c r="J36" t="n">
        <v>77.390830518423</v>
      </c>
      <c r="K36" t="n">
        <v>77.390830518423</v>
      </c>
      <c r="L36" t="n">
        <v>77.390830518423</v>
      </c>
      <c r="M36" t="n">
        <v>77.390830518423</v>
      </c>
      <c r="N36" t="n">
        <v>75.7084211593269</v>
      </c>
      <c r="O36" t="n">
        <v>79.7642294357194</v>
      </c>
      <c r="P36" t="n">
        <v>79.7642294357194</v>
      </c>
      <c r="Q36" t="n">
        <v>81.2981569248678</v>
      </c>
      <c r="R36" t="n">
        <v>82.2776527914325</v>
      </c>
      <c r="S36" t="n">
        <v>85.9075492381133</v>
      </c>
      <c r="T36" t="n">
        <v>85.9075492381133</v>
      </c>
      <c r="U36" t="n">
        <v>86.7497801129968</v>
      </c>
      <c r="V36" t="n">
        <v>88.5023009233604</v>
      </c>
      <c r="W36" t="n">
        <v>90.1261963531468</v>
      </c>
      <c r="X36" t="n">
        <v>92.0038254438373</v>
      </c>
      <c r="Y36" t="n">
        <v>93.8814545345279</v>
      </c>
      <c r="Z36" t="n">
        <v>94.7507272616994</v>
      </c>
      <c r="AA36" t="n">
        <v>95.5536995266291</v>
      </c>
      <c r="AB36" t="n">
        <v>96.4223695223257</v>
      </c>
      <c r="AC36" t="n">
        <v>97.8403455447129</v>
      </c>
      <c r="AD36" t="n">
        <v>98.581560283688</v>
      </c>
      <c r="AE36" t="n">
        <v>100</v>
      </c>
      <c r="AF36" t="n">
        <v>100.636942675159</v>
      </c>
    </row>
    <row r="37">
      <c r="A37" t="s">
        <v>76</v>
      </c>
      <c r="B37" t="s">
        <v>344</v>
      </c>
      <c r="C37" t="s">
        <v>236</v>
      </c>
      <c r="D37" t="s">
        <v>345</v>
      </c>
      <c r="E37" t="s">
        <v>237</v>
      </c>
      <c r="F37" t="n">
        <v>85.9702574169463</v>
      </c>
      <c r="G37" t="n">
        <v>85.9702574169463</v>
      </c>
      <c r="H37" t="n">
        <v>85.9702574169463</v>
      </c>
      <c r="I37" t="n">
        <v>84.6269721448065</v>
      </c>
      <c r="J37" t="n">
        <v>83.4350429596684</v>
      </c>
      <c r="K37" t="n">
        <v>83.4350429596684</v>
      </c>
      <c r="L37" t="n">
        <v>82.583664970284</v>
      </c>
      <c r="M37" t="n">
        <v>80.9319916708783</v>
      </c>
      <c r="N37" t="n">
        <v>79.0498523296951</v>
      </c>
      <c r="O37" t="n">
        <v>82.3899869351752</v>
      </c>
      <c r="P37" t="n">
        <v>79.245330945283</v>
      </c>
      <c r="Q37" t="n">
        <v>82.075521336186</v>
      </c>
      <c r="R37" t="n">
        <v>83.8218090241899</v>
      </c>
      <c r="S37" t="n">
        <v>86.057057264835</v>
      </c>
      <c r="T37" t="n">
        <v>86.8689162956353</v>
      </c>
      <c r="U37" t="n">
        <v>87.8235197714115</v>
      </c>
      <c r="V37" t="n">
        <v>89.33771838816</v>
      </c>
      <c r="W37" t="n">
        <v>90.9330347879485</v>
      </c>
      <c r="X37" t="n">
        <v>92.1959936044478</v>
      </c>
      <c r="Y37" t="n">
        <v>93.3484435245034</v>
      </c>
      <c r="Z37" t="n">
        <v>94.5152990685597</v>
      </c>
      <c r="AA37" t="n">
        <v>95.5315926069314</v>
      </c>
      <c r="AB37" t="n">
        <v>97.150772142642</v>
      </c>
      <c r="AC37" t="n">
        <v>97.94708994709</v>
      </c>
      <c r="AD37" t="n">
        <v>98.8888888888889</v>
      </c>
      <c r="AE37" t="n">
        <v>100</v>
      </c>
      <c r="AF37" t="n">
        <v>101.117318435754</v>
      </c>
    </row>
    <row r="38">
      <c r="A38" t="s">
        <v>76</v>
      </c>
      <c r="B38" t="s">
        <v>346</v>
      </c>
      <c r="C38" t="s">
        <v>236</v>
      </c>
      <c r="D38" t="s">
        <v>347</v>
      </c>
      <c r="E38" t="s">
        <v>237</v>
      </c>
      <c r="F38" t="n">
        <v>80.6807417101612</v>
      </c>
      <c r="G38" t="n">
        <v>80.6807417101612</v>
      </c>
      <c r="H38" t="n">
        <v>80.6807417101612</v>
      </c>
      <c r="I38" t="n">
        <v>79.2775983760715</v>
      </c>
      <c r="J38" t="n">
        <v>78.0764226431007</v>
      </c>
      <c r="K38" t="n">
        <v>78.0764226431007</v>
      </c>
      <c r="L38" t="n">
        <v>77.1632481092633</v>
      </c>
      <c r="M38" t="n">
        <v>75.7770819755639</v>
      </c>
      <c r="N38" t="n">
        <v>74.4319266742225</v>
      </c>
      <c r="O38" t="n">
        <v>78.0190074777995</v>
      </c>
      <c r="P38" t="n">
        <v>78.3510032543008</v>
      </c>
      <c r="Q38" t="n">
        <v>80.5805033469028</v>
      </c>
      <c r="R38" t="n">
        <v>82.1793228577541</v>
      </c>
      <c r="S38" t="n">
        <v>84.8114008140523</v>
      </c>
      <c r="T38" t="n">
        <v>85.1647816507775</v>
      </c>
      <c r="U38" t="n">
        <v>85.9285913516813</v>
      </c>
      <c r="V38" t="n">
        <v>87.8047614685303</v>
      </c>
      <c r="W38" t="n">
        <v>89.5875992648456</v>
      </c>
      <c r="X38" t="n">
        <v>91.1483588339196</v>
      </c>
      <c r="Y38" t="n">
        <v>92.8467754581541</v>
      </c>
      <c r="Z38" t="n">
        <v>93.9327026564951</v>
      </c>
      <c r="AA38" t="n">
        <v>94.7332654632266</v>
      </c>
      <c r="AB38" t="n">
        <v>95.8956368186036</v>
      </c>
      <c r="AC38" t="n">
        <v>97.1250680598677</v>
      </c>
      <c r="AD38" t="n">
        <v>98.0810234541578</v>
      </c>
      <c r="AE38" t="n">
        <v>100</v>
      </c>
      <c r="AF38" t="n">
        <v>101.050420168067</v>
      </c>
    </row>
    <row r="39">
      <c r="A39" t="s">
        <v>76</v>
      </c>
      <c r="B39" t="s">
        <v>348</v>
      </c>
      <c r="C39" t="s">
        <v>236</v>
      </c>
      <c r="D39" t="s">
        <v>349</v>
      </c>
      <c r="E39" t="s">
        <v>237</v>
      </c>
      <c r="F39" t="n">
        <v>82.931796709576</v>
      </c>
      <c r="G39" t="n">
        <v>82.931796709576</v>
      </c>
      <c r="H39" t="n">
        <v>82.931796709576</v>
      </c>
      <c r="I39" t="n">
        <v>81.9445134154143</v>
      </c>
      <c r="J39" t="n">
        <v>81.0819395899889</v>
      </c>
      <c r="K39" t="n">
        <v>81.0819395899889</v>
      </c>
      <c r="L39" t="n">
        <v>80.3977038128582</v>
      </c>
      <c r="M39" t="n">
        <v>78.8878877788139</v>
      </c>
      <c r="N39" t="n">
        <v>77.4105865095478</v>
      </c>
      <c r="O39" t="n">
        <v>80.0525860491228</v>
      </c>
      <c r="P39" t="n">
        <v>80.0525860491228</v>
      </c>
      <c r="Q39" t="n">
        <v>82.2161694558558</v>
      </c>
      <c r="R39" t="n">
        <v>83.413492312009</v>
      </c>
      <c r="S39" t="n">
        <v>86.1176703670118</v>
      </c>
      <c r="T39" t="n">
        <v>86.5721171763364</v>
      </c>
      <c r="U39" t="n">
        <v>87.2610199655381</v>
      </c>
      <c r="V39" t="n">
        <v>88.9208763235782</v>
      </c>
      <c r="W39" t="n">
        <v>90.6178396121961</v>
      </c>
      <c r="X39" t="n">
        <v>92.3084709482445</v>
      </c>
      <c r="Y39" t="n">
        <v>93.8384456048453</v>
      </c>
      <c r="Z39" t="n">
        <v>94.8987670241091</v>
      </c>
      <c r="AA39" t="n">
        <v>95.6830543548868</v>
      </c>
      <c r="AB39" t="n">
        <v>96.7611732771954</v>
      </c>
      <c r="AC39" t="n">
        <v>97.857617167022</v>
      </c>
      <c r="AD39" t="n">
        <v>98.5915492957747</v>
      </c>
      <c r="AE39" t="n">
        <v>100</v>
      </c>
      <c r="AF39" t="n">
        <v>101.181102362205</v>
      </c>
    </row>
    <row r="40">
      <c r="A40" t="s">
        <v>76</v>
      </c>
      <c r="B40" t="s">
        <v>350</v>
      </c>
      <c r="C40" t="s">
        <v>236</v>
      </c>
      <c r="D40" t="s">
        <v>351</v>
      </c>
      <c r="E40" t="s">
        <v>237</v>
      </c>
      <c r="F40" t="n">
        <v>100</v>
      </c>
      <c r="G40" t="n">
        <v>100</v>
      </c>
      <c r="H40" t="n">
        <v>100</v>
      </c>
      <c r="I40" t="n">
        <v>100</v>
      </c>
      <c r="J40" t="n">
        <v>100</v>
      </c>
      <c r="K40" t="n">
        <v>100</v>
      </c>
      <c r="L40" t="n">
        <v>100</v>
      </c>
      <c r="M40" t="n">
        <v>100</v>
      </c>
      <c r="N40" t="n">
        <v>100</v>
      </c>
      <c r="O40" t="n">
        <v>100</v>
      </c>
      <c r="P40" t="n">
        <v>100</v>
      </c>
      <c r="Q40" t="n">
        <v>100</v>
      </c>
      <c r="R40" t="n">
        <v>100</v>
      </c>
      <c r="S40" t="n">
        <v>100</v>
      </c>
      <c r="T40" t="n">
        <v>100</v>
      </c>
      <c r="U40" t="n">
        <v>100</v>
      </c>
      <c r="V40" t="n">
        <v>100</v>
      </c>
      <c r="W40" t="n">
        <v>100</v>
      </c>
      <c r="X40" t="n">
        <v>100</v>
      </c>
      <c r="Y40" t="n">
        <v>100</v>
      </c>
      <c r="Z40" t="n">
        <v>100</v>
      </c>
      <c r="AA40" t="n">
        <v>100</v>
      </c>
      <c r="AB40" t="n">
        <v>100</v>
      </c>
      <c r="AC40" t="n">
        <v>100</v>
      </c>
      <c r="AD40" t="n">
        <v>100</v>
      </c>
      <c r="AE40" t="n">
        <v>100</v>
      </c>
      <c r="AF40" t="n">
        <v>100</v>
      </c>
    </row>
    <row r="41">
      <c r="A41" t="s">
        <v>76</v>
      </c>
      <c r="B41" t="s">
        <v>352</v>
      </c>
      <c r="C41" t="s">
        <v>236</v>
      </c>
      <c r="D41" t="s">
        <v>353</v>
      </c>
      <c r="E41" t="s">
        <v>237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/>
      <c r="AD41"/>
      <c r="AE41"/>
      <c r="AF41"/>
    </row>
    <row r="42">
      <c r="A42" t="s">
        <v>76</v>
      </c>
      <c r="B42" t="s">
        <v>354</v>
      </c>
      <c r="C42" t="s">
        <v>236</v>
      </c>
      <c r="D42" t="s">
        <v>355</v>
      </c>
      <c r="E42" t="s">
        <v>237</v>
      </c>
      <c r="F42" t="n">
        <v>83.3760372091831</v>
      </c>
      <c r="G42" t="n">
        <v>83.3760372091831</v>
      </c>
      <c r="H42" t="n">
        <v>83.3760372091831</v>
      </c>
      <c r="I42" t="n">
        <v>83.3760372091831</v>
      </c>
      <c r="J42" t="n">
        <v>83.3760372091831</v>
      </c>
      <c r="K42" t="n">
        <v>83.3760372091831</v>
      </c>
      <c r="L42" t="n">
        <v>83.3760372091831</v>
      </c>
      <c r="M42" t="n">
        <v>82.3071136552193</v>
      </c>
      <c r="N42" t="n">
        <v>81.4124711154886</v>
      </c>
      <c r="O42" t="n">
        <v>84.187896267153</v>
      </c>
      <c r="P42" t="n">
        <v>84.187896267153</v>
      </c>
      <c r="Q42" t="n">
        <v>85.0382790577303</v>
      </c>
      <c r="R42" t="n">
        <v>85.6456953367141</v>
      </c>
      <c r="S42" t="n">
        <v>88.4816455134265</v>
      </c>
      <c r="T42" t="n">
        <v>88.4816455134265</v>
      </c>
      <c r="U42" t="n">
        <v>88.4816455134265</v>
      </c>
      <c r="V42" t="n">
        <v>90.8411560604512</v>
      </c>
      <c r="W42" t="n">
        <v>92.8598484173501</v>
      </c>
      <c r="X42" t="n">
        <v>94.6342404253249</v>
      </c>
      <c r="Y42" t="n">
        <v>95.7608385256264</v>
      </c>
      <c r="Z42" t="n">
        <v>96.3018602122118</v>
      </c>
      <c r="AA42" t="n">
        <v>96.8617547483294</v>
      </c>
      <c r="AB42" t="n">
        <v>97.4249044852383</v>
      </c>
      <c r="AC42" t="n">
        <v>98.0226032857612</v>
      </c>
      <c r="AD42" t="n">
        <v>98.7854251012146</v>
      </c>
      <c r="AE42" t="n">
        <v>100</v>
      </c>
      <c r="AF42" t="n">
        <v>101.086956521739</v>
      </c>
    </row>
    <row r="43">
      <c r="A43" t="s">
        <v>76</v>
      </c>
      <c r="B43" t="s">
        <v>356</v>
      </c>
      <c r="C43" t="s">
        <v>236</v>
      </c>
      <c r="D43" t="s">
        <v>357</v>
      </c>
      <c r="E43" t="s">
        <v>237</v>
      </c>
      <c r="F43" t="n">
        <v>86.6521557434421</v>
      </c>
      <c r="G43" t="n">
        <v>86.6521557434421</v>
      </c>
      <c r="H43" t="n">
        <v>86.6521557434421</v>
      </c>
      <c r="I43" t="n">
        <v>86.6521557434421</v>
      </c>
      <c r="J43" t="n">
        <v>86.6521557434421</v>
      </c>
      <c r="K43" t="n">
        <v>86.6521557434421</v>
      </c>
      <c r="L43" t="n">
        <v>86.6521557434421</v>
      </c>
      <c r="M43" t="n">
        <v>85.8189619382167</v>
      </c>
      <c r="N43" t="n">
        <v>85.1378590656912</v>
      </c>
      <c r="O43" t="n">
        <v>87.3208810930166</v>
      </c>
      <c r="P43" t="n">
        <v>87.3208810930166</v>
      </c>
      <c r="Q43" t="n">
        <v>87.953641100937</v>
      </c>
      <c r="R43" t="n">
        <v>88.4450022244059</v>
      </c>
      <c r="S43" t="n">
        <v>90.701252281151</v>
      </c>
      <c r="T43" t="n">
        <v>90.701252281151</v>
      </c>
      <c r="U43" t="n">
        <v>90.701252281151</v>
      </c>
      <c r="V43" t="n">
        <v>92.4797082082324</v>
      </c>
      <c r="W43" t="n">
        <v>93.8330697917675</v>
      </c>
      <c r="X43" t="n">
        <v>95.0953980849303</v>
      </c>
      <c r="Y43" t="n">
        <v>96.2504029199699</v>
      </c>
      <c r="Z43" t="n">
        <v>96.6400806645852</v>
      </c>
      <c r="AA43" t="n">
        <v>97.0047602142628</v>
      </c>
      <c r="AB43" t="n">
        <v>97.3562267367783</v>
      </c>
      <c r="AC43" t="n">
        <v>98.0937739090266</v>
      </c>
      <c r="AD43" t="n">
        <v>98.6033519553072</v>
      </c>
      <c r="AE43" t="n">
        <v>100</v>
      </c>
      <c r="AF43" t="n">
        <v>100.755667506297</v>
      </c>
    </row>
    <row r="44">
      <c r="A44" t="s">
        <v>76</v>
      </c>
      <c r="B44" t="s">
        <v>358</v>
      </c>
      <c r="C44" t="s">
        <v>236</v>
      </c>
      <c r="D44" t="s">
        <v>359</v>
      </c>
      <c r="E44" t="s">
        <v>237</v>
      </c>
      <c r="F44" t="n">
        <v>83.6002840698618</v>
      </c>
      <c r="G44" t="n">
        <v>83.6002840698618</v>
      </c>
      <c r="H44" t="n">
        <v>83.6002840698618</v>
      </c>
      <c r="I44" t="n">
        <v>83.0996835664494</v>
      </c>
      <c r="J44" t="n">
        <v>82.5195810633678</v>
      </c>
      <c r="K44" t="n">
        <v>82.5195810633678</v>
      </c>
      <c r="L44" t="n">
        <v>81.9665007613345</v>
      </c>
      <c r="M44" t="n">
        <v>80.9582297678882</v>
      </c>
      <c r="N44" t="n">
        <v>79.7970388647344</v>
      </c>
      <c r="O44" t="n">
        <v>82.622151420815</v>
      </c>
      <c r="P44" t="n">
        <v>82.5796503141171</v>
      </c>
      <c r="Q44" t="n">
        <v>84.6038638535827</v>
      </c>
      <c r="R44" t="n">
        <v>85.7729637686483</v>
      </c>
      <c r="S44" t="n">
        <v>88.2877326657895</v>
      </c>
      <c r="T44" t="n">
        <v>88.5559679646873</v>
      </c>
      <c r="U44" t="n">
        <v>88.9807894420583</v>
      </c>
      <c r="V44" t="n">
        <v>90.5048345840171</v>
      </c>
      <c r="W44" t="n">
        <v>92.0926386995262</v>
      </c>
      <c r="X44" t="n">
        <v>93.4210857575592</v>
      </c>
      <c r="Y44" t="n">
        <v>94.7373767602362</v>
      </c>
      <c r="Z44" t="n">
        <v>95.6183132353411</v>
      </c>
      <c r="AA44" t="n">
        <v>96.2759860050148</v>
      </c>
      <c r="AB44" t="n">
        <v>97.105058005058</v>
      </c>
      <c r="AC44" t="n">
        <v>98.0325179669019</v>
      </c>
      <c r="AD44" t="n">
        <v>98.7016819120685</v>
      </c>
      <c r="AE44" t="n">
        <v>100</v>
      </c>
      <c r="AF44" t="n">
        <v>100.616937745373</v>
      </c>
    </row>
    <row r="45">
      <c r="A45" t="s">
        <v>76</v>
      </c>
      <c r="B45" t="s">
        <v>360</v>
      </c>
      <c r="C45" t="s">
        <v>236</v>
      </c>
      <c r="D45" t="s">
        <v>361</v>
      </c>
      <c r="E45" t="s">
        <v>237</v>
      </c>
      <c r="F45" t="n">
        <v>83.6313303588996</v>
      </c>
      <c r="G45" t="n">
        <v>83.6313303588996</v>
      </c>
      <c r="H45" t="n">
        <v>83.6313303588996</v>
      </c>
      <c r="I45" t="n">
        <v>83.1295423767462</v>
      </c>
      <c r="J45" t="n">
        <v>82.5482169055801</v>
      </c>
      <c r="K45" t="n">
        <v>82.5482169055801</v>
      </c>
      <c r="L45" t="n">
        <v>81.9938299552404</v>
      </c>
      <c r="M45" t="n">
        <v>80.9830285707306</v>
      </c>
      <c r="N45" t="n">
        <v>79.8194793096569</v>
      </c>
      <c r="O45" t="n">
        <v>82.6506618365084</v>
      </c>
      <c r="P45" t="n">
        <v>82.6080584025721</v>
      </c>
      <c r="Q45" t="n">
        <v>84.639064354266</v>
      </c>
      <c r="R45" t="n">
        <v>85.8113505641589</v>
      </c>
      <c r="S45" t="n">
        <v>88.3329318420388</v>
      </c>
      <c r="T45" t="n">
        <v>88.6018881373386</v>
      </c>
      <c r="U45" t="n">
        <v>89.0280450107582</v>
      </c>
      <c r="V45" t="n">
        <v>90.5562552904323</v>
      </c>
      <c r="W45" t="n">
        <v>92.1484531856487</v>
      </c>
      <c r="X45" t="n">
        <v>93.4816648487602</v>
      </c>
      <c r="Y45" t="n">
        <v>94.8018257645633</v>
      </c>
      <c r="Z45" t="n">
        <v>95.6482706374612</v>
      </c>
      <c r="AA45" t="n">
        <v>96.270551770579</v>
      </c>
      <c r="AB45" t="n">
        <v>97.1007685303684</v>
      </c>
      <c r="AC45" t="n">
        <v>98.0296661885034</v>
      </c>
      <c r="AD45" t="n">
        <v>98.6997635933806</v>
      </c>
      <c r="AE45" t="n">
        <v>100</v>
      </c>
      <c r="AF45" t="n">
        <v>100.617803987644</v>
      </c>
    </row>
    <row r="46">
      <c r="A46" t="s">
        <v>76</v>
      </c>
      <c r="B46" t="s">
        <v>362</v>
      </c>
      <c r="C46" t="s">
        <v>236</v>
      </c>
      <c r="D46" t="s">
        <v>363</v>
      </c>
      <c r="E46" t="s">
        <v>237</v>
      </c>
      <c r="F46" t="n">
        <v>96.0200273803215</v>
      </c>
      <c r="G46" t="n">
        <v>96.0200273803215</v>
      </c>
      <c r="H46" t="n">
        <v>96.0200273803215</v>
      </c>
      <c r="I46" t="n">
        <v>96.0200273803215</v>
      </c>
      <c r="J46" t="n">
        <v>96.0200273803215</v>
      </c>
      <c r="K46" t="n">
        <v>96.0200273803215</v>
      </c>
      <c r="L46" t="n">
        <v>96.0200273803215</v>
      </c>
      <c r="M46" t="n">
        <v>96.0200273803215</v>
      </c>
      <c r="N46" t="n">
        <v>96.0200273803215</v>
      </c>
      <c r="O46" t="n">
        <v>96.0200273803215</v>
      </c>
      <c r="P46" t="n">
        <v>96.0200273803215</v>
      </c>
      <c r="Q46" t="n">
        <v>96.0200273803215</v>
      </c>
      <c r="R46" t="n">
        <v>96.0200273803215</v>
      </c>
      <c r="S46" t="n">
        <v>96.0200273803215</v>
      </c>
      <c r="T46" t="n">
        <v>96.0200273803215</v>
      </c>
      <c r="U46" t="n">
        <v>96.0200273803215</v>
      </c>
      <c r="V46" t="n">
        <v>96.0200273803215</v>
      </c>
      <c r="W46" t="n">
        <v>96.0200273803215</v>
      </c>
      <c r="X46" t="n">
        <v>96.0200273803215</v>
      </c>
      <c r="Y46" t="n">
        <v>97.2354707648825</v>
      </c>
      <c r="Z46" t="n">
        <v>97.2354707648825</v>
      </c>
      <c r="AA46" t="n">
        <v>97.2354707648825</v>
      </c>
      <c r="AB46" t="n">
        <v>97.2354707648825</v>
      </c>
      <c r="AC46" t="n">
        <v>98.1981981981982</v>
      </c>
      <c r="AD46" t="n">
        <v>98.1981981981982</v>
      </c>
      <c r="AE46" t="n">
        <v>100</v>
      </c>
      <c r="AF46" t="n">
        <v>100</v>
      </c>
    </row>
    <row r="47">
      <c r="A47" t="s">
        <v>76</v>
      </c>
      <c r="B47" t="s">
        <v>364</v>
      </c>
      <c r="C47" t="s">
        <v>236</v>
      </c>
      <c r="D47" t="s">
        <v>365</v>
      </c>
      <c r="E47" t="s">
        <v>237</v>
      </c>
      <c r="F47" t="n">
        <v>81.4918584365958</v>
      </c>
      <c r="G47" t="n">
        <v>81.4918584365958</v>
      </c>
      <c r="H47" t="n">
        <v>81.4918584365958</v>
      </c>
      <c r="I47" t="n">
        <v>81.4918584365958</v>
      </c>
      <c r="J47" t="n">
        <v>81.4918584365958</v>
      </c>
      <c r="K47" t="n">
        <v>81.4918584365958</v>
      </c>
      <c r="L47" t="n">
        <v>81.4918584365958</v>
      </c>
      <c r="M47" t="n">
        <v>80.0495246589569</v>
      </c>
      <c r="N47" t="n">
        <v>78.3218370763895</v>
      </c>
      <c r="O47" t="n">
        <v>81.0796482410511</v>
      </c>
      <c r="P47" t="n">
        <v>79.9839773188748</v>
      </c>
      <c r="Q47" t="n">
        <v>82.9684540845044</v>
      </c>
      <c r="R47" t="n">
        <v>83.5830352258711</v>
      </c>
      <c r="S47" t="n">
        <v>86.3878350656654</v>
      </c>
      <c r="T47" t="n">
        <v>86.3878350656654</v>
      </c>
      <c r="U47" t="n">
        <v>86.8843168763876</v>
      </c>
      <c r="V47" t="n">
        <v>88.8478042634247</v>
      </c>
      <c r="W47" t="n">
        <v>90.4830399247147</v>
      </c>
      <c r="X47" t="n">
        <v>92.1902670931055</v>
      </c>
      <c r="Y47" t="n">
        <v>93.8870204751872</v>
      </c>
      <c r="Z47" t="n">
        <v>94.8450512963626</v>
      </c>
      <c r="AA47" t="n">
        <v>95.7526594427393</v>
      </c>
      <c r="AB47" t="n">
        <v>96.7297273962366</v>
      </c>
      <c r="AC47" t="n">
        <v>97.5782337769053</v>
      </c>
      <c r="AD47" t="n">
        <v>98.4455958549223</v>
      </c>
      <c r="AE47" t="n">
        <v>100</v>
      </c>
      <c r="AF47" t="n">
        <v>101.169590643275</v>
      </c>
    </row>
    <row r="48">
      <c r="A48" t="s">
        <v>76</v>
      </c>
      <c r="B48" t="s">
        <v>366</v>
      </c>
      <c r="C48" t="s">
        <v>236</v>
      </c>
      <c r="D48" t="s">
        <v>367</v>
      </c>
      <c r="E48" t="s">
        <v>237</v>
      </c>
      <c r="F48" t="n">
        <v>82.5276897613804</v>
      </c>
      <c r="G48" t="n">
        <v>82.5276897613804</v>
      </c>
      <c r="H48" t="n">
        <v>82.5276897613804</v>
      </c>
      <c r="I48" t="n">
        <v>82.5276897613804</v>
      </c>
      <c r="J48" t="n">
        <v>82.5276897613804</v>
      </c>
      <c r="K48" t="n">
        <v>82.5276897613804</v>
      </c>
      <c r="L48" t="n">
        <v>82.5276897613804</v>
      </c>
      <c r="M48" t="n">
        <v>81.5845161641074</v>
      </c>
      <c r="N48" t="n">
        <v>80.3357735697589</v>
      </c>
      <c r="O48" t="n">
        <v>82.7950319443433</v>
      </c>
      <c r="P48" t="n">
        <v>82.0027349879381</v>
      </c>
      <c r="Q48" t="n">
        <v>84.3681984972056</v>
      </c>
      <c r="R48" t="n">
        <v>85.191302872788</v>
      </c>
      <c r="S48" t="n">
        <v>87.9268034237491</v>
      </c>
      <c r="T48" t="n">
        <v>87.9268034237491</v>
      </c>
      <c r="U48" t="n">
        <v>88.2676049874071</v>
      </c>
      <c r="V48" t="n">
        <v>90.0051562666867</v>
      </c>
      <c r="W48" t="n">
        <v>91.7162809105401</v>
      </c>
      <c r="X48" t="n">
        <v>93.4084632151626</v>
      </c>
      <c r="Y48" t="n">
        <v>94.6750186485885</v>
      </c>
      <c r="Z48" t="n">
        <v>95.3040885399413</v>
      </c>
      <c r="AA48" t="n">
        <v>95.8440550472497</v>
      </c>
      <c r="AB48" t="n">
        <v>96.9031053792636</v>
      </c>
      <c r="AC48" t="n">
        <v>97.8601730867131</v>
      </c>
      <c r="AD48" t="n">
        <v>98.5542168674699</v>
      </c>
      <c r="AE48" t="n">
        <v>100</v>
      </c>
      <c r="AF48" t="n">
        <v>100.717703349282</v>
      </c>
    </row>
    <row r="49">
      <c r="A49" t="s">
        <v>76</v>
      </c>
      <c r="B49" t="s">
        <v>368</v>
      </c>
      <c r="C49" t="s">
        <v>236</v>
      </c>
      <c r="D49" t="s">
        <v>369</v>
      </c>
      <c r="E49" t="s">
        <v>237</v>
      </c>
      <c r="F49" t="n">
        <v>89.4247824236118</v>
      </c>
      <c r="G49" t="n">
        <v>89.4247824236118</v>
      </c>
      <c r="H49" t="n">
        <v>89.4247824236118</v>
      </c>
      <c r="I49" t="n">
        <v>89.4247824236118</v>
      </c>
      <c r="J49" t="n">
        <v>89.4247824236118</v>
      </c>
      <c r="K49" t="n">
        <v>89.4247824236118</v>
      </c>
      <c r="L49" t="n">
        <v>89.4247824236118</v>
      </c>
      <c r="M49" t="n">
        <v>89.4247824236118</v>
      </c>
      <c r="N49" t="n">
        <v>89.4247824236118</v>
      </c>
      <c r="O49" t="n">
        <v>89.4247824236118</v>
      </c>
      <c r="P49" t="n">
        <v>89.4247824236118</v>
      </c>
      <c r="Q49" t="n">
        <v>89.4247824236118</v>
      </c>
      <c r="R49" t="n">
        <v>89.4247824236118</v>
      </c>
      <c r="S49" t="n">
        <v>89.4247824236118</v>
      </c>
      <c r="T49" t="n">
        <v>89.4247824236118</v>
      </c>
      <c r="U49" t="n">
        <v>89.4247824236118</v>
      </c>
      <c r="V49" t="n">
        <v>89.4247824236118</v>
      </c>
      <c r="W49" t="n">
        <v>92.5083956106329</v>
      </c>
      <c r="X49" t="n">
        <v>95.592008797654</v>
      </c>
      <c r="Y49" t="n">
        <v>95.592008797654</v>
      </c>
      <c r="Z49" t="n">
        <v>95.592008797654</v>
      </c>
      <c r="AA49" t="n">
        <v>95.592008797654</v>
      </c>
      <c r="AB49" t="n">
        <v>97.1093422706326</v>
      </c>
      <c r="AC49" t="n">
        <v>98.7012987012987</v>
      </c>
      <c r="AD49" t="n">
        <v>98.7012987012987</v>
      </c>
      <c r="AE49" t="n">
        <v>100</v>
      </c>
      <c r="AF49" t="n">
        <v>100</v>
      </c>
    </row>
    <row r="50">
      <c r="A50" t="s">
        <v>76</v>
      </c>
      <c r="B50" t="s">
        <v>370</v>
      </c>
      <c r="C50" t="s">
        <v>236</v>
      </c>
      <c r="D50" t="s">
        <v>371</v>
      </c>
      <c r="E50" t="s">
        <v>237</v>
      </c>
      <c r="F50" t="n">
        <v>80.8134653118317</v>
      </c>
      <c r="G50" t="n">
        <v>80.8134653118317</v>
      </c>
      <c r="H50" t="n">
        <v>80.8134653118317</v>
      </c>
      <c r="I50" t="n">
        <v>80.8134653118317</v>
      </c>
      <c r="J50" t="n">
        <v>80.8134653118317</v>
      </c>
      <c r="K50" t="n">
        <v>80.8134653118317</v>
      </c>
      <c r="L50" t="n">
        <v>80.8134653118317</v>
      </c>
      <c r="M50" t="n">
        <v>80.8134653118317</v>
      </c>
      <c r="N50" t="n">
        <v>80.8134653118317</v>
      </c>
      <c r="O50" t="n">
        <v>83.4203512896327</v>
      </c>
      <c r="P50" t="n">
        <v>83.4203512896327</v>
      </c>
      <c r="Q50" t="n">
        <v>85.0245888144334</v>
      </c>
      <c r="R50" t="n">
        <v>86.6917376147164</v>
      </c>
      <c r="S50" t="n">
        <v>90.7239114572613</v>
      </c>
      <c r="T50" t="n">
        <v>90.7239114572613</v>
      </c>
      <c r="U50" t="n">
        <v>90.7239114572613</v>
      </c>
      <c r="V50" t="n">
        <v>92.5754198543483</v>
      </c>
      <c r="W50" t="n">
        <v>93.8792990072264</v>
      </c>
      <c r="X50" t="n">
        <v>95.0241685073146</v>
      </c>
      <c r="Y50" t="n">
        <v>96.1039886039886</v>
      </c>
      <c r="Z50" t="n">
        <v>96.1039886039886</v>
      </c>
      <c r="AA50" t="n">
        <v>96.1039886039886</v>
      </c>
      <c r="AB50" t="n">
        <v>97.037037037037</v>
      </c>
      <c r="AC50" t="n">
        <v>97.8735632183908</v>
      </c>
      <c r="AD50" t="n">
        <v>98.6206896551724</v>
      </c>
      <c r="AE50" t="n">
        <v>100</v>
      </c>
      <c r="AF50" t="n">
        <v>100.529100529101</v>
      </c>
    </row>
    <row r="51">
      <c r="A51" t="s">
        <v>76</v>
      </c>
      <c r="B51" t="s">
        <v>372</v>
      </c>
      <c r="C51" t="s">
        <v>236</v>
      </c>
      <c r="D51" t="s">
        <v>373</v>
      </c>
      <c r="E51" t="s">
        <v>237</v>
      </c>
      <c r="F51" t="n">
        <v>79.5954599864087</v>
      </c>
      <c r="G51" t="n">
        <v>79.5954599864087</v>
      </c>
      <c r="H51" t="n">
        <v>79.5954599864087</v>
      </c>
      <c r="I51" t="n">
        <v>79.5954599864087</v>
      </c>
      <c r="J51" t="n">
        <v>79.5954599864087</v>
      </c>
      <c r="K51" t="n">
        <v>79.5954599864087</v>
      </c>
      <c r="L51" t="n">
        <v>79.5954599864087</v>
      </c>
      <c r="M51" t="n">
        <v>79.5954599864087</v>
      </c>
      <c r="N51" t="n">
        <v>79.5954599864087</v>
      </c>
      <c r="O51" t="n">
        <v>82.4381549859233</v>
      </c>
      <c r="P51" t="n">
        <v>82.4381549859233</v>
      </c>
      <c r="Q51" t="n">
        <v>84.054589397412</v>
      </c>
      <c r="R51" t="n">
        <v>85.7356811853602</v>
      </c>
      <c r="S51" t="n">
        <v>89.8183326703774</v>
      </c>
      <c r="T51" t="n">
        <v>89.8183326703774</v>
      </c>
      <c r="U51" t="n">
        <v>89.8183326703774</v>
      </c>
      <c r="V51" t="n">
        <v>91.814295618608</v>
      </c>
      <c r="W51" t="n">
        <v>93.2054213097991</v>
      </c>
      <c r="X51" t="n">
        <v>94.4318084322964</v>
      </c>
      <c r="Y51" t="n">
        <v>95.5695410640108</v>
      </c>
      <c r="Z51" t="n">
        <v>95.5695410640108</v>
      </c>
      <c r="AA51" t="n">
        <v>95.5695410640108</v>
      </c>
      <c r="AB51" t="n">
        <v>96.6314248536109</v>
      </c>
      <c r="AC51" t="n">
        <v>97.551724137931</v>
      </c>
      <c r="AD51" t="n">
        <v>98.4</v>
      </c>
      <c r="AE51" t="n">
        <v>100</v>
      </c>
      <c r="AF51" t="n">
        <v>100.613496932515</v>
      </c>
    </row>
    <row r="52">
      <c r="A52" t="s">
        <v>76</v>
      </c>
      <c r="B52" t="s">
        <v>374</v>
      </c>
      <c r="C52" t="s">
        <v>236</v>
      </c>
      <c r="D52" t="s">
        <v>375</v>
      </c>
      <c r="E52" t="s">
        <v>237</v>
      </c>
      <c r="F52" t="n">
        <v>100</v>
      </c>
      <c r="G52" t="n">
        <v>100</v>
      </c>
      <c r="H52" t="n">
        <v>100</v>
      </c>
      <c r="I52" t="n">
        <v>100</v>
      </c>
      <c r="J52" t="n">
        <v>100</v>
      </c>
      <c r="K52" t="n">
        <v>100</v>
      </c>
      <c r="L52" t="n">
        <v>100</v>
      </c>
      <c r="M52" t="n">
        <v>100</v>
      </c>
      <c r="N52" t="n">
        <v>100</v>
      </c>
      <c r="O52" t="n">
        <v>100</v>
      </c>
      <c r="P52" t="n">
        <v>100</v>
      </c>
      <c r="Q52" t="n">
        <v>100</v>
      </c>
      <c r="R52" t="n">
        <v>100</v>
      </c>
      <c r="S52" t="n">
        <v>100</v>
      </c>
      <c r="T52" t="n">
        <v>100</v>
      </c>
      <c r="U52" t="n">
        <v>100</v>
      </c>
      <c r="V52" t="n">
        <v>100</v>
      </c>
      <c r="W52" t="n">
        <v>100</v>
      </c>
      <c r="X52" t="n">
        <v>100</v>
      </c>
      <c r="Y52" t="n">
        <v>100</v>
      </c>
      <c r="Z52" t="n">
        <v>100</v>
      </c>
      <c r="AA52" t="n">
        <v>100</v>
      </c>
      <c r="AB52" t="n">
        <v>100</v>
      </c>
      <c r="AC52" t="n">
        <v>100</v>
      </c>
      <c r="AD52" t="n">
        <v>100</v>
      </c>
      <c r="AE52" t="n">
        <v>100</v>
      </c>
      <c r="AF52" t="n">
        <v>100</v>
      </c>
    </row>
    <row r="53">
      <c r="A53" t="s">
        <v>76</v>
      </c>
      <c r="B53" t="s">
        <v>376</v>
      </c>
      <c r="C53" t="s">
        <v>236</v>
      </c>
      <c r="D53" t="s">
        <v>377</v>
      </c>
      <c r="E53" t="s">
        <v>237</v>
      </c>
      <c r="F53" t="n">
        <v>93.4736842105263</v>
      </c>
      <c r="G53" t="n">
        <v>93.4736842105263</v>
      </c>
      <c r="H53" t="n">
        <v>93.4736842105263</v>
      </c>
      <c r="I53" t="n">
        <v>93.4736842105263</v>
      </c>
      <c r="J53" t="n">
        <v>93.4736842105263</v>
      </c>
      <c r="K53" t="n">
        <v>93.4736842105263</v>
      </c>
      <c r="L53" t="n">
        <v>93.4736842105263</v>
      </c>
      <c r="M53" t="n">
        <v>93.4736842105263</v>
      </c>
      <c r="N53" t="n">
        <v>93.4736842105263</v>
      </c>
      <c r="O53" t="n">
        <v>93.4736842105263</v>
      </c>
      <c r="P53" t="n">
        <v>93.4736842105263</v>
      </c>
      <c r="Q53" t="n">
        <v>96</v>
      </c>
      <c r="R53" t="n">
        <v>96</v>
      </c>
      <c r="S53" t="n">
        <v>100</v>
      </c>
      <c r="T53" t="n">
        <v>100</v>
      </c>
      <c r="U53" t="n">
        <v>100</v>
      </c>
      <c r="V53" t="n">
        <v>100</v>
      </c>
      <c r="W53" t="n">
        <v>100</v>
      </c>
      <c r="X53" t="n">
        <v>100</v>
      </c>
      <c r="Y53" t="n">
        <v>100</v>
      </c>
      <c r="Z53" t="n">
        <v>100</v>
      </c>
      <c r="AA53" t="n">
        <v>100</v>
      </c>
      <c r="AB53" t="n">
        <v>100</v>
      </c>
      <c r="AC53" t="n">
        <v>100</v>
      </c>
      <c r="AD53" t="n">
        <v>100</v>
      </c>
      <c r="AE53" t="n">
        <v>100</v>
      </c>
      <c r="AF53" t="n">
        <v>100</v>
      </c>
    </row>
    <row r="54">
      <c r="A54" t="s">
        <v>76</v>
      </c>
      <c r="B54" t="s">
        <v>378</v>
      </c>
      <c r="C54" t="s">
        <v>236</v>
      </c>
      <c r="D54" t="s">
        <v>379</v>
      </c>
      <c r="E54" t="s">
        <v>237</v>
      </c>
      <c r="F54" t="n">
        <v>94.6690518783542</v>
      </c>
      <c r="G54" t="n">
        <v>94.6690518783542</v>
      </c>
      <c r="H54" t="n">
        <v>94.6690518783542</v>
      </c>
      <c r="I54" t="n">
        <v>94.6690518783542</v>
      </c>
      <c r="J54" t="n">
        <v>94.6690518783542</v>
      </c>
      <c r="K54" t="n">
        <v>94.6690518783542</v>
      </c>
      <c r="L54" t="n">
        <v>94.6690518783542</v>
      </c>
      <c r="M54" t="n">
        <v>94.6690518783542</v>
      </c>
      <c r="N54" t="n">
        <v>94.6690518783542</v>
      </c>
      <c r="O54" t="n">
        <v>94.6690518783542</v>
      </c>
      <c r="P54" t="n">
        <v>94.6690518783542</v>
      </c>
      <c r="Q54" t="n">
        <v>96.9230769230769</v>
      </c>
      <c r="R54" t="n">
        <v>96.9230769230769</v>
      </c>
      <c r="S54" t="n">
        <v>100</v>
      </c>
      <c r="T54" t="n">
        <v>100</v>
      </c>
      <c r="U54" t="n">
        <v>100</v>
      </c>
      <c r="V54" t="n">
        <v>100</v>
      </c>
      <c r="W54" t="n">
        <v>100</v>
      </c>
      <c r="X54" t="n">
        <v>100</v>
      </c>
      <c r="Y54" t="n">
        <v>100</v>
      </c>
      <c r="Z54" t="n">
        <v>100</v>
      </c>
      <c r="AA54" t="n">
        <v>100</v>
      </c>
      <c r="AB54" t="n">
        <v>100</v>
      </c>
      <c r="AC54" t="n">
        <v>100</v>
      </c>
      <c r="AD54" t="n">
        <v>100</v>
      </c>
      <c r="AE54" t="n">
        <v>100</v>
      </c>
      <c r="AF54" t="n">
        <v>100</v>
      </c>
    </row>
    <row r="55">
      <c r="A55" t="s">
        <v>76</v>
      </c>
      <c r="B55" t="s">
        <v>380</v>
      </c>
      <c r="C55" t="s">
        <v>236</v>
      </c>
      <c r="D55" t="s">
        <v>381</v>
      </c>
      <c r="E55" t="s">
        <v>237</v>
      </c>
      <c r="F55" t="n">
        <v>100</v>
      </c>
      <c r="G55" t="n">
        <v>100</v>
      </c>
      <c r="H55" t="n">
        <v>100</v>
      </c>
      <c r="I55" t="n">
        <v>100</v>
      </c>
      <c r="J55" t="n">
        <v>100</v>
      </c>
      <c r="K55" t="n">
        <v>100</v>
      </c>
      <c r="L55" t="n">
        <v>100</v>
      </c>
      <c r="M55" t="n">
        <v>100</v>
      </c>
      <c r="N55" t="n">
        <v>100</v>
      </c>
      <c r="O55" t="n">
        <v>100</v>
      </c>
      <c r="P55" t="n">
        <v>100</v>
      </c>
      <c r="Q55" t="n">
        <v>100</v>
      </c>
      <c r="R55" t="n">
        <v>100</v>
      </c>
      <c r="S55" t="n">
        <v>100</v>
      </c>
      <c r="T55" t="n">
        <v>100</v>
      </c>
      <c r="U55" t="n">
        <v>100</v>
      </c>
      <c r="V55" t="n">
        <v>100</v>
      </c>
      <c r="W55" t="n">
        <v>100</v>
      </c>
      <c r="X55" t="n">
        <v>100</v>
      </c>
      <c r="Y55" t="n">
        <v>100</v>
      </c>
      <c r="Z55" t="n">
        <v>100</v>
      </c>
      <c r="AA55" t="n">
        <v>100</v>
      </c>
      <c r="AB55" t="n">
        <v>100</v>
      </c>
      <c r="AC55" t="n">
        <v>100</v>
      </c>
      <c r="AD55" t="n">
        <v>100</v>
      </c>
      <c r="AE55" t="n">
        <v>100</v>
      </c>
      <c r="AF55" t="n">
        <v>100</v>
      </c>
    </row>
    <row r="56">
      <c r="A56" t="s">
        <v>76</v>
      </c>
      <c r="B56" t="s">
        <v>382</v>
      </c>
      <c r="C56" t="s">
        <v>236</v>
      </c>
      <c r="D56" t="s">
        <v>383</v>
      </c>
      <c r="E56" t="s">
        <v>237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76</v>
      </c>
      <c r="B57" t="s">
        <v>384</v>
      </c>
      <c r="C57" t="s">
        <v>236</v>
      </c>
      <c r="D57" t="s">
        <v>385</v>
      </c>
      <c r="E57" t="s">
        <v>237</v>
      </c>
      <c r="F57" t="n">
        <v>83.5966490381971</v>
      </c>
      <c r="G57" t="n">
        <v>83.5966490381971</v>
      </c>
      <c r="H57" t="n">
        <v>83.5966490381972</v>
      </c>
      <c r="I57" t="n">
        <v>83.1443677990365</v>
      </c>
      <c r="J57" t="n">
        <v>82.6181376230932</v>
      </c>
      <c r="K57" t="n">
        <v>82.6181376230932</v>
      </c>
      <c r="L57" t="n">
        <v>82.1192358258523</v>
      </c>
      <c r="M57" t="n">
        <v>81.1197063699323</v>
      </c>
      <c r="N57" t="n">
        <v>79.9495096783516</v>
      </c>
      <c r="O57" t="n">
        <v>82.7353609558605</v>
      </c>
      <c r="P57" t="n">
        <v>82.6202375408013</v>
      </c>
      <c r="Q57" t="n">
        <v>84.6736099152903</v>
      </c>
      <c r="R57" t="n">
        <v>85.8116004727406</v>
      </c>
      <c r="S57" t="n">
        <v>88.3375347466725</v>
      </c>
      <c r="T57" t="n">
        <v>88.5819468981455</v>
      </c>
      <c r="U57" t="n">
        <v>88.9942755881291</v>
      </c>
      <c r="V57" t="n">
        <v>90.5310684161816</v>
      </c>
      <c r="W57" t="n">
        <v>92.1211925686906</v>
      </c>
      <c r="X57" t="n">
        <v>93.4759159888184</v>
      </c>
      <c r="Y57" t="n">
        <v>94.7737529531061</v>
      </c>
      <c r="Z57" t="n">
        <v>95.6202378644014</v>
      </c>
      <c r="AA57" t="n">
        <v>96.2587703376195</v>
      </c>
      <c r="AB57" t="n">
        <v>97.106865230462</v>
      </c>
      <c r="AC57" t="n">
        <v>98.0288516638145</v>
      </c>
      <c r="AD57" t="n">
        <v>98.6962190352021</v>
      </c>
      <c r="AE57" t="n">
        <v>100</v>
      </c>
      <c r="AF57" t="n">
        <v>100.621581302834</v>
      </c>
    </row>
    <row r="58">
      <c r="A58" t="s">
        <v>76</v>
      </c>
      <c r="B58" t="s">
        <v>386</v>
      </c>
      <c r="C58" t="s">
        <v>236</v>
      </c>
      <c r="D58" t="s">
        <v>387</v>
      </c>
      <c r="E58" t="s">
        <v>237</v>
      </c>
      <c r="F58" t="n">
        <v>83.5966490381971</v>
      </c>
      <c r="G58" t="n">
        <v>83.5966490381971</v>
      </c>
      <c r="H58" t="n">
        <v>83.5966490381972</v>
      </c>
      <c r="I58" t="n">
        <v>83.1443677990365</v>
      </c>
      <c r="J58" t="n">
        <v>82.6181376230932</v>
      </c>
      <c r="K58" t="n">
        <v>82.6181376230932</v>
      </c>
      <c r="L58" t="n">
        <v>82.1192358258523</v>
      </c>
      <c r="M58" t="n">
        <v>81.1197063699323</v>
      </c>
      <c r="N58" t="n">
        <v>79.9495096783516</v>
      </c>
      <c r="O58" t="n">
        <v>82.7353609558605</v>
      </c>
      <c r="P58" t="n">
        <v>82.6202375408013</v>
      </c>
      <c r="Q58" t="n">
        <v>84.6736099152903</v>
      </c>
      <c r="R58" t="n">
        <v>85.8116004727406</v>
      </c>
      <c r="S58" t="n">
        <v>88.3375347466725</v>
      </c>
      <c r="T58" t="n">
        <v>88.5819468981455</v>
      </c>
      <c r="U58" t="n">
        <v>88.9942755881291</v>
      </c>
      <c r="V58" t="n">
        <v>90.5310684161816</v>
      </c>
      <c r="W58" t="n">
        <v>92.1211925686906</v>
      </c>
      <c r="X58" t="n">
        <v>93.4759159888184</v>
      </c>
      <c r="Y58" t="n">
        <v>94.7737529531061</v>
      </c>
      <c r="Z58" t="n">
        <v>95.6202378644014</v>
      </c>
      <c r="AA58" t="n">
        <v>96.2587703376195</v>
      </c>
      <c r="AB58" t="n">
        <v>97.106865230462</v>
      </c>
      <c r="AC58" t="n">
        <v>98.0288516638145</v>
      </c>
      <c r="AD58" t="n">
        <v>98.6962190352021</v>
      </c>
      <c r="AE58" t="n">
        <v>100</v>
      </c>
      <c r="AF58" t="n">
        <v>100.621581302834</v>
      </c>
    </row>
    <row r="59">
      <c r="A59" t="s">
        <v>76</v>
      </c>
      <c r="B59" t="s">
        <v>388</v>
      </c>
      <c r="C59" t="s">
        <v>236</v>
      </c>
      <c r="D59" t="s">
        <v>389</v>
      </c>
      <c r="E59" t="s">
        <v>237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78</v>
      </c>
      <c r="B2" t="s">
        <v>197</v>
      </c>
      <c r="C2" t="s">
        <v>236</v>
      </c>
      <c r="D2" t="s">
        <v>199</v>
      </c>
      <c r="E2" t="s">
        <v>237</v>
      </c>
      <c r="F2" t="n">
        <v>60.4946024634546</v>
      </c>
      <c r="G2" t="n">
        <v>59.4515920761537</v>
      </c>
      <c r="H2" t="n">
        <v>59.1558130110982</v>
      </c>
      <c r="I2" t="n">
        <v>59.7918970219702</v>
      </c>
      <c r="J2" t="n">
        <v>62.3544068943404</v>
      </c>
      <c r="K2" t="n">
        <v>65.0654680636595</v>
      </c>
      <c r="L2" t="n">
        <v>66.9553364306538</v>
      </c>
      <c r="M2" t="n">
        <v>68.9465732018257</v>
      </c>
      <c r="N2" t="n">
        <v>70.7474165317241</v>
      </c>
      <c r="O2" t="n">
        <v>72.9669433248762</v>
      </c>
      <c r="P2" t="n">
        <v>75.3991747690388</v>
      </c>
      <c r="Q2" t="n">
        <v>81.8619611778135</v>
      </c>
      <c r="R2" t="n">
        <v>82.5194869704064</v>
      </c>
      <c r="S2" t="n">
        <v>81.961922869255</v>
      </c>
      <c r="T2" t="n">
        <v>82.8369611917026</v>
      </c>
      <c r="U2" t="n">
        <v>83.4816068040894</v>
      </c>
      <c r="V2" t="n">
        <v>84.6742011870049</v>
      </c>
      <c r="W2" t="n">
        <v>88.7511071700829</v>
      </c>
      <c r="X2" t="n">
        <v>88.7511071700829</v>
      </c>
      <c r="Y2" t="n">
        <v>88.3685592943498</v>
      </c>
      <c r="Z2" t="n">
        <v>90.4141277965338</v>
      </c>
      <c r="AA2" t="n">
        <v>90.4141277965338</v>
      </c>
      <c r="AB2" t="n">
        <v>90.1097031238182</v>
      </c>
      <c r="AC2" t="n">
        <v>92.4914573914081</v>
      </c>
      <c r="AD2" t="n">
        <v>94.7565543071161</v>
      </c>
      <c r="AE2" t="n">
        <v>100</v>
      </c>
      <c r="AF2" t="n">
        <v>105.30612244898</v>
      </c>
    </row>
    <row r="3">
      <c r="A3" t="s">
        <v>78</v>
      </c>
      <c r="B3" t="s">
        <v>276</v>
      </c>
      <c r="C3" t="s">
        <v>236</v>
      </c>
      <c r="D3" t="s">
        <v>277</v>
      </c>
      <c r="E3" t="s">
        <v>237</v>
      </c>
      <c r="F3" t="n">
        <v>97.1428571428571</v>
      </c>
      <c r="G3" t="n">
        <v>97.1428571428571</v>
      </c>
      <c r="H3" t="n">
        <v>97.1428571428571</v>
      </c>
      <c r="I3" t="n">
        <v>97.1428571428571</v>
      </c>
      <c r="J3" t="n">
        <v>97.1428571428571</v>
      </c>
      <c r="K3" t="n">
        <v>97.1428571428571</v>
      </c>
      <c r="L3" t="n">
        <v>97.1428571428571</v>
      </c>
      <c r="M3" t="n">
        <v>97.1428571428571</v>
      </c>
      <c r="N3" t="n">
        <v>97.1428571428571</v>
      </c>
      <c r="O3" t="n">
        <v>97.1428571428571</v>
      </c>
      <c r="P3" t="n">
        <v>97.1428571428571</v>
      </c>
      <c r="Q3" t="n">
        <v>97.1428571428571</v>
      </c>
      <c r="R3" t="n">
        <v>97.1428571428571</v>
      </c>
      <c r="S3" t="n">
        <v>97.1428571428571</v>
      </c>
      <c r="T3" t="n">
        <v>97.1428571428571</v>
      </c>
      <c r="U3" t="n">
        <v>97.1428571428571</v>
      </c>
      <c r="V3" t="n">
        <v>97.1428571428571</v>
      </c>
      <c r="W3" t="n">
        <v>100</v>
      </c>
      <c r="X3" t="n">
        <v>100</v>
      </c>
      <c r="Y3" t="n">
        <v>100</v>
      </c>
      <c r="Z3" t="n">
        <v>100</v>
      </c>
      <c r="AA3" t="n">
        <v>100</v>
      </c>
      <c r="AB3" t="n">
        <v>100</v>
      </c>
      <c r="AC3" t="n">
        <v>100</v>
      </c>
      <c r="AD3" t="n">
        <v>100</v>
      </c>
      <c r="AE3" t="n">
        <v>100</v>
      </c>
      <c r="AF3" t="n">
        <v>100</v>
      </c>
    </row>
    <row r="4">
      <c r="A4" t="s">
        <v>78</v>
      </c>
      <c r="B4" t="s">
        <v>278</v>
      </c>
      <c r="C4" t="s">
        <v>236</v>
      </c>
      <c r="D4" t="s">
        <v>279</v>
      </c>
      <c r="E4" t="s">
        <v>237</v>
      </c>
      <c r="F4" t="n">
        <v>91.4397551250106</v>
      </c>
      <c r="G4" t="n">
        <v>91.4397551250106</v>
      </c>
      <c r="H4" t="n">
        <v>91.4397551250106</v>
      </c>
      <c r="I4" t="n">
        <v>91.4397551250106</v>
      </c>
      <c r="J4" t="n">
        <v>91.4397551250106</v>
      </c>
      <c r="K4" t="n">
        <v>94.0523195571538</v>
      </c>
      <c r="L4" t="n">
        <v>96.7917075054204</v>
      </c>
      <c r="M4" t="n">
        <v>96.7917075054204</v>
      </c>
      <c r="N4" t="n">
        <v>96.7917075054204</v>
      </c>
      <c r="O4" t="n">
        <v>96.7917075054204</v>
      </c>
      <c r="P4" t="n">
        <v>96.7917075054204</v>
      </c>
      <c r="Q4" t="n">
        <v>96.7917075054204</v>
      </c>
      <c r="R4" t="n">
        <v>96.7917075054204</v>
      </c>
      <c r="S4" t="n">
        <v>96.7917075054204</v>
      </c>
      <c r="T4" t="n">
        <v>96.7917075054204</v>
      </c>
      <c r="U4" t="n">
        <v>96.7917075054204</v>
      </c>
      <c r="V4" t="n">
        <v>96.7917075054204</v>
      </c>
      <c r="W4" t="n">
        <v>96.7917075054204</v>
      </c>
      <c r="X4" t="n">
        <v>96.7917075054204</v>
      </c>
      <c r="Y4" t="n">
        <v>96.7917075054204</v>
      </c>
      <c r="Z4" t="n">
        <v>96.7917075054204</v>
      </c>
      <c r="AA4" t="n">
        <v>96.7917075054204</v>
      </c>
      <c r="AB4" t="n">
        <v>96.7917075054204</v>
      </c>
      <c r="AC4" t="n">
        <v>97.5478927203065</v>
      </c>
      <c r="AD4" t="n">
        <v>98.2758620689655</v>
      </c>
      <c r="AE4" t="n">
        <v>100</v>
      </c>
      <c r="AF4" t="n">
        <v>102.545454545455</v>
      </c>
    </row>
    <row r="5">
      <c r="A5" t="s">
        <v>78</v>
      </c>
      <c r="B5" t="s">
        <v>280</v>
      </c>
      <c r="C5" t="s">
        <v>236</v>
      </c>
      <c r="D5" t="s">
        <v>281</v>
      </c>
      <c r="E5" t="s">
        <v>237</v>
      </c>
      <c r="F5" t="n">
        <v>100</v>
      </c>
      <c r="G5" t="n">
        <v>100</v>
      </c>
      <c r="H5" t="n">
        <v>100</v>
      </c>
      <c r="I5" t="n">
        <v>100</v>
      </c>
      <c r="J5" t="n">
        <v>100</v>
      </c>
      <c r="K5" t="n">
        <v>100</v>
      </c>
      <c r="L5" t="n">
        <v>100</v>
      </c>
      <c r="M5" t="n">
        <v>100</v>
      </c>
      <c r="N5" t="n">
        <v>100</v>
      </c>
      <c r="O5" t="n">
        <v>100</v>
      </c>
      <c r="P5" t="n">
        <v>100</v>
      </c>
      <c r="Q5" t="n">
        <v>100</v>
      </c>
      <c r="R5" t="n">
        <v>100</v>
      </c>
      <c r="S5" t="n">
        <v>100</v>
      </c>
      <c r="T5" t="n">
        <v>100</v>
      </c>
      <c r="U5" t="n">
        <v>100</v>
      </c>
      <c r="V5" t="n">
        <v>100</v>
      </c>
      <c r="W5" t="n">
        <v>100</v>
      </c>
      <c r="X5" t="n">
        <v>100</v>
      </c>
      <c r="Y5" t="n">
        <v>100</v>
      </c>
      <c r="Z5" t="n">
        <v>100</v>
      </c>
      <c r="AA5" t="n">
        <v>100</v>
      </c>
      <c r="AB5" t="n">
        <v>100</v>
      </c>
      <c r="AC5" t="n">
        <v>100</v>
      </c>
      <c r="AD5" t="n">
        <v>100</v>
      </c>
      <c r="AE5" t="n">
        <v>100</v>
      </c>
      <c r="AF5" t="n">
        <v>100</v>
      </c>
    </row>
    <row r="6">
      <c r="A6" t="s">
        <v>78</v>
      </c>
      <c r="B6" t="s">
        <v>282</v>
      </c>
      <c r="C6" t="s">
        <v>236</v>
      </c>
      <c r="D6" t="s">
        <v>283</v>
      </c>
      <c r="E6" t="s">
        <v>237</v>
      </c>
      <c r="F6" t="e">
        <v>#NUM!</v>
      </c>
      <c r="G6" t="e">
        <v>#NUM!</v>
      </c>
      <c r="H6" t="e">
        <v>#NUM!</v>
      </c>
      <c r="I6" t="e">
        <v>#NUM!</v>
      </c>
      <c r="J6" t="e">
        <v>#NUM!</v>
      </c>
      <c r="K6" t="e">
        <v>#NUM!</v>
      </c>
      <c r="L6" t="e">
        <v>#NUM!</v>
      </c>
      <c r="M6" t="e">
        <v>#NUM!</v>
      </c>
      <c r="N6" t="e">
        <v>#NUM!</v>
      </c>
      <c r="O6" t="e">
        <v>#NUM!</v>
      </c>
      <c r="P6" t="e">
        <v>#NUM!</v>
      </c>
      <c r="Q6" t="e">
        <v>#NUM!</v>
      </c>
      <c r="R6" t="e">
        <v>#NUM!</v>
      </c>
      <c r="S6" t="e">
        <v>#NUM!</v>
      </c>
      <c r="T6" t="e">
        <v>#NUM!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78</v>
      </c>
      <c r="B7" t="s">
        <v>284</v>
      </c>
      <c r="C7" t="s">
        <v>236</v>
      </c>
      <c r="D7" t="s">
        <v>285</v>
      </c>
      <c r="E7" t="s">
        <v>237</v>
      </c>
      <c r="F7" t="n">
        <v>85.4700854700855</v>
      </c>
      <c r="G7" t="n">
        <v>85.4700854700855</v>
      </c>
      <c r="H7" t="n">
        <v>85.4700854700855</v>
      </c>
      <c r="I7" t="n">
        <v>85.4700854700855</v>
      </c>
      <c r="J7" t="n">
        <v>85.4700854700855</v>
      </c>
      <c r="K7" t="n">
        <v>92.3076923076923</v>
      </c>
      <c r="L7" t="n">
        <v>100</v>
      </c>
      <c r="M7" t="n">
        <v>100</v>
      </c>
      <c r="N7" t="n">
        <v>100</v>
      </c>
      <c r="O7" t="n">
        <v>100</v>
      </c>
      <c r="P7" t="n">
        <v>100</v>
      </c>
      <c r="Q7" t="n">
        <v>100</v>
      </c>
      <c r="R7" t="n">
        <v>100</v>
      </c>
      <c r="S7" t="n">
        <v>100</v>
      </c>
      <c r="T7" t="n">
        <v>100</v>
      </c>
      <c r="U7" t="n">
        <v>100</v>
      </c>
      <c r="V7" t="n">
        <v>100</v>
      </c>
      <c r="W7" t="n">
        <v>100</v>
      </c>
      <c r="X7" t="n">
        <v>100</v>
      </c>
      <c r="Y7" t="n">
        <v>100</v>
      </c>
      <c r="Z7" t="n">
        <v>100</v>
      </c>
      <c r="AA7" t="n">
        <v>100</v>
      </c>
      <c r="AB7" t="n">
        <v>100</v>
      </c>
      <c r="AC7" t="n">
        <v>100</v>
      </c>
      <c r="AD7" t="n">
        <v>100</v>
      </c>
      <c r="AE7" t="n">
        <v>100</v>
      </c>
      <c r="AF7" t="n">
        <v>100</v>
      </c>
    </row>
    <row r="8">
      <c r="A8" t="s">
        <v>78</v>
      </c>
      <c r="B8" t="s">
        <v>286</v>
      </c>
      <c r="C8" t="s">
        <v>236</v>
      </c>
      <c r="D8" t="s">
        <v>287</v>
      </c>
      <c r="E8" t="s">
        <v>237</v>
      </c>
      <c r="F8" t="n">
        <v>100</v>
      </c>
      <c r="G8" t="n">
        <v>100</v>
      </c>
      <c r="H8" t="n">
        <v>100</v>
      </c>
      <c r="I8" t="n">
        <v>100</v>
      </c>
      <c r="J8" t="n">
        <v>100</v>
      </c>
      <c r="K8" t="n">
        <v>100</v>
      </c>
      <c r="L8" t="n">
        <v>100</v>
      </c>
      <c r="M8" t="n">
        <v>100</v>
      </c>
      <c r="N8" t="n">
        <v>100</v>
      </c>
      <c r="O8" t="n">
        <v>100</v>
      </c>
      <c r="P8" t="n">
        <v>100</v>
      </c>
      <c r="Q8" t="n">
        <v>100</v>
      </c>
      <c r="R8" t="n">
        <v>100</v>
      </c>
      <c r="S8" t="n">
        <v>100</v>
      </c>
      <c r="T8" t="n">
        <v>100</v>
      </c>
      <c r="U8" t="n">
        <v>100</v>
      </c>
      <c r="V8" t="n">
        <v>100</v>
      </c>
      <c r="W8" t="n">
        <v>100</v>
      </c>
      <c r="X8" t="n">
        <v>100</v>
      </c>
      <c r="Y8" t="n">
        <v>100</v>
      </c>
      <c r="Z8" t="n">
        <v>100</v>
      </c>
      <c r="AA8" t="n">
        <v>100</v>
      </c>
      <c r="AB8" t="n">
        <v>100</v>
      </c>
      <c r="AC8" t="n">
        <v>100</v>
      </c>
      <c r="AD8" t="n">
        <v>100</v>
      </c>
      <c r="AE8" t="n">
        <v>100</v>
      </c>
      <c r="AF8" t="n">
        <v>103.968253968254</v>
      </c>
    </row>
    <row r="9">
      <c r="A9" t="s">
        <v>78</v>
      </c>
      <c r="B9" t="s">
        <v>288</v>
      </c>
      <c r="C9" t="s">
        <v>236</v>
      </c>
      <c r="D9" t="s">
        <v>289</v>
      </c>
      <c r="E9" t="s">
        <v>237</v>
      </c>
      <c r="F9" t="n">
        <v>100</v>
      </c>
      <c r="G9" t="n">
        <v>100</v>
      </c>
      <c r="H9" t="n">
        <v>100</v>
      </c>
      <c r="I9" t="n">
        <v>100</v>
      </c>
      <c r="J9" t="n">
        <v>100</v>
      </c>
      <c r="K9" t="n">
        <v>100</v>
      </c>
      <c r="L9" t="n">
        <v>100</v>
      </c>
      <c r="M9" t="n">
        <v>100</v>
      </c>
      <c r="N9" t="n">
        <v>100</v>
      </c>
      <c r="O9" t="n">
        <v>100</v>
      </c>
      <c r="P9" t="n">
        <v>100</v>
      </c>
      <c r="Q9" t="n">
        <v>100</v>
      </c>
      <c r="R9" t="n">
        <v>100</v>
      </c>
      <c r="S9" t="n">
        <v>100</v>
      </c>
      <c r="T9" t="n">
        <v>100</v>
      </c>
      <c r="U9" t="n">
        <v>100</v>
      </c>
      <c r="V9" t="n">
        <v>100</v>
      </c>
      <c r="W9" t="n">
        <v>100</v>
      </c>
      <c r="X9" t="n">
        <v>100</v>
      </c>
      <c r="Y9" t="n">
        <v>100</v>
      </c>
      <c r="Z9" t="n">
        <v>100</v>
      </c>
      <c r="AA9" t="n">
        <v>100</v>
      </c>
      <c r="AB9" t="n">
        <v>100</v>
      </c>
      <c r="AC9" t="n">
        <v>100</v>
      </c>
      <c r="AD9" t="n">
        <v>100</v>
      </c>
      <c r="AE9" t="n">
        <v>100</v>
      </c>
      <c r="AF9" t="n">
        <v>113.333333333333</v>
      </c>
    </row>
    <row r="10">
      <c r="A10" t="s">
        <v>78</v>
      </c>
      <c r="B10" t="s">
        <v>290</v>
      </c>
      <c r="C10" t="s">
        <v>236</v>
      </c>
      <c r="D10" t="s">
        <v>291</v>
      </c>
      <c r="E10" t="s">
        <v>237</v>
      </c>
      <c r="F10" t="n">
        <v>70.3463203463203</v>
      </c>
      <c r="G10" t="n">
        <v>70.3463203463203</v>
      </c>
      <c r="H10" t="n">
        <v>70.3463203463203</v>
      </c>
      <c r="I10" t="n">
        <v>70.3463203463203</v>
      </c>
      <c r="J10" t="n">
        <v>70.3463203463203</v>
      </c>
      <c r="K10" t="n">
        <v>70.3463203463203</v>
      </c>
      <c r="L10" t="n">
        <v>70.3463203463203</v>
      </c>
      <c r="M10" t="n">
        <v>70.3463203463203</v>
      </c>
      <c r="N10" t="n">
        <v>70.3463203463203</v>
      </c>
      <c r="O10" t="n">
        <v>70.3463203463203</v>
      </c>
      <c r="P10" t="n">
        <v>70.3463203463203</v>
      </c>
      <c r="Q10" t="n">
        <v>70.3463203463203</v>
      </c>
      <c r="R10" t="n">
        <v>70.3463203463203</v>
      </c>
      <c r="S10" t="n">
        <v>70.3463203463203</v>
      </c>
      <c r="T10" t="n">
        <v>70.3463203463203</v>
      </c>
      <c r="U10" t="n">
        <v>70.3463203463203</v>
      </c>
      <c r="V10" t="n">
        <v>70.3463203463203</v>
      </c>
      <c r="W10" t="n">
        <v>70.3463203463203</v>
      </c>
      <c r="X10" t="n">
        <v>70.3463203463203</v>
      </c>
      <c r="Y10" t="n">
        <v>70.3463203463203</v>
      </c>
      <c r="Z10" t="n">
        <v>70.3463203463203</v>
      </c>
      <c r="AA10" t="n">
        <v>70.3463203463203</v>
      </c>
      <c r="AB10" t="n">
        <v>70.3463203463203</v>
      </c>
      <c r="AC10" t="n">
        <v>75.7575757575758</v>
      </c>
      <c r="AD10" t="n">
        <v>83.3333333333333</v>
      </c>
      <c r="AE10" t="n">
        <v>100</v>
      </c>
      <c r="AF10" t="n">
        <v>113.333333333333</v>
      </c>
    </row>
    <row r="11">
      <c r="A11" t="s">
        <v>78</v>
      </c>
      <c r="B11" t="s">
        <v>292</v>
      </c>
      <c r="C11" t="s">
        <v>236</v>
      </c>
      <c r="D11" t="s">
        <v>293</v>
      </c>
      <c r="E11" t="s">
        <v>237</v>
      </c>
      <c r="F11" t="n">
        <v>0</v>
      </c>
      <c r="G11" t="e">
        <v>#NUM!</v>
      </c>
      <c r="H11" t="n">
        <v>0</v>
      </c>
      <c r="I11" t="e">
        <v>#NUM!</v>
      </c>
      <c r="J11" t="e">
        <v>#NUM!</v>
      </c>
      <c r="K11" t="e">
        <v>#NUM!</v>
      </c>
      <c r="L11" t="n">
        <v>0</v>
      </c>
      <c r="M11" t="e">
        <v>#NUM!</v>
      </c>
      <c r="N11" t="e">
        <v>#NUM!</v>
      </c>
      <c r="O11" t="n">
        <v>0</v>
      </c>
      <c r="P11" t="e">
        <v>#NUM!</v>
      </c>
      <c r="Q11" t="e">
        <v>#NUM!</v>
      </c>
      <c r="R11" t="n">
        <v>0</v>
      </c>
      <c r="S11" t="e">
        <v>#NUM!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100</v>
      </c>
      <c r="AF11" t="n">
        <v>0</v>
      </c>
    </row>
    <row r="12">
      <c r="A12" t="s">
        <v>78</v>
      </c>
      <c r="B12" t="s">
        <v>294</v>
      </c>
      <c r="C12" t="s">
        <v>236</v>
      </c>
      <c r="D12" t="s">
        <v>295</v>
      </c>
      <c r="E12" t="s">
        <v>237</v>
      </c>
      <c r="F12" t="n">
        <v>100</v>
      </c>
      <c r="G12" t="n">
        <v>100</v>
      </c>
      <c r="H12" t="n">
        <v>100</v>
      </c>
      <c r="I12" t="n">
        <v>100</v>
      </c>
      <c r="J12" t="n">
        <v>100</v>
      </c>
      <c r="K12" t="n">
        <v>100</v>
      </c>
      <c r="L12" t="n">
        <v>100</v>
      </c>
      <c r="M12" t="n">
        <v>100</v>
      </c>
      <c r="N12" t="n">
        <v>100</v>
      </c>
      <c r="O12" t="n">
        <v>100</v>
      </c>
      <c r="P12" t="n">
        <v>100</v>
      </c>
      <c r="Q12" t="n">
        <v>100</v>
      </c>
      <c r="R12" t="n">
        <v>100</v>
      </c>
      <c r="S12" t="n">
        <v>100</v>
      </c>
      <c r="T12" t="n">
        <v>100</v>
      </c>
      <c r="U12" t="n">
        <v>100</v>
      </c>
      <c r="V12" t="n">
        <v>100</v>
      </c>
      <c r="W12" t="n">
        <v>100</v>
      </c>
      <c r="X12" t="n">
        <v>100</v>
      </c>
      <c r="Y12" t="n">
        <v>100</v>
      </c>
      <c r="Z12" t="n">
        <v>100</v>
      </c>
      <c r="AA12" t="n">
        <v>100</v>
      </c>
      <c r="AB12" t="n">
        <v>100</v>
      </c>
      <c r="AC12" t="n">
        <v>100</v>
      </c>
      <c r="AD12" t="n">
        <v>100</v>
      </c>
      <c r="AE12" t="n">
        <v>100</v>
      </c>
      <c r="AF12" t="n">
        <v>100</v>
      </c>
    </row>
    <row r="13">
      <c r="A13" t="s">
        <v>78</v>
      </c>
      <c r="B13" t="s">
        <v>296</v>
      </c>
      <c r="C13" t="s">
        <v>236</v>
      </c>
      <c r="D13" t="s">
        <v>297</v>
      </c>
      <c r="E13" t="s">
        <v>237</v>
      </c>
      <c r="F13" t="n">
        <v>100</v>
      </c>
      <c r="G13" t="n">
        <v>100</v>
      </c>
      <c r="H13" t="n">
        <v>100</v>
      </c>
      <c r="I13" t="n">
        <v>100</v>
      </c>
      <c r="J13" t="n">
        <v>100</v>
      </c>
      <c r="K13" t="n">
        <v>100</v>
      </c>
      <c r="L13" t="n">
        <v>100</v>
      </c>
      <c r="M13" t="n">
        <v>100</v>
      </c>
      <c r="N13" t="n">
        <v>100</v>
      </c>
      <c r="O13" t="n">
        <v>100</v>
      </c>
      <c r="P13" t="n">
        <v>100</v>
      </c>
      <c r="Q13" t="n">
        <v>100</v>
      </c>
      <c r="R13" t="n">
        <v>100</v>
      </c>
      <c r="S13" t="n">
        <v>100</v>
      </c>
      <c r="T13" t="n">
        <v>100</v>
      </c>
      <c r="U13" t="n">
        <v>100</v>
      </c>
      <c r="V13" t="n">
        <v>100</v>
      </c>
      <c r="W13" t="n">
        <v>100</v>
      </c>
      <c r="X13" t="n">
        <v>100</v>
      </c>
      <c r="Y13" t="n">
        <v>100</v>
      </c>
      <c r="Z13" t="n">
        <v>100</v>
      </c>
      <c r="AA13" t="n">
        <v>100</v>
      </c>
      <c r="AB13" t="n">
        <v>100</v>
      </c>
      <c r="AC13" t="n">
        <v>100</v>
      </c>
      <c r="AD13" t="n">
        <v>100</v>
      </c>
      <c r="AE13" t="n">
        <v>100</v>
      </c>
      <c r="AF13" t="n">
        <v>100</v>
      </c>
    </row>
    <row r="14">
      <c r="A14" t="s">
        <v>78</v>
      </c>
      <c r="B14" t="s">
        <v>298</v>
      </c>
      <c r="C14" t="s">
        <v>236</v>
      </c>
      <c r="D14" t="s">
        <v>299</v>
      </c>
      <c r="E14" t="s">
        <v>237</v>
      </c>
      <c r="F14" t="n">
        <v>85.1190476190476</v>
      </c>
      <c r="G14" t="n">
        <v>85.1190476190476</v>
      </c>
      <c r="H14" t="n">
        <v>85.1190476190476</v>
      </c>
      <c r="I14" t="n">
        <v>85.1190476190476</v>
      </c>
      <c r="J14" t="n">
        <v>85.1190476190476</v>
      </c>
      <c r="K14" t="n">
        <v>92.8571428571428</v>
      </c>
      <c r="L14" t="n">
        <v>100</v>
      </c>
      <c r="M14" t="n">
        <v>100</v>
      </c>
      <c r="N14" t="n">
        <v>100</v>
      </c>
      <c r="O14" t="n">
        <v>100</v>
      </c>
      <c r="P14" t="n">
        <v>100</v>
      </c>
      <c r="Q14" t="n">
        <v>100</v>
      </c>
      <c r="R14" t="n">
        <v>100</v>
      </c>
      <c r="S14" t="n">
        <v>100</v>
      </c>
      <c r="T14" t="n">
        <v>100</v>
      </c>
      <c r="U14" t="n">
        <v>100</v>
      </c>
      <c r="V14" t="n">
        <v>100</v>
      </c>
      <c r="W14" t="n">
        <v>100</v>
      </c>
      <c r="X14" t="n">
        <v>100</v>
      </c>
      <c r="Y14" t="n">
        <v>100</v>
      </c>
      <c r="Z14" t="n">
        <v>100</v>
      </c>
      <c r="AA14" t="n">
        <v>100</v>
      </c>
      <c r="AB14" t="n">
        <v>100</v>
      </c>
      <c r="AC14" t="n">
        <v>100</v>
      </c>
      <c r="AD14" t="n">
        <v>100</v>
      </c>
      <c r="AE14" t="n">
        <v>100</v>
      </c>
      <c r="AF14" t="n">
        <v>100</v>
      </c>
    </row>
    <row r="15">
      <c r="A15" t="s">
        <v>78</v>
      </c>
      <c r="B15" t="s">
        <v>300</v>
      </c>
      <c r="C15" t="s">
        <v>236</v>
      </c>
      <c r="D15" t="s">
        <v>301</v>
      </c>
      <c r="E15" t="s">
        <v>237</v>
      </c>
      <c r="F15" t="n">
        <v>88.5416666666667</v>
      </c>
      <c r="G15" t="n">
        <v>88.5416666666667</v>
      </c>
      <c r="H15" t="n">
        <v>88.5416666666667</v>
      </c>
      <c r="I15" t="n">
        <v>88.5416666666667</v>
      </c>
      <c r="J15" t="n">
        <v>88.5416666666667</v>
      </c>
      <c r="K15" t="n">
        <v>94.4444444444444</v>
      </c>
      <c r="L15" t="n">
        <v>100</v>
      </c>
      <c r="M15" t="n">
        <v>100</v>
      </c>
      <c r="N15" t="n">
        <v>100</v>
      </c>
      <c r="O15" t="n">
        <v>100</v>
      </c>
      <c r="P15" t="n">
        <v>100</v>
      </c>
      <c r="Q15" t="n">
        <v>100</v>
      </c>
      <c r="R15" t="n">
        <v>100</v>
      </c>
      <c r="S15" t="n">
        <v>100</v>
      </c>
      <c r="T15" t="n">
        <v>100</v>
      </c>
      <c r="U15" t="n">
        <v>100</v>
      </c>
      <c r="V15" t="n">
        <v>100</v>
      </c>
      <c r="W15" t="n">
        <v>100</v>
      </c>
      <c r="X15" t="n">
        <v>100</v>
      </c>
      <c r="Y15" t="n">
        <v>100</v>
      </c>
      <c r="Z15" t="n">
        <v>100</v>
      </c>
      <c r="AA15" t="n">
        <v>100</v>
      </c>
      <c r="AB15" t="n">
        <v>100</v>
      </c>
      <c r="AC15" t="n">
        <v>100</v>
      </c>
      <c r="AD15" t="n">
        <v>100</v>
      </c>
      <c r="AE15" t="n">
        <v>100</v>
      </c>
      <c r="AF15" t="n">
        <v>100</v>
      </c>
    </row>
    <row r="16">
      <c r="A16" t="s">
        <v>78</v>
      </c>
      <c r="B16" t="s">
        <v>302</v>
      </c>
      <c r="C16" t="s">
        <v>236</v>
      </c>
      <c r="D16" t="s">
        <v>303</v>
      </c>
      <c r="E16" t="s">
        <v>237</v>
      </c>
      <c r="F16" t="n">
        <v>100</v>
      </c>
      <c r="G16" t="n">
        <v>100</v>
      </c>
      <c r="H16" t="n">
        <v>100</v>
      </c>
      <c r="I16" t="n">
        <v>100</v>
      </c>
      <c r="J16" t="n">
        <v>100</v>
      </c>
      <c r="K16" t="n">
        <v>100</v>
      </c>
      <c r="L16" t="n">
        <v>100</v>
      </c>
      <c r="M16" t="n">
        <v>100</v>
      </c>
      <c r="N16" t="n">
        <v>100</v>
      </c>
      <c r="O16" t="n">
        <v>100</v>
      </c>
      <c r="P16" t="n">
        <v>100</v>
      </c>
      <c r="Q16" t="n">
        <v>100</v>
      </c>
      <c r="R16" t="n">
        <v>100</v>
      </c>
      <c r="S16" t="n">
        <v>100</v>
      </c>
      <c r="T16" t="n">
        <v>100</v>
      </c>
      <c r="U16" t="n">
        <v>100</v>
      </c>
      <c r="V16" t="n">
        <v>100</v>
      </c>
      <c r="W16" t="n">
        <v>100</v>
      </c>
      <c r="X16" t="n">
        <v>100</v>
      </c>
      <c r="Y16" t="n">
        <v>100</v>
      </c>
      <c r="Z16" t="n">
        <v>100</v>
      </c>
      <c r="AA16" t="n">
        <v>100</v>
      </c>
      <c r="AB16" t="n">
        <v>100</v>
      </c>
      <c r="AC16" t="n">
        <v>100</v>
      </c>
      <c r="AD16" t="n">
        <v>100</v>
      </c>
      <c r="AE16" t="n">
        <v>100</v>
      </c>
      <c r="AF16" t="n">
        <v>100</v>
      </c>
    </row>
    <row r="17">
      <c r="A17" t="s">
        <v>78</v>
      </c>
      <c r="B17" t="s">
        <v>304</v>
      </c>
      <c r="C17" t="s">
        <v>236</v>
      </c>
      <c r="D17" t="s">
        <v>305</v>
      </c>
      <c r="E17" t="s">
        <v>237</v>
      </c>
      <c r="F17" t="n">
        <v>100</v>
      </c>
      <c r="G17" t="n">
        <v>100</v>
      </c>
      <c r="H17" t="n">
        <v>100</v>
      </c>
      <c r="I17" t="n">
        <v>100</v>
      </c>
      <c r="J17" t="n">
        <v>100</v>
      </c>
      <c r="K17" t="n">
        <v>100</v>
      </c>
      <c r="L17" t="n">
        <v>100</v>
      </c>
      <c r="M17" t="n">
        <v>100</v>
      </c>
      <c r="N17" t="n">
        <v>100</v>
      </c>
      <c r="O17" t="n">
        <v>100</v>
      </c>
      <c r="P17" t="n">
        <v>100</v>
      </c>
      <c r="Q17" t="n">
        <v>100</v>
      </c>
      <c r="R17" t="n">
        <v>100</v>
      </c>
      <c r="S17" t="n">
        <v>100</v>
      </c>
      <c r="T17" t="n">
        <v>100</v>
      </c>
      <c r="U17" t="n">
        <v>100</v>
      </c>
      <c r="V17" t="n">
        <v>100</v>
      </c>
      <c r="W17" t="n">
        <v>100</v>
      </c>
      <c r="X17" t="n">
        <v>100</v>
      </c>
      <c r="Y17" t="n">
        <v>100</v>
      </c>
      <c r="Z17" t="n">
        <v>100</v>
      </c>
      <c r="AA17" t="n">
        <v>100</v>
      </c>
      <c r="AB17" t="n">
        <v>100</v>
      </c>
      <c r="AC17" t="n">
        <v>100</v>
      </c>
      <c r="AD17" t="n">
        <v>100</v>
      </c>
      <c r="AE17" t="n">
        <v>100</v>
      </c>
      <c r="AF17" t="n">
        <v>100</v>
      </c>
    </row>
    <row r="18">
      <c r="A18" t="s">
        <v>78</v>
      </c>
      <c r="B18" t="s">
        <v>306</v>
      </c>
      <c r="C18" t="s">
        <v>236</v>
      </c>
      <c r="D18" t="s">
        <v>307</v>
      </c>
      <c r="E18" t="s">
        <v>237</v>
      </c>
      <c r="F18" t="e">
        <v>#NUM!</v>
      </c>
      <c r="G18" t="e">
        <v>#NUM!</v>
      </c>
      <c r="H18" t="e">
        <v>#NUM!</v>
      </c>
      <c r="I18" t="e">
        <v>#NUM!</v>
      </c>
      <c r="J18" t="e">
        <v>#NUM!</v>
      </c>
      <c r="K18" t="e">
        <v>#NUM!</v>
      </c>
      <c r="L18" t="e">
        <v>#NUM!</v>
      </c>
      <c r="M18" t="e">
        <v>#NUM!</v>
      </c>
      <c r="N18" t="e">
        <v>#NUM!</v>
      </c>
      <c r="O18" t="e">
        <v>#NUM!</v>
      </c>
      <c r="P18" t="e">
        <v>#NUM!</v>
      </c>
      <c r="Q18" t="e">
        <v>#NUM!</v>
      </c>
      <c r="R18" t="e">
        <v>#NUM!</v>
      </c>
      <c r="S18" t="e">
        <v>#NUM!</v>
      </c>
      <c r="T18" t="e">
        <v>#NUM!</v>
      </c>
      <c r="U18" t="e">
        <v>#NUM!</v>
      </c>
      <c r="V18" t="e">
        <v>#NUM!</v>
      </c>
      <c r="W18" t="e">
        <v>#NUM!</v>
      </c>
      <c r="X18" t="e">
        <v>#NUM!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78</v>
      </c>
      <c r="B19" t="s">
        <v>308</v>
      </c>
      <c r="C19" t="s">
        <v>236</v>
      </c>
      <c r="D19" t="s">
        <v>309</v>
      </c>
      <c r="E19" t="s">
        <v>237</v>
      </c>
      <c r="F19" t="n">
        <v>100</v>
      </c>
      <c r="G19" t="n">
        <v>100</v>
      </c>
      <c r="H19" t="n">
        <v>100</v>
      </c>
      <c r="I19" t="n">
        <v>100</v>
      </c>
      <c r="J19" t="n">
        <v>100</v>
      </c>
      <c r="K19" t="n">
        <v>100</v>
      </c>
      <c r="L19" t="n">
        <v>100</v>
      </c>
      <c r="M19" t="n">
        <v>100</v>
      </c>
      <c r="N19" t="n">
        <v>100</v>
      </c>
      <c r="O19" t="n">
        <v>100</v>
      </c>
      <c r="P19" t="n">
        <v>100</v>
      </c>
      <c r="Q19" t="n">
        <v>100</v>
      </c>
      <c r="R19" t="n">
        <v>100</v>
      </c>
      <c r="S19" t="n">
        <v>100</v>
      </c>
      <c r="T19" t="n">
        <v>100</v>
      </c>
      <c r="U19" t="n">
        <v>100</v>
      </c>
      <c r="V19" t="n">
        <v>100</v>
      </c>
      <c r="W19" t="n">
        <v>100</v>
      </c>
      <c r="X19" t="n">
        <v>100</v>
      </c>
      <c r="Y19" t="n">
        <v>100</v>
      </c>
      <c r="Z19" t="n">
        <v>100</v>
      </c>
      <c r="AA19" t="n">
        <v>100</v>
      </c>
      <c r="AB19" t="n">
        <v>100</v>
      </c>
      <c r="AC19" t="n">
        <v>100</v>
      </c>
      <c r="AD19" t="n">
        <v>100</v>
      </c>
      <c r="AE19" t="n">
        <v>100</v>
      </c>
      <c r="AF19" t="n">
        <v>100</v>
      </c>
    </row>
    <row r="20">
      <c r="A20" t="s">
        <v>78</v>
      </c>
      <c r="B20" t="s">
        <v>310</v>
      </c>
      <c r="C20" t="s">
        <v>236</v>
      </c>
      <c r="D20" t="s">
        <v>311</v>
      </c>
      <c r="E20" t="s">
        <v>237</v>
      </c>
      <c r="F20" t="n">
        <v>78.3086694024563</v>
      </c>
      <c r="G20" t="n">
        <v>78.3086694024563</v>
      </c>
      <c r="H20" t="n">
        <v>78.3086694024563</v>
      </c>
      <c r="I20" t="n">
        <v>78.3086694024563</v>
      </c>
      <c r="J20" t="n">
        <v>78.3086694024563</v>
      </c>
      <c r="K20" t="n">
        <v>85.4276393481341</v>
      </c>
      <c r="L20" t="n">
        <v>93.1937883797827</v>
      </c>
      <c r="M20" t="n">
        <v>93.1937883797827</v>
      </c>
      <c r="N20" t="n">
        <v>93.1937883797827</v>
      </c>
      <c r="O20" t="n">
        <v>93.1937883797827</v>
      </c>
      <c r="P20" t="n">
        <v>93.1937883797827</v>
      </c>
      <c r="Q20" t="n">
        <v>93.1937883797827</v>
      </c>
      <c r="R20" t="n">
        <v>93.1937883797827</v>
      </c>
      <c r="S20" t="n">
        <v>93.1937883797827</v>
      </c>
      <c r="T20" t="n">
        <v>93.1937883797827</v>
      </c>
      <c r="U20" t="n">
        <v>93.1937883797827</v>
      </c>
      <c r="V20" t="n">
        <v>93.1937883797827</v>
      </c>
      <c r="W20" t="n">
        <v>95.583372697213</v>
      </c>
      <c r="X20" t="n">
        <v>95.583372697213</v>
      </c>
      <c r="Y20" t="n">
        <v>95.583372697213</v>
      </c>
      <c r="Z20" t="n">
        <v>97.125039998781</v>
      </c>
      <c r="AA20" t="n">
        <v>97.125039998781</v>
      </c>
      <c r="AB20" t="n">
        <v>95.583372697213</v>
      </c>
      <c r="AC20" t="n">
        <v>97.2602739726027</v>
      </c>
      <c r="AD20" t="n">
        <v>97.2602739726027</v>
      </c>
      <c r="AE20" t="n">
        <v>100</v>
      </c>
      <c r="AF20" t="n">
        <v>101.5625</v>
      </c>
    </row>
    <row r="21">
      <c r="A21" t="s">
        <v>78</v>
      </c>
      <c r="B21" t="s">
        <v>312</v>
      </c>
      <c r="C21" t="s">
        <v>236</v>
      </c>
      <c r="D21" t="s">
        <v>313</v>
      </c>
      <c r="E21" t="s">
        <v>237</v>
      </c>
      <c r="F21" t="n">
        <v>77.9872493132675</v>
      </c>
      <c r="G21" t="n">
        <v>77.9872493132675</v>
      </c>
      <c r="H21" t="n">
        <v>80.0950128082207</v>
      </c>
      <c r="I21" t="n">
        <v>80.0950128082207</v>
      </c>
      <c r="J21" t="n">
        <v>81.6062394649796</v>
      </c>
      <c r="K21" t="n">
        <v>88.7024342010648</v>
      </c>
      <c r="L21" t="n">
        <v>94.2463363386313</v>
      </c>
      <c r="M21" t="n">
        <v>94.2463363386314</v>
      </c>
      <c r="N21" t="n">
        <v>94.2463363386314</v>
      </c>
      <c r="O21" t="n">
        <v>94.2463363386314</v>
      </c>
      <c r="P21" t="n">
        <v>94.2463363386314</v>
      </c>
      <c r="Q21" t="n">
        <v>94.2463363386314</v>
      </c>
      <c r="R21" t="n">
        <v>94.2463363386314</v>
      </c>
      <c r="S21" t="n">
        <v>94.2463363386314</v>
      </c>
      <c r="T21" t="n">
        <v>94.2463363386314</v>
      </c>
      <c r="U21" t="n">
        <v>94.2463363386314</v>
      </c>
      <c r="V21" t="n">
        <v>94.2463363386314</v>
      </c>
      <c r="W21" t="n">
        <v>96.573406371684</v>
      </c>
      <c r="X21" t="n">
        <v>96.573406371684</v>
      </c>
      <c r="Y21" t="n">
        <v>96.573406371684</v>
      </c>
      <c r="Z21" t="n">
        <v>97.6834455253815</v>
      </c>
      <c r="AA21" t="n">
        <v>97.6834455253815</v>
      </c>
      <c r="AB21" t="n">
        <v>96.6330858960764</v>
      </c>
      <c r="AC21" t="n">
        <v>97.8260869565217</v>
      </c>
      <c r="AD21" t="n">
        <v>97.8260869565217</v>
      </c>
      <c r="AE21" t="n">
        <v>100</v>
      </c>
      <c r="AF21" t="n">
        <v>101.162790697674</v>
      </c>
    </row>
    <row r="22">
      <c r="A22" t="s">
        <v>78</v>
      </c>
      <c r="B22" t="s">
        <v>314</v>
      </c>
      <c r="C22" t="s">
        <v>236</v>
      </c>
      <c r="D22" t="s">
        <v>315</v>
      </c>
      <c r="E22" t="s">
        <v>237</v>
      </c>
      <c r="F22" t="n">
        <v>80.2318025900238</v>
      </c>
      <c r="G22" t="n">
        <v>80.2318025900238</v>
      </c>
      <c r="H22" t="n">
        <v>83.3176411511785</v>
      </c>
      <c r="I22" t="n">
        <v>83.3176411511785</v>
      </c>
      <c r="J22" t="n">
        <v>85.3497787402316</v>
      </c>
      <c r="K22" t="n">
        <v>92.6654740608229</v>
      </c>
      <c r="L22" t="n">
        <v>97.6744186046512</v>
      </c>
      <c r="M22" t="n">
        <v>97.6744186046512</v>
      </c>
      <c r="N22" t="n">
        <v>97.6744186046512</v>
      </c>
      <c r="O22" t="n">
        <v>97.6744186046512</v>
      </c>
      <c r="P22" t="n">
        <v>97.6744186046512</v>
      </c>
      <c r="Q22" t="n">
        <v>97.6744186046512</v>
      </c>
      <c r="R22" t="n">
        <v>97.6744186046512</v>
      </c>
      <c r="S22" t="n">
        <v>97.6744186046512</v>
      </c>
      <c r="T22" t="n">
        <v>97.6744186046512</v>
      </c>
      <c r="U22" t="n">
        <v>97.6744186046512</v>
      </c>
      <c r="V22" t="n">
        <v>97.6744186046512</v>
      </c>
      <c r="W22" t="n">
        <v>100</v>
      </c>
      <c r="X22" t="n">
        <v>100</v>
      </c>
      <c r="Y22" t="n">
        <v>100</v>
      </c>
      <c r="Z22" t="n">
        <v>100</v>
      </c>
      <c r="AA22" t="n">
        <v>100</v>
      </c>
      <c r="AB22" t="n">
        <v>100</v>
      </c>
      <c r="AC22" t="n">
        <v>100</v>
      </c>
      <c r="AD22" t="n">
        <v>100</v>
      </c>
      <c r="AE22" t="n">
        <v>100</v>
      </c>
      <c r="AF22" t="n">
        <v>100</v>
      </c>
    </row>
    <row r="23">
      <c r="A23" t="s">
        <v>78</v>
      </c>
      <c r="B23" t="s">
        <v>316</v>
      </c>
      <c r="C23" t="s">
        <v>236</v>
      </c>
      <c r="D23" t="s">
        <v>317</v>
      </c>
      <c r="E23" t="s">
        <v>237</v>
      </c>
      <c r="F23" t="n">
        <v>67.0757597297982</v>
      </c>
      <c r="G23" t="n">
        <v>69.0485761924393</v>
      </c>
      <c r="H23" t="n">
        <v>71.670674022532</v>
      </c>
      <c r="I23" t="n">
        <v>71.670674022532</v>
      </c>
      <c r="J23" t="n">
        <v>73.0103127893083</v>
      </c>
      <c r="K23" t="n">
        <v>79.7085066231898</v>
      </c>
      <c r="L23" t="n">
        <v>83.4683418412647</v>
      </c>
      <c r="M23" t="n">
        <v>84.9722759284947</v>
      </c>
      <c r="N23" t="n">
        <v>85.6687699934824</v>
      </c>
      <c r="O23" t="n">
        <v>86.312896083659</v>
      </c>
      <c r="P23" t="n">
        <v>86.9250442828339</v>
      </c>
      <c r="Q23" t="n">
        <v>88.1076979465459</v>
      </c>
      <c r="R23" t="n">
        <v>89.7194241284949</v>
      </c>
      <c r="S23" t="n">
        <v>89.1789456698895</v>
      </c>
      <c r="T23" t="n">
        <v>89.8545437431462</v>
      </c>
      <c r="U23" t="n">
        <v>90.785678911469</v>
      </c>
      <c r="V23" t="n">
        <v>92.0293183486124</v>
      </c>
      <c r="W23" t="n">
        <v>95.3637139409535</v>
      </c>
      <c r="X23" t="n">
        <v>95.3637139409535</v>
      </c>
      <c r="Y23" t="n">
        <v>95.3637139409535</v>
      </c>
      <c r="Z23" t="n">
        <v>97.5147751576667</v>
      </c>
      <c r="AA23" t="n">
        <v>98.1872908484092</v>
      </c>
      <c r="AB23" t="n">
        <v>98.1872908484092</v>
      </c>
      <c r="AC23" t="n">
        <v>99.1740977916093</v>
      </c>
      <c r="AD23" t="n">
        <v>98.2683982683983</v>
      </c>
      <c r="AE23" t="n">
        <v>100</v>
      </c>
      <c r="AF23" t="n">
        <v>101.162790697674</v>
      </c>
    </row>
    <row r="24">
      <c r="A24" t="s">
        <v>78</v>
      </c>
      <c r="B24" t="s">
        <v>318</v>
      </c>
      <c r="C24" t="s">
        <v>236</v>
      </c>
      <c r="D24" t="s">
        <v>319</v>
      </c>
      <c r="E24" t="s">
        <v>237</v>
      </c>
      <c r="F24" t="n">
        <v>65.481734612876</v>
      </c>
      <c r="G24" t="n">
        <v>67.5671401737956</v>
      </c>
      <c r="H24" t="n">
        <v>71.4404157251597</v>
      </c>
      <c r="I24" t="n">
        <v>72.8550774226876</v>
      </c>
      <c r="J24" t="n">
        <v>74.9770699689794</v>
      </c>
      <c r="K24" t="n">
        <v>81.1708279229386</v>
      </c>
      <c r="L24" t="n">
        <v>85.9107302834022</v>
      </c>
      <c r="M24" t="n">
        <v>87.3076527270347</v>
      </c>
      <c r="N24" t="n">
        <v>88.2960412484728</v>
      </c>
      <c r="O24" t="n">
        <v>88.9778639608163</v>
      </c>
      <c r="P24" t="n">
        <v>88.9778639608163</v>
      </c>
      <c r="Q24" t="n">
        <v>90.1334206356321</v>
      </c>
      <c r="R24" t="n">
        <v>91.1275392455839</v>
      </c>
      <c r="S24" t="n">
        <v>90.5179904880883</v>
      </c>
      <c r="T24" t="n">
        <v>91.326186831732</v>
      </c>
      <c r="U24" t="n">
        <v>92.2394487000493</v>
      </c>
      <c r="V24" t="n">
        <v>93.764067686827</v>
      </c>
      <c r="W24" t="n">
        <v>97.2890326374596</v>
      </c>
      <c r="X24" t="n">
        <v>97.2890326374596</v>
      </c>
      <c r="Y24" t="n">
        <v>97.2890326374596</v>
      </c>
      <c r="Z24" t="n">
        <v>98.9473684210526</v>
      </c>
      <c r="AA24" t="n">
        <v>98.9473684210526</v>
      </c>
      <c r="AB24" t="n">
        <v>98.9473684210526</v>
      </c>
      <c r="AC24" t="n">
        <v>100</v>
      </c>
      <c r="AD24" t="n">
        <v>100</v>
      </c>
      <c r="AE24" t="n">
        <v>100</v>
      </c>
      <c r="AF24" t="n">
        <v>100</v>
      </c>
    </row>
    <row r="25">
      <c r="A25" t="s">
        <v>78</v>
      </c>
      <c r="B25" t="s">
        <v>320</v>
      </c>
      <c r="C25" t="s">
        <v>236</v>
      </c>
      <c r="D25" t="s">
        <v>321</v>
      </c>
      <c r="E25" t="s">
        <v>237</v>
      </c>
      <c r="F25" t="n">
        <v>72.4199364961515</v>
      </c>
      <c r="G25" t="n">
        <v>72.4199364961515</v>
      </c>
      <c r="H25" t="n">
        <v>76.0409333209591</v>
      </c>
      <c r="I25" t="n">
        <v>76.0409333209591</v>
      </c>
      <c r="J25" t="n">
        <v>79.6619301457666</v>
      </c>
      <c r="K25" t="n">
        <v>85.9510298941166</v>
      </c>
      <c r="L25" t="n">
        <v>90.5970315100148</v>
      </c>
      <c r="M25" t="n">
        <v>93.4281887447028</v>
      </c>
      <c r="N25" t="n">
        <v>93.4281887447028</v>
      </c>
      <c r="O25" t="n">
        <v>93.4281887447028</v>
      </c>
      <c r="P25" t="n">
        <v>93.4281887447028</v>
      </c>
      <c r="Q25" t="n">
        <v>93.4281887447028</v>
      </c>
      <c r="R25" t="n">
        <v>93.4281887447028</v>
      </c>
      <c r="S25" t="n">
        <v>93.4281887447028</v>
      </c>
      <c r="T25" t="n">
        <v>93.4281887447028</v>
      </c>
      <c r="U25" t="n">
        <v>95.2967525195969</v>
      </c>
      <c r="V25" t="n">
        <v>97.3684210526316</v>
      </c>
      <c r="W25" t="n">
        <v>100</v>
      </c>
      <c r="X25" t="n">
        <v>100</v>
      </c>
      <c r="Y25" t="n">
        <v>100</v>
      </c>
      <c r="Z25" t="n">
        <v>100</v>
      </c>
      <c r="AA25" t="n">
        <v>100</v>
      </c>
      <c r="AB25" t="n">
        <v>100</v>
      </c>
      <c r="AC25" t="n">
        <v>100</v>
      </c>
      <c r="AD25" t="n">
        <v>100</v>
      </c>
      <c r="AE25" t="n">
        <v>100</v>
      </c>
      <c r="AF25" t="n">
        <v>100</v>
      </c>
    </row>
    <row r="26">
      <c r="A26" t="s">
        <v>78</v>
      </c>
      <c r="B26" t="s">
        <v>322</v>
      </c>
      <c r="C26" t="s">
        <v>236</v>
      </c>
      <c r="D26" t="s">
        <v>323</v>
      </c>
      <c r="E26" t="s">
        <v>237</v>
      </c>
      <c r="F26" t="n">
        <v>65.4999956101013</v>
      </c>
      <c r="G26" t="n">
        <v>68.0192262104898</v>
      </c>
      <c r="H26" t="n">
        <v>71.9060391368035</v>
      </c>
      <c r="I26" t="n">
        <v>74.0209226408272</v>
      </c>
      <c r="J26" t="n">
        <v>76.2305024211503</v>
      </c>
      <c r="K26" t="n">
        <v>83.0571145782683</v>
      </c>
      <c r="L26" t="n">
        <v>87.6713987215054</v>
      </c>
      <c r="M26" t="n">
        <v>88.8561473528771</v>
      </c>
      <c r="N26" t="n">
        <v>90.1076423860162</v>
      </c>
      <c r="O26" t="n">
        <v>90.7422032478896</v>
      </c>
      <c r="P26" t="n">
        <v>90.1491169521518</v>
      </c>
      <c r="Q26" t="n">
        <v>91.7446765442252</v>
      </c>
      <c r="R26" t="n">
        <v>92.3482599425425</v>
      </c>
      <c r="S26" t="n">
        <v>91.7637772846783</v>
      </c>
      <c r="T26" t="n">
        <v>92.6213826798622</v>
      </c>
      <c r="U26" t="n">
        <v>93.3284161354337</v>
      </c>
      <c r="V26" t="n">
        <v>94.994994994995</v>
      </c>
      <c r="W26" t="n">
        <v>98.6486486486486</v>
      </c>
      <c r="X26" t="n">
        <v>98.6486486486486</v>
      </c>
      <c r="Y26" t="n">
        <v>98.6486486486486</v>
      </c>
      <c r="Z26" t="n">
        <v>100</v>
      </c>
      <c r="AA26" t="n">
        <v>100</v>
      </c>
      <c r="AB26" t="n">
        <v>100</v>
      </c>
      <c r="AC26" t="n">
        <v>100</v>
      </c>
      <c r="AD26" t="n">
        <v>100</v>
      </c>
      <c r="AE26" t="n">
        <v>100</v>
      </c>
      <c r="AF26" t="n">
        <v>100</v>
      </c>
    </row>
    <row r="27">
      <c r="A27" t="s">
        <v>78</v>
      </c>
      <c r="B27" t="s">
        <v>324</v>
      </c>
      <c r="C27" t="s">
        <v>236</v>
      </c>
      <c r="D27" t="s">
        <v>325</v>
      </c>
      <c r="E27" t="s">
        <v>237</v>
      </c>
      <c r="F27" t="n">
        <v>64.7394922697378</v>
      </c>
      <c r="G27" t="n">
        <v>66.7012950657904</v>
      </c>
      <c r="H27" t="n">
        <v>70.8701260074023</v>
      </c>
      <c r="I27" t="n">
        <v>70.8701260074024</v>
      </c>
      <c r="J27" t="n">
        <v>72.259736321273</v>
      </c>
      <c r="K27" t="n">
        <v>77.2431664123953</v>
      </c>
      <c r="L27" t="n">
        <v>82.3927108398883</v>
      </c>
      <c r="M27" t="n">
        <v>83.6410852465532</v>
      </c>
      <c r="N27" t="n">
        <v>84.5704306381816</v>
      </c>
      <c r="O27" t="n">
        <v>85.6017773532814</v>
      </c>
      <c r="P27" t="n">
        <v>86.563595076352</v>
      </c>
      <c r="Q27" t="n">
        <v>87.6456400148064</v>
      </c>
      <c r="R27" t="n">
        <v>89.5933209040243</v>
      </c>
      <c r="S27" t="n">
        <v>88.6502333155609</v>
      </c>
      <c r="T27" t="n">
        <v>89.6810499820209</v>
      </c>
      <c r="U27" t="n">
        <v>90.4346722507774</v>
      </c>
      <c r="V27" t="n">
        <v>91.511275491858</v>
      </c>
      <c r="W27" t="n">
        <v>95.2087007642563</v>
      </c>
      <c r="X27" t="n">
        <v>95.2087007642563</v>
      </c>
      <c r="Y27" t="n">
        <v>95.2087007642563</v>
      </c>
      <c r="Z27" t="n">
        <v>97.6190476190476</v>
      </c>
      <c r="AA27" t="n">
        <v>97.6190476190476</v>
      </c>
      <c r="AB27" t="n">
        <v>97.6190476190476</v>
      </c>
      <c r="AC27" t="n">
        <v>100</v>
      </c>
      <c r="AD27" t="n">
        <v>100</v>
      </c>
      <c r="AE27" t="n">
        <v>100</v>
      </c>
      <c r="AF27" t="n">
        <v>100</v>
      </c>
    </row>
    <row r="28">
      <c r="A28" t="s">
        <v>78</v>
      </c>
      <c r="B28" t="s">
        <v>326</v>
      </c>
      <c r="C28" t="s">
        <v>236</v>
      </c>
      <c r="D28" t="s">
        <v>327</v>
      </c>
      <c r="E28" t="s">
        <v>237</v>
      </c>
      <c r="F28" t="n">
        <v>62.6376324481091</v>
      </c>
      <c r="G28" t="n">
        <v>64.782756847017</v>
      </c>
      <c r="H28" t="n">
        <v>68.5396069612004</v>
      </c>
      <c r="I28" t="n">
        <v>70.4930282252743</v>
      </c>
      <c r="J28" t="n">
        <v>72.7065774207539</v>
      </c>
      <c r="K28" t="n">
        <v>79.0020535641469</v>
      </c>
      <c r="L28" t="n">
        <v>83.5027766156801</v>
      </c>
      <c r="M28" t="n">
        <v>84.8052462682644</v>
      </c>
      <c r="N28" t="n">
        <v>85.7230519638083</v>
      </c>
      <c r="O28" t="n">
        <v>86.2554932803537</v>
      </c>
      <c r="P28" t="n">
        <v>86.1591184275265</v>
      </c>
      <c r="Q28" t="n">
        <v>86.0719128420735</v>
      </c>
      <c r="R28" t="n">
        <v>86.4001184201177</v>
      </c>
      <c r="S28" t="n">
        <v>85.8009497764275</v>
      </c>
      <c r="T28" t="n">
        <v>86.511516648282</v>
      </c>
      <c r="U28" t="n">
        <v>87.2897311908453</v>
      </c>
      <c r="V28" t="n">
        <v>88.475147293437</v>
      </c>
      <c r="W28" t="n">
        <v>91.0741724281279</v>
      </c>
      <c r="X28" t="n">
        <v>90.0917110211363</v>
      </c>
      <c r="Y28" t="n">
        <v>92.0469568362861</v>
      </c>
      <c r="Z28" t="n">
        <v>95.8677739125093</v>
      </c>
      <c r="AA28" t="n">
        <v>96.495386180349</v>
      </c>
      <c r="AB28" t="n">
        <v>96.6793621311218</v>
      </c>
      <c r="AC28" t="n">
        <v>97.1261244330217</v>
      </c>
      <c r="AD28" t="n">
        <v>98.6155484558041</v>
      </c>
      <c r="AE28" t="n">
        <v>100</v>
      </c>
      <c r="AF28" t="n">
        <v>104.501607717042</v>
      </c>
    </row>
    <row r="29">
      <c r="A29" t="s">
        <v>78</v>
      </c>
      <c r="B29" t="s">
        <v>328</v>
      </c>
      <c r="C29" t="s">
        <v>236</v>
      </c>
      <c r="D29" t="s">
        <v>329</v>
      </c>
      <c r="E29" t="s">
        <v>237</v>
      </c>
      <c r="F29" t="n">
        <v>66.2860103341604</v>
      </c>
      <c r="G29" t="n">
        <v>68.5329937353184</v>
      </c>
      <c r="H29" t="n">
        <v>72.5955165598347</v>
      </c>
      <c r="I29" t="n">
        <v>74.5101235899842</v>
      </c>
      <c r="J29" t="n">
        <v>76.9886308195886</v>
      </c>
      <c r="K29" t="n">
        <v>83.8526774227809</v>
      </c>
      <c r="L29" t="n">
        <v>88.6760615223214</v>
      </c>
      <c r="M29" t="n">
        <v>90.0900306126545</v>
      </c>
      <c r="N29" t="n">
        <v>91.0822115665384</v>
      </c>
      <c r="O29" t="n">
        <v>91.6046716711266</v>
      </c>
      <c r="P29" t="n">
        <v>91.4419635509292</v>
      </c>
      <c r="Q29" t="n">
        <v>91.6507351572098</v>
      </c>
      <c r="R29" t="n">
        <v>92.0913636916195</v>
      </c>
      <c r="S29" t="n">
        <v>91.3843282698028</v>
      </c>
      <c r="T29" t="n">
        <v>92.056271860022</v>
      </c>
      <c r="U29" t="n">
        <v>92.9435612273475</v>
      </c>
      <c r="V29" t="n">
        <v>94.3103783042203</v>
      </c>
      <c r="W29" t="n">
        <v>95.8034185939968</v>
      </c>
      <c r="X29" t="n">
        <v>93.5811743482598</v>
      </c>
      <c r="Y29" t="n">
        <v>94.4280628039001</v>
      </c>
      <c r="Z29" t="n">
        <v>95.6752258975365</v>
      </c>
      <c r="AA29" t="n">
        <v>96.6718428339692</v>
      </c>
      <c r="AB29" t="n">
        <v>97.5480226783859</v>
      </c>
      <c r="AC29" t="n">
        <v>98.2892690513219</v>
      </c>
      <c r="AD29" t="n">
        <v>98.2892690513219</v>
      </c>
      <c r="AE29" t="n">
        <v>100</v>
      </c>
      <c r="AF29" t="n">
        <v>102.011494252874</v>
      </c>
    </row>
    <row r="30">
      <c r="A30" t="s">
        <v>78</v>
      </c>
      <c r="B30" t="s">
        <v>330</v>
      </c>
      <c r="C30" t="s">
        <v>236</v>
      </c>
      <c r="D30" t="s">
        <v>331</v>
      </c>
      <c r="E30" t="s">
        <v>237</v>
      </c>
      <c r="F30" t="n">
        <v>66.1396157631855</v>
      </c>
      <c r="G30" t="n">
        <v>66.1396157631855</v>
      </c>
      <c r="H30" t="n">
        <v>69.9610157850584</v>
      </c>
      <c r="I30" t="n">
        <v>72.1703110203761</v>
      </c>
      <c r="J30" t="n">
        <v>74.2521469151946</v>
      </c>
      <c r="K30" t="n">
        <v>81.3237799547369</v>
      </c>
      <c r="L30" t="n">
        <v>85.7596224977226</v>
      </c>
      <c r="M30" t="n">
        <v>86.9675045047328</v>
      </c>
      <c r="N30" t="n">
        <v>86.9675045047328</v>
      </c>
      <c r="O30" t="n">
        <v>87.5144699418695</v>
      </c>
      <c r="P30" t="n">
        <v>88.4868529412236</v>
      </c>
      <c r="Q30" t="n">
        <v>88.0593802217007</v>
      </c>
      <c r="R30" t="n">
        <v>88.3153667921127</v>
      </c>
      <c r="S30" t="n">
        <v>88.3153667921127</v>
      </c>
      <c r="T30" t="n">
        <v>89.3189505056594</v>
      </c>
      <c r="U30" t="n">
        <v>89.3189505056594</v>
      </c>
      <c r="V30" t="n">
        <v>90.6930882057464</v>
      </c>
      <c r="W30" t="n">
        <v>93.656914617699</v>
      </c>
      <c r="X30" t="n">
        <v>98.4710550887022</v>
      </c>
      <c r="Y30" t="n">
        <v>98.4710550887022</v>
      </c>
      <c r="Z30" t="n">
        <v>98.4710550887022</v>
      </c>
      <c r="AA30" t="n">
        <v>98.4710550887022</v>
      </c>
      <c r="AB30" t="n">
        <v>98.4710550887022</v>
      </c>
      <c r="AC30" t="n">
        <v>99.1596638655462</v>
      </c>
      <c r="AD30" t="n">
        <v>100</v>
      </c>
      <c r="AE30" t="n">
        <v>100</v>
      </c>
      <c r="AF30" t="n">
        <v>102.857142857143</v>
      </c>
    </row>
    <row r="31">
      <c r="A31" t="s">
        <v>78</v>
      </c>
      <c r="B31" t="s">
        <v>332</v>
      </c>
      <c r="C31" t="s">
        <v>236</v>
      </c>
      <c r="D31" t="s">
        <v>333</v>
      </c>
      <c r="E31" t="s">
        <v>237</v>
      </c>
      <c r="F31" t="n">
        <v>51.0800755125775</v>
      </c>
      <c r="G31" t="n">
        <v>53.1232785330806</v>
      </c>
      <c r="H31" t="n">
        <v>55.7146579737186</v>
      </c>
      <c r="I31" t="n">
        <v>57.7284407920458</v>
      </c>
      <c r="J31" t="n">
        <v>59.5324545667973</v>
      </c>
      <c r="K31" t="n">
        <v>64.5775778351699</v>
      </c>
      <c r="L31" t="n">
        <v>68.1852637477492</v>
      </c>
      <c r="M31" t="n">
        <v>69.848318961109</v>
      </c>
      <c r="N31" t="n">
        <v>69.848318961109</v>
      </c>
      <c r="O31" t="n">
        <v>70.6605087164707</v>
      </c>
      <c r="P31" t="n">
        <v>70.3407779077989</v>
      </c>
      <c r="Q31" t="n">
        <v>70.0849932608614</v>
      </c>
      <c r="R31" t="n">
        <v>70.3598363716883</v>
      </c>
      <c r="S31" t="n">
        <v>69.9667646601147</v>
      </c>
      <c r="T31" t="n">
        <v>70.6493672421645</v>
      </c>
      <c r="U31" t="n">
        <v>71.2480906933693</v>
      </c>
      <c r="V31" t="n">
        <v>72.1276967513122</v>
      </c>
      <c r="W31" t="n">
        <v>77.0776367244414</v>
      </c>
      <c r="X31" t="n">
        <v>73.7977372893588</v>
      </c>
      <c r="Y31" t="n">
        <v>81.4319859744649</v>
      </c>
      <c r="Z31" t="n">
        <v>96.7387502553793</v>
      </c>
      <c r="AA31" t="n">
        <v>96.4326149697611</v>
      </c>
      <c r="AB31" t="n">
        <v>95.3429809023061</v>
      </c>
      <c r="AC31" t="n">
        <v>94.4477416450075</v>
      </c>
      <c r="AD31" t="n">
        <v>99.2366412213741</v>
      </c>
      <c r="AE31" t="n">
        <v>100</v>
      </c>
      <c r="AF31" t="n">
        <v>96.1977186311787</v>
      </c>
    </row>
    <row r="32">
      <c r="A32" t="s">
        <v>78</v>
      </c>
      <c r="B32" t="s">
        <v>334</v>
      </c>
      <c r="C32" t="s">
        <v>236</v>
      </c>
      <c r="D32" t="s">
        <v>335</v>
      </c>
      <c r="E32" t="s">
        <v>237</v>
      </c>
      <c r="F32" t="n">
        <v>72.9654217261704</v>
      </c>
      <c r="G32" t="n">
        <v>72.9654217261704</v>
      </c>
      <c r="H32" t="n">
        <v>77.3433470297406</v>
      </c>
      <c r="I32" t="n">
        <v>79.405836283867</v>
      </c>
      <c r="J32" t="n">
        <v>79.405836283867</v>
      </c>
      <c r="K32" t="n">
        <v>83.5850908251232</v>
      </c>
      <c r="L32" t="n">
        <v>87.5653332453671</v>
      </c>
      <c r="M32" t="n">
        <v>87.5653332453671</v>
      </c>
      <c r="N32" t="n">
        <v>87.5653332453671</v>
      </c>
      <c r="O32" t="n">
        <v>87.5653332453671</v>
      </c>
      <c r="P32" t="n">
        <v>87.5653332453671</v>
      </c>
      <c r="Q32" t="n">
        <v>87.5653332453671</v>
      </c>
      <c r="R32" t="n">
        <v>87.5653332453671</v>
      </c>
      <c r="S32" t="n">
        <v>87.5653332453671</v>
      </c>
      <c r="T32" t="n">
        <v>87.5653332453671</v>
      </c>
      <c r="U32" t="n">
        <v>89.1015671619525</v>
      </c>
      <c r="V32" t="n">
        <v>89.1015671619525</v>
      </c>
      <c r="W32" t="n">
        <v>93.5566455200501</v>
      </c>
      <c r="X32" t="n">
        <v>93.5566455200501</v>
      </c>
      <c r="Y32" t="n">
        <v>93.5566455200501</v>
      </c>
      <c r="Z32" t="n">
        <v>95.5472124460086</v>
      </c>
      <c r="AA32" t="n">
        <v>96.921992481203</v>
      </c>
      <c r="AB32" t="n">
        <v>96.921992481203</v>
      </c>
      <c r="AC32" t="n">
        <v>98.6842105263158</v>
      </c>
      <c r="AD32" t="n">
        <v>98.6842105263158</v>
      </c>
      <c r="AE32" t="n">
        <v>100</v>
      </c>
      <c r="AF32" t="n">
        <v>102.040816326531</v>
      </c>
    </row>
    <row r="33">
      <c r="A33" t="s">
        <v>78</v>
      </c>
      <c r="B33" t="s">
        <v>336</v>
      </c>
      <c r="C33" t="s">
        <v>236</v>
      </c>
      <c r="D33" t="s">
        <v>337</v>
      </c>
      <c r="E33" t="s">
        <v>237</v>
      </c>
      <c r="F33" t="n">
        <v>83.6601307189542</v>
      </c>
      <c r="G33" t="n">
        <v>83.6601307189542</v>
      </c>
      <c r="H33" t="n">
        <v>83.6601307189542</v>
      </c>
      <c r="I33" t="n">
        <v>83.6601307189542</v>
      </c>
      <c r="J33" t="n">
        <v>83.6601307189542</v>
      </c>
      <c r="K33" t="n">
        <v>88.8888888888889</v>
      </c>
      <c r="L33" t="n">
        <v>100</v>
      </c>
      <c r="M33" t="n">
        <v>100</v>
      </c>
      <c r="N33" t="n">
        <v>100</v>
      </c>
      <c r="O33" t="n">
        <v>100</v>
      </c>
      <c r="P33" t="n">
        <v>100</v>
      </c>
      <c r="Q33" t="n">
        <v>100</v>
      </c>
      <c r="R33" t="n">
        <v>100</v>
      </c>
      <c r="S33" t="n">
        <v>100</v>
      </c>
      <c r="T33" t="n">
        <v>100</v>
      </c>
      <c r="U33" t="n">
        <v>100</v>
      </c>
      <c r="V33" t="n">
        <v>100</v>
      </c>
      <c r="W33" t="n">
        <v>100</v>
      </c>
      <c r="X33" t="n">
        <v>100</v>
      </c>
      <c r="Y33" t="n">
        <v>100</v>
      </c>
      <c r="Z33" t="n">
        <v>100</v>
      </c>
      <c r="AA33" t="n">
        <v>100</v>
      </c>
      <c r="AB33" t="n">
        <v>100</v>
      </c>
      <c r="AC33" t="n">
        <v>100</v>
      </c>
      <c r="AD33" t="n">
        <v>100</v>
      </c>
      <c r="AE33" t="n">
        <v>100</v>
      </c>
      <c r="AF33" t="n">
        <v>100</v>
      </c>
    </row>
    <row r="34">
      <c r="A34" t="s">
        <v>78</v>
      </c>
      <c r="B34" t="s">
        <v>338</v>
      </c>
      <c r="C34" t="s">
        <v>236</v>
      </c>
      <c r="D34" t="s">
        <v>339</v>
      </c>
      <c r="E34" t="s">
        <v>237</v>
      </c>
      <c r="F34" t="n">
        <v>83.4814814814815</v>
      </c>
      <c r="G34" t="n">
        <v>83.4814814814815</v>
      </c>
      <c r="H34" t="n">
        <v>83.4814814814815</v>
      </c>
      <c r="I34" t="n">
        <v>83.4814814814815</v>
      </c>
      <c r="J34" t="n">
        <v>83.4814814814815</v>
      </c>
      <c r="K34" t="n">
        <v>89.4444444444444</v>
      </c>
      <c r="L34" t="n">
        <v>95.8333333333333</v>
      </c>
      <c r="M34" t="n">
        <v>95.8333333333333</v>
      </c>
      <c r="N34" t="n">
        <v>95.8333333333333</v>
      </c>
      <c r="O34" t="n">
        <v>95.8333333333333</v>
      </c>
      <c r="P34" t="n">
        <v>95.8333333333333</v>
      </c>
      <c r="Q34" t="n">
        <v>95.8333333333333</v>
      </c>
      <c r="R34" t="n">
        <v>95.8333333333333</v>
      </c>
      <c r="S34" t="n">
        <v>95.8333333333333</v>
      </c>
      <c r="T34" t="n">
        <v>95.8333333333333</v>
      </c>
      <c r="U34" t="n">
        <v>95.8333333333333</v>
      </c>
      <c r="V34" t="n">
        <v>95.8333333333333</v>
      </c>
      <c r="W34" t="n">
        <v>100</v>
      </c>
      <c r="X34" t="n">
        <v>100</v>
      </c>
      <c r="Y34" t="n">
        <v>100</v>
      </c>
      <c r="Z34" t="n">
        <v>100</v>
      </c>
      <c r="AA34" t="n">
        <v>100</v>
      </c>
      <c r="AB34" t="n">
        <v>100</v>
      </c>
      <c r="AC34" t="n">
        <v>100</v>
      </c>
      <c r="AD34" t="n">
        <v>100</v>
      </c>
      <c r="AE34" t="n">
        <v>100</v>
      </c>
      <c r="AF34" t="n">
        <v>100</v>
      </c>
    </row>
    <row r="35">
      <c r="A35" t="s">
        <v>78</v>
      </c>
      <c r="B35" t="s">
        <v>340</v>
      </c>
      <c r="C35" t="s">
        <v>236</v>
      </c>
      <c r="D35" t="s">
        <v>341</v>
      </c>
      <c r="E35" t="s">
        <v>237</v>
      </c>
      <c r="F35" t="n">
        <v>72.6498099726446</v>
      </c>
      <c r="G35" t="n">
        <v>72.6498099726446</v>
      </c>
      <c r="H35" t="n">
        <v>77.0528287588655</v>
      </c>
      <c r="I35" t="n">
        <v>77.0528287588655</v>
      </c>
      <c r="J35" t="n">
        <v>77.0528287588655</v>
      </c>
      <c r="K35" t="n">
        <v>84.3219635474377</v>
      </c>
      <c r="L35" t="n">
        <v>89.0949048803115</v>
      </c>
      <c r="M35" t="n">
        <v>90.9131682452159</v>
      </c>
      <c r="N35" t="n">
        <v>90.9131682452159</v>
      </c>
      <c r="O35" t="n">
        <v>91.9462724298206</v>
      </c>
      <c r="P35" t="n">
        <v>91.9462724298206</v>
      </c>
      <c r="Q35" t="n">
        <v>91.9462724298206</v>
      </c>
      <c r="R35" t="n">
        <v>93.2788271027165</v>
      </c>
      <c r="S35" t="n">
        <v>93.2788271027165</v>
      </c>
      <c r="T35" t="n">
        <v>94.3892893301298</v>
      </c>
      <c r="U35" t="n">
        <v>95.1267056530214</v>
      </c>
      <c r="V35" t="n">
        <v>96.8253968253968</v>
      </c>
      <c r="W35" t="n">
        <v>100</v>
      </c>
      <c r="X35" t="n">
        <v>100</v>
      </c>
      <c r="Y35" t="n">
        <v>100</v>
      </c>
      <c r="Z35" t="n">
        <v>100</v>
      </c>
      <c r="AA35" t="n">
        <v>100</v>
      </c>
      <c r="AB35" t="n">
        <v>100</v>
      </c>
      <c r="AC35" t="n">
        <v>100</v>
      </c>
      <c r="AD35" t="n">
        <v>100</v>
      </c>
      <c r="AE35" t="n">
        <v>100</v>
      </c>
      <c r="AF35" t="n">
        <v>100</v>
      </c>
    </row>
    <row r="36">
      <c r="A36" t="s">
        <v>78</v>
      </c>
      <c r="B36" t="s">
        <v>342</v>
      </c>
      <c r="C36" t="s">
        <v>236</v>
      </c>
      <c r="D36" t="s">
        <v>343</v>
      </c>
      <c r="E36" t="s">
        <v>237</v>
      </c>
      <c r="F36" t="n">
        <v>85.207100591716</v>
      </c>
      <c r="G36" t="n">
        <v>85.207100591716</v>
      </c>
      <c r="H36" t="n">
        <v>85.207100591716</v>
      </c>
      <c r="I36" t="n">
        <v>85.207100591716</v>
      </c>
      <c r="J36" t="n">
        <v>85.207100591716</v>
      </c>
      <c r="K36" t="n">
        <v>92.3076923076923</v>
      </c>
      <c r="L36" t="n">
        <v>100</v>
      </c>
      <c r="M36" t="n">
        <v>100</v>
      </c>
      <c r="N36" t="n">
        <v>100</v>
      </c>
      <c r="O36" t="n">
        <v>100</v>
      </c>
      <c r="P36" t="n">
        <v>100</v>
      </c>
      <c r="Q36" t="n">
        <v>100</v>
      </c>
      <c r="R36" t="n">
        <v>100</v>
      </c>
      <c r="S36" t="n">
        <v>100</v>
      </c>
      <c r="T36" t="n">
        <v>100</v>
      </c>
      <c r="U36" t="n">
        <v>100</v>
      </c>
      <c r="V36" t="n">
        <v>100</v>
      </c>
      <c r="W36" t="n">
        <v>100</v>
      </c>
      <c r="X36" t="n">
        <v>100</v>
      </c>
      <c r="Y36" t="n">
        <v>100</v>
      </c>
      <c r="Z36" t="n">
        <v>100</v>
      </c>
      <c r="AA36" t="n">
        <v>100</v>
      </c>
      <c r="AB36" t="n">
        <v>100</v>
      </c>
      <c r="AC36" t="n">
        <v>100</v>
      </c>
      <c r="AD36" t="n">
        <v>100</v>
      </c>
      <c r="AE36" t="n">
        <v>100</v>
      </c>
      <c r="AF36" t="n">
        <v>100</v>
      </c>
    </row>
    <row r="37">
      <c r="A37" t="s">
        <v>78</v>
      </c>
      <c r="B37" t="s">
        <v>344</v>
      </c>
      <c r="C37" t="s">
        <v>236</v>
      </c>
      <c r="D37" t="s">
        <v>345</v>
      </c>
      <c r="E37" t="s">
        <v>237</v>
      </c>
      <c r="F37" t="n">
        <v>72.1661601573239</v>
      </c>
      <c r="G37" t="n">
        <v>72.1661601573239</v>
      </c>
      <c r="H37" t="n">
        <v>78.1800068371008</v>
      </c>
      <c r="I37" t="n">
        <v>78.1800068371008</v>
      </c>
      <c r="J37" t="n">
        <v>78.1800068371008</v>
      </c>
      <c r="K37" t="n">
        <v>84.9782683011966</v>
      </c>
      <c r="L37" t="n">
        <v>89.2271817162564</v>
      </c>
      <c r="M37" t="n">
        <v>89.2271817162564</v>
      </c>
      <c r="N37" t="n">
        <v>89.2271817162564</v>
      </c>
      <c r="O37" t="n">
        <v>90.7143014115274</v>
      </c>
      <c r="P37" t="n">
        <v>90.7143014115274</v>
      </c>
      <c r="Q37" t="n">
        <v>90.7143014115274</v>
      </c>
      <c r="R37" t="n">
        <v>92.3057803836594</v>
      </c>
      <c r="S37" t="n">
        <v>92.3057803836594</v>
      </c>
      <c r="T37" t="n">
        <v>93.6244343891403</v>
      </c>
      <c r="U37" t="n">
        <v>94.5701357466063</v>
      </c>
      <c r="V37" t="n">
        <v>97.0588235294118</v>
      </c>
      <c r="W37" t="n">
        <v>100</v>
      </c>
      <c r="X37" t="n">
        <v>100</v>
      </c>
      <c r="Y37" t="n">
        <v>100</v>
      </c>
      <c r="Z37" t="n">
        <v>100</v>
      </c>
      <c r="AA37" t="n">
        <v>100</v>
      </c>
      <c r="AB37" t="n">
        <v>100</v>
      </c>
      <c r="AC37" t="n">
        <v>100</v>
      </c>
      <c r="AD37" t="n">
        <v>100</v>
      </c>
      <c r="AE37" t="n">
        <v>100</v>
      </c>
      <c r="AF37" t="n">
        <v>100</v>
      </c>
    </row>
    <row r="38">
      <c r="A38" t="s">
        <v>78</v>
      </c>
      <c r="B38" t="s">
        <v>346</v>
      </c>
      <c r="C38" t="s">
        <v>236</v>
      </c>
      <c r="D38" t="s">
        <v>347</v>
      </c>
      <c r="E38" t="s">
        <v>237</v>
      </c>
      <c r="F38" t="e">
        <v>#NUM!</v>
      </c>
      <c r="G38" t="e">
        <v>#NUM!</v>
      </c>
      <c r="H38" t="e">
        <v>#NUM!</v>
      </c>
      <c r="I38" t="e">
        <v>#NUM!</v>
      </c>
      <c r="J38" t="e">
        <v>#NUM!</v>
      </c>
      <c r="K38" t="e">
        <v>#NUM!</v>
      </c>
      <c r="L38" t="e">
        <v>#NUM!</v>
      </c>
      <c r="M38" t="e">
        <v>#NUM!</v>
      </c>
      <c r="N38" t="e">
        <v>#NUM!</v>
      </c>
      <c r="O38" t="e">
        <v>#NUM!</v>
      </c>
      <c r="P38" t="e">
        <v>#NUM!</v>
      </c>
      <c r="Q38" t="e">
        <v>#NUM!</v>
      </c>
      <c r="R38" t="n">
        <v>0</v>
      </c>
      <c r="S38" t="e">
        <v>#NUM!</v>
      </c>
      <c r="T38" t="n">
        <v>0</v>
      </c>
      <c r="U38" t="n">
        <v>93.75</v>
      </c>
      <c r="V38" t="n">
        <v>93.75</v>
      </c>
      <c r="W38" t="n">
        <v>100</v>
      </c>
      <c r="X38" t="n">
        <v>100</v>
      </c>
      <c r="Y38" t="n">
        <v>100</v>
      </c>
      <c r="Z38" t="n">
        <v>100</v>
      </c>
      <c r="AA38" t="n">
        <v>100</v>
      </c>
      <c r="AB38" t="n">
        <v>100</v>
      </c>
      <c r="AC38" t="n">
        <v>100</v>
      </c>
      <c r="AD38" t="n">
        <v>100</v>
      </c>
      <c r="AE38" t="n">
        <v>100</v>
      </c>
      <c r="AF38" t="n">
        <v>100</v>
      </c>
    </row>
    <row r="39">
      <c r="A39" t="s">
        <v>78</v>
      </c>
      <c r="B39" t="s">
        <v>348</v>
      </c>
      <c r="C39" t="s">
        <v>236</v>
      </c>
      <c r="D39" t="s">
        <v>349</v>
      </c>
      <c r="E39" t="s">
        <v>237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78</v>
      </c>
      <c r="B40" t="s">
        <v>350</v>
      </c>
      <c r="C40" t="s">
        <v>236</v>
      </c>
      <c r="D40" t="s">
        <v>351</v>
      </c>
      <c r="E40" t="s">
        <v>237</v>
      </c>
      <c r="F40" t="n">
        <v>99.9329902232407</v>
      </c>
      <c r="G40" t="n">
        <v>99.9329902232407</v>
      </c>
      <c r="H40" t="n">
        <v>99.9329902232407</v>
      </c>
      <c r="I40" t="n">
        <v>99.9329902232407</v>
      </c>
      <c r="J40" t="n">
        <v>99.9329902232407</v>
      </c>
      <c r="K40" t="n">
        <v>99.9329902232407</v>
      </c>
      <c r="L40" t="n">
        <v>99.9329902232407</v>
      </c>
      <c r="M40" t="n">
        <v>99.9329902232407</v>
      </c>
      <c r="N40" t="n">
        <v>99.9329902232407</v>
      </c>
      <c r="O40" t="n">
        <v>99.9329902232407</v>
      </c>
      <c r="P40" t="n">
        <v>99.9329902232407</v>
      </c>
      <c r="Q40" t="n">
        <v>99.9329902232407</v>
      </c>
      <c r="R40" t="n">
        <v>99.9329902232407</v>
      </c>
      <c r="S40" t="n">
        <v>99.9329902232407</v>
      </c>
      <c r="T40" t="n">
        <v>99.9329902232407</v>
      </c>
      <c r="U40" t="n">
        <v>99.9329902232407</v>
      </c>
      <c r="V40" t="n">
        <v>99.9329902232407</v>
      </c>
      <c r="W40" t="n">
        <v>102.014927519558</v>
      </c>
      <c r="X40" t="n">
        <v>102.014927519558</v>
      </c>
      <c r="Y40" t="n">
        <v>102.014927519558</v>
      </c>
      <c r="Z40" t="n">
        <v>104.185457892315</v>
      </c>
      <c r="AA40" t="n">
        <v>102.256097560976</v>
      </c>
      <c r="AB40" t="n">
        <v>99.8780487804878</v>
      </c>
      <c r="AC40" t="n">
        <v>99.8780487804878</v>
      </c>
      <c r="AD40" t="n">
        <v>97.5</v>
      </c>
      <c r="AE40" t="n">
        <v>100</v>
      </c>
      <c r="AF40" t="n">
        <v>100</v>
      </c>
    </row>
    <row r="41">
      <c r="A41" t="s">
        <v>78</v>
      </c>
      <c r="B41" t="s">
        <v>352</v>
      </c>
      <c r="C41" t="s">
        <v>236</v>
      </c>
      <c r="D41" t="s">
        <v>353</v>
      </c>
      <c r="E41" t="s">
        <v>237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/>
      <c r="AD41"/>
      <c r="AE41"/>
      <c r="AF41"/>
    </row>
    <row r="42">
      <c r="A42" t="s">
        <v>78</v>
      </c>
      <c r="B42" t="s">
        <v>354</v>
      </c>
      <c r="C42" t="s">
        <v>236</v>
      </c>
      <c r="D42" t="s">
        <v>355</v>
      </c>
      <c r="E42" t="s">
        <v>237</v>
      </c>
      <c r="F42" t="n">
        <v>84.448051948052</v>
      </c>
      <c r="G42" t="n">
        <v>84.4480519480519</v>
      </c>
      <c r="H42" t="n">
        <v>87.5757575757576</v>
      </c>
      <c r="I42" t="n">
        <v>87.5757575757576</v>
      </c>
      <c r="J42" t="n">
        <v>87.5757575757576</v>
      </c>
      <c r="K42" t="n">
        <v>94.4444444444444</v>
      </c>
      <c r="L42" t="n">
        <v>100</v>
      </c>
      <c r="M42" t="n">
        <v>100</v>
      </c>
      <c r="N42" t="n">
        <v>100</v>
      </c>
      <c r="O42" t="n">
        <v>100</v>
      </c>
      <c r="P42" t="n">
        <v>100</v>
      </c>
      <c r="Q42" t="n">
        <v>100</v>
      </c>
      <c r="R42" t="n">
        <v>100</v>
      </c>
      <c r="S42" t="n">
        <v>100</v>
      </c>
      <c r="T42" t="n">
        <v>100</v>
      </c>
      <c r="U42" t="n">
        <v>100</v>
      </c>
      <c r="V42" t="n">
        <v>100</v>
      </c>
      <c r="W42" t="n">
        <v>100</v>
      </c>
      <c r="X42" t="n">
        <v>100</v>
      </c>
      <c r="Y42" t="n">
        <v>100</v>
      </c>
      <c r="Z42" t="n">
        <v>100</v>
      </c>
      <c r="AA42" t="n">
        <v>100</v>
      </c>
      <c r="AB42" t="n">
        <v>100</v>
      </c>
      <c r="AC42" t="n">
        <v>100</v>
      </c>
      <c r="AD42" t="n">
        <v>100</v>
      </c>
      <c r="AE42" t="n">
        <v>100</v>
      </c>
      <c r="AF42" t="n">
        <v>100</v>
      </c>
    </row>
    <row r="43">
      <c r="A43" t="s">
        <v>78</v>
      </c>
      <c r="B43" t="s">
        <v>356</v>
      </c>
      <c r="C43" t="s">
        <v>236</v>
      </c>
      <c r="D43" t="s">
        <v>357</v>
      </c>
      <c r="E43" t="s">
        <v>237</v>
      </c>
      <c r="F43" t="n">
        <v>43.1770729452835</v>
      </c>
      <c r="G43" t="n">
        <v>43.7605469040036</v>
      </c>
      <c r="H43" t="n">
        <v>45.8054322733495</v>
      </c>
      <c r="I43" t="n">
        <v>45.8054322733495</v>
      </c>
      <c r="J43" t="n">
        <v>46.207234310835</v>
      </c>
      <c r="K43" t="n">
        <v>61.6096457477801</v>
      </c>
      <c r="L43" t="n">
        <v>79.984452374311</v>
      </c>
      <c r="M43" t="n">
        <v>93.587250397153</v>
      </c>
      <c r="N43" t="n">
        <v>94.4958644786787</v>
      </c>
      <c r="O43" t="n">
        <v>94.9374339388595</v>
      </c>
      <c r="P43" t="n">
        <v>94.4917182865644</v>
      </c>
      <c r="Q43" t="n">
        <v>94.2232759050684</v>
      </c>
      <c r="R43" t="n">
        <v>94.589903437773</v>
      </c>
      <c r="S43" t="n">
        <v>94.1804233363108</v>
      </c>
      <c r="T43" t="n">
        <v>94.804134749134</v>
      </c>
      <c r="U43" t="n">
        <v>95.3279144991292</v>
      </c>
      <c r="V43" t="n">
        <v>96.231496627083</v>
      </c>
      <c r="W43" t="n">
        <v>98.9679372894645</v>
      </c>
      <c r="X43" t="n">
        <v>98.9679372894645</v>
      </c>
      <c r="Y43" t="n">
        <v>98.49666139761</v>
      </c>
      <c r="Z43" t="n">
        <v>99.4003004930009</v>
      </c>
      <c r="AA43" t="n">
        <v>98.5543404888051</v>
      </c>
      <c r="AB43" t="n">
        <v>98.5543404888051</v>
      </c>
      <c r="AC43" t="n">
        <v>98.8965430599468</v>
      </c>
      <c r="AD43" t="n">
        <v>98.2935153583618</v>
      </c>
      <c r="AE43" t="n">
        <v>100</v>
      </c>
      <c r="AF43" t="n">
        <v>100.31847133758</v>
      </c>
    </row>
    <row r="44">
      <c r="A44" t="s">
        <v>78</v>
      </c>
      <c r="B44" t="s">
        <v>358</v>
      </c>
      <c r="C44" t="s">
        <v>236</v>
      </c>
      <c r="D44" t="s">
        <v>359</v>
      </c>
      <c r="E44" t="s">
        <v>237</v>
      </c>
      <c r="F44" t="n">
        <v>63.9773979893116</v>
      </c>
      <c r="G44" t="n">
        <v>65.1621646187433</v>
      </c>
      <c r="H44" t="n">
        <v>67.8905176383697</v>
      </c>
      <c r="I44" t="n">
        <v>69.092486509867</v>
      </c>
      <c r="J44" t="n">
        <v>70.9149729652856</v>
      </c>
      <c r="K44" t="n">
        <v>77.6332335619968</v>
      </c>
      <c r="L44" t="n">
        <v>82.7457708026596</v>
      </c>
      <c r="M44" t="n">
        <v>85.3332263031895</v>
      </c>
      <c r="N44" t="n">
        <v>86.3241928021943</v>
      </c>
      <c r="O44" t="n">
        <v>87.0974882586967</v>
      </c>
      <c r="P44" t="n">
        <v>87.3934505974399</v>
      </c>
      <c r="Q44" t="n">
        <v>88.2001593721855</v>
      </c>
      <c r="R44" t="n">
        <v>88.7298900591055</v>
      </c>
      <c r="S44" t="n">
        <v>88.2729477413854</v>
      </c>
      <c r="T44" t="n">
        <v>88.9552507190966</v>
      </c>
      <c r="U44" t="n">
        <v>89.6381211186802</v>
      </c>
      <c r="V44" t="n">
        <v>90.7504866341137</v>
      </c>
      <c r="W44" t="n">
        <v>93.5905996632498</v>
      </c>
      <c r="X44" t="n">
        <v>93.1069273135689</v>
      </c>
      <c r="Y44" t="n">
        <v>93.7510632886942</v>
      </c>
      <c r="Z44" t="n">
        <v>96.1523166808297</v>
      </c>
      <c r="AA44" t="n">
        <v>96.443561257535</v>
      </c>
      <c r="AB44" t="n">
        <v>96.443561257535</v>
      </c>
      <c r="AC44" t="n">
        <v>97.1898245899783</v>
      </c>
      <c r="AD44" t="n">
        <v>98.0852082336046</v>
      </c>
      <c r="AE44" t="n">
        <v>100</v>
      </c>
      <c r="AF44" t="n">
        <v>102.699949057565</v>
      </c>
    </row>
    <row r="45">
      <c r="A45" t="s">
        <v>78</v>
      </c>
      <c r="B45" t="s">
        <v>360</v>
      </c>
      <c r="C45" t="s">
        <v>236</v>
      </c>
      <c r="D45" t="s">
        <v>361</v>
      </c>
      <c r="E45" t="s">
        <v>237</v>
      </c>
      <c r="F45" t="n">
        <v>64.0393192157509</v>
      </c>
      <c r="G45" t="n">
        <v>65.6650414474973</v>
      </c>
      <c r="H45" t="n">
        <v>68.9163137918945</v>
      </c>
      <c r="I45" t="n">
        <v>70.1978154946363</v>
      </c>
      <c r="J45" t="n">
        <v>71.8870677391596</v>
      </c>
      <c r="K45" t="n">
        <v>79.3544065585762</v>
      </c>
      <c r="L45" t="n">
        <v>85.0298175001857</v>
      </c>
      <c r="M45" t="n">
        <v>87.7156591931808</v>
      </c>
      <c r="N45" t="n">
        <v>88.4682896542768</v>
      </c>
      <c r="O45" t="n">
        <v>88.9898069030426</v>
      </c>
      <c r="P45" t="n">
        <v>88.9409114047442</v>
      </c>
      <c r="Q45" t="n">
        <v>89.0701233825719</v>
      </c>
      <c r="R45" t="n">
        <v>89.5834958516357</v>
      </c>
      <c r="S45" t="n">
        <v>89.1453157088832</v>
      </c>
      <c r="T45" t="n">
        <v>89.793101681055</v>
      </c>
      <c r="U45" t="n">
        <v>90.4809686945222</v>
      </c>
      <c r="V45" t="n">
        <v>91.5750553776482</v>
      </c>
      <c r="W45" t="n">
        <v>94.2062259828651</v>
      </c>
      <c r="X45" t="n">
        <v>93.6407624415514</v>
      </c>
      <c r="Y45" t="n">
        <v>94.4682213143781</v>
      </c>
      <c r="Z45" t="n">
        <v>96.9189101934416</v>
      </c>
      <c r="AA45" t="n">
        <v>97.2498528136144</v>
      </c>
      <c r="AB45" t="n">
        <v>97.2991931752651</v>
      </c>
      <c r="AC45" t="n">
        <v>97.8424881625382</v>
      </c>
      <c r="AD45" t="n">
        <v>98.5729967069155</v>
      </c>
      <c r="AE45" t="n">
        <v>100</v>
      </c>
      <c r="AF45" t="n">
        <v>102.3282887078</v>
      </c>
    </row>
    <row r="46">
      <c r="A46" t="s">
        <v>78</v>
      </c>
      <c r="B46" t="s">
        <v>362</v>
      </c>
      <c r="C46" t="s">
        <v>236</v>
      </c>
      <c r="D46" t="s">
        <v>363</v>
      </c>
      <c r="E46" t="s">
        <v>237</v>
      </c>
      <c r="F46" t="n">
        <v>29.0581337509275</v>
      </c>
      <c r="G46" t="n">
        <v>29.8032141035153</v>
      </c>
      <c r="H46" t="n">
        <v>31.4901884867332</v>
      </c>
      <c r="I46" t="n">
        <v>31.4901884867332</v>
      </c>
      <c r="J46" t="n">
        <v>32.0331227709872</v>
      </c>
      <c r="K46" t="n">
        <v>49.0203848465107</v>
      </c>
      <c r="L46" t="n">
        <v>73.1415265963811</v>
      </c>
      <c r="M46" t="n">
        <v>91.9924355129742</v>
      </c>
      <c r="N46" t="n">
        <v>93.1949510098758</v>
      </c>
      <c r="O46" t="n">
        <v>93.7885494239514</v>
      </c>
      <c r="P46" t="n">
        <v>93.2096077608406</v>
      </c>
      <c r="Q46" t="n">
        <v>92.8999412898744</v>
      </c>
      <c r="R46" t="n">
        <v>93.3837951507591</v>
      </c>
      <c r="S46" t="n">
        <v>92.8037715783942</v>
      </c>
      <c r="T46" t="n">
        <v>93.5644582306761</v>
      </c>
      <c r="U46" t="n">
        <v>94.2375838294579</v>
      </c>
      <c r="V46" t="n">
        <v>95.4457579811176</v>
      </c>
      <c r="W46" t="n">
        <v>98.6995906395648</v>
      </c>
      <c r="X46" t="n">
        <v>98.6995906395648</v>
      </c>
      <c r="Y46" t="n">
        <v>98.160248614212</v>
      </c>
      <c r="Z46" t="n">
        <v>99.1517662769818</v>
      </c>
      <c r="AA46" t="n">
        <v>98.2119391084796</v>
      </c>
      <c r="AB46" t="n">
        <v>98.2119391084796</v>
      </c>
      <c r="AC46" t="n">
        <v>98.6194575280169</v>
      </c>
      <c r="AD46" t="n">
        <v>97.8723404255319</v>
      </c>
      <c r="AE46" t="n">
        <v>100</v>
      </c>
      <c r="AF46" t="n">
        <v>100.425531914894</v>
      </c>
    </row>
    <row r="47">
      <c r="A47" t="s">
        <v>78</v>
      </c>
      <c r="B47" t="s">
        <v>364</v>
      </c>
      <c r="C47" t="s">
        <v>236</v>
      </c>
      <c r="D47" t="s">
        <v>365</v>
      </c>
      <c r="E47" t="s">
        <v>237</v>
      </c>
      <c r="F47" t="n">
        <v>68.140949702261</v>
      </c>
      <c r="G47" t="n">
        <v>69.6551930289779</v>
      </c>
      <c r="H47" t="n">
        <v>74.1490764502023</v>
      </c>
      <c r="I47" t="n">
        <v>74.1490764502023</v>
      </c>
      <c r="J47" t="n">
        <v>77.056883369818</v>
      </c>
      <c r="K47" t="n">
        <v>83.6997181430782</v>
      </c>
      <c r="L47" t="n">
        <v>87.4197056161039</v>
      </c>
      <c r="M47" t="n">
        <v>90.109542711984</v>
      </c>
      <c r="N47" t="n">
        <v>90.109542711984</v>
      </c>
      <c r="O47" t="n">
        <v>90.109542711984</v>
      </c>
      <c r="P47" t="n">
        <v>91.2951945897733</v>
      </c>
      <c r="Q47" t="n">
        <v>91.2951945897733</v>
      </c>
      <c r="R47" t="n">
        <v>91.2951945897733</v>
      </c>
      <c r="S47" t="n">
        <v>91.2951945897733</v>
      </c>
      <c r="T47" t="n">
        <v>91.2951945897733</v>
      </c>
      <c r="U47" t="n">
        <v>92.2363821628637</v>
      </c>
      <c r="V47" t="n">
        <v>93.2281712183784</v>
      </c>
      <c r="W47" t="n">
        <v>98.0337470543773</v>
      </c>
      <c r="X47" t="n">
        <v>98.9855310063616</v>
      </c>
      <c r="Y47" t="n">
        <v>97.8606954267438</v>
      </c>
      <c r="Z47" t="n">
        <v>99.6898673038792</v>
      </c>
      <c r="AA47" t="n">
        <v>99.6898673038792</v>
      </c>
      <c r="AB47" t="n">
        <v>98.5822021116139</v>
      </c>
      <c r="AC47" t="n">
        <v>98.5822021116139</v>
      </c>
      <c r="AD47" t="n">
        <v>97.4358974358974</v>
      </c>
      <c r="AE47" t="n">
        <v>100</v>
      </c>
      <c r="AF47" t="n">
        <v>100</v>
      </c>
    </row>
    <row r="48">
      <c r="A48" t="s">
        <v>78</v>
      </c>
      <c r="B48" t="s">
        <v>366</v>
      </c>
      <c r="C48" t="s">
        <v>236</v>
      </c>
      <c r="D48" t="s">
        <v>367</v>
      </c>
      <c r="E48" t="s">
        <v>237</v>
      </c>
      <c r="F48" t="n">
        <v>74.2910447409099</v>
      </c>
      <c r="G48" t="n">
        <v>75.4166666309237</v>
      </c>
      <c r="H48" t="n">
        <v>78.3741829693913</v>
      </c>
      <c r="I48" t="n">
        <v>78.3741829693913</v>
      </c>
      <c r="J48" t="n">
        <v>80.4641611819084</v>
      </c>
      <c r="K48" t="n">
        <v>87.1695079470674</v>
      </c>
      <c r="L48" t="n">
        <v>90.9594865534617</v>
      </c>
      <c r="M48" t="n">
        <v>92.8349398844609</v>
      </c>
      <c r="N48" t="n">
        <v>92.8349398844608</v>
      </c>
      <c r="O48" t="n">
        <v>92.8349398844608</v>
      </c>
      <c r="P48" t="n">
        <v>93.5717251216391</v>
      </c>
      <c r="Q48" t="n">
        <v>93.5717251216391</v>
      </c>
      <c r="R48" t="n">
        <v>93.5717251216391</v>
      </c>
      <c r="S48" t="n">
        <v>93.5717251216391</v>
      </c>
      <c r="T48" t="n">
        <v>93.5717251216391</v>
      </c>
      <c r="U48" t="n">
        <v>94.163951230004</v>
      </c>
      <c r="V48" t="n">
        <v>94.7834509091487</v>
      </c>
      <c r="W48" t="n">
        <v>98.5249029187204</v>
      </c>
      <c r="X48" t="n">
        <v>99.1730930695014</v>
      </c>
      <c r="Y48" t="n">
        <v>98.4274307155954</v>
      </c>
      <c r="Z48" t="n">
        <v>99.6655116050997</v>
      </c>
      <c r="AA48" t="n">
        <v>99.6655116050997</v>
      </c>
      <c r="AB48" t="n">
        <v>98.8745154812497</v>
      </c>
      <c r="AC48" t="n">
        <v>98.8745154812497</v>
      </c>
      <c r="AD48" t="n">
        <v>98.1366459627329</v>
      </c>
      <c r="AE48" t="n">
        <v>100</v>
      </c>
      <c r="AF48" t="n">
        <v>100</v>
      </c>
    </row>
    <row r="49">
      <c r="A49" t="s">
        <v>78</v>
      </c>
      <c r="B49" t="s">
        <v>368</v>
      </c>
      <c r="C49" t="s">
        <v>236</v>
      </c>
      <c r="D49" t="s">
        <v>369</v>
      </c>
      <c r="E49" t="s">
        <v>237</v>
      </c>
      <c r="F49" t="n">
        <v>87.6984126984127</v>
      </c>
      <c r="G49" t="n">
        <v>87.6984126984127</v>
      </c>
      <c r="H49" t="n">
        <v>87.6984126984127</v>
      </c>
      <c r="I49" t="n">
        <v>87.6984126984127</v>
      </c>
      <c r="J49" t="n">
        <v>87.6984126984127</v>
      </c>
      <c r="K49" t="n">
        <v>92.8571428571428</v>
      </c>
      <c r="L49" t="n">
        <v>100</v>
      </c>
      <c r="M49" t="n">
        <v>100</v>
      </c>
      <c r="N49" t="n">
        <v>100</v>
      </c>
      <c r="O49" t="n">
        <v>100</v>
      </c>
      <c r="P49" t="n">
        <v>100</v>
      </c>
      <c r="Q49" t="n">
        <v>100</v>
      </c>
      <c r="R49" t="n">
        <v>100</v>
      </c>
      <c r="S49" t="n">
        <v>100</v>
      </c>
      <c r="T49" t="n">
        <v>100</v>
      </c>
      <c r="U49" t="n">
        <v>100</v>
      </c>
      <c r="V49" t="n">
        <v>100</v>
      </c>
      <c r="W49" t="n">
        <v>100</v>
      </c>
      <c r="X49" t="n">
        <v>100</v>
      </c>
      <c r="Y49" t="n">
        <v>100</v>
      </c>
      <c r="Z49" t="n">
        <v>100</v>
      </c>
      <c r="AA49" t="n">
        <v>100</v>
      </c>
      <c r="AB49" t="n">
        <v>100</v>
      </c>
      <c r="AC49" t="n">
        <v>100</v>
      </c>
      <c r="AD49" t="n">
        <v>100</v>
      </c>
      <c r="AE49" t="n">
        <v>100</v>
      </c>
      <c r="AF49" t="n">
        <v>100</v>
      </c>
    </row>
    <row r="50">
      <c r="A50" t="s">
        <v>78</v>
      </c>
      <c r="B50" t="s">
        <v>370</v>
      </c>
      <c r="C50" t="s">
        <v>236</v>
      </c>
      <c r="D50" t="s">
        <v>371</v>
      </c>
      <c r="E50" t="s">
        <v>237</v>
      </c>
      <c r="F50" t="n">
        <v>87.6315789473684</v>
      </c>
      <c r="G50" t="n">
        <v>87.6315789473684</v>
      </c>
      <c r="H50" t="n">
        <v>87.6315789473684</v>
      </c>
      <c r="I50" t="n">
        <v>87.6315789473684</v>
      </c>
      <c r="J50" t="n">
        <v>87.6315789473684</v>
      </c>
      <c r="K50" t="n">
        <v>97.3684210526315</v>
      </c>
      <c r="L50" t="n">
        <v>97.3684210526315</v>
      </c>
      <c r="M50" t="n">
        <v>97.3684210526315</v>
      </c>
      <c r="N50" t="n">
        <v>97.3684210526315</v>
      </c>
      <c r="O50" t="n">
        <v>97.3684210526315</v>
      </c>
      <c r="P50" t="n">
        <v>97.3684210526315</v>
      </c>
      <c r="Q50" t="n">
        <v>97.3684210526315</v>
      </c>
      <c r="R50" t="n">
        <v>97.3684210526315</v>
      </c>
      <c r="S50" t="n">
        <v>97.3684210526315</v>
      </c>
      <c r="T50" t="n">
        <v>97.3684210526315</v>
      </c>
      <c r="U50" t="n">
        <v>97.3684210526316</v>
      </c>
      <c r="V50" t="n">
        <v>97.3684210526316</v>
      </c>
      <c r="W50" t="n">
        <v>100</v>
      </c>
      <c r="X50" t="n">
        <v>100</v>
      </c>
      <c r="Y50" t="n">
        <v>100</v>
      </c>
      <c r="Z50" t="n">
        <v>100</v>
      </c>
      <c r="AA50" t="n">
        <v>100</v>
      </c>
      <c r="AB50" t="n">
        <v>100</v>
      </c>
      <c r="AC50" t="n">
        <v>100</v>
      </c>
      <c r="AD50" t="n">
        <v>100</v>
      </c>
      <c r="AE50" t="n">
        <v>100</v>
      </c>
      <c r="AF50" t="n">
        <v>100</v>
      </c>
    </row>
    <row r="51">
      <c r="A51" t="s">
        <v>78</v>
      </c>
      <c r="B51" t="s">
        <v>372</v>
      </c>
      <c r="C51" t="s">
        <v>236</v>
      </c>
      <c r="D51" t="s">
        <v>373</v>
      </c>
      <c r="E51" t="s">
        <v>237</v>
      </c>
      <c r="F51" t="n">
        <v>82.1428571428571</v>
      </c>
      <c r="G51" t="n">
        <v>82.1428571428571</v>
      </c>
      <c r="H51" t="n">
        <v>82.1428571428571</v>
      </c>
      <c r="I51" t="n">
        <v>82.1428571428571</v>
      </c>
      <c r="J51" t="n">
        <v>82.1428571428571</v>
      </c>
      <c r="K51" t="n">
        <v>95.8333333333333</v>
      </c>
      <c r="L51" t="n">
        <v>95.8333333333333</v>
      </c>
      <c r="M51" t="n">
        <v>95.8333333333333</v>
      </c>
      <c r="N51" t="n">
        <v>95.8333333333333</v>
      </c>
      <c r="O51" t="n">
        <v>95.8333333333333</v>
      </c>
      <c r="P51" t="n">
        <v>95.8333333333333</v>
      </c>
      <c r="Q51" t="n">
        <v>95.8333333333333</v>
      </c>
      <c r="R51" t="n">
        <v>95.8333333333333</v>
      </c>
      <c r="S51" t="n">
        <v>95.8333333333333</v>
      </c>
      <c r="T51" t="n">
        <v>95.8333333333333</v>
      </c>
      <c r="U51" t="n">
        <v>95.8333333333333</v>
      </c>
      <c r="V51" t="n">
        <v>95.8333333333333</v>
      </c>
      <c r="W51" t="n">
        <v>100</v>
      </c>
      <c r="X51" t="n">
        <v>100</v>
      </c>
      <c r="Y51" t="n">
        <v>100</v>
      </c>
      <c r="Z51" t="n">
        <v>100</v>
      </c>
      <c r="AA51" t="n">
        <v>100</v>
      </c>
      <c r="AB51" t="n">
        <v>100</v>
      </c>
      <c r="AC51" t="n">
        <v>100</v>
      </c>
      <c r="AD51" t="n">
        <v>100</v>
      </c>
      <c r="AE51" t="n">
        <v>100</v>
      </c>
      <c r="AF51" t="n">
        <v>100</v>
      </c>
    </row>
    <row r="52">
      <c r="A52" t="s">
        <v>78</v>
      </c>
      <c r="B52" t="s">
        <v>374</v>
      </c>
      <c r="C52" t="s">
        <v>236</v>
      </c>
      <c r="D52" t="s">
        <v>375</v>
      </c>
      <c r="E52" t="s">
        <v>237</v>
      </c>
      <c r="F52" t="n">
        <v>100</v>
      </c>
      <c r="G52" t="n">
        <v>100</v>
      </c>
      <c r="H52" t="n">
        <v>100</v>
      </c>
      <c r="I52" t="n">
        <v>100</v>
      </c>
      <c r="J52" t="n">
        <v>100</v>
      </c>
      <c r="K52" t="n">
        <v>100</v>
      </c>
      <c r="L52" t="n">
        <v>100</v>
      </c>
      <c r="M52" t="n">
        <v>100</v>
      </c>
      <c r="N52" t="n">
        <v>100</v>
      </c>
      <c r="O52" t="n">
        <v>100</v>
      </c>
      <c r="P52" t="n">
        <v>100</v>
      </c>
      <c r="Q52" t="n">
        <v>100</v>
      </c>
      <c r="R52" t="n">
        <v>100</v>
      </c>
      <c r="S52" t="n">
        <v>100</v>
      </c>
      <c r="T52" t="n">
        <v>100</v>
      </c>
      <c r="U52" t="n">
        <v>100</v>
      </c>
      <c r="V52" t="n">
        <v>100</v>
      </c>
      <c r="W52" t="n">
        <v>100</v>
      </c>
      <c r="X52" t="n">
        <v>100</v>
      </c>
      <c r="Y52" t="n">
        <v>100</v>
      </c>
      <c r="Z52" t="n">
        <v>100</v>
      </c>
      <c r="AA52" t="n">
        <v>100</v>
      </c>
      <c r="AB52" t="n">
        <v>100</v>
      </c>
      <c r="AC52" t="n">
        <v>100</v>
      </c>
      <c r="AD52" t="n">
        <v>100</v>
      </c>
      <c r="AE52" t="n">
        <v>100</v>
      </c>
      <c r="AF52" t="n">
        <v>100</v>
      </c>
    </row>
    <row r="53">
      <c r="A53" t="s">
        <v>78</v>
      </c>
      <c r="B53" t="s">
        <v>376</v>
      </c>
      <c r="C53" t="s">
        <v>236</v>
      </c>
      <c r="D53" t="s">
        <v>377</v>
      </c>
      <c r="E53" t="s">
        <v>237</v>
      </c>
      <c r="F53" t="n">
        <v>92.3076923076923</v>
      </c>
      <c r="G53" t="n">
        <v>92.3076923076923</v>
      </c>
      <c r="H53" t="n">
        <v>92.3076923076923</v>
      </c>
      <c r="I53" t="n">
        <v>92.3076923076923</v>
      </c>
      <c r="J53" t="n">
        <v>92.3076923076923</v>
      </c>
      <c r="K53" t="n">
        <v>100</v>
      </c>
      <c r="L53" t="n">
        <v>100</v>
      </c>
      <c r="M53" t="n">
        <v>100</v>
      </c>
      <c r="N53" t="n">
        <v>100</v>
      </c>
      <c r="O53" t="n">
        <v>100</v>
      </c>
      <c r="P53" t="n">
        <v>100</v>
      </c>
      <c r="Q53" t="n">
        <v>100</v>
      </c>
      <c r="R53" t="n">
        <v>100</v>
      </c>
      <c r="S53" t="n">
        <v>100</v>
      </c>
      <c r="T53" t="n">
        <v>100</v>
      </c>
      <c r="U53" t="n">
        <v>100</v>
      </c>
      <c r="V53" t="n">
        <v>100</v>
      </c>
      <c r="W53" t="n">
        <v>100</v>
      </c>
      <c r="X53" t="n">
        <v>100</v>
      </c>
      <c r="Y53" t="n">
        <v>100</v>
      </c>
      <c r="Z53" t="n">
        <v>100</v>
      </c>
      <c r="AA53" t="n">
        <v>100</v>
      </c>
      <c r="AB53" t="n">
        <v>100</v>
      </c>
      <c r="AC53" t="n">
        <v>100</v>
      </c>
      <c r="AD53" t="n">
        <v>100</v>
      </c>
      <c r="AE53" t="n">
        <v>100</v>
      </c>
      <c r="AF53" t="n">
        <v>100</v>
      </c>
    </row>
    <row r="54">
      <c r="A54" t="s">
        <v>78</v>
      </c>
      <c r="B54" t="s">
        <v>378</v>
      </c>
      <c r="C54" t="s">
        <v>236</v>
      </c>
      <c r="D54" t="s">
        <v>379</v>
      </c>
      <c r="E54" t="s">
        <v>237</v>
      </c>
      <c r="F54" t="n">
        <v>92</v>
      </c>
      <c r="G54" t="n">
        <v>92</v>
      </c>
      <c r="H54" t="n">
        <v>92</v>
      </c>
      <c r="I54" t="n">
        <v>92</v>
      </c>
      <c r="J54" t="n">
        <v>92</v>
      </c>
      <c r="K54" t="n">
        <v>100</v>
      </c>
      <c r="L54" t="n">
        <v>100</v>
      </c>
      <c r="M54" t="n">
        <v>100</v>
      </c>
      <c r="N54" t="n">
        <v>100</v>
      </c>
      <c r="O54" t="n">
        <v>100</v>
      </c>
      <c r="P54" t="n">
        <v>100</v>
      </c>
      <c r="Q54" t="n">
        <v>100</v>
      </c>
      <c r="R54" t="n">
        <v>100</v>
      </c>
      <c r="S54" t="n">
        <v>100</v>
      </c>
      <c r="T54" t="n">
        <v>100</v>
      </c>
      <c r="U54" t="n">
        <v>100</v>
      </c>
      <c r="V54" t="n">
        <v>100</v>
      </c>
      <c r="W54" t="n">
        <v>100</v>
      </c>
      <c r="X54" t="n">
        <v>100</v>
      </c>
      <c r="Y54" t="n">
        <v>100</v>
      </c>
      <c r="Z54" t="n">
        <v>100</v>
      </c>
      <c r="AA54" t="n">
        <v>100</v>
      </c>
      <c r="AB54" t="n">
        <v>100</v>
      </c>
      <c r="AC54" t="n">
        <v>100</v>
      </c>
      <c r="AD54" t="n">
        <v>100</v>
      </c>
      <c r="AE54" t="n">
        <v>100</v>
      </c>
      <c r="AF54" t="n">
        <v>100</v>
      </c>
    </row>
    <row r="55">
      <c r="A55" t="s">
        <v>78</v>
      </c>
      <c r="B55" t="s">
        <v>380</v>
      </c>
      <c r="C55" t="s">
        <v>236</v>
      </c>
      <c r="D55" t="s">
        <v>381</v>
      </c>
      <c r="E55" t="s">
        <v>237</v>
      </c>
      <c r="F55" t="n">
        <v>91.6666666666666</v>
      </c>
      <c r="G55" t="n">
        <v>91.6666666666666</v>
      </c>
      <c r="H55" t="n">
        <v>91.6666666666666</v>
      </c>
      <c r="I55" t="n">
        <v>91.6666666666666</v>
      </c>
      <c r="J55" t="n">
        <v>91.6666666666667</v>
      </c>
      <c r="K55" t="n">
        <v>100</v>
      </c>
      <c r="L55" t="n">
        <v>100</v>
      </c>
      <c r="M55" t="n">
        <v>100</v>
      </c>
      <c r="N55" t="n">
        <v>100</v>
      </c>
      <c r="O55" t="n">
        <v>100</v>
      </c>
      <c r="P55" t="n">
        <v>100</v>
      </c>
      <c r="Q55" t="n">
        <v>100</v>
      </c>
      <c r="R55" t="n">
        <v>100</v>
      </c>
      <c r="S55" t="n">
        <v>100</v>
      </c>
      <c r="T55" t="n">
        <v>100</v>
      </c>
      <c r="U55" t="n">
        <v>100</v>
      </c>
      <c r="V55" t="n">
        <v>100</v>
      </c>
      <c r="W55" t="n">
        <v>100</v>
      </c>
      <c r="X55" t="n">
        <v>100</v>
      </c>
      <c r="Y55" t="n">
        <v>100</v>
      </c>
      <c r="Z55" t="n">
        <v>100</v>
      </c>
      <c r="AA55" t="n">
        <v>100</v>
      </c>
      <c r="AB55" t="n">
        <v>100</v>
      </c>
      <c r="AC55" t="n">
        <v>100</v>
      </c>
      <c r="AD55" t="n">
        <v>100</v>
      </c>
      <c r="AE55" t="n">
        <v>100</v>
      </c>
      <c r="AF55" t="n">
        <v>100</v>
      </c>
    </row>
    <row r="56">
      <c r="A56" t="s">
        <v>78</v>
      </c>
      <c r="B56" t="s">
        <v>382</v>
      </c>
      <c r="C56" t="s">
        <v>236</v>
      </c>
      <c r="D56" t="s">
        <v>383</v>
      </c>
      <c r="E56" t="s">
        <v>237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78</v>
      </c>
      <c r="B57" t="s">
        <v>384</v>
      </c>
      <c r="C57" t="s">
        <v>236</v>
      </c>
      <c r="D57" t="s">
        <v>385</v>
      </c>
      <c r="E57" t="s">
        <v>237</v>
      </c>
      <c r="F57" t="n">
        <v>64.7636235282058</v>
      </c>
      <c r="G57" t="n">
        <v>65.9360684369061</v>
      </c>
      <c r="H57" t="n">
        <v>68.6742038977823</v>
      </c>
      <c r="I57" t="n">
        <v>69.8402178983886</v>
      </c>
      <c r="J57" t="n">
        <v>71.672987435644</v>
      </c>
      <c r="K57" t="n">
        <v>78.3701539596429</v>
      </c>
      <c r="L57" t="n">
        <v>83.4450790037386</v>
      </c>
      <c r="M57" t="n">
        <v>85.9767262548931</v>
      </c>
      <c r="N57" t="n">
        <v>86.9039767477559</v>
      </c>
      <c r="O57" t="n">
        <v>87.6378325514037</v>
      </c>
      <c r="P57" t="n">
        <v>87.954071911084</v>
      </c>
      <c r="Q57" t="n">
        <v>88.7176252430942</v>
      </c>
      <c r="R57" t="n">
        <v>89.219665159587</v>
      </c>
      <c r="S57" t="n">
        <v>88.7933331366698</v>
      </c>
      <c r="T57" t="n">
        <v>89.4284217956715</v>
      </c>
      <c r="U57" t="n">
        <v>90.0905480097995</v>
      </c>
      <c r="V57" t="n">
        <v>91.1524356572512</v>
      </c>
      <c r="W57" t="n">
        <v>94.0352075644516</v>
      </c>
      <c r="X57" t="n">
        <v>93.6395475045731</v>
      </c>
      <c r="Y57" t="n">
        <v>94.1679873889104</v>
      </c>
      <c r="Z57" t="n">
        <v>96.4748954582125</v>
      </c>
      <c r="AA57" t="n">
        <v>96.7048713711045</v>
      </c>
      <c r="AB57" t="n">
        <v>96.625507504571</v>
      </c>
      <c r="AC57" t="n">
        <v>97.3194803087863</v>
      </c>
      <c r="AD57" t="n">
        <v>98.0786026200873</v>
      </c>
      <c r="AE57" t="n">
        <v>100</v>
      </c>
      <c r="AF57" t="n">
        <v>102.413479052823</v>
      </c>
    </row>
    <row r="58">
      <c r="A58" t="s">
        <v>78</v>
      </c>
      <c r="B58" t="s">
        <v>386</v>
      </c>
      <c r="C58" t="s">
        <v>236</v>
      </c>
      <c r="D58" t="s">
        <v>387</v>
      </c>
      <c r="E58" t="s">
        <v>237</v>
      </c>
      <c r="F58" t="n">
        <v>64.7636235282058</v>
      </c>
      <c r="G58" t="n">
        <v>65.9360684369061</v>
      </c>
      <c r="H58" t="n">
        <v>68.6742038977823</v>
      </c>
      <c r="I58" t="n">
        <v>69.8402178983886</v>
      </c>
      <c r="J58" t="n">
        <v>71.672987435644</v>
      </c>
      <c r="K58" t="n">
        <v>78.3701539596429</v>
      </c>
      <c r="L58" t="n">
        <v>83.4450790037386</v>
      </c>
      <c r="M58" t="n">
        <v>85.9767262548931</v>
      </c>
      <c r="N58" t="n">
        <v>86.9039767477559</v>
      </c>
      <c r="O58" t="n">
        <v>87.6378325514037</v>
      </c>
      <c r="P58" t="n">
        <v>87.954071911084</v>
      </c>
      <c r="Q58" t="n">
        <v>88.7176252430942</v>
      </c>
      <c r="R58" t="n">
        <v>89.219665159587</v>
      </c>
      <c r="S58" t="n">
        <v>88.7933331366698</v>
      </c>
      <c r="T58" t="n">
        <v>89.4284217956715</v>
      </c>
      <c r="U58" t="n">
        <v>90.0905480097995</v>
      </c>
      <c r="V58" t="n">
        <v>91.1524356572512</v>
      </c>
      <c r="W58" t="n">
        <v>94.0352075644516</v>
      </c>
      <c r="X58" t="n">
        <v>93.6395475045731</v>
      </c>
      <c r="Y58" t="n">
        <v>94.1679873889104</v>
      </c>
      <c r="Z58" t="n">
        <v>96.4748954582125</v>
      </c>
      <c r="AA58" t="n">
        <v>96.7048713711045</v>
      </c>
      <c r="AB58" t="n">
        <v>96.625507504571</v>
      </c>
      <c r="AC58" t="n">
        <v>97.3194803087863</v>
      </c>
      <c r="AD58" t="n">
        <v>98.0786026200873</v>
      </c>
      <c r="AE58" t="n">
        <v>100</v>
      </c>
      <c r="AF58" t="n">
        <v>102.413479052823</v>
      </c>
    </row>
    <row r="59">
      <c r="A59" t="s">
        <v>78</v>
      </c>
      <c r="B59" t="s">
        <v>388</v>
      </c>
      <c r="C59" t="s">
        <v>236</v>
      </c>
      <c r="D59" t="s">
        <v>389</v>
      </c>
      <c r="E59" t="s">
        <v>237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80</v>
      </c>
      <c r="B2" t="s">
        <v>197</v>
      </c>
      <c r="C2" t="s">
        <v>236</v>
      </c>
      <c r="D2" t="s">
        <v>199</v>
      </c>
      <c r="E2" t="s">
        <v>237</v>
      </c>
      <c r="F2" t="n">
        <v>129.699676027477</v>
      </c>
      <c r="G2" t="n">
        <v>124.272911340134</v>
      </c>
      <c r="H2" t="n">
        <v>118.173627347981</v>
      </c>
      <c r="I2" t="n">
        <v>108.03446997197</v>
      </c>
      <c r="J2" t="n">
        <v>98.6269739912652</v>
      </c>
      <c r="K2" t="n">
        <v>93.3874159979792</v>
      </c>
      <c r="L2" t="n">
        <v>92.80736993588</v>
      </c>
      <c r="M2" t="n">
        <v>90.987617584196</v>
      </c>
      <c r="N2" t="n">
        <v>88.7980759845764</v>
      </c>
      <c r="O2" t="n">
        <v>86.4045968475258</v>
      </c>
      <c r="P2" t="n">
        <v>85.6660960197691</v>
      </c>
      <c r="Q2" t="n">
        <v>83.9043254075374</v>
      </c>
      <c r="R2" t="n">
        <v>83.7127630207622</v>
      </c>
      <c r="S2" t="n">
        <v>86.4499650813866</v>
      </c>
      <c r="T2" t="n">
        <v>87.3795345983907</v>
      </c>
      <c r="U2" t="n">
        <v>87.633544873386</v>
      </c>
      <c r="V2" t="n">
        <v>89.6821212470496</v>
      </c>
      <c r="W2" t="n">
        <v>91.4505011026253</v>
      </c>
      <c r="X2" t="n">
        <v>92.9375011205541</v>
      </c>
      <c r="Y2" t="n">
        <v>93.7527423584537</v>
      </c>
      <c r="Z2" t="n">
        <v>95.0111684303793</v>
      </c>
      <c r="AA2" t="n">
        <v>94.5812536411015</v>
      </c>
      <c r="AB2" t="n">
        <v>95.6939742721733</v>
      </c>
      <c r="AC2" t="n">
        <v>96.8695759217086</v>
      </c>
      <c r="AD2" t="n">
        <v>99.2207792207792</v>
      </c>
      <c r="AE2" t="n">
        <v>100</v>
      </c>
      <c r="AF2" t="n">
        <v>101.53452685422</v>
      </c>
    </row>
    <row r="3">
      <c r="A3" t="s">
        <v>80</v>
      </c>
      <c r="B3" t="s">
        <v>276</v>
      </c>
      <c r="C3" t="s">
        <v>236</v>
      </c>
      <c r="D3" t="s">
        <v>277</v>
      </c>
      <c r="E3" t="s">
        <v>237</v>
      </c>
      <c r="F3" t="n">
        <v>82.4729245436077</v>
      </c>
      <c r="G3" t="n">
        <v>82.4729245436077</v>
      </c>
      <c r="H3" t="n">
        <v>82.4729245436077</v>
      </c>
      <c r="I3" t="n">
        <v>82.4729245436077</v>
      </c>
      <c r="J3" t="n">
        <v>82.4729245436077</v>
      </c>
      <c r="K3" t="n">
        <v>82.4729245436077</v>
      </c>
      <c r="L3" t="n">
        <v>82.4729245436077</v>
      </c>
      <c r="M3" t="n">
        <v>82.4729245436077</v>
      </c>
      <c r="N3" t="n">
        <v>82.4729245436077</v>
      </c>
      <c r="O3" t="n">
        <v>82.4729245436077</v>
      </c>
      <c r="P3" t="n">
        <v>82.4729245436077</v>
      </c>
      <c r="Q3" t="n">
        <v>82.4729245436077</v>
      </c>
      <c r="R3" t="n">
        <v>83.685761669249</v>
      </c>
      <c r="S3" t="n">
        <v>86.2788416082961</v>
      </c>
      <c r="T3" t="n">
        <v>86.869792578216</v>
      </c>
      <c r="U3" t="n">
        <v>86.8697925782159</v>
      </c>
      <c r="V3" t="n">
        <v>88.8219227485129</v>
      </c>
      <c r="W3" t="n">
        <v>89.9253006708547</v>
      </c>
      <c r="X3" t="n">
        <v>91.1163642558991</v>
      </c>
      <c r="Y3" t="n">
        <v>91.1163642558991</v>
      </c>
      <c r="Z3" t="n">
        <v>91.8119090212113</v>
      </c>
      <c r="AA3" t="n">
        <v>91.8119090212113</v>
      </c>
      <c r="AB3" t="n">
        <v>91.8119090212113</v>
      </c>
      <c r="AC3" t="n">
        <v>95.8037311525684</v>
      </c>
      <c r="AD3" t="n">
        <v>99.0697674418605</v>
      </c>
      <c r="AE3" t="n">
        <v>100</v>
      </c>
      <c r="AF3" t="n">
        <v>102.631578947368</v>
      </c>
    </row>
    <row r="4">
      <c r="A4" t="s">
        <v>80</v>
      </c>
      <c r="B4" t="s">
        <v>278</v>
      </c>
      <c r="C4" t="s">
        <v>236</v>
      </c>
      <c r="D4" t="s">
        <v>279</v>
      </c>
      <c r="E4" t="s">
        <v>237</v>
      </c>
      <c r="F4" t="n">
        <v>77.7452365742118</v>
      </c>
      <c r="G4" t="n">
        <v>79.6873013073308</v>
      </c>
      <c r="H4" t="n">
        <v>81.8605913429852</v>
      </c>
      <c r="I4" t="n">
        <v>82.4942339593519</v>
      </c>
      <c r="J4" t="n">
        <v>82.6706544768013</v>
      </c>
      <c r="K4" t="n">
        <v>83.6658595327694</v>
      </c>
      <c r="L4" t="n">
        <v>83.9306249110377</v>
      </c>
      <c r="M4" t="n">
        <v>83.9648125382927</v>
      </c>
      <c r="N4" t="n">
        <v>83.9648125382927</v>
      </c>
      <c r="O4" t="n">
        <v>84.5940570350668</v>
      </c>
      <c r="P4" t="n">
        <v>85.4960798963587</v>
      </c>
      <c r="Q4" t="n">
        <v>85.8118965503294</v>
      </c>
      <c r="R4" t="n">
        <v>87.561059909269</v>
      </c>
      <c r="S4" t="n">
        <v>89.9319192643157</v>
      </c>
      <c r="T4" t="n">
        <v>90.7240383418053</v>
      </c>
      <c r="U4" t="n">
        <v>90.8577509996414</v>
      </c>
      <c r="V4" t="n">
        <v>92.9618252333173</v>
      </c>
      <c r="W4" t="n">
        <v>94.5879796105765</v>
      </c>
      <c r="X4" t="n">
        <v>95.498062801185</v>
      </c>
      <c r="Y4" t="n">
        <v>95.5633829535798</v>
      </c>
      <c r="Z4" t="n">
        <v>96.8833191822204</v>
      </c>
      <c r="AA4" t="n">
        <v>96.8833191822204</v>
      </c>
      <c r="AB4" t="n">
        <v>97.5128619539243</v>
      </c>
      <c r="AC4" t="n">
        <v>98.6094978283499</v>
      </c>
      <c r="AD4" t="n">
        <v>99.5384615384615</v>
      </c>
      <c r="AE4" t="n">
        <v>100</v>
      </c>
      <c r="AF4" t="n">
        <v>102.537151141718</v>
      </c>
    </row>
    <row r="5">
      <c r="A5" t="s">
        <v>80</v>
      </c>
      <c r="B5" t="s">
        <v>280</v>
      </c>
      <c r="C5" t="s">
        <v>236</v>
      </c>
      <c r="D5" t="s">
        <v>281</v>
      </c>
      <c r="E5" t="s">
        <v>237</v>
      </c>
      <c r="F5" t="n">
        <v>80.8410665164131</v>
      </c>
      <c r="G5" t="n">
        <v>82.5610892082517</v>
      </c>
      <c r="H5" t="n">
        <v>84.8802209275846</v>
      </c>
      <c r="I5" t="n">
        <v>85.269579739179</v>
      </c>
      <c r="J5" t="n">
        <v>85.269579739179</v>
      </c>
      <c r="K5" t="n">
        <v>85.269579739179</v>
      </c>
      <c r="L5" t="n">
        <v>85.269579739179</v>
      </c>
      <c r="M5" t="n">
        <v>85.269579739179</v>
      </c>
      <c r="N5" t="n">
        <v>85.269579739179</v>
      </c>
      <c r="O5" t="n">
        <v>85.269579739179</v>
      </c>
      <c r="P5" t="n">
        <v>85.269579739179</v>
      </c>
      <c r="Q5" t="n">
        <v>85.269579739179</v>
      </c>
      <c r="R5" t="n">
        <v>86.7655372784628</v>
      </c>
      <c r="S5" t="n">
        <v>88.9621331589303</v>
      </c>
      <c r="T5" t="n">
        <v>89.3683529450441</v>
      </c>
      <c r="U5" t="n">
        <v>89.3683529450441</v>
      </c>
      <c r="V5" t="n">
        <v>92.1786785093536</v>
      </c>
      <c r="W5" t="n">
        <v>93.3097052395298</v>
      </c>
      <c r="X5" t="n">
        <v>93.7716344733888</v>
      </c>
      <c r="Y5" t="n">
        <v>93.7716344733888</v>
      </c>
      <c r="Z5" t="n">
        <v>96.5432098765432</v>
      </c>
      <c r="AA5" t="n">
        <v>96.5432098765432</v>
      </c>
      <c r="AB5" t="n">
        <v>97.9423868312757</v>
      </c>
      <c r="AC5" t="n">
        <v>100</v>
      </c>
      <c r="AD5" t="n">
        <v>100</v>
      </c>
      <c r="AE5" t="n">
        <v>100</v>
      </c>
      <c r="AF5" t="n">
        <v>102.714932126697</v>
      </c>
    </row>
    <row r="6">
      <c r="A6" t="s">
        <v>80</v>
      </c>
      <c r="B6" t="s">
        <v>282</v>
      </c>
      <c r="C6" t="s">
        <v>236</v>
      </c>
      <c r="D6" t="s">
        <v>283</v>
      </c>
      <c r="E6" t="s">
        <v>237</v>
      </c>
      <c r="F6" t="n">
        <v>97.3684210526316</v>
      </c>
      <c r="G6" t="n">
        <v>97.3684210526316</v>
      </c>
      <c r="H6" t="n">
        <v>100</v>
      </c>
      <c r="I6" t="n">
        <v>100</v>
      </c>
      <c r="J6" t="n">
        <v>100</v>
      </c>
      <c r="K6" t="n">
        <v>100</v>
      </c>
      <c r="L6" t="n">
        <v>100</v>
      </c>
      <c r="M6" t="n">
        <v>100</v>
      </c>
      <c r="N6" t="n">
        <v>100</v>
      </c>
      <c r="O6" t="n">
        <v>100</v>
      </c>
      <c r="P6" t="n">
        <v>100</v>
      </c>
      <c r="Q6" t="n">
        <v>100</v>
      </c>
      <c r="R6" t="n">
        <v>100</v>
      </c>
      <c r="S6" t="n">
        <v>100</v>
      </c>
      <c r="T6" t="n">
        <v>100</v>
      </c>
      <c r="U6" t="n">
        <v>100</v>
      </c>
      <c r="V6" t="n">
        <v>100</v>
      </c>
      <c r="W6" t="n">
        <v>100</v>
      </c>
      <c r="X6" t="n">
        <v>100</v>
      </c>
      <c r="Y6" t="n">
        <v>100</v>
      </c>
      <c r="Z6" t="n">
        <v>100</v>
      </c>
      <c r="AA6" t="n">
        <v>100</v>
      </c>
      <c r="AB6" t="n">
        <v>100</v>
      </c>
      <c r="AC6" t="n">
        <v>100</v>
      </c>
      <c r="AD6" t="n">
        <v>100</v>
      </c>
      <c r="AE6" t="n">
        <v>100</v>
      </c>
      <c r="AF6" t="n">
        <v>100</v>
      </c>
    </row>
    <row r="7">
      <c r="A7" t="s">
        <v>80</v>
      </c>
      <c r="B7" t="s">
        <v>284</v>
      </c>
      <c r="C7" t="s">
        <v>236</v>
      </c>
      <c r="D7" t="s">
        <v>285</v>
      </c>
      <c r="E7" t="s">
        <v>237</v>
      </c>
      <c r="F7" t="n">
        <v>73.935503677608</v>
      </c>
      <c r="G7" t="n">
        <v>76.1154202479551</v>
      </c>
      <c r="H7" t="n">
        <v>78.5483332239172</v>
      </c>
      <c r="I7" t="n">
        <v>79.3028801328885</v>
      </c>
      <c r="J7" t="n">
        <v>79.6114516509153</v>
      </c>
      <c r="K7" t="n">
        <v>81.1095166013358</v>
      </c>
      <c r="L7" t="n">
        <v>81.466565097013</v>
      </c>
      <c r="M7" t="n">
        <v>81.5913224708216</v>
      </c>
      <c r="N7" t="n">
        <v>81.5913224708216</v>
      </c>
      <c r="O7" t="n">
        <v>82.4018322966906</v>
      </c>
      <c r="P7" t="n">
        <v>83.9713910071038</v>
      </c>
      <c r="Q7" t="n">
        <v>84.402013525089</v>
      </c>
      <c r="R7" t="n">
        <v>86.6065437291025</v>
      </c>
      <c r="S7" t="n">
        <v>89.1681457267238</v>
      </c>
      <c r="T7" t="n">
        <v>89.8843557325609</v>
      </c>
      <c r="U7" t="n">
        <v>90.2008499428868</v>
      </c>
      <c r="V7" t="n">
        <v>92.2864187276935</v>
      </c>
      <c r="W7" t="n">
        <v>94.0371095978665</v>
      </c>
      <c r="X7" t="n">
        <v>95.2853898137674</v>
      </c>
      <c r="Y7" t="n">
        <v>95.578575628579</v>
      </c>
      <c r="Z7" t="n">
        <v>96.5319778792381</v>
      </c>
      <c r="AA7" t="n">
        <v>96.401352740024</v>
      </c>
      <c r="AB7" t="n">
        <v>97.0328026488014</v>
      </c>
      <c r="AC7" t="n">
        <v>98.4077613907885</v>
      </c>
      <c r="AD7" t="n">
        <v>99.3449781659389</v>
      </c>
      <c r="AE7" t="n">
        <v>100</v>
      </c>
      <c r="AF7" t="n">
        <v>102.962962962963</v>
      </c>
    </row>
    <row r="8">
      <c r="A8" t="s">
        <v>80</v>
      </c>
      <c r="B8" t="s">
        <v>286</v>
      </c>
      <c r="C8" t="s">
        <v>236</v>
      </c>
      <c r="D8" t="s">
        <v>287</v>
      </c>
      <c r="E8" t="s">
        <v>237</v>
      </c>
      <c r="F8" t="n">
        <v>75.3069164865264</v>
      </c>
      <c r="G8" t="n">
        <v>78.3191931459875</v>
      </c>
      <c r="H8" t="n">
        <v>80.5784006405833</v>
      </c>
      <c r="I8" t="n">
        <v>80.5784006405833</v>
      </c>
      <c r="J8" t="n">
        <v>80.5784006405833</v>
      </c>
      <c r="K8" t="n">
        <v>80.5784006405833</v>
      </c>
      <c r="L8" t="n">
        <v>80.5784006405833</v>
      </c>
      <c r="M8" t="n">
        <v>80.5784006405833</v>
      </c>
      <c r="N8" t="n">
        <v>80.5784006405833</v>
      </c>
      <c r="O8" t="n">
        <v>80.5784006405833</v>
      </c>
      <c r="P8" t="n">
        <v>81.7992854987739</v>
      </c>
      <c r="Q8" t="n">
        <v>82.7789176604359</v>
      </c>
      <c r="R8" t="n">
        <v>84.5623054735871</v>
      </c>
      <c r="S8" t="n">
        <v>86.978371344261</v>
      </c>
      <c r="T8" t="n">
        <v>86.978371344261</v>
      </c>
      <c r="U8" t="n">
        <v>86.978371344261</v>
      </c>
      <c r="V8" t="n">
        <v>89.9776255285459</v>
      </c>
      <c r="W8" t="n">
        <v>91.3008259039657</v>
      </c>
      <c r="X8" t="n">
        <v>92.9915819392243</v>
      </c>
      <c r="Y8" t="n">
        <v>92.9915819392243</v>
      </c>
      <c r="Z8" t="n">
        <v>94.9492994537343</v>
      </c>
      <c r="AA8" t="n">
        <v>94.9492994537343</v>
      </c>
      <c r="AB8" t="n">
        <v>95.7660676210783</v>
      </c>
      <c r="AC8" t="n">
        <v>97.9591836734694</v>
      </c>
      <c r="AD8" t="n">
        <v>100</v>
      </c>
      <c r="AE8" t="n">
        <v>100</v>
      </c>
      <c r="AF8" t="n">
        <v>102.506963788301</v>
      </c>
    </row>
    <row r="9">
      <c r="A9" t="s">
        <v>80</v>
      </c>
      <c r="B9" t="s">
        <v>288</v>
      </c>
      <c r="C9" t="s">
        <v>236</v>
      </c>
      <c r="D9" t="s">
        <v>289</v>
      </c>
      <c r="E9" t="s">
        <v>237</v>
      </c>
      <c r="F9" t="n">
        <v>76.6901900019537</v>
      </c>
      <c r="G9" t="n">
        <v>79.3346793123659</v>
      </c>
      <c r="H9" t="n">
        <v>81.6911549355055</v>
      </c>
      <c r="I9" t="n">
        <v>82.1688809877599</v>
      </c>
      <c r="J9" t="n">
        <v>82.6279250156245</v>
      </c>
      <c r="K9" t="n">
        <v>83.9606334836184</v>
      </c>
      <c r="L9" t="n">
        <v>84.5058324023432</v>
      </c>
      <c r="M9" t="n">
        <v>84.5058324023432</v>
      </c>
      <c r="N9" t="n">
        <v>84.5058324023432</v>
      </c>
      <c r="O9" t="n">
        <v>85.6177512497425</v>
      </c>
      <c r="P9" t="n">
        <v>86.9149899050416</v>
      </c>
      <c r="Q9" t="n">
        <v>86.9149899050416</v>
      </c>
      <c r="R9" t="n">
        <v>88.4070927360294</v>
      </c>
      <c r="S9" t="n">
        <v>90.8225870730794</v>
      </c>
      <c r="T9" t="n">
        <v>91.7991740308545</v>
      </c>
      <c r="U9" t="n">
        <v>91.7991740308545</v>
      </c>
      <c r="V9" t="n">
        <v>94.1939350925289</v>
      </c>
      <c r="W9" t="n">
        <v>95.5492435111265</v>
      </c>
      <c r="X9" t="n">
        <v>96.6288959801787</v>
      </c>
      <c r="Y9" t="n">
        <v>96.6288959801788</v>
      </c>
      <c r="Z9" t="n">
        <v>98.5744442213904</v>
      </c>
      <c r="AA9" t="n">
        <v>98.0175264574277</v>
      </c>
      <c r="AB9" t="n">
        <v>98.4293648038875</v>
      </c>
      <c r="AC9" t="n">
        <v>99.4186046511628</v>
      </c>
      <c r="AD9" t="n">
        <v>100</v>
      </c>
      <c r="AE9" t="n">
        <v>100</v>
      </c>
      <c r="AF9" t="n">
        <v>103.409090909091</v>
      </c>
    </row>
    <row r="10">
      <c r="A10" t="s">
        <v>80</v>
      </c>
      <c r="B10" t="s">
        <v>290</v>
      </c>
      <c r="C10" t="s">
        <v>236</v>
      </c>
      <c r="D10" t="s">
        <v>291</v>
      </c>
      <c r="E10" t="s">
        <v>237</v>
      </c>
      <c r="F10" t="n">
        <v>78.5343991831348</v>
      </c>
      <c r="G10" t="n">
        <v>80.9142294614116</v>
      </c>
      <c r="H10" t="n">
        <v>83.1310576658338</v>
      </c>
      <c r="I10" t="n">
        <v>83.5573707820689</v>
      </c>
      <c r="J10" t="n">
        <v>83.9815198723332</v>
      </c>
      <c r="K10" t="n">
        <v>85.124125584882</v>
      </c>
      <c r="L10" t="n">
        <v>85.6431751311312</v>
      </c>
      <c r="M10" t="n">
        <v>85.6431751311312</v>
      </c>
      <c r="N10" t="n">
        <v>85.6431751311312</v>
      </c>
      <c r="O10" t="n">
        <v>86.6688418991687</v>
      </c>
      <c r="P10" t="n">
        <v>87.8560863087464</v>
      </c>
      <c r="Q10" t="n">
        <v>87.8560863087464</v>
      </c>
      <c r="R10" t="n">
        <v>89.2561833017144</v>
      </c>
      <c r="S10" t="n">
        <v>91.510127324485</v>
      </c>
      <c r="T10" t="n">
        <v>92.3535386362314</v>
      </c>
      <c r="U10" t="n">
        <v>92.3535386362314</v>
      </c>
      <c r="V10" t="n">
        <v>94.4211551728635</v>
      </c>
      <c r="W10" t="n">
        <v>96.1483714260256</v>
      </c>
      <c r="X10" t="n">
        <v>97.0469543365492</v>
      </c>
      <c r="Y10" t="n">
        <v>97.0469543365492</v>
      </c>
      <c r="Z10" t="n">
        <v>98.7396337726518</v>
      </c>
      <c r="AA10" t="n">
        <v>98.240948753598</v>
      </c>
      <c r="AB10" t="n">
        <v>98.6247024596668</v>
      </c>
      <c r="AC10" t="n">
        <v>99.4974874371859</v>
      </c>
      <c r="AD10" t="n">
        <v>100</v>
      </c>
      <c r="AE10" t="n">
        <v>100</v>
      </c>
      <c r="AF10" t="n">
        <v>103.114186851211</v>
      </c>
    </row>
    <row r="11">
      <c r="A11" t="s">
        <v>80</v>
      </c>
      <c r="B11" t="s">
        <v>292</v>
      </c>
      <c r="C11" t="s">
        <v>236</v>
      </c>
      <c r="D11" t="s">
        <v>293</v>
      </c>
      <c r="E11" t="s">
        <v>237</v>
      </c>
      <c r="F11" t="n">
        <v>96.1538461538462</v>
      </c>
      <c r="G11" t="n">
        <v>96.1538461538462</v>
      </c>
      <c r="H11" t="n">
        <v>96.1538461538462</v>
      </c>
      <c r="I11" t="n">
        <v>96.1538461538462</v>
      </c>
      <c r="J11" t="n">
        <v>96.1538461538462</v>
      </c>
      <c r="K11" t="n">
        <v>96.1538461538462</v>
      </c>
      <c r="L11" t="n">
        <v>96.1538461538462</v>
      </c>
      <c r="M11" t="n">
        <v>96.1538461538462</v>
      </c>
      <c r="N11" t="n">
        <v>96.1538461538462</v>
      </c>
      <c r="O11" t="n">
        <v>96.1538461538462</v>
      </c>
      <c r="P11" t="n">
        <v>96.1538461538462</v>
      </c>
      <c r="Q11" t="n">
        <v>96.1538461538462</v>
      </c>
      <c r="R11" t="n">
        <v>96.1538461538462</v>
      </c>
      <c r="S11" t="n">
        <v>96.1538461538462</v>
      </c>
      <c r="T11" t="n">
        <v>96.1538461538462</v>
      </c>
      <c r="U11" t="n">
        <v>96.1538461538462</v>
      </c>
      <c r="V11" t="n">
        <v>96.1538461538462</v>
      </c>
      <c r="W11" t="n">
        <v>100</v>
      </c>
      <c r="X11" t="n">
        <v>100</v>
      </c>
      <c r="Y11" t="n">
        <v>100</v>
      </c>
      <c r="Z11" t="n">
        <v>100</v>
      </c>
      <c r="AA11" t="n">
        <v>100</v>
      </c>
      <c r="AB11" t="n">
        <v>100</v>
      </c>
      <c r="AC11" t="n">
        <v>100</v>
      </c>
      <c r="AD11" t="n">
        <v>100</v>
      </c>
      <c r="AE11" t="n">
        <v>100</v>
      </c>
      <c r="AF11" t="n">
        <v>100</v>
      </c>
    </row>
    <row r="12">
      <c r="A12" t="s">
        <v>80</v>
      </c>
      <c r="B12" t="s">
        <v>294</v>
      </c>
      <c r="C12" t="s">
        <v>236</v>
      </c>
      <c r="D12" t="s">
        <v>295</v>
      </c>
      <c r="E12" t="s">
        <v>237</v>
      </c>
      <c r="F12" t="n">
        <v>82.1121197468728</v>
      </c>
      <c r="G12" t="n">
        <v>83.618764145898</v>
      </c>
      <c r="H12" t="n">
        <v>85.5336976759567</v>
      </c>
      <c r="I12" t="n">
        <v>85.9862569229195</v>
      </c>
      <c r="J12" t="n">
        <v>85.9862569229195</v>
      </c>
      <c r="K12" t="n">
        <v>86.8636677078472</v>
      </c>
      <c r="L12" t="n">
        <v>86.8636677078472</v>
      </c>
      <c r="M12" t="n">
        <v>86.8636677078472</v>
      </c>
      <c r="N12" t="n">
        <v>86.8636677078472</v>
      </c>
      <c r="O12" t="n">
        <v>86.8636677078472</v>
      </c>
      <c r="P12" t="n">
        <v>87.3489395944832</v>
      </c>
      <c r="Q12" t="n">
        <v>87.3489395944832</v>
      </c>
      <c r="R12" t="n">
        <v>88.4340195894457</v>
      </c>
      <c r="S12" t="n">
        <v>91.1804177133416</v>
      </c>
      <c r="T12" t="n">
        <v>91.7965016168101</v>
      </c>
      <c r="U12" t="n">
        <v>91.7965016168101</v>
      </c>
      <c r="V12" t="n">
        <v>94.0354406806347</v>
      </c>
      <c r="W12" t="n">
        <v>95.0048782134248</v>
      </c>
      <c r="X12" t="n">
        <v>95.8927742714942</v>
      </c>
      <c r="Y12" t="n">
        <v>95.8927742714942</v>
      </c>
      <c r="Z12" t="n">
        <v>97.0481089012712</v>
      </c>
      <c r="AA12" t="n">
        <v>97.0481089012712</v>
      </c>
      <c r="AB12" t="n">
        <v>97.0481089012712</v>
      </c>
      <c r="AC12" t="n">
        <v>97.8705505021294</v>
      </c>
      <c r="AD12" t="n">
        <v>99.5951417004048</v>
      </c>
      <c r="AE12" t="n">
        <v>100</v>
      </c>
      <c r="AF12" t="n">
        <v>103.196347031963</v>
      </c>
    </row>
    <row r="13">
      <c r="A13" t="s">
        <v>80</v>
      </c>
      <c r="B13" t="s">
        <v>296</v>
      </c>
      <c r="C13" t="s">
        <v>236</v>
      </c>
      <c r="D13" t="s">
        <v>297</v>
      </c>
      <c r="E13" t="s">
        <v>237</v>
      </c>
      <c r="F13" t="n">
        <v>77.667123450175</v>
      </c>
      <c r="G13" t="n">
        <v>79.1188453838232</v>
      </c>
      <c r="H13" t="n">
        <v>81.0571689901084</v>
      </c>
      <c r="I13" t="n">
        <v>81.8617066475784</v>
      </c>
      <c r="J13" t="n">
        <v>81.8617066475784</v>
      </c>
      <c r="K13" t="n">
        <v>82.7144327584907</v>
      </c>
      <c r="L13" t="n">
        <v>82.9487512648887</v>
      </c>
      <c r="M13" t="n">
        <v>82.9487512648887</v>
      </c>
      <c r="N13" t="n">
        <v>82.9487512648887</v>
      </c>
      <c r="O13" t="n">
        <v>83.7000986495344</v>
      </c>
      <c r="P13" t="n">
        <v>84.5689578050659</v>
      </c>
      <c r="Q13" t="n">
        <v>84.9303636076517</v>
      </c>
      <c r="R13" t="n">
        <v>87.0737166324504</v>
      </c>
      <c r="S13" t="n">
        <v>89.4863385038785</v>
      </c>
      <c r="T13" t="n">
        <v>90.5516520574961</v>
      </c>
      <c r="U13" t="n">
        <v>90.8418817115266</v>
      </c>
      <c r="V13" t="n">
        <v>92.6733712621622</v>
      </c>
      <c r="W13" t="n">
        <v>94.4658929500183</v>
      </c>
      <c r="X13" t="n">
        <v>95.8154057064472</v>
      </c>
      <c r="Y13" t="n">
        <v>95.8154057064472</v>
      </c>
      <c r="Z13" t="n">
        <v>96.7456523637913</v>
      </c>
      <c r="AA13" t="n">
        <v>97.4703388983515</v>
      </c>
      <c r="AB13" t="n">
        <v>97.7974205725071</v>
      </c>
      <c r="AC13" t="n">
        <v>98.5882352941177</v>
      </c>
      <c r="AD13" t="n">
        <v>100</v>
      </c>
      <c r="AE13" t="n">
        <v>100</v>
      </c>
      <c r="AF13" t="n">
        <v>102.135231316726</v>
      </c>
    </row>
    <row r="14">
      <c r="A14" t="s">
        <v>80</v>
      </c>
      <c r="B14" t="s">
        <v>298</v>
      </c>
      <c r="C14" t="s">
        <v>236</v>
      </c>
      <c r="D14" t="s">
        <v>299</v>
      </c>
      <c r="E14" t="s">
        <v>237</v>
      </c>
      <c r="F14" t="n">
        <v>77.2360691869299</v>
      </c>
      <c r="G14" t="n">
        <v>79.4586898829566</v>
      </c>
      <c r="H14" t="n">
        <v>81.8072225888568</v>
      </c>
      <c r="I14" t="n">
        <v>82.7368501182757</v>
      </c>
      <c r="J14" t="n">
        <v>82.9699116679046</v>
      </c>
      <c r="K14" t="n">
        <v>84.4477472446866</v>
      </c>
      <c r="L14" t="n">
        <v>84.8508391169763</v>
      </c>
      <c r="M14" t="n">
        <v>84.8508391169763</v>
      </c>
      <c r="N14" t="n">
        <v>84.8508391169763</v>
      </c>
      <c r="O14" t="n">
        <v>86.1299974956242</v>
      </c>
      <c r="P14" t="n">
        <v>87.0695974683037</v>
      </c>
      <c r="Q14" t="n">
        <v>87.665964574251</v>
      </c>
      <c r="R14" t="n">
        <v>88.927345359492</v>
      </c>
      <c r="S14" t="n">
        <v>91.6221134006887</v>
      </c>
      <c r="T14" t="n">
        <v>92.8602500682656</v>
      </c>
      <c r="U14" t="n">
        <v>92.8602500682656</v>
      </c>
      <c r="V14" t="n">
        <v>94.7748943995701</v>
      </c>
      <c r="W14" t="n">
        <v>95.864261001864</v>
      </c>
      <c r="X14" t="n">
        <v>95.864261001864</v>
      </c>
      <c r="Y14" t="n">
        <v>95.864261001864</v>
      </c>
      <c r="Z14" t="n">
        <v>95.864261001864</v>
      </c>
      <c r="AA14" t="n">
        <v>95.864261001864</v>
      </c>
      <c r="AB14" t="n">
        <v>96.7126172939159</v>
      </c>
      <c r="AC14" t="n">
        <v>97.5998890122086</v>
      </c>
      <c r="AD14" t="n">
        <v>98.5294117647059</v>
      </c>
      <c r="AE14" t="n">
        <v>100</v>
      </c>
      <c r="AF14" t="n">
        <v>101.449275362319</v>
      </c>
    </row>
    <row r="15">
      <c r="A15" t="s">
        <v>80</v>
      </c>
      <c r="B15" t="s">
        <v>300</v>
      </c>
      <c r="C15" t="s">
        <v>236</v>
      </c>
      <c r="D15" t="s">
        <v>301</v>
      </c>
      <c r="E15" t="s">
        <v>237</v>
      </c>
      <c r="F15" t="n">
        <v>78.7776736136844</v>
      </c>
      <c r="G15" t="n">
        <v>80.8185459870959</v>
      </c>
      <c r="H15" t="n">
        <v>82.961461979178</v>
      </c>
      <c r="I15" t="n">
        <v>83.7021893182778</v>
      </c>
      <c r="J15" t="n">
        <v>83.9093729552042</v>
      </c>
      <c r="K15" t="n">
        <v>85.2322684747683</v>
      </c>
      <c r="L15" t="n">
        <v>85.5926586163106</v>
      </c>
      <c r="M15" t="n">
        <v>85.5926586163106</v>
      </c>
      <c r="N15" t="n">
        <v>85.5926586163106</v>
      </c>
      <c r="O15" t="n">
        <v>86.6947100148039</v>
      </c>
      <c r="P15" t="n">
        <v>87.4900743268663</v>
      </c>
      <c r="Q15" t="n">
        <v>87.9788456918209</v>
      </c>
      <c r="R15" t="n">
        <v>89.4211218507032</v>
      </c>
      <c r="S15" t="n">
        <v>91.6021248226716</v>
      </c>
      <c r="T15" t="n">
        <v>92.3654758628605</v>
      </c>
      <c r="U15" t="n">
        <v>92.3654758628605</v>
      </c>
      <c r="V15" t="n">
        <v>94.4029495951295</v>
      </c>
      <c r="W15" t="n">
        <v>95.9255778144058</v>
      </c>
      <c r="X15" t="n">
        <v>95.9255778144058</v>
      </c>
      <c r="Y15" t="n">
        <v>95.9255778144058</v>
      </c>
      <c r="Z15" t="n">
        <v>96.4737239733452</v>
      </c>
      <c r="AA15" t="n">
        <v>96.4737239733452</v>
      </c>
      <c r="AB15" t="n">
        <v>97.0514109432455</v>
      </c>
      <c r="AC15" t="n">
        <v>97.6579822616408</v>
      </c>
      <c r="AD15" t="n">
        <v>98.8636363636364</v>
      </c>
      <c r="AE15" t="n">
        <v>100</v>
      </c>
      <c r="AF15" t="n">
        <v>101.522842639594</v>
      </c>
    </row>
    <row r="16">
      <c r="A16" t="s">
        <v>80</v>
      </c>
      <c r="B16" t="s">
        <v>302</v>
      </c>
      <c r="C16" t="s">
        <v>236</v>
      </c>
      <c r="D16" t="s">
        <v>303</v>
      </c>
      <c r="E16" t="s">
        <v>237</v>
      </c>
      <c r="F16" t="n">
        <v>85.0551291596575</v>
      </c>
      <c r="G16" t="n">
        <v>86.6302241440955</v>
      </c>
      <c r="H16" t="n">
        <v>88.0503917530151</v>
      </c>
      <c r="I16" t="n">
        <v>88.0503917530151</v>
      </c>
      <c r="J16" t="n">
        <v>88.0503917530151</v>
      </c>
      <c r="K16" t="n">
        <v>88.0503917530151</v>
      </c>
      <c r="L16" t="n">
        <v>88.0503917530151</v>
      </c>
      <c r="M16" t="n">
        <v>88.0503917530151</v>
      </c>
      <c r="N16" t="n">
        <v>88.0503917530151</v>
      </c>
      <c r="O16" t="n">
        <v>88.0503917530151</v>
      </c>
      <c r="P16" t="n">
        <v>88.0503917530151</v>
      </c>
      <c r="Q16" t="n">
        <v>88.0503917530151</v>
      </c>
      <c r="R16" t="n">
        <v>90.0515370201291</v>
      </c>
      <c r="S16" t="n">
        <v>91.6313885467981</v>
      </c>
      <c r="T16" t="n">
        <v>91.631388546798</v>
      </c>
      <c r="U16" t="n">
        <v>91.631388546798</v>
      </c>
      <c r="V16" t="n">
        <v>93.9809113300493</v>
      </c>
      <c r="W16" t="n">
        <v>96.5209359605912</v>
      </c>
      <c r="X16" t="n">
        <v>96.5209359605912</v>
      </c>
      <c r="Y16" t="n">
        <v>96.5209359605912</v>
      </c>
      <c r="Z16" t="n">
        <v>98.2758620689655</v>
      </c>
      <c r="AA16" t="n">
        <v>98.2758620689655</v>
      </c>
      <c r="AB16" t="n">
        <v>98.2758620689655</v>
      </c>
      <c r="AC16" t="n">
        <v>98.2758620689655</v>
      </c>
      <c r="AD16" t="n">
        <v>100</v>
      </c>
      <c r="AE16" t="n">
        <v>100</v>
      </c>
      <c r="AF16" t="n">
        <v>101.694915254237</v>
      </c>
    </row>
    <row r="17">
      <c r="A17" t="s">
        <v>80</v>
      </c>
      <c r="B17" t="s">
        <v>304</v>
      </c>
      <c r="C17" t="s">
        <v>236</v>
      </c>
      <c r="D17" t="s">
        <v>305</v>
      </c>
      <c r="E17" t="s">
        <v>237</v>
      </c>
      <c r="F17" t="n">
        <v>81.2408753535797</v>
      </c>
      <c r="G17" t="n">
        <v>82.876597676135</v>
      </c>
      <c r="H17" t="n">
        <v>84.760156714229</v>
      </c>
      <c r="I17" t="n">
        <v>84.760156714229</v>
      </c>
      <c r="J17" t="n">
        <v>84.760156714229</v>
      </c>
      <c r="K17" t="n">
        <v>84.7601567142289</v>
      </c>
      <c r="L17" t="n">
        <v>84.7601567142289</v>
      </c>
      <c r="M17" t="n">
        <v>84.7601567142289</v>
      </c>
      <c r="N17" t="n">
        <v>84.7601567142289</v>
      </c>
      <c r="O17" t="n">
        <v>84.7601567142289</v>
      </c>
      <c r="P17" t="n">
        <v>84.7601567142289</v>
      </c>
      <c r="Q17" t="n">
        <v>84.7601567142289</v>
      </c>
      <c r="R17" t="n">
        <v>86.8791606320846</v>
      </c>
      <c r="S17" t="n">
        <v>89.3333742092622</v>
      </c>
      <c r="T17" t="n">
        <v>90.6601074895977</v>
      </c>
      <c r="U17" t="n">
        <v>90.6601074895977</v>
      </c>
      <c r="V17" t="n">
        <v>93.0458997919556</v>
      </c>
      <c r="W17" t="n">
        <v>95.4316920943134</v>
      </c>
      <c r="X17" t="n">
        <v>95.4316920943134</v>
      </c>
      <c r="Y17" t="n">
        <v>95.4316920943134</v>
      </c>
      <c r="Z17" t="n">
        <v>97.3214285714286</v>
      </c>
      <c r="AA17" t="n">
        <v>97.3214285714286</v>
      </c>
      <c r="AB17" t="n">
        <v>97.3214285714286</v>
      </c>
      <c r="AC17" t="n">
        <v>97.3214285714286</v>
      </c>
      <c r="AD17" t="n">
        <v>97.3214285714286</v>
      </c>
      <c r="AE17" t="n">
        <v>100</v>
      </c>
      <c r="AF17" t="n">
        <v>100.900900900901</v>
      </c>
    </row>
    <row r="18">
      <c r="A18" t="s">
        <v>80</v>
      </c>
      <c r="B18" t="s">
        <v>306</v>
      </c>
      <c r="C18" t="s">
        <v>236</v>
      </c>
      <c r="D18" t="s">
        <v>307</v>
      </c>
      <c r="E18" t="s">
        <v>237</v>
      </c>
      <c r="F18" t="n">
        <v>91.9935371925149</v>
      </c>
      <c r="G18" t="n">
        <v>91.9935371925149</v>
      </c>
      <c r="H18" t="n">
        <v>91.9935371925149</v>
      </c>
      <c r="I18" t="n">
        <v>91.9935371925149</v>
      </c>
      <c r="J18" t="n">
        <v>91.9935371925149</v>
      </c>
      <c r="K18" t="n">
        <v>91.9935371925149</v>
      </c>
      <c r="L18" t="n">
        <v>91.9935371925149</v>
      </c>
      <c r="M18" t="n">
        <v>91.9935371925149</v>
      </c>
      <c r="N18" t="n">
        <v>91.9935371925149</v>
      </c>
      <c r="O18" t="n">
        <v>91.9935371925149</v>
      </c>
      <c r="P18" t="n">
        <v>91.9935371925149</v>
      </c>
      <c r="Q18" t="n">
        <v>91.9935371925149</v>
      </c>
      <c r="R18" t="n">
        <v>91.9935371925149</v>
      </c>
      <c r="S18" t="n">
        <v>91.9935371925149</v>
      </c>
      <c r="T18" t="n">
        <v>91.9935371925149</v>
      </c>
      <c r="U18" t="n">
        <v>91.9935371925149</v>
      </c>
      <c r="V18" t="n">
        <v>93.5016279661626</v>
      </c>
      <c r="W18" t="n">
        <v>95.6266649653936</v>
      </c>
      <c r="X18" t="n">
        <v>96.4881664515683</v>
      </c>
      <c r="Y18" t="n">
        <v>96.4881664515683</v>
      </c>
      <c r="Z18" t="n">
        <v>96.4881664515683</v>
      </c>
      <c r="AA18" t="n">
        <v>96.4881664515683</v>
      </c>
      <c r="AB18" t="n">
        <v>97.3420440307858</v>
      </c>
      <c r="AC18" t="n">
        <v>98.6486486486486</v>
      </c>
      <c r="AD18" t="n">
        <v>100</v>
      </c>
      <c r="AE18" t="n">
        <v>100</v>
      </c>
      <c r="AF18" t="n">
        <v>100.961538461538</v>
      </c>
    </row>
    <row r="19">
      <c r="A19" t="s">
        <v>80</v>
      </c>
      <c r="B19" t="s">
        <v>308</v>
      </c>
      <c r="C19" t="s">
        <v>236</v>
      </c>
      <c r="D19" t="s">
        <v>309</v>
      </c>
      <c r="E19" t="s">
        <v>237</v>
      </c>
      <c r="F19" t="n">
        <v>90.963558564625</v>
      </c>
      <c r="G19" t="n">
        <v>92.1449034810487</v>
      </c>
      <c r="H19" t="n">
        <v>93.9695550351288</v>
      </c>
      <c r="I19" t="n">
        <v>94.847775175644</v>
      </c>
      <c r="J19" t="n">
        <v>94.847775175644</v>
      </c>
      <c r="K19" t="n">
        <v>94.847775175644</v>
      </c>
      <c r="L19" t="n">
        <v>94.847775175644</v>
      </c>
      <c r="M19" t="n">
        <v>94.847775175644</v>
      </c>
      <c r="N19" t="n">
        <v>94.847775175644</v>
      </c>
      <c r="O19" t="n">
        <v>94.8477751756441</v>
      </c>
      <c r="P19" t="n">
        <v>94.8477751756441</v>
      </c>
      <c r="Q19" t="n">
        <v>94.8477751756441</v>
      </c>
      <c r="R19" t="n">
        <v>95.9905194548687</v>
      </c>
      <c r="S19" t="n">
        <v>98.360655737705</v>
      </c>
      <c r="T19" t="n">
        <v>98.3606557377049</v>
      </c>
      <c r="U19" t="n">
        <v>98.360655737705</v>
      </c>
      <c r="V19" t="n">
        <v>100</v>
      </c>
      <c r="W19" t="n">
        <v>100</v>
      </c>
      <c r="X19" t="n">
        <v>100</v>
      </c>
      <c r="Y19" t="n">
        <v>100</v>
      </c>
      <c r="Z19" t="n">
        <v>100</v>
      </c>
      <c r="AA19" t="n">
        <v>100</v>
      </c>
      <c r="AB19" t="n">
        <v>100</v>
      </c>
      <c r="AC19" t="n">
        <v>100</v>
      </c>
      <c r="AD19" t="n">
        <v>100</v>
      </c>
      <c r="AE19" t="n">
        <v>100</v>
      </c>
      <c r="AF19" t="n">
        <v>102.777777777778</v>
      </c>
    </row>
    <row r="20">
      <c r="A20" t="s">
        <v>80</v>
      </c>
      <c r="B20" t="s">
        <v>310</v>
      </c>
      <c r="C20" t="s">
        <v>236</v>
      </c>
      <c r="D20" t="s">
        <v>311</v>
      </c>
      <c r="E20" t="s">
        <v>237</v>
      </c>
      <c r="F20" t="n">
        <v>72.5790151089239</v>
      </c>
      <c r="G20" t="n">
        <v>74.4990948737102</v>
      </c>
      <c r="H20" t="n">
        <v>76.8434719851207</v>
      </c>
      <c r="I20" t="n">
        <v>77.702058264284</v>
      </c>
      <c r="J20" t="n">
        <v>78.1618337569721</v>
      </c>
      <c r="K20" t="n">
        <v>79.4074406694338</v>
      </c>
      <c r="L20" t="n">
        <v>79.7497141205952</v>
      </c>
      <c r="M20" t="n">
        <v>79.7497141205952</v>
      </c>
      <c r="N20" t="n">
        <v>79.7497141205952</v>
      </c>
      <c r="O20" t="n">
        <v>80.7990524642872</v>
      </c>
      <c r="P20" t="n">
        <v>82.0694778174993</v>
      </c>
      <c r="Q20" t="n">
        <v>82.361540016138</v>
      </c>
      <c r="R20" t="n">
        <v>84.6998802689622</v>
      </c>
      <c r="S20" t="n">
        <v>87.3412486765182</v>
      </c>
      <c r="T20" t="n">
        <v>88.4814738550628</v>
      </c>
      <c r="U20" t="n">
        <v>88.7809035466197</v>
      </c>
      <c r="V20" t="n">
        <v>91.0618358511771</v>
      </c>
      <c r="W20" t="n">
        <v>92.8770219478783</v>
      </c>
      <c r="X20" t="n">
        <v>94.0849600945993</v>
      </c>
      <c r="Y20" t="n">
        <v>94.4827823360141</v>
      </c>
      <c r="Z20" t="n">
        <v>97.4890526830691</v>
      </c>
      <c r="AA20" t="n">
        <v>96.644991620878</v>
      </c>
      <c r="AB20" t="n">
        <v>97.1389183242215</v>
      </c>
      <c r="AC20" t="n">
        <v>98.1251002361425</v>
      </c>
      <c r="AD20" t="n">
        <v>99.9151103565365</v>
      </c>
      <c r="AE20" t="n">
        <v>100</v>
      </c>
      <c r="AF20" t="n">
        <v>103.923766816143</v>
      </c>
    </row>
    <row r="21">
      <c r="A21" t="s">
        <v>80</v>
      </c>
      <c r="B21" t="s">
        <v>312</v>
      </c>
      <c r="C21" t="s">
        <v>236</v>
      </c>
      <c r="D21" t="s">
        <v>313</v>
      </c>
      <c r="E21" t="s">
        <v>237</v>
      </c>
      <c r="F21" t="n">
        <v>74.4506767277231</v>
      </c>
      <c r="G21" t="n">
        <v>76.076237354966</v>
      </c>
      <c r="H21" t="n">
        <v>78.1700787500568</v>
      </c>
      <c r="I21" t="n">
        <v>78.8972422733131</v>
      </c>
      <c r="J21" t="n">
        <v>79.2642061908634</v>
      </c>
      <c r="K21" t="n">
        <v>80.3537485440024</v>
      </c>
      <c r="L21" t="n">
        <v>80.6524613638686</v>
      </c>
      <c r="M21" t="n">
        <v>80.6524613638686</v>
      </c>
      <c r="N21" t="n">
        <v>80.6524613638686</v>
      </c>
      <c r="O21" t="n">
        <v>81.6041128253892</v>
      </c>
      <c r="P21" t="n">
        <v>82.7128643583428</v>
      </c>
      <c r="Q21" t="n">
        <v>82.9605076648049</v>
      </c>
      <c r="R21" t="n">
        <v>84.9692366639528</v>
      </c>
      <c r="S21" t="n">
        <v>87.7299699851642</v>
      </c>
      <c r="T21" t="n">
        <v>88.8391994907238</v>
      </c>
      <c r="U21" t="n">
        <v>89.1084091861502</v>
      </c>
      <c r="V21" t="n">
        <v>91.336119415804</v>
      </c>
      <c r="W21" t="n">
        <v>93.2640586119159</v>
      </c>
      <c r="X21" t="n">
        <v>94.4357176397038</v>
      </c>
      <c r="Y21" t="n">
        <v>94.8028146956405</v>
      </c>
      <c r="Z21" t="n">
        <v>97.7455195142132</v>
      </c>
      <c r="AA21" t="n">
        <v>96.9740473791366</v>
      </c>
      <c r="AB21" t="n">
        <v>97.4212758835753</v>
      </c>
      <c r="AC21" t="n">
        <v>98.391177966487</v>
      </c>
      <c r="AD21" t="n">
        <v>99.9241849886277</v>
      </c>
      <c r="AE21" t="n">
        <v>100</v>
      </c>
      <c r="AF21" t="n">
        <v>103.565217391304</v>
      </c>
    </row>
    <row r="22">
      <c r="A22" t="s">
        <v>80</v>
      </c>
      <c r="B22" t="s">
        <v>314</v>
      </c>
      <c r="C22" t="s">
        <v>236</v>
      </c>
      <c r="D22" t="s">
        <v>315</v>
      </c>
      <c r="E22" t="s">
        <v>237</v>
      </c>
      <c r="F22" t="n">
        <v>86.3953134349538</v>
      </c>
      <c r="G22" t="n">
        <v>86.3953134349538</v>
      </c>
      <c r="H22" t="n">
        <v>86.3953134349538</v>
      </c>
      <c r="I22" t="n">
        <v>86.3953134349538</v>
      </c>
      <c r="J22" t="n">
        <v>86.3953134349538</v>
      </c>
      <c r="K22" t="n">
        <v>86.3953134349538</v>
      </c>
      <c r="L22" t="n">
        <v>86.3953134349538</v>
      </c>
      <c r="M22" t="n">
        <v>86.3953134349538</v>
      </c>
      <c r="N22" t="n">
        <v>86.3953134349538</v>
      </c>
      <c r="O22" t="n">
        <v>86.3953134349538</v>
      </c>
      <c r="P22" t="n">
        <v>86.3953134349538</v>
      </c>
      <c r="Q22" t="n">
        <v>86.3953134349538</v>
      </c>
      <c r="R22" t="n">
        <v>87.2952646165679</v>
      </c>
      <c r="S22" t="n">
        <v>90.882741244646</v>
      </c>
      <c r="T22" t="n">
        <v>91.7566137566137</v>
      </c>
      <c r="U22" t="n">
        <v>91.7566137566138</v>
      </c>
      <c r="V22" t="n">
        <v>93.708882134414</v>
      </c>
      <c r="W22" t="n">
        <v>96.1116739840144</v>
      </c>
      <c r="X22" t="n">
        <v>97.0358246953992</v>
      </c>
      <c r="Y22" t="n">
        <v>97.0358246953992</v>
      </c>
      <c r="Z22" t="n">
        <v>99.1452991452991</v>
      </c>
      <c r="AA22" t="n">
        <v>99.1452991452991</v>
      </c>
      <c r="AB22" t="n">
        <v>99.1452991452991</v>
      </c>
      <c r="AC22" t="n">
        <v>100</v>
      </c>
      <c r="AD22" t="n">
        <v>100</v>
      </c>
      <c r="AE22" t="n">
        <v>100</v>
      </c>
      <c r="AF22" t="n">
        <v>102.325581395349</v>
      </c>
    </row>
    <row r="23">
      <c r="A23" t="s">
        <v>80</v>
      </c>
      <c r="B23" t="s">
        <v>316</v>
      </c>
      <c r="C23" t="s">
        <v>236</v>
      </c>
      <c r="D23" t="s">
        <v>317</v>
      </c>
      <c r="E23" t="s">
        <v>237</v>
      </c>
      <c r="F23" t="n">
        <v>75.1654385466237</v>
      </c>
      <c r="G23" t="n">
        <v>77.0445745102893</v>
      </c>
      <c r="H23" t="n">
        <v>79.0614481885691</v>
      </c>
      <c r="I23" t="n">
        <v>79.9970866286705</v>
      </c>
      <c r="J23" t="n">
        <v>79.9970866286705</v>
      </c>
      <c r="K23" t="n">
        <v>81.0891970263315</v>
      </c>
      <c r="L23" t="n">
        <v>81.0891970263315</v>
      </c>
      <c r="M23" t="n">
        <v>81.0891970263315</v>
      </c>
      <c r="N23" t="n">
        <v>81.0891970263315</v>
      </c>
      <c r="O23" t="n">
        <v>81.5762192306939</v>
      </c>
      <c r="P23" t="n">
        <v>82.6167322310854</v>
      </c>
      <c r="Q23" t="n">
        <v>83.3961353653409</v>
      </c>
      <c r="R23" t="n">
        <v>85.2798263078845</v>
      </c>
      <c r="S23" t="n">
        <v>87.9745420090631</v>
      </c>
      <c r="T23" t="n">
        <v>88.9179687330208</v>
      </c>
      <c r="U23" t="n">
        <v>89.4916330474274</v>
      </c>
      <c r="V23" t="n">
        <v>91.4584821253929</v>
      </c>
      <c r="W23" t="n">
        <v>93.1913796814529</v>
      </c>
      <c r="X23" t="n">
        <v>94.4042826707994</v>
      </c>
      <c r="Y23" t="n">
        <v>94.8247917250123</v>
      </c>
      <c r="Z23" t="n">
        <v>96.8003082192834</v>
      </c>
      <c r="AA23" t="n">
        <v>96.4582576602047</v>
      </c>
      <c r="AB23" t="n">
        <v>96.9303209113965</v>
      </c>
      <c r="AC23" t="n">
        <v>97.7460038363171</v>
      </c>
      <c r="AD23" t="n">
        <v>99.3606138107417</v>
      </c>
      <c r="AE23" t="n">
        <v>100</v>
      </c>
      <c r="AF23" t="n">
        <v>102.447552447552</v>
      </c>
    </row>
    <row r="24">
      <c r="A24" t="s">
        <v>80</v>
      </c>
      <c r="B24" t="s">
        <v>318</v>
      </c>
      <c r="C24" t="s">
        <v>236</v>
      </c>
      <c r="D24" t="s">
        <v>319</v>
      </c>
      <c r="E24" t="s">
        <v>237</v>
      </c>
      <c r="F24" t="n">
        <v>73.1063622637771</v>
      </c>
      <c r="G24" t="n">
        <v>74.9340213203715</v>
      </c>
      <c r="H24" t="n">
        <v>77.1682925982725</v>
      </c>
      <c r="I24" t="n">
        <v>78.0552844672182</v>
      </c>
      <c r="J24" t="n">
        <v>78.4133362308293</v>
      </c>
      <c r="K24" t="n">
        <v>79.7140313815776</v>
      </c>
      <c r="L24" t="n">
        <v>80.080532675286</v>
      </c>
      <c r="M24" t="n">
        <v>80.080532675286</v>
      </c>
      <c r="N24" t="n">
        <v>80.080532675286</v>
      </c>
      <c r="O24" t="n">
        <v>80.561496835498</v>
      </c>
      <c r="P24" t="n">
        <v>81.6898091161072</v>
      </c>
      <c r="Q24" t="n">
        <v>82.4727785325555</v>
      </c>
      <c r="R24" t="n">
        <v>84.3429095650397</v>
      </c>
      <c r="S24" t="n">
        <v>87.0007743622574</v>
      </c>
      <c r="T24" t="n">
        <v>88.1233649991897</v>
      </c>
      <c r="U24" t="n">
        <v>88.5958763396679</v>
      </c>
      <c r="V24" t="n">
        <v>90.8551518747414</v>
      </c>
      <c r="W24" t="n">
        <v>92.7479675387986</v>
      </c>
      <c r="X24" t="n">
        <v>93.9729406949714</v>
      </c>
      <c r="Y24" t="n">
        <v>94.2746194772987</v>
      </c>
      <c r="Z24" t="n">
        <v>97.0128864330709</v>
      </c>
      <c r="AA24" t="n">
        <v>96.7609049098681</v>
      </c>
      <c r="AB24" t="n">
        <v>97.4857056957098</v>
      </c>
      <c r="AC24" t="n">
        <v>98.4682044093284</v>
      </c>
      <c r="AD24" t="n">
        <v>99.5157384987893</v>
      </c>
      <c r="AE24" t="n">
        <v>100</v>
      </c>
      <c r="AF24" t="n">
        <v>102.394526795895</v>
      </c>
    </row>
    <row r="25">
      <c r="A25" t="s">
        <v>80</v>
      </c>
      <c r="B25" t="s">
        <v>320</v>
      </c>
      <c r="C25" t="s">
        <v>236</v>
      </c>
      <c r="D25" t="s">
        <v>321</v>
      </c>
      <c r="E25" t="s">
        <v>237</v>
      </c>
      <c r="F25" t="n">
        <v>75.6029006279379</v>
      </c>
      <c r="G25" t="n">
        <v>77.7029812009362</v>
      </c>
      <c r="H25" t="n">
        <v>79.019980882308</v>
      </c>
      <c r="I25" t="n">
        <v>80.1820394246949</v>
      </c>
      <c r="J25" t="n">
        <v>80.1820394246949</v>
      </c>
      <c r="K25" t="n">
        <v>81.5410570420626</v>
      </c>
      <c r="L25" t="n">
        <v>81.5410570420626</v>
      </c>
      <c r="M25" t="n">
        <v>81.5410570420626</v>
      </c>
      <c r="N25" t="n">
        <v>81.5410570420626</v>
      </c>
      <c r="O25" t="n">
        <v>81.5410570420626</v>
      </c>
      <c r="P25" t="n">
        <v>81.5410570420626</v>
      </c>
      <c r="Q25" t="n">
        <v>81.5410570420626</v>
      </c>
      <c r="R25" t="n">
        <v>83.4825107811594</v>
      </c>
      <c r="S25" t="n">
        <v>85.6794189596109</v>
      </c>
      <c r="T25" t="n">
        <v>87.1074092756045</v>
      </c>
      <c r="U25" t="n">
        <v>87.1074092756044</v>
      </c>
      <c r="V25" t="n">
        <v>89.3997095196993</v>
      </c>
      <c r="W25" t="n">
        <v>91.5032320966334</v>
      </c>
      <c r="X25" t="n">
        <v>92.9109741288893</v>
      </c>
      <c r="Y25" t="n">
        <v>92.9109741288893</v>
      </c>
      <c r="Z25" t="n">
        <v>95.8144420704171</v>
      </c>
      <c r="AA25" t="n">
        <v>95.8144420704171</v>
      </c>
      <c r="AB25" t="n">
        <v>96.8447048883786</v>
      </c>
      <c r="AC25" t="n">
        <v>97.7093897534534</v>
      </c>
      <c r="AD25" t="n">
        <v>99.2481203007519</v>
      </c>
      <c r="AE25" t="n">
        <v>100</v>
      </c>
      <c r="AF25" t="n">
        <v>102.158273381295</v>
      </c>
    </row>
    <row r="26">
      <c r="A26" t="s">
        <v>80</v>
      </c>
      <c r="B26" t="s">
        <v>322</v>
      </c>
      <c r="C26" t="s">
        <v>236</v>
      </c>
      <c r="D26" t="s">
        <v>323</v>
      </c>
      <c r="E26" t="s">
        <v>237</v>
      </c>
      <c r="F26" t="n">
        <v>72.2909537021863</v>
      </c>
      <c r="G26" t="n">
        <v>74.1445678996782</v>
      </c>
      <c r="H26" t="n">
        <v>76.2529442380577</v>
      </c>
      <c r="I26" t="n">
        <v>77.1097188924179</v>
      </c>
      <c r="J26" t="n">
        <v>77.588661245787</v>
      </c>
      <c r="K26" t="n">
        <v>78.9419518489111</v>
      </c>
      <c r="L26" t="n">
        <v>79.3879515768711</v>
      </c>
      <c r="M26" t="n">
        <v>79.3879515768711</v>
      </c>
      <c r="N26" t="n">
        <v>79.3879515768711</v>
      </c>
      <c r="O26" t="n">
        <v>80.0607308275225</v>
      </c>
      <c r="P26" t="n">
        <v>81.3019824682593</v>
      </c>
      <c r="Q26" t="n">
        <v>82.1954108470314</v>
      </c>
      <c r="R26" t="n">
        <v>84.0893143227695</v>
      </c>
      <c r="S26" t="n">
        <v>86.7694518310649</v>
      </c>
      <c r="T26" t="n">
        <v>88.0330846247212</v>
      </c>
      <c r="U26" t="n">
        <v>88.6084642627912</v>
      </c>
      <c r="V26" t="n">
        <v>90.8612218287944</v>
      </c>
      <c r="W26" t="n">
        <v>92.7030033523511</v>
      </c>
      <c r="X26" t="n">
        <v>93.8569826471936</v>
      </c>
      <c r="Y26" t="n">
        <v>94.1795152336101</v>
      </c>
      <c r="Z26" t="n">
        <v>97.0334399376589</v>
      </c>
      <c r="AA26" t="n">
        <v>96.7616375848923</v>
      </c>
      <c r="AB26" t="n">
        <v>97.4320415404459</v>
      </c>
      <c r="AC26" t="n">
        <v>98.4865008644767</v>
      </c>
      <c r="AD26" t="n">
        <v>99.4520547945205</v>
      </c>
      <c r="AE26" t="n">
        <v>100</v>
      </c>
      <c r="AF26" t="n">
        <v>102.366863905325</v>
      </c>
    </row>
    <row r="27">
      <c r="A27" t="s">
        <v>80</v>
      </c>
      <c r="B27" t="s">
        <v>324</v>
      </c>
      <c r="C27" t="s">
        <v>236</v>
      </c>
      <c r="D27" t="s">
        <v>325</v>
      </c>
      <c r="E27" t="s">
        <v>237</v>
      </c>
      <c r="F27" t="n">
        <v>73.0256503806075</v>
      </c>
      <c r="G27" t="n">
        <v>74.750665743929</v>
      </c>
      <c r="H27" t="n">
        <v>77.4524970358782</v>
      </c>
      <c r="I27" t="n">
        <v>78.272100179115</v>
      </c>
      <c r="J27" t="n">
        <v>78.6430579998691</v>
      </c>
      <c r="K27" t="n">
        <v>79.8782892773539</v>
      </c>
      <c r="L27" t="n">
        <v>80.2837628269852</v>
      </c>
      <c r="M27" t="n">
        <v>80.2837628269852</v>
      </c>
      <c r="N27" t="n">
        <v>80.2837628269852</v>
      </c>
      <c r="O27" t="n">
        <v>80.782419738954</v>
      </c>
      <c r="P27" t="n">
        <v>82.0924049239101</v>
      </c>
      <c r="Q27" t="n">
        <v>83.093531813226</v>
      </c>
      <c r="R27" t="n">
        <v>84.9197632816486</v>
      </c>
      <c r="S27" t="n">
        <v>87.6444615687603</v>
      </c>
      <c r="T27" t="n">
        <v>88.5253104287478</v>
      </c>
      <c r="U27" t="n">
        <v>89.1039072289358</v>
      </c>
      <c r="V27" t="n">
        <v>91.3426988678537</v>
      </c>
      <c r="W27" t="n">
        <v>93.2260534836858</v>
      </c>
      <c r="X27" t="n">
        <v>94.4746166999851</v>
      </c>
      <c r="Y27" t="n">
        <v>94.8618077520343</v>
      </c>
      <c r="Z27" t="n">
        <v>97.4489479634534</v>
      </c>
      <c r="AA27" t="n">
        <v>97.1163576973665</v>
      </c>
      <c r="AB27" t="n">
        <v>97.8226584806201</v>
      </c>
      <c r="AC27" t="n">
        <v>98.7426207860805</v>
      </c>
      <c r="AD27" t="n">
        <v>99.6951219512195</v>
      </c>
      <c r="AE27" t="n">
        <v>100</v>
      </c>
      <c r="AF27" t="n">
        <v>102.5</v>
      </c>
    </row>
    <row r="28">
      <c r="A28" t="s">
        <v>80</v>
      </c>
      <c r="B28" t="s">
        <v>326</v>
      </c>
      <c r="C28" t="s">
        <v>236</v>
      </c>
      <c r="D28" t="s">
        <v>327</v>
      </c>
      <c r="E28" t="s">
        <v>237</v>
      </c>
      <c r="F28" t="n">
        <v>81.640107641094</v>
      </c>
      <c r="G28" t="n">
        <v>83.6192617657265</v>
      </c>
      <c r="H28" t="n">
        <v>85.4175254596131</v>
      </c>
      <c r="I28" t="n">
        <v>85.7734318156949</v>
      </c>
      <c r="J28" t="n">
        <v>85.7734318156949</v>
      </c>
      <c r="K28" t="n">
        <v>86.6268987989356</v>
      </c>
      <c r="L28" t="n">
        <v>86.6268987989356</v>
      </c>
      <c r="M28" t="n">
        <v>86.6268987989356</v>
      </c>
      <c r="N28" t="n">
        <v>86.6268987989356</v>
      </c>
      <c r="O28" t="n">
        <v>87.0171100547867</v>
      </c>
      <c r="P28" t="n">
        <v>88.309443372432</v>
      </c>
      <c r="Q28" t="n">
        <v>88.831984457476</v>
      </c>
      <c r="R28" t="n">
        <v>89.8081601108549</v>
      </c>
      <c r="S28" t="n">
        <v>91.2966931513662</v>
      </c>
      <c r="T28" t="n">
        <v>92.0574989276276</v>
      </c>
      <c r="U28" t="n">
        <v>92.0574989276276</v>
      </c>
      <c r="V28" t="n">
        <v>94.5076985188573</v>
      </c>
      <c r="W28" t="n">
        <v>95.9843813082144</v>
      </c>
      <c r="X28" t="n">
        <v>97.2149502993454</v>
      </c>
      <c r="Y28" t="n">
        <v>97.5991991147578</v>
      </c>
      <c r="Z28" t="n">
        <v>98.6543255916741</v>
      </c>
      <c r="AA28" t="n">
        <v>98.2875808868723</v>
      </c>
      <c r="AB28" t="n">
        <v>98.2875808868723</v>
      </c>
      <c r="AC28" t="n">
        <v>98.6855063155641</v>
      </c>
      <c r="AD28" t="n">
        <v>99.2592592592593</v>
      </c>
      <c r="AE28" t="n">
        <v>100</v>
      </c>
      <c r="AF28" t="n">
        <v>101.812688821752</v>
      </c>
    </row>
    <row r="29">
      <c r="A29" t="s">
        <v>80</v>
      </c>
      <c r="B29" t="s">
        <v>328</v>
      </c>
      <c r="C29" t="s">
        <v>236</v>
      </c>
      <c r="D29" t="s">
        <v>329</v>
      </c>
      <c r="E29" t="s">
        <v>237</v>
      </c>
      <c r="F29" t="n">
        <v>81.6851474506868</v>
      </c>
      <c r="G29" t="n">
        <v>83.441817288336</v>
      </c>
      <c r="H29" t="n">
        <v>84.9870361270089</v>
      </c>
      <c r="I29" t="n">
        <v>85.5651792299137</v>
      </c>
      <c r="J29" t="n">
        <v>85.5651792299137</v>
      </c>
      <c r="K29" t="n">
        <v>86.3959091253497</v>
      </c>
      <c r="L29" t="n">
        <v>86.3959091253497</v>
      </c>
      <c r="M29" t="n">
        <v>86.3959091253497</v>
      </c>
      <c r="N29" t="n">
        <v>86.3959091253498</v>
      </c>
      <c r="O29" t="n">
        <v>87.0311731630362</v>
      </c>
      <c r="P29" t="n">
        <v>88.5317106313644</v>
      </c>
      <c r="Q29" t="n">
        <v>89.6113656390639</v>
      </c>
      <c r="R29" t="n">
        <v>90.8223300395918</v>
      </c>
      <c r="S29" t="n">
        <v>92.7144619154167</v>
      </c>
      <c r="T29" t="n">
        <v>93.8182055096478</v>
      </c>
      <c r="U29" t="n">
        <v>93.8182055096478</v>
      </c>
      <c r="V29" t="n">
        <v>96.4242667738047</v>
      </c>
      <c r="W29" t="n">
        <v>97.7099236641221</v>
      </c>
      <c r="X29" t="n">
        <v>99.236641221374</v>
      </c>
      <c r="Y29" t="n">
        <v>99.2366412213741</v>
      </c>
      <c r="Z29" t="n">
        <v>99.236641221374</v>
      </c>
      <c r="AA29" t="n">
        <v>99.2366412213741</v>
      </c>
      <c r="AB29" t="n">
        <v>99.236641221374</v>
      </c>
      <c r="AC29" t="n">
        <v>99.236641221374</v>
      </c>
      <c r="AD29" t="n">
        <v>100</v>
      </c>
      <c r="AE29" t="n">
        <v>100</v>
      </c>
      <c r="AF29" t="n">
        <v>101.333333333333</v>
      </c>
    </row>
    <row r="30">
      <c r="A30" t="s">
        <v>80</v>
      </c>
      <c r="B30" t="s">
        <v>330</v>
      </c>
      <c r="C30" t="s">
        <v>236</v>
      </c>
      <c r="D30" t="s">
        <v>331</v>
      </c>
      <c r="E30" t="s">
        <v>237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93.0864197530864</v>
      </c>
      <c r="M30" t="n">
        <v>93.0864197530864</v>
      </c>
      <c r="N30" t="n">
        <v>93.0864197530864</v>
      </c>
      <c r="O30" t="n">
        <v>93.0864197530864</v>
      </c>
      <c r="P30" t="n">
        <v>93.0864197530864</v>
      </c>
      <c r="Q30" t="n">
        <v>93.0864197530864</v>
      </c>
      <c r="R30" t="n">
        <v>93.0864197530864</v>
      </c>
      <c r="S30" t="n">
        <v>93.0864197530864</v>
      </c>
      <c r="T30" t="n">
        <v>93.0864197530864</v>
      </c>
      <c r="U30" t="n">
        <v>93.0864197530864</v>
      </c>
      <c r="V30" t="n">
        <v>96.6666666666667</v>
      </c>
      <c r="W30" t="n">
        <v>100</v>
      </c>
      <c r="X30" t="n">
        <v>100</v>
      </c>
      <c r="Y30" t="n">
        <v>100</v>
      </c>
      <c r="Z30" t="n">
        <v>100</v>
      </c>
      <c r="AA30" t="n">
        <v>100</v>
      </c>
      <c r="AB30" t="n">
        <v>100</v>
      </c>
      <c r="AC30" t="n">
        <v>100</v>
      </c>
      <c r="AD30" t="n">
        <v>100</v>
      </c>
      <c r="AE30" t="n">
        <v>100</v>
      </c>
      <c r="AF30" t="n">
        <v>100</v>
      </c>
    </row>
    <row r="31">
      <c r="A31" t="s">
        <v>80</v>
      </c>
      <c r="B31" t="s">
        <v>332</v>
      </c>
      <c r="C31" t="s">
        <v>236</v>
      </c>
      <c r="D31" t="s">
        <v>333</v>
      </c>
      <c r="E31" t="s">
        <v>237</v>
      </c>
      <c r="F31" t="e">
        <v>#NUM!</v>
      </c>
      <c r="G31" t="e">
        <v>#NUM!</v>
      </c>
      <c r="H31" t="e">
        <v>#NUM!</v>
      </c>
      <c r="I31" t="e">
        <v>#NUM!</v>
      </c>
      <c r="J31" t="e">
        <v>#NUM!</v>
      </c>
      <c r="K31" t="e">
        <v>#NUM!</v>
      </c>
      <c r="L31" t="e">
        <v>#NUM!</v>
      </c>
      <c r="M31" t="e">
        <v>#NUM!</v>
      </c>
      <c r="N31" t="e">
        <v>#NUM!</v>
      </c>
      <c r="O31" t="e">
        <v>#NUM!</v>
      </c>
      <c r="P31" t="e">
        <v>#NUM!</v>
      </c>
      <c r="Q31" t="e">
        <v>#NUM!</v>
      </c>
      <c r="R31" t="e">
        <v>#NUM!</v>
      </c>
      <c r="S31" t="e">
        <v>#NUM!</v>
      </c>
      <c r="T31" t="e">
        <v>#NUM!</v>
      </c>
      <c r="U31" t="e">
        <v>#NUM!</v>
      </c>
      <c r="V31" t="e">
        <v>#NUM!</v>
      </c>
      <c r="W31" t="n">
        <v>0</v>
      </c>
      <c r="X31" t="n">
        <v>100</v>
      </c>
      <c r="Y31" t="n">
        <v>100</v>
      </c>
      <c r="Z31" t="n">
        <v>100</v>
      </c>
      <c r="AA31" t="n">
        <v>100</v>
      </c>
      <c r="AB31" t="n">
        <v>100</v>
      </c>
      <c r="AC31" t="n">
        <v>100</v>
      </c>
      <c r="AD31" t="n">
        <v>100</v>
      </c>
      <c r="AE31" t="n">
        <v>100</v>
      </c>
      <c r="AF31" t="n">
        <v>100</v>
      </c>
    </row>
    <row r="32">
      <c r="A32" t="s">
        <v>80</v>
      </c>
      <c r="B32" t="s">
        <v>334</v>
      </c>
      <c r="C32" t="s">
        <v>236</v>
      </c>
      <c r="D32" t="s">
        <v>335</v>
      </c>
      <c r="E32" t="s">
        <v>237</v>
      </c>
      <c r="F32" t="n">
        <v>78.780044766972</v>
      </c>
      <c r="G32" t="n">
        <v>81.7528766449709</v>
      </c>
      <c r="H32" t="n">
        <v>85.0229917107697</v>
      </c>
      <c r="I32" t="n">
        <v>85.0229917107697</v>
      </c>
      <c r="J32" t="n">
        <v>85.0229917107697</v>
      </c>
      <c r="K32" t="n">
        <v>86.3310377370893</v>
      </c>
      <c r="L32" t="n">
        <v>86.3310377370893</v>
      </c>
      <c r="M32" t="n">
        <v>86.3310377370892</v>
      </c>
      <c r="N32" t="n">
        <v>86.3310377370892</v>
      </c>
      <c r="O32" t="n">
        <v>86.3310377370892</v>
      </c>
      <c r="P32" t="n">
        <v>87.6195606883891</v>
      </c>
      <c r="Q32" t="n">
        <v>87.6195606883891</v>
      </c>
      <c r="R32" t="n">
        <v>88.7878214975676</v>
      </c>
      <c r="S32" t="n">
        <v>90.4021455247961</v>
      </c>
      <c r="T32" t="n">
        <v>91.0922382387258</v>
      </c>
      <c r="U32" t="n">
        <v>91.0922382387258</v>
      </c>
      <c r="V32" t="n">
        <v>93.2611010539336</v>
      </c>
      <c r="W32" t="n">
        <v>94.3455324615374</v>
      </c>
      <c r="X32" t="n">
        <v>95.8672345980139</v>
      </c>
      <c r="Y32" t="n">
        <v>96.5520005594282</v>
      </c>
      <c r="Z32" t="n">
        <v>98.0968325683791</v>
      </c>
      <c r="AA32" t="n">
        <v>97.5023063103889</v>
      </c>
      <c r="AB32" t="n">
        <v>97.5023063103889</v>
      </c>
      <c r="AC32" t="n">
        <v>98.2192350332594</v>
      </c>
      <c r="AD32" t="n">
        <v>98.780487804878</v>
      </c>
      <c r="AE32" t="n">
        <v>100</v>
      </c>
      <c r="AF32" t="n">
        <v>102.202643171806</v>
      </c>
    </row>
    <row r="33">
      <c r="A33" t="s">
        <v>80</v>
      </c>
      <c r="B33" t="s">
        <v>336</v>
      </c>
      <c r="C33" t="s">
        <v>236</v>
      </c>
      <c r="D33" t="s">
        <v>337</v>
      </c>
      <c r="E33" t="s">
        <v>237</v>
      </c>
      <c r="F33" t="n">
        <v>100</v>
      </c>
      <c r="G33" t="n">
        <v>100</v>
      </c>
      <c r="H33" t="n">
        <v>100</v>
      </c>
      <c r="I33" t="n">
        <v>100</v>
      </c>
      <c r="J33" t="n">
        <v>100</v>
      </c>
      <c r="K33" t="n">
        <v>100</v>
      </c>
      <c r="L33" t="n">
        <v>100</v>
      </c>
      <c r="M33" t="n">
        <v>100</v>
      </c>
      <c r="N33" t="n">
        <v>100</v>
      </c>
      <c r="O33" t="n">
        <v>100</v>
      </c>
      <c r="P33" t="n">
        <v>100</v>
      </c>
      <c r="Q33" t="n">
        <v>100</v>
      </c>
      <c r="R33" t="n">
        <v>100</v>
      </c>
      <c r="S33" t="n">
        <v>100</v>
      </c>
      <c r="T33" t="n">
        <v>100</v>
      </c>
      <c r="U33" t="n">
        <v>100</v>
      </c>
      <c r="V33" t="n">
        <v>100</v>
      </c>
      <c r="W33" t="n">
        <v>100</v>
      </c>
      <c r="X33" t="n">
        <v>100</v>
      </c>
      <c r="Y33" t="n">
        <v>100</v>
      </c>
      <c r="Z33" t="n">
        <v>100</v>
      </c>
      <c r="AA33" t="n">
        <v>100</v>
      </c>
      <c r="AB33" t="n">
        <v>100</v>
      </c>
      <c r="AC33" t="n">
        <v>100</v>
      </c>
      <c r="AD33" t="n">
        <v>100</v>
      </c>
      <c r="AE33" t="n">
        <v>100</v>
      </c>
      <c r="AF33" t="n">
        <v>100</v>
      </c>
    </row>
    <row r="34">
      <c r="A34" t="s">
        <v>80</v>
      </c>
      <c r="B34" t="s">
        <v>338</v>
      </c>
      <c r="C34" t="s">
        <v>236</v>
      </c>
      <c r="D34" t="s">
        <v>339</v>
      </c>
      <c r="E34" t="s">
        <v>237</v>
      </c>
      <c r="F34" t="n">
        <v>78.7571320287505</v>
      </c>
      <c r="G34" t="n">
        <v>80.4692435945929</v>
      </c>
      <c r="H34" t="n">
        <v>82.9077055217018</v>
      </c>
      <c r="I34" t="n">
        <v>82.9077055217018</v>
      </c>
      <c r="J34" t="n">
        <v>82.9077055217018</v>
      </c>
      <c r="K34" t="n">
        <v>82.9077055217018</v>
      </c>
      <c r="L34" t="n">
        <v>82.9077055217018</v>
      </c>
      <c r="M34" t="n">
        <v>82.9077055217018</v>
      </c>
      <c r="N34" t="n">
        <v>82.9077055217018</v>
      </c>
      <c r="O34" t="n">
        <v>82.9077055217018</v>
      </c>
      <c r="P34" t="n">
        <v>84.0280799206437</v>
      </c>
      <c r="Q34" t="n">
        <v>84.9514654142772</v>
      </c>
      <c r="R34" t="n">
        <v>85.916822975803</v>
      </c>
      <c r="S34" t="n">
        <v>88.5740443049516</v>
      </c>
      <c r="T34" t="n">
        <v>89.6952347391915</v>
      </c>
      <c r="U34" t="n">
        <v>89.6952347391915</v>
      </c>
      <c r="V34" t="n">
        <v>91.8057108507019</v>
      </c>
      <c r="W34" t="n">
        <v>93.6986121053555</v>
      </c>
      <c r="X34" t="n">
        <v>94.8412781066403</v>
      </c>
      <c r="Y34" t="n">
        <v>94.8412781066403</v>
      </c>
      <c r="Z34" t="n">
        <v>97.8050680474729</v>
      </c>
      <c r="AA34" t="n">
        <v>97.8050680474728</v>
      </c>
      <c r="AB34" t="n">
        <v>98.6482151858131</v>
      </c>
      <c r="AC34" t="n">
        <v>99.2805755395683</v>
      </c>
      <c r="AD34" t="n">
        <v>99.2805755395683</v>
      </c>
      <c r="AE34" t="n">
        <v>100</v>
      </c>
      <c r="AF34" t="n">
        <v>101.935483870968</v>
      </c>
    </row>
    <row r="35">
      <c r="A35" t="s">
        <v>80</v>
      </c>
      <c r="B35" t="s">
        <v>340</v>
      </c>
      <c r="C35" t="s">
        <v>236</v>
      </c>
      <c r="D35" t="s">
        <v>341</v>
      </c>
      <c r="E35" t="s">
        <v>237</v>
      </c>
      <c r="F35" t="n">
        <v>76.4101101853406</v>
      </c>
      <c r="G35" t="n">
        <v>78.453161259815</v>
      </c>
      <c r="H35" t="n">
        <v>80.5735169695397</v>
      </c>
      <c r="I35" t="n">
        <v>81.2129893264408</v>
      </c>
      <c r="J35" t="n">
        <v>81.5513767819676</v>
      </c>
      <c r="K35" t="n">
        <v>82.9614870433273</v>
      </c>
      <c r="L35" t="n">
        <v>83.368160999422</v>
      </c>
      <c r="M35" t="n">
        <v>83.368160999422</v>
      </c>
      <c r="N35" t="n">
        <v>83.368160999422</v>
      </c>
      <c r="O35" t="n">
        <v>83.7651522422764</v>
      </c>
      <c r="P35" t="n">
        <v>84.6155598792539</v>
      </c>
      <c r="Q35" t="n">
        <v>85.6289198778078</v>
      </c>
      <c r="R35" t="n">
        <v>87.1580077327687</v>
      </c>
      <c r="S35" t="n">
        <v>89.2039703556036</v>
      </c>
      <c r="T35" t="n">
        <v>90.1235989159706</v>
      </c>
      <c r="U35" t="n">
        <v>90.5206191755124</v>
      </c>
      <c r="V35" t="n">
        <v>92.5857283582237</v>
      </c>
      <c r="W35" t="n">
        <v>94.3271527160586</v>
      </c>
      <c r="X35" t="n">
        <v>95.3414231753711</v>
      </c>
      <c r="Y35" t="n">
        <v>95.6945395575021</v>
      </c>
      <c r="Z35" t="n">
        <v>97.4156643696874</v>
      </c>
      <c r="AA35" t="n">
        <v>97.4156643696874</v>
      </c>
      <c r="AB35" t="n">
        <v>98.1190265673024</v>
      </c>
      <c r="AC35" t="n">
        <v>98.752052545156</v>
      </c>
      <c r="AD35" t="n">
        <v>98.4126984126984</v>
      </c>
      <c r="AE35" t="n">
        <v>100</v>
      </c>
      <c r="AF35" t="n">
        <v>101.914893617021</v>
      </c>
    </row>
    <row r="36">
      <c r="A36" t="s">
        <v>80</v>
      </c>
      <c r="B36" t="s">
        <v>342</v>
      </c>
      <c r="C36" t="s">
        <v>236</v>
      </c>
      <c r="D36" t="s">
        <v>343</v>
      </c>
      <c r="E36" t="s">
        <v>237</v>
      </c>
      <c r="F36" t="n">
        <v>83.3987441130298</v>
      </c>
      <c r="G36" t="n">
        <v>83.3987441130298</v>
      </c>
      <c r="H36" t="n">
        <v>85.6227106227106</v>
      </c>
      <c r="I36" t="n">
        <v>85.6227106227106</v>
      </c>
      <c r="J36" t="n">
        <v>85.6227106227106</v>
      </c>
      <c r="K36" t="n">
        <v>85.6227106227106</v>
      </c>
      <c r="L36" t="n">
        <v>85.6227106227106</v>
      </c>
      <c r="M36" t="n">
        <v>85.6227106227106</v>
      </c>
      <c r="N36" t="n">
        <v>85.6227106227106</v>
      </c>
      <c r="O36" t="n">
        <v>85.6227106227106</v>
      </c>
      <c r="P36" t="n">
        <v>85.6227106227106</v>
      </c>
      <c r="Q36" t="n">
        <v>85.6227106227106</v>
      </c>
      <c r="R36" t="n">
        <v>85.6227106227106</v>
      </c>
      <c r="S36" t="n">
        <v>85.6227106227106</v>
      </c>
      <c r="T36" t="n">
        <v>85.6227106227106</v>
      </c>
      <c r="U36" t="n">
        <v>85.6227106227106</v>
      </c>
      <c r="V36" t="n">
        <v>87.875939849624</v>
      </c>
      <c r="W36" t="n">
        <v>89.4736842105263</v>
      </c>
      <c r="X36" t="n">
        <v>89.4736842105263</v>
      </c>
      <c r="Y36" t="n">
        <v>89.4736842105263</v>
      </c>
      <c r="Z36" t="n">
        <v>89.4736842105263</v>
      </c>
      <c r="AA36" t="n">
        <v>89.4736842105263</v>
      </c>
      <c r="AB36" t="n">
        <v>89.4736842105263</v>
      </c>
      <c r="AC36" t="n">
        <v>89.4736842105263</v>
      </c>
      <c r="AD36" t="n">
        <v>89.4736842105263</v>
      </c>
      <c r="AE36" t="n">
        <v>100</v>
      </c>
      <c r="AF36" t="n">
        <v>102.325581395349</v>
      </c>
    </row>
    <row r="37">
      <c r="A37" t="s">
        <v>80</v>
      </c>
      <c r="B37" t="s">
        <v>344</v>
      </c>
      <c r="C37" t="s">
        <v>236</v>
      </c>
      <c r="D37" t="s">
        <v>345</v>
      </c>
      <c r="E37" t="s">
        <v>237</v>
      </c>
      <c r="F37" t="n">
        <v>73.1785041807209</v>
      </c>
      <c r="G37" t="n">
        <v>75.6382858338544</v>
      </c>
      <c r="H37" t="n">
        <v>77.7840528078644</v>
      </c>
      <c r="I37" t="n">
        <v>78.3778242033443</v>
      </c>
      <c r="J37" t="n">
        <v>78.9038498691386</v>
      </c>
      <c r="K37" t="n">
        <v>80.4819268665213</v>
      </c>
      <c r="L37" t="n">
        <v>80.8580106369256</v>
      </c>
      <c r="M37" t="n">
        <v>80.8580106369256</v>
      </c>
      <c r="N37" t="n">
        <v>80.8580106369256</v>
      </c>
      <c r="O37" t="n">
        <v>81.5432480152047</v>
      </c>
      <c r="P37" t="n">
        <v>82.491425317707</v>
      </c>
      <c r="Q37" t="n">
        <v>83.5627425296253</v>
      </c>
      <c r="R37" t="n">
        <v>85.6782549987298</v>
      </c>
      <c r="S37" t="n">
        <v>88.1262051415506</v>
      </c>
      <c r="T37" t="n">
        <v>89.376222235757</v>
      </c>
      <c r="U37" t="n">
        <v>90.0382683263922</v>
      </c>
      <c r="V37" t="n">
        <v>92.156815816425</v>
      </c>
      <c r="W37" t="n">
        <v>93.8634235167292</v>
      </c>
      <c r="X37" t="n">
        <v>95.1149358302856</v>
      </c>
      <c r="Y37" t="n">
        <v>95.7366020775423</v>
      </c>
      <c r="Z37" t="n">
        <v>97.7735510579156</v>
      </c>
      <c r="AA37" t="n">
        <v>97.7735510579156</v>
      </c>
      <c r="AB37" t="n">
        <v>98.8721302832854</v>
      </c>
      <c r="AC37" t="n">
        <v>99.4094788174337</v>
      </c>
      <c r="AD37" t="n">
        <v>98.8970588235294</v>
      </c>
      <c r="AE37" t="n">
        <v>100</v>
      </c>
      <c r="AF37" t="n">
        <v>101.633986928105</v>
      </c>
    </row>
    <row r="38">
      <c r="A38" t="s">
        <v>80</v>
      </c>
      <c r="B38" t="s">
        <v>346</v>
      </c>
      <c r="C38" t="s">
        <v>236</v>
      </c>
      <c r="D38" t="s">
        <v>347</v>
      </c>
      <c r="E38" t="s">
        <v>237</v>
      </c>
      <c r="F38" t="n">
        <v>76.6652861019254</v>
      </c>
      <c r="G38" t="n">
        <v>79.7318975460024</v>
      </c>
      <c r="H38" t="n">
        <v>81.5861277214909</v>
      </c>
      <c r="I38" t="n">
        <v>82.968943445584</v>
      </c>
      <c r="J38" t="n">
        <v>82.968943445584</v>
      </c>
      <c r="K38" t="n">
        <v>84.8126977443747</v>
      </c>
      <c r="L38" t="n">
        <v>85.4272825106383</v>
      </c>
      <c r="M38" t="n">
        <v>85.4272825106383</v>
      </c>
      <c r="N38" t="n">
        <v>85.4272825106383</v>
      </c>
      <c r="O38" t="n">
        <v>85.4272825106383</v>
      </c>
      <c r="P38" t="n">
        <v>86.6137725455083</v>
      </c>
      <c r="Q38" t="n">
        <v>87.9885943319449</v>
      </c>
      <c r="R38" t="n">
        <v>89.3422650139748</v>
      </c>
      <c r="S38" t="n">
        <v>91.1655765448723</v>
      </c>
      <c r="T38" t="n">
        <v>91.1655765448723</v>
      </c>
      <c r="U38" t="n">
        <v>91.1655765448723</v>
      </c>
      <c r="V38" t="n">
        <v>92.8231324820518</v>
      </c>
      <c r="W38" t="n">
        <v>94.6431939032685</v>
      </c>
      <c r="X38" t="n">
        <v>95.7066005763389</v>
      </c>
      <c r="Y38" t="n">
        <v>95.7066005763389</v>
      </c>
      <c r="Z38" t="n">
        <v>97.8100423472474</v>
      </c>
      <c r="AA38" t="n">
        <v>97.8100423472474</v>
      </c>
      <c r="AB38" t="n">
        <v>97.8100423472474</v>
      </c>
      <c r="AC38" t="n">
        <v>98.8505747126437</v>
      </c>
      <c r="AD38" t="n">
        <v>98.8505747126437</v>
      </c>
      <c r="AE38" t="n">
        <v>100</v>
      </c>
      <c r="AF38" t="n">
        <v>102.479338842975</v>
      </c>
    </row>
    <row r="39">
      <c r="A39" t="s">
        <v>80</v>
      </c>
      <c r="B39" t="s">
        <v>348</v>
      </c>
      <c r="C39" t="s">
        <v>236</v>
      </c>
      <c r="D39" t="s">
        <v>349</v>
      </c>
      <c r="E39" t="s">
        <v>237</v>
      </c>
      <c r="F39" t="n">
        <v>95.4912533859902</v>
      </c>
      <c r="G39" t="n">
        <v>95.4912533859903</v>
      </c>
      <c r="H39" t="n">
        <v>95.4912533859903</v>
      </c>
      <c r="I39" t="n">
        <v>95.4912533859903</v>
      </c>
      <c r="J39" t="n">
        <v>95.4912533859903</v>
      </c>
      <c r="K39" t="n">
        <v>95.4912533859903</v>
      </c>
      <c r="L39" t="n">
        <v>95.4912533859903</v>
      </c>
      <c r="M39" t="n">
        <v>94.6608946608947</v>
      </c>
      <c r="N39" t="n">
        <v>94.6608946608947</v>
      </c>
      <c r="O39" t="n">
        <v>94.6608946608947</v>
      </c>
      <c r="P39" t="n">
        <v>94.6608946608947</v>
      </c>
      <c r="Q39" t="n">
        <v>94.6608946608947</v>
      </c>
      <c r="R39" t="n">
        <v>94.6608946608947</v>
      </c>
      <c r="S39" t="n">
        <v>96.969696969697</v>
      </c>
      <c r="T39" t="n">
        <v>96.969696969697</v>
      </c>
      <c r="U39" t="n">
        <v>96.969696969697</v>
      </c>
      <c r="V39" t="n">
        <v>100</v>
      </c>
      <c r="W39" t="n">
        <v>100</v>
      </c>
      <c r="X39" t="n">
        <v>100</v>
      </c>
      <c r="Y39" t="n">
        <v>100</v>
      </c>
      <c r="Z39" t="n">
        <v>100</v>
      </c>
      <c r="AA39" t="n">
        <v>100</v>
      </c>
      <c r="AB39" t="n">
        <v>100</v>
      </c>
      <c r="AC39" t="n">
        <v>100</v>
      </c>
      <c r="AD39" t="n">
        <v>100</v>
      </c>
      <c r="AE39" t="n">
        <v>100</v>
      </c>
      <c r="AF39" t="n">
        <v>105.405405405405</v>
      </c>
    </row>
    <row r="40">
      <c r="A40" t="s">
        <v>80</v>
      </c>
      <c r="B40" t="s">
        <v>350</v>
      </c>
      <c r="C40" t="s">
        <v>236</v>
      </c>
      <c r="D40" t="s">
        <v>351</v>
      </c>
      <c r="E40" t="s">
        <v>237</v>
      </c>
      <c r="F40" t="n">
        <v>87.2995767842166</v>
      </c>
      <c r="G40" t="n">
        <v>87.2995767842166</v>
      </c>
      <c r="H40" t="n">
        <v>87.2995767842166</v>
      </c>
      <c r="I40" t="n">
        <v>87.2995767842166</v>
      </c>
      <c r="J40" t="n">
        <v>87.2995767842166</v>
      </c>
      <c r="K40" t="n">
        <v>87.2995767842166</v>
      </c>
      <c r="L40" t="n">
        <v>87.2995767842166</v>
      </c>
      <c r="M40" t="n">
        <v>87.2995767842166</v>
      </c>
      <c r="N40" t="n">
        <v>87.2995767842166</v>
      </c>
      <c r="O40" t="n">
        <v>87.2995767842166</v>
      </c>
      <c r="P40" t="n">
        <v>88.0721394106256</v>
      </c>
      <c r="Q40" t="n">
        <v>88.8515388744364</v>
      </c>
      <c r="R40" t="n">
        <v>89.8968510964886</v>
      </c>
      <c r="S40" t="n">
        <v>92.2167698344625</v>
      </c>
      <c r="T40" t="n">
        <v>92.827476919459</v>
      </c>
      <c r="U40" t="n">
        <v>92.827476919459</v>
      </c>
      <c r="V40" t="n">
        <v>95.2703052594447</v>
      </c>
      <c r="W40" t="n">
        <v>96.4181402625706</v>
      </c>
      <c r="X40" t="n">
        <v>97.4330680548081</v>
      </c>
      <c r="Y40" t="n">
        <v>97.4330680548081</v>
      </c>
      <c r="Z40" t="n">
        <v>99.0985905856596</v>
      </c>
      <c r="AA40" t="n">
        <v>99.0985905856596</v>
      </c>
      <c r="AB40" t="n">
        <v>99.0985905856596</v>
      </c>
      <c r="AC40" t="n">
        <v>99.0985905856596</v>
      </c>
      <c r="AD40" t="n">
        <v>98.7068965517241</v>
      </c>
      <c r="AE40" t="n">
        <v>100</v>
      </c>
      <c r="AF40" t="n">
        <v>101.56862745098</v>
      </c>
    </row>
    <row r="41">
      <c r="A41" t="s">
        <v>80</v>
      </c>
      <c r="B41" t="s">
        <v>352</v>
      </c>
      <c r="C41" t="s">
        <v>236</v>
      </c>
      <c r="D41" t="s">
        <v>353</v>
      </c>
      <c r="E41" t="s">
        <v>237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/>
      <c r="AD41"/>
      <c r="AE41"/>
      <c r="AF41"/>
    </row>
    <row r="42">
      <c r="A42" t="s">
        <v>80</v>
      </c>
      <c r="B42" t="s">
        <v>354</v>
      </c>
      <c r="C42" t="s">
        <v>236</v>
      </c>
      <c r="D42" t="s">
        <v>355</v>
      </c>
      <c r="E42" t="s">
        <v>237</v>
      </c>
      <c r="F42" t="n">
        <v>84.8893975501119</v>
      </c>
      <c r="G42" t="n">
        <v>86.4052796492211</v>
      </c>
      <c r="H42" t="n">
        <v>87.6949106887617</v>
      </c>
      <c r="I42" t="n">
        <v>87.6949106887617</v>
      </c>
      <c r="J42" t="n">
        <v>87.6949106887617</v>
      </c>
      <c r="K42" t="n">
        <v>87.6949106887617</v>
      </c>
      <c r="L42" t="n">
        <v>87.6949106887617</v>
      </c>
      <c r="M42" t="n">
        <v>87.6949106887617</v>
      </c>
      <c r="N42" t="n">
        <v>87.6949106887617</v>
      </c>
      <c r="O42" t="n">
        <v>87.6949106887617</v>
      </c>
      <c r="P42" t="n">
        <v>88.2680800396686</v>
      </c>
      <c r="Q42" t="n">
        <v>88.2680800396686</v>
      </c>
      <c r="R42" t="n">
        <v>89.5290526116639</v>
      </c>
      <c r="S42" t="n">
        <v>92.4358400341205</v>
      </c>
      <c r="T42" t="n">
        <v>92.4358400341205</v>
      </c>
      <c r="U42" t="n">
        <v>92.4358400341205</v>
      </c>
      <c r="V42" t="n">
        <v>93.9511816740241</v>
      </c>
      <c r="W42" t="n">
        <v>95.3062467943225</v>
      </c>
      <c r="X42" t="n">
        <v>96.930785091953</v>
      </c>
      <c r="Y42" t="n">
        <v>96.930785091953</v>
      </c>
      <c r="Z42" t="n">
        <v>98.0018434907591</v>
      </c>
      <c r="AA42" t="n">
        <v>98.0018434907591</v>
      </c>
      <c r="AB42" t="n">
        <v>98.0018434907591</v>
      </c>
      <c r="AC42" t="n">
        <v>98.0018434907591</v>
      </c>
      <c r="AD42" t="n">
        <v>97.2332015810277</v>
      </c>
      <c r="AE42" t="n">
        <v>100</v>
      </c>
      <c r="AF42" t="n">
        <v>100.917431192661</v>
      </c>
    </row>
    <row r="43">
      <c r="A43" t="s">
        <v>80</v>
      </c>
      <c r="B43" t="s">
        <v>356</v>
      </c>
      <c r="C43" t="s">
        <v>236</v>
      </c>
      <c r="D43" t="s">
        <v>357</v>
      </c>
      <c r="E43" t="s">
        <v>237</v>
      </c>
      <c r="F43" t="n">
        <v>104.559000160393</v>
      </c>
      <c r="G43" t="n">
        <v>106.971900164095</v>
      </c>
      <c r="H43" t="n">
        <v>109.13732324434</v>
      </c>
      <c r="I43" t="n">
        <v>109.520261220636</v>
      </c>
      <c r="J43" t="n">
        <v>109.520261220636</v>
      </c>
      <c r="K43" t="n">
        <v>101.283361351674</v>
      </c>
      <c r="L43" t="n">
        <v>92.4902721024934</v>
      </c>
      <c r="M43" t="n">
        <v>86.813119850678</v>
      </c>
      <c r="N43" t="n">
        <v>86.813119850678</v>
      </c>
      <c r="O43" t="n">
        <v>86.813119850678</v>
      </c>
      <c r="P43" t="n">
        <v>87.5426418662299</v>
      </c>
      <c r="Q43" t="n">
        <v>87.8188016197511</v>
      </c>
      <c r="R43" t="n">
        <v>89.0733559286047</v>
      </c>
      <c r="S43" t="n">
        <v>91.4486454200342</v>
      </c>
      <c r="T43" t="n">
        <v>92.0837054576733</v>
      </c>
      <c r="U43" t="n">
        <v>92.0837054576733</v>
      </c>
      <c r="V43" t="n">
        <v>93.6911516876078</v>
      </c>
      <c r="W43" t="n">
        <v>95.1783128255063</v>
      </c>
      <c r="X43" t="n">
        <v>96.3680417358251</v>
      </c>
      <c r="Y43" t="n">
        <v>96.5696485176992</v>
      </c>
      <c r="Z43" t="n">
        <v>98.1484438613129</v>
      </c>
      <c r="AA43" t="n">
        <v>97.9238478799369</v>
      </c>
      <c r="AB43" t="n">
        <v>98.1469090368388</v>
      </c>
      <c r="AC43" t="n">
        <v>98.5124468731026</v>
      </c>
      <c r="AD43" t="n">
        <v>98.1785063752277</v>
      </c>
      <c r="AE43" t="n">
        <v>100</v>
      </c>
      <c r="AF43" t="n">
        <v>101.073619631902</v>
      </c>
    </row>
    <row r="44">
      <c r="A44" t="s">
        <v>80</v>
      </c>
      <c r="B44" t="s">
        <v>358</v>
      </c>
      <c r="C44" t="s">
        <v>236</v>
      </c>
      <c r="D44" t="s">
        <v>359</v>
      </c>
      <c r="E44" t="s">
        <v>237</v>
      </c>
      <c r="F44" t="n">
        <v>81.5415755375159</v>
      </c>
      <c r="G44" t="n">
        <v>83.1673748124153</v>
      </c>
      <c r="H44" t="n">
        <v>84.9117752586927</v>
      </c>
      <c r="I44" t="n">
        <v>84.9985261529087</v>
      </c>
      <c r="J44" t="n">
        <v>84.5824229986221</v>
      </c>
      <c r="K44" t="n">
        <v>84.7215102306857</v>
      </c>
      <c r="L44" t="n">
        <v>84.5108350720303</v>
      </c>
      <c r="M44" t="n">
        <v>84.0088546376113</v>
      </c>
      <c r="N44" t="n">
        <v>83.8546785177625</v>
      </c>
      <c r="O44" t="n">
        <v>84.1514435821916</v>
      </c>
      <c r="P44" t="n">
        <v>84.9509822385545</v>
      </c>
      <c r="Q44" t="n">
        <v>85.185275915149</v>
      </c>
      <c r="R44" t="n">
        <v>86.690036274379</v>
      </c>
      <c r="S44" t="n">
        <v>89.1398709607235</v>
      </c>
      <c r="T44" t="n">
        <v>90.0132561017961</v>
      </c>
      <c r="U44" t="n">
        <v>90.2371139881473</v>
      </c>
      <c r="V44" t="n">
        <v>92.2810113625612</v>
      </c>
      <c r="W44" t="n">
        <v>93.9359669184749</v>
      </c>
      <c r="X44" t="n">
        <v>95.019404821015</v>
      </c>
      <c r="Y44" t="n">
        <v>95.2888869674161</v>
      </c>
      <c r="Z44" t="n">
        <v>97.1586670711229</v>
      </c>
      <c r="AA44" t="n">
        <v>96.9147796106369</v>
      </c>
      <c r="AB44" t="n">
        <v>97.4591700701569</v>
      </c>
      <c r="AC44" t="n">
        <v>98.3975267661367</v>
      </c>
      <c r="AD44" t="n">
        <v>99.3639575971731</v>
      </c>
      <c r="AE44" t="n">
        <v>100</v>
      </c>
      <c r="AF44" t="n">
        <v>102.403433476395</v>
      </c>
    </row>
    <row r="45">
      <c r="A45" t="s">
        <v>80</v>
      </c>
      <c r="B45" t="s">
        <v>360</v>
      </c>
      <c r="C45" t="s">
        <v>236</v>
      </c>
      <c r="D45" t="s">
        <v>361</v>
      </c>
      <c r="E45" t="s">
        <v>237</v>
      </c>
      <c r="F45" t="n">
        <v>78.7429315956636</v>
      </c>
      <c r="G45" t="n">
        <v>80.6054971643582</v>
      </c>
      <c r="H45" t="n">
        <v>82.7151084920554</v>
      </c>
      <c r="I45" t="n">
        <v>83.3323854211006</v>
      </c>
      <c r="J45" t="n">
        <v>83.5136303386428</v>
      </c>
      <c r="K45" t="n">
        <v>83.9730012425958</v>
      </c>
      <c r="L45" t="n">
        <v>83.7831602450616</v>
      </c>
      <c r="M45" t="n">
        <v>83.3695864388334</v>
      </c>
      <c r="N45" t="n">
        <v>83.3695864388334</v>
      </c>
      <c r="O45" t="n">
        <v>83.891901920137</v>
      </c>
      <c r="P45" t="n">
        <v>84.8131447683254</v>
      </c>
      <c r="Q45" t="n">
        <v>85.2412777555456</v>
      </c>
      <c r="R45" t="n">
        <v>86.8977884163821</v>
      </c>
      <c r="S45" t="n">
        <v>89.3264019517557</v>
      </c>
      <c r="T45" t="n">
        <v>90.194606432842</v>
      </c>
      <c r="U45" t="n">
        <v>90.4153710392862</v>
      </c>
      <c r="V45" t="n">
        <v>92.4574789816347</v>
      </c>
      <c r="W45" t="n">
        <v>94.1038806681824</v>
      </c>
      <c r="X45" t="n">
        <v>95.1533663261919</v>
      </c>
      <c r="Y45" t="n">
        <v>95.3841810413555</v>
      </c>
      <c r="Z45" t="n">
        <v>97.290014338593</v>
      </c>
      <c r="AA45" t="n">
        <v>97.0528373168022</v>
      </c>
      <c r="AB45" t="n">
        <v>97.5764045822818</v>
      </c>
      <c r="AC45" t="n">
        <v>98.4992583456704</v>
      </c>
      <c r="AD45" t="n">
        <v>99.372197309417</v>
      </c>
      <c r="AE45" t="n">
        <v>100</v>
      </c>
      <c r="AF45" t="n">
        <v>102.447192168985</v>
      </c>
    </row>
    <row r="46">
      <c r="A46" t="s">
        <v>80</v>
      </c>
      <c r="B46" t="s">
        <v>362</v>
      </c>
      <c r="C46" t="s">
        <v>236</v>
      </c>
      <c r="D46" t="s">
        <v>363</v>
      </c>
      <c r="E46" t="s">
        <v>237</v>
      </c>
      <c r="F46" t="n">
        <v>127.547805622136</v>
      </c>
      <c r="G46" t="n">
        <v>130.995043611923</v>
      </c>
      <c r="H46" t="n">
        <v>134.472788132593</v>
      </c>
      <c r="I46" t="n">
        <v>135.447228626308</v>
      </c>
      <c r="J46" t="n">
        <v>135.447228626308</v>
      </c>
      <c r="K46" t="n">
        <v>117.432079991282</v>
      </c>
      <c r="L46" t="n">
        <v>97.1072969158676</v>
      </c>
      <c r="M46" t="n">
        <v>86.1656296577417</v>
      </c>
      <c r="N46" t="n">
        <v>86.1656296577417</v>
      </c>
      <c r="O46" t="n">
        <v>86.1656296577417</v>
      </c>
      <c r="P46" t="n">
        <v>87.0103907328176</v>
      </c>
      <c r="Q46" t="n">
        <v>87.4635698512176</v>
      </c>
      <c r="R46" t="n">
        <v>88.7130494205207</v>
      </c>
      <c r="S46" t="n">
        <v>90.8109931568168</v>
      </c>
      <c r="T46" t="n">
        <v>91.798069169391</v>
      </c>
      <c r="U46" t="n">
        <v>91.798069169391</v>
      </c>
      <c r="V46" t="n">
        <v>93.4824374110312</v>
      </c>
      <c r="W46" t="n">
        <v>95.0872861219501</v>
      </c>
      <c r="X46" t="n">
        <v>95.936279748039</v>
      </c>
      <c r="Y46" t="n">
        <v>96.2789093185677</v>
      </c>
      <c r="Z46" t="n">
        <v>98.3494234974617</v>
      </c>
      <c r="AA46" t="n">
        <v>97.9637394837461</v>
      </c>
      <c r="AB46" t="n">
        <v>98.3619660670134</v>
      </c>
      <c r="AC46" t="n">
        <v>98.9864864864865</v>
      </c>
      <c r="AD46" t="n">
        <v>98.9864864864865</v>
      </c>
      <c r="AE46" t="n">
        <v>100</v>
      </c>
      <c r="AF46" t="n">
        <v>101.230769230769</v>
      </c>
    </row>
    <row r="47">
      <c r="A47" t="s">
        <v>80</v>
      </c>
      <c r="B47" t="s">
        <v>364</v>
      </c>
      <c r="C47" t="s">
        <v>236</v>
      </c>
      <c r="D47" t="s">
        <v>365</v>
      </c>
      <c r="E47" t="s">
        <v>237</v>
      </c>
      <c r="F47" t="n">
        <v>83.6724953791784</v>
      </c>
      <c r="G47" t="n">
        <v>86.693637284549</v>
      </c>
      <c r="H47" t="n">
        <v>89.5340271101112</v>
      </c>
      <c r="I47" t="n">
        <v>90.8780713969835</v>
      </c>
      <c r="J47" t="n">
        <v>91.4799129294139</v>
      </c>
      <c r="K47" t="n">
        <v>93.2965353138278</v>
      </c>
      <c r="L47" t="n">
        <v>89.530436640609</v>
      </c>
      <c r="M47" t="n">
        <v>84.5402155819521</v>
      </c>
      <c r="N47" t="n">
        <v>81.2098434529661</v>
      </c>
      <c r="O47" t="n">
        <v>82.6557160366985</v>
      </c>
      <c r="P47" t="n">
        <v>82.6557160366985</v>
      </c>
      <c r="Q47" t="n">
        <v>82.349583755081</v>
      </c>
      <c r="R47" t="n">
        <v>86.1324268251024</v>
      </c>
      <c r="S47" t="n">
        <v>86.8270431704662</v>
      </c>
      <c r="T47" t="n">
        <v>87.2418220391149</v>
      </c>
      <c r="U47" t="n">
        <v>87.5246156275723</v>
      </c>
      <c r="V47" t="n">
        <v>90.0379914141749</v>
      </c>
      <c r="W47" t="n">
        <v>91.4812637796302</v>
      </c>
      <c r="X47" t="n">
        <v>92.6219279165333</v>
      </c>
      <c r="Y47" t="n">
        <v>94.2804472869396</v>
      </c>
      <c r="Z47" t="n">
        <v>98.778230093289</v>
      </c>
      <c r="AA47" t="n">
        <v>98.9355202685967</v>
      </c>
      <c r="AB47" t="n">
        <v>98.9355202685968</v>
      </c>
      <c r="AC47" t="n">
        <v>98.9355202685968</v>
      </c>
      <c r="AD47" t="n">
        <v>100.319233838787</v>
      </c>
      <c r="AE47" t="n">
        <v>100</v>
      </c>
      <c r="AF47" t="n">
        <v>100.873362445415</v>
      </c>
    </row>
    <row r="48">
      <c r="A48" t="s">
        <v>80</v>
      </c>
      <c r="B48" t="s">
        <v>366</v>
      </c>
      <c r="C48" t="s">
        <v>236</v>
      </c>
      <c r="D48" t="s">
        <v>367</v>
      </c>
      <c r="E48" t="s">
        <v>237</v>
      </c>
      <c r="F48" t="n">
        <v>83.7946213508717</v>
      </c>
      <c r="G48" t="n">
        <v>86.3577509451336</v>
      </c>
      <c r="H48" t="n">
        <v>88.9003555996696</v>
      </c>
      <c r="I48" t="n">
        <v>89.9377924244413</v>
      </c>
      <c r="J48" t="n">
        <v>90.3839124265467</v>
      </c>
      <c r="K48" t="n">
        <v>91.9112747637746</v>
      </c>
      <c r="L48" t="n">
        <v>89.6161010466315</v>
      </c>
      <c r="M48" t="n">
        <v>86.3671789543065</v>
      </c>
      <c r="N48" t="n">
        <v>84.1460645598337</v>
      </c>
      <c r="O48" t="n">
        <v>85.1598725665787</v>
      </c>
      <c r="P48" t="n">
        <v>85.3923380967878</v>
      </c>
      <c r="Q48" t="n">
        <v>85.2973521812185</v>
      </c>
      <c r="R48" t="n">
        <v>88.2886514606874</v>
      </c>
      <c r="S48" t="n">
        <v>89.5858217300822</v>
      </c>
      <c r="T48" t="n">
        <v>90.2141791971269</v>
      </c>
      <c r="U48" t="n">
        <v>90.4920462788429</v>
      </c>
      <c r="V48" t="n">
        <v>92.8284844151387</v>
      </c>
      <c r="W48" t="n">
        <v>94.0025996330377</v>
      </c>
      <c r="X48" t="n">
        <v>95.2934269300988</v>
      </c>
      <c r="Y48" t="n">
        <v>96.5363846726653</v>
      </c>
      <c r="Z48" t="n">
        <v>99.6999404762383</v>
      </c>
      <c r="AA48" t="n">
        <v>99.5188325008046</v>
      </c>
      <c r="AB48" t="n">
        <v>99.5188325008046</v>
      </c>
      <c r="AC48" t="n">
        <v>99.6600941509122</v>
      </c>
      <c r="AD48" t="n">
        <v>100.500834724541</v>
      </c>
      <c r="AE48" t="n">
        <v>100</v>
      </c>
      <c r="AF48" t="n">
        <v>101.023890784983</v>
      </c>
    </row>
    <row r="49">
      <c r="A49" t="s">
        <v>80</v>
      </c>
      <c r="B49" t="s">
        <v>368</v>
      </c>
      <c r="C49" t="s">
        <v>236</v>
      </c>
      <c r="D49" t="s">
        <v>369</v>
      </c>
      <c r="E49" t="s">
        <v>237</v>
      </c>
      <c r="F49" t="n">
        <v>84.8167947450456</v>
      </c>
      <c r="G49" t="n">
        <v>86.163093074332</v>
      </c>
      <c r="H49" t="n">
        <v>87.9457777586286</v>
      </c>
      <c r="I49" t="n">
        <v>87.9457777586286</v>
      </c>
      <c r="J49" t="n">
        <v>87.9457777586286</v>
      </c>
      <c r="K49" t="n">
        <v>89.0182872434899</v>
      </c>
      <c r="L49" t="n">
        <v>89.0182872434899</v>
      </c>
      <c r="M49" t="n">
        <v>88.5903147086654</v>
      </c>
      <c r="N49" t="n">
        <v>88.5903147086654</v>
      </c>
      <c r="O49" t="n">
        <v>88.5903147086654</v>
      </c>
      <c r="P49" t="n">
        <v>89.795625112865</v>
      </c>
      <c r="Q49" t="n">
        <v>89.795625112865</v>
      </c>
      <c r="R49" t="n">
        <v>91.7764109609429</v>
      </c>
      <c r="S49" t="n">
        <v>93.9968080003205</v>
      </c>
      <c r="T49" t="n">
        <v>95.2175457665584</v>
      </c>
      <c r="U49" t="n">
        <v>95.2175457665584</v>
      </c>
      <c r="V49" t="n">
        <v>96.9178590838184</v>
      </c>
      <c r="W49" t="n">
        <v>97.5235957030923</v>
      </c>
      <c r="X49" t="n">
        <v>99.5004253457225</v>
      </c>
      <c r="Y49" t="n">
        <v>100.168213435291</v>
      </c>
      <c r="Z49" t="n">
        <v>102.171577703997</v>
      </c>
      <c r="AA49" t="n">
        <v>101.552356020942</v>
      </c>
      <c r="AB49" t="n">
        <v>101.552356020942</v>
      </c>
      <c r="AC49" t="n">
        <v>101.552356020942</v>
      </c>
      <c r="AD49" t="n">
        <v>101.047120418848</v>
      </c>
      <c r="AE49" t="n">
        <v>100</v>
      </c>
      <c r="AF49" t="n">
        <v>102.010050251256</v>
      </c>
    </row>
    <row r="50">
      <c r="A50" t="s">
        <v>80</v>
      </c>
      <c r="B50" t="s">
        <v>370</v>
      </c>
      <c r="C50" t="s">
        <v>236</v>
      </c>
      <c r="D50" t="s">
        <v>371</v>
      </c>
      <c r="E50" t="s">
        <v>237</v>
      </c>
      <c r="F50" t="n">
        <v>85.6008207237525</v>
      </c>
      <c r="G50" t="n">
        <v>86.5847382033358</v>
      </c>
      <c r="H50" t="n">
        <v>88.2498293226307</v>
      </c>
      <c r="I50" t="n">
        <v>88.2498293226307</v>
      </c>
      <c r="J50" t="n">
        <v>88.2498293226307</v>
      </c>
      <c r="K50" t="n">
        <v>88.8939886607521</v>
      </c>
      <c r="L50" t="n">
        <v>88.8939886607521</v>
      </c>
      <c r="M50" t="n">
        <v>88.3860230112621</v>
      </c>
      <c r="N50" t="n">
        <v>88.3860230112621</v>
      </c>
      <c r="O50" t="n">
        <v>88.3860230112621</v>
      </c>
      <c r="P50" t="n">
        <v>88.8770564724358</v>
      </c>
      <c r="Q50" t="n">
        <v>89.281043092765</v>
      </c>
      <c r="R50" t="n">
        <v>90.7752864918071</v>
      </c>
      <c r="S50" t="n">
        <v>93.6505218105522</v>
      </c>
      <c r="T50" t="n">
        <v>94.517656271761</v>
      </c>
      <c r="U50" t="n">
        <v>94.9303971288429</v>
      </c>
      <c r="V50" t="n">
        <v>97.2363986785314</v>
      </c>
      <c r="W50" t="n">
        <v>97.8978707783854</v>
      </c>
      <c r="X50" t="n">
        <v>99.2575634280852</v>
      </c>
      <c r="Y50" t="n">
        <v>99.6185000223691</v>
      </c>
      <c r="Z50" t="n">
        <v>100.895660279066</v>
      </c>
      <c r="AA50" t="n">
        <v>100.240493653877</v>
      </c>
      <c r="AB50" t="n">
        <v>100.240493653877</v>
      </c>
      <c r="AC50" t="n">
        <v>100.84985835694</v>
      </c>
      <c r="AD50" t="n">
        <v>100.84985835694</v>
      </c>
      <c r="AE50" t="n">
        <v>100</v>
      </c>
      <c r="AF50" t="n">
        <v>100.857142857143</v>
      </c>
    </row>
    <row r="51">
      <c r="A51" t="s">
        <v>80</v>
      </c>
      <c r="B51" t="s">
        <v>372</v>
      </c>
      <c r="C51" t="s">
        <v>236</v>
      </c>
      <c r="D51" t="s">
        <v>373</v>
      </c>
      <c r="E51" t="s">
        <v>237</v>
      </c>
      <c r="F51" t="n">
        <v>84.0034672579152</v>
      </c>
      <c r="G51" t="n">
        <v>85.186614684083</v>
      </c>
      <c r="H51" t="n">
        <v>87.10092063204</v>
      </c>
      <c r="I51" t="n">
        <v>87.10092063204</v>
      </c>
      <c r="J51" t="n">
        <v>87.10092063204</v>
      </c>
      <c r="K51" t="n">
        <v>87.8328611415529</v>
      </c>
      <c r="L51" t="n">
        <v>87.8328611415529</v>
      </c>
      <c r="M51" t="n">
        <v>87.2511865644565</v>
      </c>
      <c r="N51" t="n">
        <v>87.2511865644565</v>
      </c>
      <c r="O51" t="n">
        <v>87.2511865644565</v>
      </c>
      <c r="P51" t="n">
        <v>87.8104890424338</v>
      </c>
      <c r="Q51" t="n">
        <v>88.2800638501473</v>
      </c>
      <c r="R51" t="n">
        <v>90.0195724974409</v>
      </c>
      <c r="S51" t="n">
        <v>92.9234296747777</v>
      </c>
      <c r="T51" t="n">
        <v>93.9734119309899</v>
      </c>
      <c r="U51" t="n">
        <v>94.4628567847971</v>
      </c>
      <c r="V51" t="n">
        <v>96.7335985344317</v>
      </c>
      <c r="W51" t="n">
        <v>97.5137082000319</v>
      </c>
      <c r="X51" t="n">
        <v>99.132192983435</v>
      </c>
      <c r="Y51" t="n">
        <v>99.5787343932702</v>
      </c>
      <c r="Z51" t="n">
        <v>101.122590740453</v>
      </c>
      <c r="AA51" t="n">
        <v>100.297100203796</v>
      </c>
      <c r="AB51" t="n">
        <v>100.297100203796</v>
      </c>
      <c r="AC51" t="n">
        <v>101.023890784983</v>
      </c>
      <c r="AD51" t="n">
        <v>101.023890784983</v>
      </c>
      <c r="AE51" t="n">
        <v>100</v>
      </c>
      <c r="AF51" t="n">
        <v>101.003344481605</v>
      </c>
    </row>
    <row r="52">
      <c r="A52" t="s">
        <v>80</v>
      </c>
      <c r="B52" t="s">
        <v>374</v>
      </c>
      <c r="C52" t="s">
        <v>236</v>
      </c>
      <c r="D52" t="s">
        <v>375</v>
      </c>
      <c r="E52" t="s">
        <v>237</v>
      </c>
      <c r="F52" t="n">
        <v>94.7916666666666</v>
      </c>
      <c r="G52" t="n">
        <v>94.7916666666666</v>
      </c>
      <c r="H52" t="n">
        <v>94.7916666666666</v>
      </c>
      <c r="I52" t="n">
        <v>94.7916666666666</v>
      </c>
      <c r="J52" t="n">
        <v>94.7916666666666</v>
      </c>
      <c r="K52" t="n">
        <v>94.7916666666666</v>
      </c>
      <c r="L52" t="n">
        <v>94.7916666666666</v>
      </c>
      <c r="M52" t="n">
        <v>94.7916666666666</v>
      </c>
      <c r="N52" t="n">
        <v>94.7916666666666</v>
      </c>
      <c r="O52" t="n">
        <v>94.7916666666666</v>
      </c>
      <c r="P52" t="n">
        <v>94.7916666666666</v>
      </c>
      <c r="Q52" t="n">
        <v>94.7916666666666</v>
      </c>
      <c r="R52" t="n">
        <v>94.7916666666666</v>
      </c>
      <c r="S52" t="n">
        <v>97.5</v>
      </c>
      <c r="T52" t="n">
        <v>97.5</v>
      </c>
      <c r="U52" t="n">
        <v>97.5</v>
      </c>
      <c r="V52" t="n">
        <v>100</v>
      </c>
      <c r="W52" t="n">
        <v>100</v>
      </c>
      <c r="X52" t="n">
        <v>100</v>
      </c>
      <c r="Y52" t="n">
        <v>100</v>
      </c>
      <c r="Z52" t="n">
        <v>100</v>
      </c>
      <c r="AA52" t="n">
        <v>100</v>
      </c>
      <c r="AB52" t="n">
        <v>100</v>
      </c>
      <c r="AC52" t="n">
        <v>100</v>
      </c>
      <c r="AD52" t="n">
        <v>100</v>
      </c>
      <c r="AE52" t="n">
        <v>100</v>
      </c>
      <c r="AF52" t="n">
        <v>100</v>
      </c>
    </row>
    <row r="53">
      <c r="A53" t="s">
        <v>80</v>
      </c>
      <c r="B53" t="s">
        <v>376</v>
      </c>
      <c r="C53" t="s">
        <v>236</v>
      </c>
      <c r="D53" t="s">
        <v>377</v>
      </c>
      <c r="E53" t="s">
        <v>237</v>
      </c>
      <c r="F53" t="n">
        <v>95.8467605633803</v>
      </c>
      <c r="G53" t="n">
        <v>95.8467605633803</v>
      </c>
      <c r="H53" t="n">
        <v>97.216</v>
      </c>
      <c r="I53" t="n">
        <v>97.216</v>
      </c>
      <c r="J53" t="n">
        <v>97.216</v>
      </c>
      <c r="K53" t="n">
        <v>97.216</v>
      </c>
      <c r="L53" t="n">
        <v>97.216</v>
      </c>
      <c r="M53" t="n">
        <v>97.216</v>
      </c>
      <c r="N53" t="n">
        <v>97.216</v>
      </c>
      <c r="O53" t="n">
        <v>97.216</v>
      </c>
      <c r="P53" t="n">
        <v>97.216</v>
      </c>
      <c r="Q53" t="n">
        <v>97.216</v>
      </c>
      <c r="R53" t="n">
        <v>97.216</v>
      </c>
      <c r="S53" t="n">
        <v>97.216</v>
      </c>
      <c r="T53" t="n">
        <v>97.216</v>
      </c>
      <c r="U53" t="n">
        <v>97.216</v>
      </c>
      <c r="V53" t="n">
        <v>97.216</v>
      </c>
      <c r="W53" t="n">
        <v>97.216</v>
      </c>
      <c r="X53" t="n">
        <v>97.216</v>
      </c>
      <c r="Y53" t="n">
        <v>97.216</v>
      </c>
      <c r="Z53" t="n">
        <v>98.3733333333333</v>
      </c>
      <c r="AA53" t="n">
        <v>99.2</v>
      </c>
      <c r="AB53" t="n">
        <v>99.2</v>
      </c>
      <c r="AC53" t="n">
        <v>99.2</v>
      </c>
      <c r="AD53" t="n">
        <v>99.2</v>
      </c>
      <c r="AE53" t="n">
        <v>100</v>
      </c>
      <c r="AF53" t="n">
        <v>100.900900900901</v>
      </c>
    </row>
    <row r="54">
      <c r="A54" t="s">
        <v>80</v>
      </c>
      <c r="B54" t="s">
        <v>378</v>
      </c>
      <c r="C54" t="s">
        <v>236</v>
      </c>
      <c r="D54" t="s">
        <v>379</v>
      </c>
      <c r="E54" t="s">
        <v>237</v>
      </c>
      <c r="F54" t="n">
        <v>94.58071143697</v>
      </c>
      <c r="G54" t="n">
        <v>94.58071143697</v>
      </c>
      <c r="H54" t="n">
        <v>95.3373571284657</v>
      </c>
      <c r="I54" t="n">
        <v>95.3373571284657</v>
      </c>
      <c r="J54" t="n">
        <v>95.3373571284657</v>
      </c>
      <c r="K54" t="n">
        <v>95.3373571284657</v>
      </c>
      <c r="L54" t="n">
        <v>95.3373571284657</v>
      </c>
      <c r="M54" t="n">
        <v>95.3373571284657</v>
      </c>
      <c r="N54" t="n">
        <v>95.3373571284657</v>
      </c>
      <c r="O54" t="n">
        <v>95.3373571284657</v>
      </c>
      <c r="P54" t="n">
        <v>95.3373571284657</v>
      </c>
      <c r="Q54" t="n">
        <v>95.3373571284657</v>
      </c>
      <c r="R54" t="n">
        <v>96.0282075424401</v>
      </c>
      <c r="S54" t="n">
        <v>97.4000390787607</v>
      </c>
      <c r="T54" t="n">
        <v>97.4000390787607</v>
      </c>
      <c r="U54" t="n">
        <v>97.4000390787607</v>
      </c>
      <c r="V54" t="n">
        <v>98.040828809542</v>
      </c>
      <c r="W54" t="n">
        <v>98.040828809542</v>
      </c>
      <c r="X54" t="n">
        <v>98.040828809542</v>
      </c>
      <c r="Y54" t="n">
        <v>98.040828809542</v>
      </c>
      <c r="Z54" t="n">
        <v>98.6075388026607</v>
      </c>
      <c r="AA54" t="n">
        <v>99.0909090909091</v>
      </c>
      <c r="AB54" t="n">
        <v>99.0909090909091</v>
      </c>
      <c r="AC54" t="n">
        <v>99.0909090909091</v>
      </c>
      <c r="AD54" t="n">
        <v>99.0909090909091</v>
      </c>
      <c r="AE54" t="n">
        <v>100</v>
      </c>
      <c r="AF54" t="n">
        <v>101.435406698565</v>
      </c>
    </row>
    <row r="55">
      <c r="A55" t="s">
        <v>80</v>
      </c>
      <c r="B55" t="s">
        <v>380</v>
      </c>
      <c r="C55" t="s">
        <v>236</v>
      </c>
      <c r="D55" t="s">
        <v>381</v>
      </c>
      <c r="E55" t="s">
        <v>237</v>
      </c>
      <c r="F55" t="n">
        <v>94.2519370915813</v>
      </c>
      <c r="G55" t="n">
        <v>94.2519370915813</v>
      </c>
      <c r="H55" t="n">
        <v>94.2519370915813</v>
      </c>
      <c r="I55" t="n">
        <v>94.2519370915813</v>
      </c>
      <c r="J55" t="n">
        <v>94.2519370915813</v>
      </c>
      <c r="K55" t="n">
        <v>94.2519370915813</v>
      </c>
      <c r="L55" t="n">
        <v>94.2519370915813</v>
      </c>
      <c r="M55" t="n">
        <v>94.2519370915813</v>
      </c>
      <c r="N55" t="n">
        <v>94.2519370915813</v>
      </c>
      <c r="O55" t="n">
        <v>94.2519370915813</v>
      </c>
      <c r="P55" t="n">
        <v>94.2519370915813</v>
      </c>
      <c r="Q55" t="n">
        <v>94.2519370915813</v>
      </c>
      <c r="R55" t="n">
        <v>95.5086295861357</v>
      </c>
      <c r="S55" t="n">
        <v>97.8100423472474</v>
      </c>
      <c r="T55" t="n">
        <v>97.8100423472474</v>
      </c>
      <c r="U55" t="n">
        <v>97.8100423472474</v>
      </c>
      <c r="V55" t="n">
        <v>98.9473684210526</v>
      </c>
      <c r="W55" t="n">
        <v>98.9473684210526</v>
      </c>
      <c r="X55" t="n">
        <v>98.9473684210526</v>
      </c>
      <c r="Y55" t="n">
        <v>98.9473684210526</v>
      </c>
      <c r="Z55" t="n">
        <v>98.9473684210526</v>
      </c>
      <c r="AA55" t="n">
        <v>98.9473684210526</v>
      </c>
      <c r="AB55" t="n">
        <v>98.9473684210526</v>
      </c>
      <c r="AC55" t="n">
        <v>98.9473684210526</v>
      </c>
      <c r="AD55" t="n">
        <v>98.9473684210526</v>
      </c>
      <c r="AE55" t="n">
        <v>100</v>
      </c>
      <c r="AF55" t="n">
        <v>102.040816326531</v>
      </c>
    </row>
    <row r="56">
      <c r="A56" t="s">
        <v>80</v>
      </c>
      <c r="B56" t="s">
        <v>382</v>
      </c>
      <c r="C56" t="s">
        <v>236</v>
      </c>
      <c r="D56" t="s">
        <v>383</v>
      </c>
      <c r="E56" t="s">
        <v>237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80</v>
      </c>
      <c r="B57" t="s">
        <v>384</v>
      </c>
      <c r="C57" t="s">
        <v>236</v>
      </c>
      <c r="D57" t="s">
        <v>385</v>
      </c>
      <c r="E57" t="s">
        <v>237</v>
      </c>
      <c r="F57" t="n">
        <v>81.9219614386372</v>
      </c>
      <c r="G57" t="n">
        <v>83.6920293542235</v>
      </c>
      <c r="H57" t="n">
        <v>85.5554388437022</v>
      </c>
      <c r="I57" t="n">
        <v>85.8109553360178</v>
      </c>
      <c r="J57" t="n">
        <v>85.5468738297339</v>
      </c>
      <c r="K57" t="n">
        <v>85.9078311032771</v>
      </c>
      <c r="L57" t="n">
        <v>85.4357379999772</v>
      </c>
      <c r="M57" t="n">
        <v>84.5236611284031</v>
      </c>
      <c r="N57" t="n">
        <v>84.0319994798251</v>
      </c>
      <c r="O57" t="n">
        <v>84.4525349553274</v>
      </c>
      <c r="P57" t="n">
        <v>85.1463089888471</v>
      </c>
      <c r="Q57" t="n">
        <v>85.3368284197377</v>
      </c>
      <c r="R57" t="n">
        <v>87.055824495026</v>
      </c>
      <c r="S57" t="n">
        <v>89.3229695952622</v>
      </c>
      <c r="T57" t="n">
        <v>90.1500341285516</v>
      </c>
      <c r="U57" t="n">
        <v>90.3809603243489</v>
      </c>
      <c r="V57" t="n">
        <v>92.4821192091065</v>
      </c>
      <c r="W57" t="n">
        <v>94.041659497217</v>
      </c>
      <c r="X57" t="n">
        <v>95.1656633955902</v>
      </c>
      <c r="Y57" t="n">
        <v>95.6020696783581</v>
      </c>
      <c r="Z57" t="n">
        <v>97.666155719764</v>
      </c>
      <c r="AA57" t="n">
        <v>97.4350539972774</v>
      </c>
      <c r="AB57" t="n">
        <v>97.8920769024242</v>
      </c>
      <c r="AC57" t="n">
        <v>98.6684463570244</v>
      </c>
      <c r="AD57" t="n">
        <v>99.5716168717047</v>
      </c>
      <c r="AE57" t="n">
        <v>100</v>
      </c>
      <c r="AF57" t="n">
        <v>102.177215189873</v>
      </c>
    </row>
    <row r="58">
      <c r="A58" t="s">
        <v>80</v>
      </c>
      <c r="B58" t="s">
        <v>386</v>
      </c>
      <c r="C58" t="s">
        <v>236</v>
      </c>
      <c r="D58" t="s">
        <v>387</v>
      </c>
      <c r="E58" t="s">
        <v>237</v>
      </c>
      <c r="F58" t="n">
        <v>81.9219614386372</v>
      </c>
      <c r="G58" t="n">
        <v>83.6920293542235</v>
      </c>
      <c r="H58" t="n">
        <v>85.5554388437022</v>
      </c>
      <c r="I58" t="n">
        <v>85.8109553360178</v>
      </c>
      <c r="J58" t="n">
        <v>85.5468738297339</v>
      </c>
      <c r="K58" t="n">
        <v>85.9078311032771</v>
      </c>
      <c r="L58" t="n">
        <v>85.4357379999772</v>
      </c>
      <c r="M58" t="n">
        <v>84.5236611284031</v>
      </c>
      <c r="N58" t="n">
        <v>84.0319994798251</v>
      </c>
      <c r="O58" t="n">
        <v>84.4525349553274</v>
      </c>
      <c r="P58" t="n">
        <v>85.1463089888471</v>
      </c>
      <c r="Q58" t="n">
        <v>85.3368284197377</v>
      </c>
      <c r="R58" t="n">
        <v>87.055824495026</v>
      </c>
      <c r="S58" t="n">
        <v>89.3229695952622</v>
      </c>
      <c r="T58" t="n">
        <v>90.1500341285516</v>
      </c>
      <c r="U58" t="n">
        <v>90.3809603243489</v>
      </c>
      <c r="V58" t="n">
        <v>92.4821192091065</v>
      </c>
      <c r="W58" t="n">
        <v>94.041659497217</v>
      </c>
      <c r="X58" t="n">
        <v>95.1656633955902</v>
      </c>
      <c r="Y58" t="n">
        <v>95.6020696783581</v>
      </c>
      <c r="Z58" t="n">
        <v>97.666155719764</v>
      </c>
      <c r="AA58" t="n">
        <v>97.4350539972774</v>
      </c>
      <c r="AB58" t="n">
        <v>97.8920769024242</v>
      </c>
      <c r="AC58" t="n">
        <v>98.6684463570244</v>
      </c>
      <c r="AD58" t="n">
        <v>99.5716168717047</v>
      </c>
      <c r="AE58" t="n">
        <v>100</v>
      </c>
      <c r="AF58" t="n">
        <v>102.177215189873</v>
      </c>
    </row>
    <row r="59">
      <c r="A59" t="s">
        <v>80</v>
      </c>
      <c r="B59" t="s">
        <v>388</v>
      </c>
      <c r="C59" t="s">
        <v>236</v>
      </c>
      <c r="D59" t="s">
        <v>389</v>
      </c>
      <c r="E59" t="s">
        <v>237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82</v>
      </c>
      <c r="B2" t="s">
        <v>197</v>
      </c>
      <c r="C2" t="s">
        <v>236</v>
      </c>
      <c r="D2" t="s">
        <v>199</v>
      </c>
      <c r="E2" t="s">
        <v>237</v>
      </c>
      <c r="F2" t="n">
        <v>55.1294300927611</v>
      </c>
      <c r="G2" t="n">
        <v>54.7722199625704</v>
      </c>
      <c r="H2" t="n">
        <v>56.9555146924475</v>
      </c>
      <c r="I2" t="n">
        <v>57.6376166648122</v>
      </c>
      <c r="J2" t="n">
        <v>58.3971167379942</v>
      </c>
      <c r="K2" t="n">
        <v>60.7681274927699</v>
      </c>
      <c r="L2" t="n">
        <v>62.0838109026269</v>
      </c>
      <c r="M2" t="n">
        <v>63.175948306868</v>
      </c>
      <c r="N2" t="n">
        <v>64.2482416303226</v>
      </c>
      <c r="O2" t="n">
        <v>65.8395293487207</v>
      </c>
      <c r="P2" t="n">
        <v>68.0548567157705</v>
      </c>
      <c r="Q2" t="n">
        <v>71.2913987446696</v>
      </c>
      <c r="R2" t="n">
        <v>77.508202485711</v>
      </c>
      <c r="S2" t="n">
        <v>78.9435395687797</v>
      </c>
      <c r="T2" t="n">
        <v>81.2420076861238</v>
      </c>
      <c r="U2" t="n">
        <v>79.3955984205301</v>
      </c>
      <c r="V2" t="n">
        <v>81.0573667595645</v>
      </c>
      <c r="W2" t="n">
        <v>85.0113846502749</v>
      </c>
      <c r="X2" t="n">
        <v>86.4870539687326</v>
      </c>
      <c r="Y2" t="n">
        <v>85.9744296014327</v>
      </c>
      <c r="Z2" t="n">
        <v>85.8633515270123</v>
      </c>
      <c r="AA2" t="n">
        <v>87.140808404141</v>
      </c>
      <c r="AB2" t="n">
        <v>88.4953287420292</v>
      </c>
      <c r="AC2" t="n">
        <v>94.4600874194944</v>
      </c>
      <c r="AD2" t="n">
        <v>97.7900552486188</v>
      </c>
      <c r="AE2" t="n">
        <v>100</v>
      </c>
      <c r="AF2" t="n">
        <v>101.527614571093</v>
      </c>
    </row>
    <row r="3">
      <c r="A3" t="s">
        <v>82</v>
      </c>
      <c r="B3" t="s">
        <v>276</v>
      </c>
      <c r="C3" t="s">
        <v>236</v>
      </c>
      <c r="D3" t="s">
        <v>277</v>
      </c>
      <c r="E3" t="s">
        <v>237</v>
      </c>
      <c r="F3" t="n">
        <v>68.158023378089</v>
      </c>
      <c r="G3" t="n">
        <v>68.1580233780891</v>
      </c>
      <c r="H3" t="n">
        <v>68.1580233780891</v>
      </c>
      <c r="I3" t="n">
        <v>68.1580233780891</v>
      </c>
      <c r="J3" t="n">
        <v>68.1580233780891</v>
      </c>
      <c r="K3" t="n">
        <v>71.1872688615597</v>
      </c>
      <c r="L3" t="n">
        <v>71.1872688615597</v>
      </c>
      <c r="M3" t="n">
        <v>71.1872688615597</v>
      </c>
      <c r="N3" t="n">
        <v>71.1872688615597</v>
      </c>
      <c r="O3" t="n">
        <v>71.1872688615597</v>
      </c>
      <c r="P3" t="n">
        <v>73.642002270579</v>
      </c>
      <c r="Q3" t="n">
        <v>75.6876134447618</v>
      </c>
      <c r="R3" t="n">
        <v>80.160063330134</v>
      </c>
      <c r="S3" t="n">
        <v>84.8205321283977</v>
      </c>
      <c r="T3" t="n">
        <v>84.1968517451006</v>
      </c>
      <c r="U3" t="n">
        <v>82.2387854254471</v>
      </c>
      <c r="V3" t="n">
        <v>86.1757485575164</v>
      </c>
      <c r="W3" t="n">
        <v>90.996769455839</v>
      </c>
      <c r="X3" t="n">
        <v>92.10648615652</v>
      </c>
      <c r="Y3" t="n">
        <v>92.10648615652</v>
      </c>
      <c r="Z3" t="n">
        <v>91.1053286982969</v>
      </c>
      <c r="AA3" t="n">
        <v>91.105328698297</v>
      </c>
      <c r="AB3" t="n">
        <v>93.9523702201187</v>
      </c>
      <c r="AC3" t="n">
        <v>97.1264367816092</v>
      </c>
      <c r="AD3" t="n">
        <v>100</v>
      </c>
      <c r="AE3" t="n">
        <v>100</v>
      </c>
      <c r="AF3" t="n">
        <v>102.752293577982</v>
      </c>
    </row>
    <row r="4">
      <c r="A4" t="s">
        <v>82</v>
      </c>
      <c r="B4" t="s">
        <v>278</v>
      </c>
      <c r="C4" t="s">
        <v>236</v>
      </c>
      <c r="D4" t="s">
        <v>279</v>
      </c>
      <c r="E4" t="s">
        <v>237</v>
      </c>
      <c r="F4" t="n">
        <v>63.421685554378</v>
      </c>
      <c r="G4" t="n">
        <v>63.1220555438848</v>
      </c>
      <c r="H4" t="n">
        <v>62.8302740852844</v>
      </c>
      <c r="I4" t="n">
        <v>65.0208700121882</v>
      </c>
      <c r="J4" t="n">
        <v>67.9763641036513</v>
      </c>
      <c r="K4" t="n">
        <v>69.2122979964449</v>
      </c>
      <c r="L4" t="n">
        <v>73.2703480418391</v>
      </c>
      <c r="M4" t="n">
        <v>72.9788214581183</v>
      </c>
      <c r="N4" t="n">
        <v>72.849426384611</v>
      </c>
      <c r="O4" t="n">
        <v>73.7488020189889</v>
      </c>
      <c r="P4" t="n">
        <v>76.6875588356849</v>
      </c>
      <c r="Q4" t="n">
        <v>79.3073201623697</v>
      </c>
      <c r="R4" t="n">
        <v>84.4239214631678</v>
      </c>
      <c r="S4" t="n">
        <v>88.5234138559164</v>
      </c>
      <c r="T4" t="n">
        <v>87.5964671139697</v>
      </c>
      <c r="U4" t="n">
        <v>82.7995177243952</v>
      </c>
      <c r="V4" t="n">
        <v>83.7054205441369</v>
      </c>
      <c r="W4" t="n">
        <v>87.8797066080177</v>
      </c>
      <c r="X4" t="n">
        <v>88.7764383080996</v>
      </c>
      <c r="Y4" t="n">
        <v>88.9474911757452</v>
      </c>
      <c r="Z4" t="n">
        <v>88.9474911757452</v>
      </c>
      <c r="AA4" t="n">
        <v>90.3372957253662</v>
      </c>
      <c r="AB4" t="n">
        <v>91.9670922977311</v>
      </c>
      <c r="AC4" t="n">
        <v>94.5979917042582</v>
      </c>
      <c r="AD4" t="n">
        <v>98.4455958549223</v>
      </c>
      <c r="AE4" t="n">
        <v>100</v>
      </c>
      <c r="AF4" t="n">
        <v>101.293103448276</v>
      </c>
    </row>
    <row r="5">
      <c r="A5" t="s">
        <v>82</v>
      </c>
      <c r="B5" t="s">
        <v>280</v>
      </c>
      <c r="C5" t="s">
        <v>236</v>
      </c>
      <c r="D5" t="s">
        <v>281</v>
      </c>
      <c r="E5" t="s">
        <v>237</v>
      </c>
      <c r="F5" t="n">
        <v>62.7843056605509</v>
      </c>
      <c r="G5" t="n">
        <v>62.7843056605509</v>
      </c>
      <c r="H5" t="n">
        <v>62.7843056605509</v>
      </c>
      <c r="I5" t="n">
        <v>64.7774582212033</v>
      </c>
      <c r="J5" t="n">
        <v>68.0712272832984</v>
      </c>
      <c r="K5" t="n">
        <v>68.8360725336726</v>
      </c>
      <c r="L5" t="n">
        <v>73.2976698275217</v>
      </c>
      <c r="M5" t="n">
        <v>72.7547241250956</v>
      </c>
      <c r="N5" t="n">
        <v>72.7547241250956</v>
      </c>
      <c r="O5" t="n">
        <v>72.7547241250956</v>
      </c>
      <c r="P5" t="n">
        <v>75.3301125897008</v>
      </c>
      <c r="Q5" t="n">
        <v>76.8217979875166</v>
      </c>
      <c r="R5" t="n">
        <v>81.9862886085262</v>
      </c>
      <c r="S5" t="n">
        <v>84.3742387621726</v>
      </c>
      <c r="T5" t="n">
        <v>84.3742387621726</v>
      </c>
      <c r="U5" t="n">
        <v>79.8541902570562</v>
      </c>
      <c r="V5" t="n">
        <v>81.6690582174438</v>
      </c>
      <c r="W5" t="n">
        <v>85.9353523034297</v>
      </c>
      <c r="X5" t="n">
        <v>86.7237500309841</v>
      </c>
      <c r="Y5" t="n">
        <v>87.2590818212988</v>
      </c>
      <c r="Z5" t="n">
        <v>87.2590818212988</v>
      </c>
      <c r="AA5" t="n">
        <v>88.8313175297907</v>
      </c>
      <c r="AB5" t="n">
        <v>90.7014505304178</v>
      </c>
      <c r="AC5" t="n">
        <v>93.7248322147651</v>
      </c>
      <c r="AD5" t="n">
        <v>98.6577181208054</v>
      </c>
      <c r="AE5" t="n">
        <v>100</v>
      </c>
      <c r="AF5" t="n">
        <v>101.176470588235</v>
      </c>
    </row>
    <row r="6">
      <c r="A6" t="s">
        <v>82</v>
      </c>
      <c r="B6" t="s">
        <v>282</v>
      </c>
      <c r="C6" t="s">
        <v>236</v>
      </c>
      <c r="D6" t="s">
        <v>283</v>
      </c>
      <c r="E6" t="s">
        <v>237</v>
      </c>
      <c r="F6" t="e">
        <v>#NUM!</v>
      </c>
      <c r="G6" t="e">
        <v>#NUM!</v>
      </c>
      <c r="H6" t="e">
        <v>#NUM!</v>
      </c>
      <c r="I6" t="e">
        <v>#NUM!</v>
      </c>
      <c r="J6" t="e">
        <v>#NUM!</v>
      </c>
      <c r="K6" t="e">
        <v>#NUM!</v>
      </c>
      <c r="L6" t="e">
        <v>#NUM!</v>
      </c>
      <c r="M6" t="e">
        <v>#NUM!</v>
      </c>
      <c r="N6" t="e">
        <v>#NUM!</v>
      </c>
      <c r="O6" t="n">
        <v>0</v>
      </c>
      <c r="P6" t="e">
        <v>#NUM!</v>
      </c>
      <c r="Q6" t="e">
        <v>#NUM!</v>
      </c>
      <c r="R6" t="e">
        <v>#NUM!</v>
      </c>
      <c r="S6" t="e">
        <v>#NUM!</v>
      </c>
      <c r="T6" t="e">
        <v>#NUM!</v>
      </c>
      <c r="U6" t="e">
        <v>#NUM!</v>
      </c>
      <c r="V6" t="e">
        <v>#NUM!</v>
      </c>
      <c r="W6" t="e">
        <v>#NUM!</v>
      </c>
      <c r="X6" t="e">
        <v>#NUM!</v>
      </c>
      <c r="Y6" t="e">
        <v>#NUM!</v>
      </c>
      <c r="Z6" t="e">
        <v>#NUM!</v>
      </c>
      <c r="AA6" t="n">
        <v>0</v>
      </c>
      <c r="AB6" t="n">
        <v>100</v>
      </c>
      <c r="AC6" t="n">
        <v>100</v>
      </c>
      <c r="AD6" t="n">
        <v>100</v>
      </c>
      <c r="AE6" t="n">
        <v>100</v>
      </c>
      <c r="AF6" t="n">
        <v>100</v>
      </c>
    </row>
    <row r="7">
      <c r="A7" t="s">
        <v>82</v>
      </c>
      <c r="B7" t="s">
        <v>284</v>
      </c>
      <c r="C7" t="s">
        <v>236</v>
      </c>
      <c r="D7" t="s">
        <v>285</v>
      </c>
      <c r="E7" t="s">
        <v>237</v>
      </c>
      <c r="F7" t="n">
        <v>58.1461648217472</v>
      </c>
      <c r="G7" t="n">
        <v>57.8266803996497</v>
      </c>
      <c r="H7" t="n">
        <v>57.1877115554547</v>
      </c>
      <c r="I7" t="n">
        <v>59.6040937338541</v>
      </c>
      <c r="J7" t="n">
        <v>63.0345451717738</v>
      </c>
      <c r="K7" t="n">
        <v>64.7199608180779</v>
      </c>
      <c r="L7" t="n">
        <v>68.666299892351</v>
      </c>
      <c r="M7" t="n">
        <v>68.666299892351</v>
      </c>
      <c r="N7" t="n">
        <v>68.666299892351</v>
      </c>
      <c r="O7" t="n">
        <v>69.7738208583566</v>
      </c>
      <c r="P7" t="n">
        <v>72.8074652435026</v>
      </c>
      <c r="Q7" t="n">
        <v>75.4792988304201</v>
      </c>
      <c r="R7" t="n">
        <v>80.9004639397873</v>
      </c>
      <c r="S7" t="n">
        <v>85.699644004012</v>
      </c>
      <c r="T7" t="n">
        <v>85.699644004012</v>
      </c>
      <c r="U7" t="n">
        <v>81.4146618038114</v>
      </c>
      <c r="V7" t="n">
        <v>81.4146618038114</v>
      </c>
      <c r="W7" t="n">
        <v>85.3540809233506</v>
      </c>
      <c r="X7" t="n">
        <v>86.5075144493419</v>
      </c>
      <c r="Y7" t="n">
        <v>86.5075144493419</v>
      </c>
      <c r="Z7" t="n">
        <v>86.5075144493419</v>
      </c>
      <c r="AA7" t="n">
        <v>88.388112589545</v>
      </c>
      <c r="AB7" t="n">
        <v>90.6544744508153</v>
      </c>
      <c r="AC7" t="n">
        <v>93.9768897448243</v>
      </c>
      <c r="AD7" t="n">
        <v>97.7611940298508</v>
      </c>
      <c r="AE7" t="n">
        <v>100</v>
      </c>
      <c r="AF7" t="n">
        <v>101.762114537445</v>
      </c>
    </row>
    <row r="8">
      <c r="A8" t="s">
        <v>82</v>
      </c>
      <c r="B8" t="s">
        <v>286</v>
      </c>
      <c r="C8" t="s">
        <v>236</v>
      </c>
      <c r="D8" t="s">
        <v>287</v>
      </c>
      <c r="E8" t="s">
        <v>237</v>
      </c>
      <c r="F8" t="n">
        <v>56.6918308689466</v>
      </c>
      <c r="G8" t="n">
        <v>56.6918308689466</v>
      </c>
      <c r="H8" t="n">
        <v>56.6918308689466</v>
      </c>
      <c r="I8" t="n">
        <v>56.6918308689466</v>
      </c>
      <c r="J8" t="n">
        <v>59.75625415916</v>
      </c>
      <c r="K8" t="n">
        <v>62.2460980824583</v>
      </c>
      <c r="L8" t="n">
        <v>66.692247945491</v>
      </c>
      <c r="M8" t="n">
        <v>66.692247945491</v>
      </c>
      <c r="N8" t="n">
        <v>66.692247945491</v>
      </c>
      <c r="O8" t="n">
        <v>68.5448103884213</v>
      </c>
      <c r="P8" t="n">
        <v>71.7084170217331</v>
      </c>
      <c r="Q8" t="n">
        <v>76.7405866372933</v>
      </c>
      <c r="R8" t="n">
        <v>81.919399232448</v>
      </c>
      <c r="S8" t="n">
        <v>88.1019954009347</v>
      </c>
      <c r="T8" t="n">
        <v>86.8251548878777</v>
      </c>
      <c r="U8" t="n">
        <v>82.0892373485389</v>
      </c>
      <c r="V8" t="n">
        <v>84.7372772630079</v>
      </c>
      <c r="W8" t="n">
        <v>88.5889716840537</v>
      </c>
      <c r="X8" t="n">
        <v>90.0654545454546</v>
      </c>
      <c r="Y8" t="n">
        <v>90.0654545454545</v>
      </c>
      <c r="Z8" t="n">
        <v>90.0654545454545</v>
      </c>
      <c r="AA8" t="n">
        <v>90.0654545454545</v>
      </c>
      <c r="AB8" t="n">
        <v>91.7333333333333</v>
      </c>
      <c r="AC8" t="n">
        <v>95.5555555555555</v>
      </c>
      <c r="AD8" t="n">
        <v>100</v>
      </c>
      <c r="AE8" t="n">
        <v>100</v>
      </c>
      <c r="AF8" t="n">
        <v>102.173913043478</v>
      </c>
    </row>
    <row r="9">
      <c r="A9" t="s">
        <v>82</v>
      </c>
      <c r="B9" t="s">
        <v>288</v>
      </c>
      <c r="C9" t="s">
        <v>236</v>
      </c>
      <c r="D9" t="s">
        <v>289</v>
      </c>
      <c r="E9" t="s">
        <v>237</v>
      </c>
      <c r="F9" t="n">
        <v>62.4334189869938</v>
      </c>
      <c r="G9" t="n">
        <v>62.4334189869938</v>
      </c>
      <c r="H9" t="n">
        <v>62.4334189869938</v>
      </c>
      <c r="I9" t="n">
        <v>64.7037251319754</v>
      </c>
      <c r="J9" t="n">
        <v>67.9389113885742</v>
      </c>
      <c r="K9" t="n">
        <v>70.2816324709388</v>
      </c>
      <c r="L9" t="n">
        <v>73.7100047865944</v>
      </c>
      <c r="M9" t="n">
        <v>73.7100047865944</v>
      </c>
      <c r="N9" t="n">
        <v>73.7100047865944</v>
      </c>
      <c r="O9" t="n">
        <v>75.0262548720693</v>
      </c>
      <c r="P9" t="n">
        <v>75.0262548720693</v>
      </c>
      <c r="Q9" t="n">
        <v>78.027305066952</v>
      </c>
      <c r="R9" t="n">
        <v>82.1340053336337</v>
      </c>
      <c r="S9" t="n">
        <v>86.9654174120828</v>
      </c>
      <c r="T9" t="n">
        <v>85.6770408578297</v>
      </c>
      <c r="U9" t="n">
        <v>80.089407758406</v>
      </c>
      <c r="V9" t="n">
        <v>80.089407758406</v>
      </c>
      <c r="W9" t="n">
        <v>86.954214137698</v>
      </c>
      <c r="X9" t="n">
        <v>89.5116910241009</v>
      </c>
      <c r="Y9" t="n">
        <v>89.5116910241008</v>
      </c>
      <c r="Z9" t="n">
        <v>89.5116910241008</v>
      </c>
      <c r="AA9" t="n">
        <v>90.7051802377555</v>
      </c>
      <c r="AB9" t="n">
        <v>92.7903567949453</v>
      </c>
      <c r="AC9" t="n">
        <v>95.849379546427</v>
      </c>
      <c r="AD9" t="n">
        <v>98.2456140350877</v>
      </c>
      <c r="AE9" t="n">
        <v>100</v>
      </c>
      <c r="AF9" t="n">
        <v>102.272727272727</v>
      </c>
    </row>
    <row r="10">
      <c r="A10" t="s">
        <v>82</v>
      </c>
      <c r="B10" t="s">
        <v>290</v>
      </c>
      <c r="C10" t="s">
        <v>236</v>
      </c>
      <c r="D10" t="s">
        <v>291</v>
      </c>
      <c r="E10" t="s">
        <v>237</v>
      </c>
      <c r="F10" t="n">
        <v>64.716981249225</v>
      </c>
      <c r="G10" t="n">
        <v>64.716981249225</v>
      </c>
      <c r="H10" t="n">
        <v>64.716981249225</v>
      </c>
      <c r="I10" t="n">
        <v>66.8388494869045</v>
      </c>
      <c r="J10" t="n">
        <v>69.6238015488589</v>
      </c>
      <c r="K10" t="n">
        <v>71.4560068527762</v>
      </c>
      <c r="L10" t="n">
        <v>74.704007164266</v>
      </c>
      <c r="M10" t="n">
        <v>74.704007164266</v>
      </c>
      <c r="N10" t="n">
        <v>74.704007164266</v>
      </c>
      <c r="O10" t="n">
        <v>75.8189923458223</v>
      </c>
      <c r="P10" t="n">
        <v>75.8189923458223</v>
      </c>
      <c r="Q10" t="n">
        <v>78.346292090683</v>
      </c>
      <c r="R10" t="n">
        <v>81.7526526163649</v>
      </c>
      <c r="S10" t="n">
        <v>86.0554238066999</v>
      </c>
      <c r="T10" t="n">
        <v>84.8602095871624</v>
      </c>
      <c r="U10" t="n">
        <v>79.9644282648261</v>
      </c>
      <c r="V10" t="n">
        <v>79.9644282648261</v>
      </c>
      <c r="W10" t="n">
        <v>86.9788517968284</v>
      </c>
      <c r="X10" t="n">
        <v>88.6843194791191</v>
      </c>
      <c r="Y10" t="n">
        <v>88.6843194791191</v>
      </c>
      <c r="Z10" t="n">
        <v>88.6843194791191</v>
      </c>
      <c r="AA10" t="n">
        <v>89.7155324963182</v>
      </c>
      <c r="AB10" t="n">
        <v>91.5846060899915</v>
      </c>
      <c r="AC10" t="n">
        <v>94.8554848789198</v>
      </c>
      <c r="AD10" t="n">
        <v>97.7011494252874</v>
      </c>
      <c r="AE10" t="n">
        <v>100</v>
      </c>
      <c r="AF10" t="n">
        <v>102.127659574468</v>
      </c>
    </row>
    <row r="11">
      <c r="A11" t="s">
        <v>82</v>
      </c>
      <c r="B11" t="s">
        <v>292</v>
      </c>
      <c r="C11" t="s">
        <v>236</v>
      </c>
      <c r="D11" t="s">
        <v>293</v>
      </c>
      <c r="E11" t="s">
        <v>237</v>
      </c>
      <c r="F11" t="e">
        <v>#NUM!</v>
      </c>
      <c r="G11" t="e">
        <v>#NUM!</v>
      </c>
      <c r="H11" t="e">
        <v>#NUM!</v>
      </c>
      <c r="I11" t="e">
        <v>#NUM!</v>
      </c>
      <c r="J11" t="e">
        <v>#NUM!</v>
      </c>
      <c r="K11" t="e">
        <v>#NUM!</v>
      </c>
      <c r="L11" t="e">
        <v>#NUM!</v>
      </c>
      <c r="M11" t="e">
        <v>#NUM!</v>
      </c>
      <c r="N11" t="e">
        <v>#NUM!</v>
      </c>
      <c r="O11" t="e">
        <v>#NUM!</v>
      </c>
      <c r="P11" t="n">
        <v>0</v>
      </c>
      <c r="Q11" t="n">
        <v>79.3880837359098</v>
      </c>
      <c r="R11" t="n">
        <v>79.3880837359098</v>
      </c>
      <c r="S11" t="n">
        <v>79.3880837359098</v>
      </c>
      <c r="T11" t="n">
        <v>79.3880837359098</v>
      </c>
      <c r="U11" t="n">
        <v>79.3880837359098</v>
      </c>
      <c r="V11" t="n">
        <v>79.3880837359098</v>
      </c>
      <c r="W11" t="n">
        <v>86.6051822573562</v>
      </c>
      <c r="X11" t="n">
        <v>87.8787878787879</v>
      </c>
      <c r="Y11" t="n">
        <v>87.8787878787879</v>
      </c>
      <c r="Z11" t="n">
        <v>87.8787878787879</v>
      </c>
      <c r="AA11" t="n">
        <v>87.8787878787879</v>
      </c>
      <c r="AB11" t="n">
        <v>87.8787878787879</v>
      </c>
      <c r="AC11" t="n">
        <v>92.0634920634921</v>
      </c>
      <c r="AD11" t="n">
        <v>96.6666666666667</v>
      </c>
      <c r="AE11" t="n">
        <v>100</v>
      </c>
      <c r="AF11" t="n">
        <v>102.061855670103</v>
      </c>
    </row>
    <row r="12">
      <c r="A12" t="s">
        <v>82</v>
      </c>
      <c r="B12" t="s">
        <v>294</v>
      </c>
      <c r="C12" t="s">
        <v>236</v>
      </c>
      <c r="D12" t="s">
        <v>295</v>
      </c>
      <c r="E12" t="s">
        <v>237</v>
      </c>
      <c r="F12" t="n">
        <v>70.6931092112083</v>
      </c>
      <c r="G12" t="n">
        <v>70.6931092112083</v>
      </c>
      <c r="H12" t="n">
        <v>70.6931092112083</v>
      </c>
      <c r="I12" t="n">
        <v>72.9735320889892</v>
      </c>
      <c r="J12" t="n">
        <v>76.562394322874</v>
      </c>
      <c r="K12" t="n">
        <v>76.562394322874</v>
      </c>
      <c r="L12" t="n">
        <v>81.2025394333511</v>
      </c>
      <c r="M12" t="n">
        <v>81.2025394333511</v>
      </c>
      <c r="N12" t="n">
        <v>81.2025394333511</v>
      </c>
      <c r="O12" t="n">
        <v>81.2025394333511</v>
      </c>
      <c r="P12" t="n">
        <v>84.3257140269416</v>
      </c>
      <c r="Q12" t="n">
        <v>86.9203513816167</v>
      </c>
      <c r="R12" t="n">
        <v>92.0333132275941</v>
      </c>
      <c r="S12" t="n">
        <v>94.334146058284</v>
      </c>
      <c r="T12" t="n">
        <v>94.334146058284</v>
      </c>
      <c r="U12" t="n">
        <v>88.943623426382</v>
      </c>
      <c r="V12" t="n">
        <v>88.943623426382</v>
      </c>
      <c r="W12" t="n">
        <v>91.484869809993</v>
      </c>
      <c r="X12" t="n">
        <v>91.484869809993</v>
      </c>
      <c r="Y12" t="n">
        <v>91.484869809993</v>
      </c>
      <c r="Z12" t="n">
        <v>91.484869809993</v>
      </c>
      <c r="AA12" t="n">
        <v>93.3908045977012</v>
      </c>
      <c r="AB12" t="n">
        <v>93.3908045977012</v>
      </c>
      <c r="AC12" t="n">
        <v>95.0292397660819</v>
      </c>
      <c r="AD12" t="n">
        <v>98.6842105263158</v>
      </c>
      <c r="AE12" t="n">
        <v>100</v>
      </c>
      <c r="AF12" t="n">
        <v>100</v>
      </c>
    </row>
    <row r="13">
      <c r="A13" t="s">
        <v>82</v>
      </c>
      <c r="B13" t="s">
        <v>296</v>
      </c>
      <c r="C13" t="s">
        <v>236</v>
      </c>
      <c r="D13" t="s">
        <v>297</v>
      </c>
      <c r="E13" t="s">
        <v>237</v>
      </c>
      <c r="F13" t="n">
        <v>67.9048091115946</v>
      </c>
      <c r="G13" t="n">
        <v>67.4055090445976</v>
      </c>
      <c r="H13" t="n">
        <v>66.8705446871007</v>
      </c>
      <c r="I13" t="n">
        <v>69.6568173823966</v>
      </c>
      <c r="J13" t="n">
        <v>72.0867063608523</v>
      </c>
      <c r="K13" t="n">
        <v>73.0478624456637</v>
      </c>
      <c r="L13" t="n">
        <v>77.7606277647388</v>
      </c>
      <c r="M13" t="n">
        <v>77.0814956445227</v>
      </c>
      <c r="N13" t="n">
        <v>76.5936380771523</v>
      </c>
      <c r="O13" t="n">
        <v>78.0954741178808</v>
      </c>
      <c r="P13" t="n">
        <v>80.4266823005041</v>
      </c>
      <c r="Q13" t="n">
        <v>83.4054483116339</v>
      </c>
      <c r="R13" t="n">
        <v>87.8419083282101</v>
      </c>
      <c r="S13" t="n">
        <v>92.9788620316142</v>
      </c>
      <c r="T13" t="n">
        <v>91.4912002391084</v>
      </c>
      <c r="U13" t="n">
        <v>86.2330852828378</v>
      </c>
      <c r="V13" t="n">
        <v>87.3386376582588</v>
      </c>
      <c r="W13" t="n">
        <v>92.6722949198319</v>
      </c>
      <c r="X13" t="n">
        <v>92.6722949198319</v>
      </c>
      <c r="Y13" t="n">
        <v>92.6722949198319</v>
      </c>
      <c r="Z13" t="n">
        <v>92.6722949198319</v>
      </c>
      <c r="AA13" t="n">
        <v>92.6722949198318</v>
      </c>
      <c r="AB13" t="n">
        <v>94.644045875573</v>
      </c>
      <c r="AC13" t="n">
        <v>96.3044677330392</v>
      </c>
      <c r="AD13" t="n">
        <v>98.9795918367347</v>
      </c>
      <c r="AE13" t="n">
        <v>100</v>
      </c>
      <c r="AF13" t="n">
        <v>100.961538461538</v>
      </c>
    </row>
    <row r="14">
      <c r="A14" t="s">
        <v>82</v>
      </c>
      <c r="B14" t="s">
        <v>298</v>
      </c>
      <c r="C14" t="s">
        <v>236</v>
      </c>
      <c r="D14" t="s">
        <v>299</v>
      </c>
      <c r="E14" t="s">
        <v>237</v>
      </c>
      <c r="F14" t="n">
        <v>51.8842488448235</v>
      </c>
      <c r="G14" t="n">
        <v>51.3140922641112</v>
      </c>
      <c r="H14" t="n">
        <v>51.3140922641112</v>
      </c>
      <c r="I14" t="n">
        <v>52.8929874106992</v>
      </c>
      <c r="J14" t="n">
        <v>56.4668379114221</v>
      </c>
      <c r="K14" t="n">
        <v>57.3223960615952</v>
      </c>
      <c r="L14" t="n">
        <v>62.3802545376183</v>
      </c>
      <c r="M14" t="n">
        <v>62.3802545376183</v>
      </c>
      <c r="N14" t="n">
        <v>62.3802545376183</v>
      </c>
      <c r="O14" t="n">
        <v>62.3802545376183</v>
      </c>
      <c r="P14" t="n">
        <v>65.4992672644992</v>
      </c>
      <c r="Q14" t="n">
        <v>68.306378718692</v>
      </c>
      <c r="R14" t="n">
        <v>85.382973398365</v>
      </c>
      <c r="S14" t="n">
        <v>89.2640176437453</v>
      </c>
      <c r="T14" t="n">
        <v>89.2640176437453</v>
      </c>
      <c r="U14" t="n">
        <v>83.4424512756749</v>
      </c>
      <c r="V14" t="n">
        <v>83.4424512756749</v>
      </c>
      <c r="W14" t="n">
        <v>88.8549346016647</v>
      </c>
      <c r="X14" t="n">
        <v>90.4137931034483</v>
      </c>
      <c r="Y14" t="n">
        <v>90.4137931034483</v>
      </c>
      <c r="Z14" t="n">
        <v>90.4137931034483</v>
      </c>
      <c r="AA14" t="n">
        <v>90.4137931034483</v>
      </c>
      <c r="AB14" t="n">
        <v>90.4137931034483</v>
      </c>
      <c r="AC14" t="n">
        <v>90.4137931034483</v>
      </c>
      <c r="AD14" t="n">
        <v>98.2758620689655</v>
      </c>
      <c r="AE14" t="n">
        <v>100</v>
      </c>
      <c r="AF14" t="n">
        <v>100</v>
      </c>
    </row>
    <row r="15">
      <c r="A15" t="s">
        <v>82</v>
      </c>
      <c r="B15" t="s">
        <v>300</v>
      </c>
      <c r="C15" t="s">
        <v>236</v>
      </c>
      <c r="D15" t="s">
        <v>301</v>
      </c>
      <c r="E15" t="s">
        <v>237</v>
      </c>
      <c r="F15" t="n">
        <v>61.6587581405088</v>
      </c>
      <c r="G15" t="n">
        <v>61.0542605116803</v>
      </c>
      <c r="H15" t="n">
        <v>61.0542605116803</v>
      </c>
      <c r="I15" t="n">
        <v>62.7269799777538</v>
      </c>
      <c r="J15" t="n">
        <v>66.3738974183208</v>
      </c>
      <c r="K15" t="n">
        <v>67.2831288898047</v>
      </c>
      <c r="L15" t="n">
        <v>72.0890666676479</v>
      </c>
      <c r="M15" t="n">
        <v>72.0890666676479</v>
      </c>
      <c r="N15" t="n">
        <v>72.0890666676479</v>
      </c>
      <c r="O15" t="n">
        <v>72.0890666676479</v>
      </c>
      <c r="P15" t="n">
        <v>76.3296000010389</v>
      </c>
      <c r="Q15" t="n">
        <v>79.8390068976384</v>
      </c>
      <c r="R15" t="n">
        <v>85.5417931046126</v>
      </c>
      <c r="S15" t="n">
        <v>89.1818694069365</v>
      </c>
      <c r="T15" t="n">
        <v>89.1818694069365</v>
      </c>
      <c r="U15" t="n">
        <v>83.9358770888814</v>
      </c>
      <c r="V15" t="n">
        <v>83.9358770888814</v>
      </c>
      <c r="W15" t="n">
        <v>89.2118465058968</v>
      </c>
      <c r="X15" t="n">
        <v>90.8950888928005</v>
      </c>
      <c r="Y15" t="n">
        <v>90.8950888928005</v>
      </c>
      <c r="Z15" t="n">
        <v>90.8950888928005</v>
      </c>
      <c r="AA15" t="n">
        <v>90.8950888928005</v>
      </c>
      <c r="AB15" t="n">
        <v>90.8950888928005</v>
      </c>
      <c r="AC15" t="n">
        <v>92.6773455377574</v>
      </c>
      <c r="AD15" t="n">
        <v>97.8260869565217</v>
      </c>
      <c r="AE15" t="n">
        <v>100</v>
      </c>
      <c r="AF15" t="n">
        <v>100</v>
      </c>
    </row>
    <row r="16">
      <c r="A16" t="s">
        <v>82</v>
      </c>
      <c r="B16" t="s">
        <v>302</v>
      </c>
      <c r="C16" t="s">
        <v>236</v>
      </c>
      <c r="D16" t="s">
        <v>303</v>
      </c>
      <c r="E16" t="s">
        <v>237</v>
      </c>
      <c r="F16" t="n">
        <v>74.3658134445332</v>
      </c>
      <c r="G16" t="n">
        <v>74.3658134445332</v>
      </c>
      <c r="H16" t="n">
        <v>74.3658134445332</v>
      </c>
      <c r="I16" t="n">
        <v>74.3658134445332</v>
      </c>
      <c r="J16" t="n">
        <v>74.3658134445332</v>
      </c>
      <c r="K16" t="n">
        <v>74.3658134445331</v>
      </c>
      <c r="L16" t="n">
        <v>74.3658134445331</v>
      </c>
      <c r="M16" t="n">
        <v>74.3658134445331</v>
      </c>
      <c r="N16" t="n">
        <v>74.3658134445331</v>
      </c>
      <c r="O16" t="n">
        <v>74.3658134445331</v>
      </c>
      <c r="P16" t="n">
        <v>74.3658134445332</v>
      </c>
      <c r="Q16" t="n">
        <v>78.7402730589175</v>
      </c>
      <c r="R16" t="n">
        <v>82.8844979567552</v>
      </c>
      <c r="S16" t="n">
        <v>86.1998778750254</v>
      </c>
      <c r="T16" t="n">
        <v>86.1998778750254</v>
      </c>
      <c r="U16" t="n">
        <v>82.2817016079788</v>
      </c>
      <c r="V16" t="n">
        <v>82.2817016079788</v>
      </c>
      <c r="W16" t="n">
        <v>90.5098717687767</v>
      </c>
      <c r="X16" t="n">
        <v>90.5098717687767</v>
      </c>
      <c r="Y16" t="n">
        <v>90.5098717687767</v>
      </c>
      <c r="Z16" t="n">
        <v>90.5098717687767</v>
      </c>
      <c r="AA16" t="n">
        <v>90.5098717687767</v>
      </c>
      <c r="AB16" t="n">
        <v>90.5098717687767</v>
      </c>
      <c r="AC16" t="n">
        <v>93.2525951557094</v>
      </c>
      <c r="AD16" t="n">
        <v>97.0588235294118</v>
      </c>
      <c r="AE16" t="n">
        <v>100</v>
      </c>
      <c r="AF16" t="n">
        <v>100</v>
      </c>
    </row>
    <row r="17">
      <c r="A17" t="s">
        <v>82</v>
      </c>
      <c r="B17" t="s">
        <v>304</v>
      </c>
      <c r="C17" t="s">
        <v>236</v>
      </c>
      <c r="D17" t="s">
        <v>305</v>
      </c>
      <c r="E17" t="s">
        <v>237</v>
      </c>
      <c r="F17" t="n">
        <v>75.18928526779</v>
      </c>
      <c r="G17" t="n">
        <v>75.18928526779</v>
      </c>
      <c r="H17" t="n">
        <v>75.18928526779</v>
      </c>
      <c r="I17" t="n">
        <v>76.8238349475245</v>
      </c>
      <c r="J17" t="n">
        <v>76.8238349475245</v>
      </c>
      <c r="K17" t="n">
        <v>76.8238349475245</v>
      </c>
      <c r="L17" t="n">
        <v>78.6975870194154</v>
      </c>
      <c r="M17" t="n">
        <v>78.6975870194154</v>
      </c>
      <c r="N17" t="n">
        <v>78.6975870194154</v>
      </c>
      <c r="O17" t="n">
        <v>78.6975870194154</v>
      </c>
      <c r="P17" t="n">
        <v>81.6123124645789</v>
      </c>
      <c r="Q17" t="n">
        <v>83.8180506392973</v>
      </c>
      <c r="R17" t="n">
        <v>88.4746090081471</v>
      </c>
      <c r="S17" t="n">
        <v>92.013593368473</v>
      </c>
      <c r="T17" t="n">
        <v>92.013593368473</v>
      </c>
      <c r="U17" t="n">
        <v>86.7556737474174</v>
      </c>
      <c r="V17" t="n">
        <v>86.7556737474174</v>
      </c>
      <c r="W17" t="n">
        <v>90.8868963068182</v>
      </c>
      <c r="X17" t="n">
        <v>90.8868963068182</v>
      </c>
      <c r="Y17" t="n">
        <v>90.8868963068182</v>
      </c>
      <c r="Z17" t="n">
        <v>90.8868963068182</v>
      </c>
      <c r="AA17" t="n">
        <v>90.8868963068182</v>
      </c>
      <c r="AB17" t="n">
        <v>91.9315732758621</v>
      </c>
      <c r="AC17" t="n">
        <v>94.0946691176471</v>
      </c>
      <c r="AD17" t="n">
        <v>98.4375</v>
      </c>
      <c r="AE17" t="n">
        <v>100</v>
      </c>
      <c r="AF17" t="n">
        <v>100</v>
      </c>
    </row>
    <row r="18">
      <c r="A18" t="s">
        <v>82</v>
      </c>
      <c r="B18" t="s">
        <v>306</v>
      </c>
      <c r="C18" t="s">
        <v>236</v>
      </c>
      <c r="D18" t="s">
        <v>307</v>
      </c>
      <c r="E18" t="s">
        <v>237</v>
      </c>
      <c r="F18" t="n">
        <v>75.9049236613339</v>
      </c>
      <c r="G18" t="n">
        <v>75.9049236613339</v>
      </c>
      <c r="H18" t="n">
        <v>75.9049236613339</v>
      </c>
      <c r="I18" t="n">
        <v>78.9411206077873</v>
      </c>
      <c r="J18" t="n">
        <v>78.9411206077873</v>
      </c>
      <c r="K18" t="n">
        <v>78.9411206077873</v>
      </c>
      <c r="L18" t="n">
        <v>78.9411206077873</v>
      </c>
      <c r="M18" t="n">
        <v>78.9411206077873</v>
      </c>
      <c r="N18" t="n">
        <v>78.9411206077873</v>
      </c>
      <c r="O18" t="n">
        <v>78.9411206077873</v>
      </c>
      <c r="P18" t="n">
        <v>82.8881766381766</v>
      </c>
      <c r="Q18" t="n">
        <v>85.0694444444444</v>
      </c>
      <c r="R18" t="n">
        <v>88.9362373737374</v>
      </c>
      <c r="S18" t="n">
        <v>92.8030303030303</v>
      </c>
      <c r="T18" t="n">
        <v>92.8030303030303</v>
      </c>
      <c r="U18" t="n">
        <v>92.8030303030303</v>
      </c>
      <c r="V18" t="n">
        <v>92.8030303030303</v>
      </c>
      <c r="W18" t="n">
        <v>97.2222222222222</v>
      </c>
      <c r="X18" t="n">
        <v>97.2222222222222</v>
      </c>
      <c r="Y18" t="n">
        <v>97.2222222222222</v>
      </c>
      <c r="Z18" t="n">
        <v>97.2222222222222</v>
      </c>
      <c r="AA18" t="n">
        <v>97.2222222222222</v>
      </c>
      <c r="AB18" t="n">
        <v>97.2222222222222</v>
      </c>
      <c r="AC18" t="n">
        <v>100</v>
      </c>
      <c r="AD18" t="n">
        <v>100</v>
      </c>
      <c r="AE18" t="n">
        <v>100</v>
      </c>
      <c r="AF18" t="n">
        <v>100</v>
      </c>
    </row>
    <row r="19">
      <c r="A19" t="s">
        <v>82</v>
      </c>
      <c r="B19" t="s">
        <v>308</v>
      </c>
      <c r="C19" t="s">
        <v>236</v>
      </c>
      <c r="D19" t="s">
        <v>309</v>
      </c>
      <c r="E19" t="s">
        <v>237</v>
      </c>
      <c r="F19" t="e">
        <v>#NUM!</v>
      </c>
      <c r="G19" t="e">
        <v>#NUM!</v>
      </c>
      <c r="H19" t="e">
        <v>#NUM!</v>
      </c>
      <c r="I19" t="e">
        <v>#NUM!</v>
      </c>
      <c r="J19" t="e">
        <v>#NUM!</v>
      </c>
      <c r="K19" t="e">
        <v>#NUM!</v>
      </c>
      <c r="L19" t="e">
        <v>#NUM!</v>
      </c>
      <c r="M19" t="e">
        <v>#NUM!</v>
      </c>
      <c r="N19" t="e">
        <v>#NUM!</v>
      </c>
      <c r="O19" t="e">
        <v>#NUM!</v>
      </c>
      <c r="P19" t="e">
        <v>#NUM!</v>
      </c>
      <c r="Q19" t="n">
        <v>0</v>
      </c>
      <c r="R19" t="n">
        <v>92.156862745098</v>
      </c>
      <c r="S19" t="n">
        <v>92.1568627450981</v>
      </c>
      <c r="T19" t="n">
        <v>92.1568627450981</v>
      </c>
      <c r="U19" t="n">
        <v>92.1568627450981</v>
      </c>
      <c r="V19" t="n">
        <v>92.1568627450981</v>
      </c>
      <c r="W19" t="n">
        <v>97.9166666666667</v>
      </c>
      <c r="X19" t="n">
        <v>97.9166666666667</v>
      </c>
      <c r="Y19" t="n">
        <v>97.9166666666667</v>
      </c>
      <c r="Z19" t="n">
        <v>97.9166666666667</v>
      </c>
      <c r="AA19" t="n">
        <v>100</v>
      </c>
      <c r="AB19" t="n">
        <v>100</v>
      </c>
      <c r="AC19" t="n">
        <v>100</v>
      </c>
      <c r="AD19" t="n">
        <v>100</v>
      </c>
      <c r="AE19" t="n">
        <v>100</v>
      </c>
      <c r="AF19" t="n">
        <v>100</v>
      </c>
    </row>
    <row r="20">
      <c r="A20" t="s">
        <v>82</v>
      </c>
      <c r="B20" t="s">
        <v>310</v>
      </c>
      <c r="C20" t="s">
        <v>236</v>
      </c>
      <c r="D20" t="s">
        <v>311</v>
      </c>
      <c r="E20" t="s">
        <v>237</v>
      </c>
      <c r="F20" t="n">
        <v>54.1232712251241</v>
      </c>
      <c r="G20" t="n">
        <v>53.9765956933487</v>
      </c>
      <c r="H20" t="n">
        <v>55.2127009382345</v>
      </c>
      <c r="I20" t="n">
        <v>55.8144742454632</v>
      </c>
      <c r="J20" t="n">
        <v>57.1168119778574</v>
      </c>
      <c r="K20" t="n">
        <v>60.0542480224329</v>
      </c>
      <c r="L20" t="n">
        <v>62.1767474327891</v>
      </c>
      <c r="M20" t="n">
        <v>62.7833498467676</v>
      </c>
      <c r="N20" t="n">
        <v>64.213856552137</v>
      </c>
      <c r="O20" t="n">
        <v>66.5143529706715</v>
      </c>
      <c r="P20" t="n">
        <v>69.7468261991527</v>
      </c>
      <c r="Q20" t="n">
        <v>74.0350578280337</v>
      </c>
      <c r="R20" t="n">
        <v>78.8347374279062</v>
      </c>
      <c r="S20" t="n">
        <v>85.048312791682</v>
      </c>
      <c r="T20" t="n">
        <v>83.8396158398623</v>
      </c>
      <c r="U20" t="n">
        <v>85.331992981322</v>
      </c>
      <c r="V20" t="n">
        <v>89.876300299854</v>
      </c>
      <c r="W20" t="n">
        <v>94.5071506833375</v>
      </c>
      <c r="X20" t="n">
        <v>95.3162872474072</v>
      </c>
      <c r="Y20" t="n">
        <v>95.8909144501044</v>
      </c>
      <c r="Z20" t="n">
        <v>94.6002212231434</v>
      </c>
      <c r="AA20" t="n">
        <v>93.686469086329</v>
      </c>
      <c r="AB20" t="n">
        <v>96.2160940954102</v>
      </c>
      <c r="AC20" t="n">
        <v>99.0549251119239</v>
      </c>
      <c r="AD20" t="n">
        <v>101.12016293279</v>
      </c>
      <c r="AE20" t="n">
        <v>100</v>
      </c>
      <c r="AF20" t="n">
        <v>105.89417280643</v>
      </c>
    </row>
    <row r="21">
      <c r="A21" t="s">
        <v>82</v>
      </c>
      <c r="B21" t="s">
        <v>312</v>
      </c>
      <c r="C21" t="s">
        <v>236</v>
      </c>
      <c r="D21" t="s">
        <v>313</v>
      </c>
      <c r="E21" t="s">
        <v>237</v>
      </c>
      <c r="F21" t="n">
        <v>54.45260508166</v>
      </c>
      <c r="G21" t="n">
        <v>54.3587212797951</v>
      </c>
      <c r="H21" t="n">
        <v>55.6633305905101</v>
      </c>
      <c r="I21" t="n">
        <v>56.4117451194582</v>
      </c>
      <c r="J21" t="n">
        <v>57.772325242933</v>
      </c>
      <c r="K21" t="n">
        <v>60.7082958700329</v>
      </c>
      <c r="L21" t="n">
        <v>62.8764492939627</v>
      </c>
      <c r="M21" t="n">
        <v>63.5819354010478</v>
      </c>
      <c r="N21" t="n">
        <v>65.0769463302564</v>
      </c>
      <c r="O21" t="n">
        <v>67.4035669140931</v>
      </c>
      <c r="P21" t="n">
        <v>70.5947288580629</v>
      </c>
      <c r="Q21" t="n">
        <v>74.6829448002051</v>
      </c>
      <c r="R21" t="n">
        <v>79.5439648759581</v>
      </c>
      <c r="S21" t="n">
        <v>85.7827072191705</v>
      </c>
      <c r="T21" t="n">
        <v>84.5434706782836</v>
      </c>
      <c r="U21" t="n">
        <v>85.6956138407226</v>
      </c>
      <c r="V21" t="n">
        <v>90.188300790543</v>
      </c>
      <c r="W21" t="n">
        <v>94.7046640812866</v>
      </c>
      <c r="X21" t="n">
        <v>95.4828945699445</v>
      </c>
      <c r="Y21" t="n">
        <v>96.0772985542509</v>
      </c>
      <c r="Z21" t="n">
        <v>94.7323333279893</v>
      </c>
      <c r="AA21" t="n">
        <v>93.8857530480251</v>
      </c>
      <c r="AB21" t="n">
        <v>96.4059235024393</v>
      </c>
      <c r="AC21" t="n">
        <v>99.2883632354415</v>
      </c>
      <c r="AD21" t="n">
        <v>101.298701298701</v>
      </c>
      <c r="AE21" t="n">
        <v>100</v>
      </c>
      <c r="AF21" t="n">
        <v>105.750224618149</v>
      </c>
    </row>
    <row r="22">
      <c r="A22" t="s">
        <v>82</v>
      </c>
      <c r="B22" t="s">
        <v>314</v>
      </c>
      <c r="C22" t="s">
        <v>236</v>
      </c>
      <c r="D22" t="s">
        <v>315</v>
      </c>
      <c r="E22" t="s">
        <v>237</v>
      </c>
      <c r="F22" t="n">
        <v>55.3643828754504</v>
      </c>
      <c r="G22" t="n">
        <v>55.3643828754504</v>
      </c>
      <c r="H22" t="n">
        <v>56.7962203636086</v>
      </c>
      <c r="I22" t="n">
        <v>57.7926452822684</v>
      </c>
      <c r="J22" t="n">
        <v>59.2435066701078</v>
      </c>
      <c r="K22" t="n">
        <v>62.2056820036132</v>
      </c>
      <c r="L22" t="n">
        <v>64.4780356841105</v>
      </c>
      <c r="M22" t="n">
        <v>65.3292308746598</v>
      </c>
      <c r="N22" t="n">
        <v>66.9226267496515</v>
      </c>
      <c r="O22" t="n">
        <v>69.304985630707</v>
      </c>
      <c r="P22" t="n">
        <v>72.4456949493191</v>
      </c>
      <c r="Q22" t="n">
        <v>76.29546617851</v>
      </c>
      <c r="R22" t="n">
        <v>81.2921465831479</v>
      </c>
      <c r="S22" t="n">
        <v>87.612918239721</v>
      </c>
      <c r="T22" t="n">
        <v>86.3135741132845</v>
      </c>
      <c r="U22" t="n">
        <v>86.4690940666417</v>
      </c>
      <c r="V22" t="n">
        <v>90.7827450178121</v>
      </c>
      <c r="W22" t="n">
        <v>94.968692914887</v>
      </c>
      <c r="X22" t="n">
        <v>95.6568718490528</v>
      </c>
      <c r="Y22" t="n">
        <v>96.3090777934782</v>
      </c>
      <c r="Z22" t="n">
        <v>94.7884081441075</v>
      </c>
      <c r="AA22" t="n">
        <v>94.1935018168432</v>
      </c>
      <c r="AB22" t="n">
        <v>96.6487826698889</v>
      </c>
      <c r="AC22" t="n">
        <v>99.6638226838542</v>
      </c>
      <c r="AD22" t="n">
        <v>101.520912547529</v>
      </c>
      <c r="AE22" t="n">
        <v>100</v>
      </c>
      <c r="AF22" t="n">
        <v>105.457025920873</v>
      </c>
    </row>
    <row r="23">
      <c r="A23" t="s">
        <v>82</v>
      </c>
      <c r="B23" t="s">
        <v>316</v>
      </c>
      <c r="C23" t="s">
        <v>236</v>
      </c>
      <c r="D23" t="s">
        <v>317</v>
      </c>
      <c r="E23" t="s">
        <v>237</v>
      </c>
      <c r="F23" t="n">
        <v>59.7151632242654</v>
      </c>
      <c r="G23" t="n">
        <v>59.7151632242654</v>
      </c>
      <c r="H23" t="n">
        <v>59.7151632242654</v>
      </c>
      <c r="I23" t="n">
        <v>61.4213107449587</v>
      </c>
      <c r="J23" t="n">
        <v>64.0918025164787</v>
      </c>
      <c r="K23" t="n">
        <v>65.3010818092424</v>
      </c>
      <c r="L23" t="n">
        <v>69.7534282962362</v>
      </c>
      <c r="M23" t="n">
        <v>69.7534282962362</v>
      </c>
      <c r="N23" t="n">
        <v>69.7534282962362</v>
      </c>
      <c r="O23" t="n">
        <v>70.8265579623321</v>
      </c>
      <c r="P23" t="n">
        <v>73.1112856385364</v>
      </c>
      <c r="Q23" t="n">
        <v>75.959777286791</v>
      </c>
      <c r="R23" t="n">
        <v>80.4722393038281</v>
      </c>
      <c r="S23" t="n">
        <v>85.3283227100936</v>
      </c>
      <c r="T23" t="n">
        <v>84.5798286512332</v>
      </c>
      <c r="U23" t="n">
        <v>79.2935893605311</v>
      </c>
      <c r="V23" t="n">
        <v>80.8794611477417</v>
      </c>
      <c r="W23" t="n">
        <v>85.8566587568335</v>
      </c>
      <c r="X23" t="n">
        <v>86.8106216319094</v>
      </c>
      <c r="Y23" t="n">
        <v>87.4584620918491</v>
      </c>
      <c r="Z23" t="n">
        <v>87.4584620918491</v>
      </c>
      <c r="AA23" t="n">
        <v>89.0202203434892</v>
      </c>
      <c r="AB23" t="n">
        <v>91.0588513437218</v>
      </c>
      <c r="AC23" t="n">
        <v>94.3343495934959</v>
      </c>
      <c r="AD23" t="n">
        <v>97.9166666666667</v>
      </c>
      <c r="AE23" t="n">
        <v>100</v>
      </c>
      <c r="AF23" t="n">
        <v>102.564102564103</v>
      </c>
    </row>
    <row r="24">
      <c r="A24" t="s">
        <v>82</v>
      </c>
      <c r="B24" t="s">
        <v>318</v>
      </c>
      <c r="C24" t="s">
        <v>236</v>
      </c>
      <c r="D24" t="s">
        <v>319</v>
      </c>
      <c r="E24" t="s">
        <v>237</v>
      </c>
      <c r="F24" t="n">
        <v>56.7665017814127</v>
      </c>
      <c r="G24" t="n">
        <v>56.3551503192285</v>
      </c>
      <c r="H24" t="n">
        <v>55.3076568188711</v>
      </c>
      <c r="I24" t="n">
        <v>57.6813759956467</v>
      </c>
      <c r="J24" t="n">
        <v>61.1379378530637</v>
      </c>
      <c r="K24" t="n">
        <v>63.2982890139494</v>
      </c>
      <c r="L24" t="n">
        <v>67.3386053339887</v>
      </c>
      <c r="M24" t="n">
        <v>66.4968727673138</v>
      </c>
      <c r="N24" t="n">
        <v>66.0636683844649</v>
      </c>
      <c r="O24" t="n">
        <v>67.729139016006</v>
      </c>
      <c r="P24" t="n">
        <v>71.2370227100621</v>
      </c>
      <c r="Q24" t="n">
        <v>73.9769081989106</v>
      </c>
      <c r="R24" t="n">
        <v>78.8521772206153</v>
      </c>
      <c r="S24" t="n">
        <v>83.2737946348555</v>
      </c>
      <c r="T24" t="n">
        <v>81.9435423243945</v>
      </c>
      <c r="U24" t="n">
        <v>76.9505666272092</v>
      </c>
      <c r="V24" t="n">
        <v>78.5339116195386</v>
      </c>
      <c r="W24" t="n">
        <v>83.496219221872</v>
      </c>
      <c r="X24" t="n">
        <v>85.2052061650098</v>
      </c>
      <c r="Y24" t="n">
        <v>85.8556275861167</v>
      </c>
      <c r="Z24" t="n">
        <v>86.5832176504059</v>
      </c>
      <c r="AA24" t="n">
        <v>88.5510180515514</v>
      </c>
      <c r="AB24" t="n">
        <v>90.7285021019994</v>
      </c>
      <c r="AC24" t="n">
        <v>94.1624493927126</v>
      </c>
      <c r="AD24" t="n">
        <v>98.421052631579</v>
      </c>
      <c r="AE24" t="n">
        <v>100</v>
      </c>
      <c r="AF24" t="n">
        <v>101.825557809331</v>
      </c>
    </row>
    <row r="25">
      <c r="A25" t="s">
        <v>82</v>
      </c>
      <c r="B25" t="s">
        <v>320</v>
      </c>
      <c r="C25" t="s">
        <v>236</v>
      </c>
      <c r="D25" t="s">
        <v>321</v>
      </c>
      <c r="E25" t="s">
        <v>237</v>
      </c>
      <c r="F25" t="n">
        <v>55.5291196277708</v>
      </c>
      <c r="G25" t="n">
        <v>55.5291196277708</v>
      </c>
      <c r="H25" t="n">
        <v>55.5291196277708</v>
      </c>
      <c r="I25" t="n">
        <v>57.7502844128816</v>
      </c>
      <c r="J25" t="n">
        <v>60.5673714574125</v>
      </c>
      <c r="K25" t="n">
        <v>63.7551278499078</v>
      </c>
      <c r="L25" t="n">
        <v>66.7910863189511</v>
      </c>
      <c r="M25" t="n">
        <v>66.7910863189511</v>
      </c>
      <c r="N25" t="n">
        <v>66.7910863189511</v>
      </c>
      <c r="O25" t="n">
        <v>68.1007154624599</v>
      </c>
      <c r="P25" t="n">
        <v>72.1066399014282</v>
      </c>
      <c r="Q25" t="n">
        <v>76.1125643403964</v>
      </c>
      <c r="R25" t="n">
        <v>81.5491760789961</v>
      </c>
      <c r="S25" t="n">
        <v>85.7672369106683</v>
      </c>
      <c r="T25" t="n">
        <v>83.8612983126535</v>
      </c>
      <c r="U25" t="n">
        <v>79.0231464869235</v>
      </c>
      <c r="V25" t="n">
        <v>79.0231464869235</v>
      </c>
      <c r="W25" t="n">
        <v>82.877934120432</v>
      </c>
      <c r="X25" t="n">
        <v>85.1800989571106</v>
      </c>
      <c r="Y25" t="n">
        <v>85.1800989571106</v>
      </c>
      <c r="Z25" t="n">
        <v>85.1800989571106</v>
      </c>
      <c r="AA25" t="n">
        <v>87.3096014310384</v>
      </c>
      <c r="AB25" t="n">
        <v>90.4278014821469</v>
      </c>
      <c r="AC25" t="n">
        <v>93.4931506849315</v>
      </c>
      <c r="AD25" t="n">
        <v>97.5</v>
      </c>
      <c r="AE25" t="n">
        <v>100</v>
      </c>
      <c r="AF25" t="n">
        <v>101.428571428571</v>
      </c>
    </row>
    <row r="26">
      <c r="A26" t="s">
        <v>82</v>
      </c>
      <c r="B26" t="s">
        <v>322</v>
      </c>
      <c r="C26" t="s">
        <v>236</v>
      </c>
      <c r="D26" t="s">
        <v>323</v>
      </c>
      <c r="E26" t="s">
        <v>237</v>
      </c>
      <c r="F26" t="n">
        <v>55.4731378797018</v>
      </c>
      <c r="G26" t="n">
        <v>55.1597303210595</v>
      </c>
      <c r="H26" t="n">
        <v>54.2479992413725</v>
      </c>
      <c r="I26" t="n">
        <v>56.3145896886629</v>
      </c>
      <c r="J26" t="n">
        <v>59.9311229714211</v>
      </c>
      <c r="K26" t="n">
        <v>62.0908030784993</v>
      </c>
      <c r="L26" t="n">
        <v>66.7946517965675</v>
      </c>
      <c r="M26" t="n">
        <v>65.9700264657456</v>
      </c>
      <c r="N26" t="n">
        <v>65.0408711634112</v>
      </c>
      <c r="O26" t="n">
        <v>66.953837962335</v>
      </c>
      <c r="P26" t="n">
        <v>70.4410170228733</v>
      </c>
      <c r="Q26" t="n">
        <v>74.3544068574774</v>
      </c>
      <c r="R26" t="n">
        <v>79.1826150949759</v>
      </c>
      <c r="S26" t="n">
        <v>83.8016009755162</v>
      </c>
      <c r="T26" t="n">
        <v>82.0185881888031</v>
      </c>
      <c r="U26" t="n">
        <v>77.047764662209</v>
      </c>
      <c r="V26" t="n">
        <v>78.8822352494044</v>
      </c>
      <c r="W26" t="n">
        <v>84.1062243387689</v>
      </c>
      <c r="X26" t="n">
        <v>85.6354284176556</v>
      </c>
      <c r="Y26" t="n">
        <v>86.2342775674295</v>
      </c>
      <c r="Z26" t="n">
        <v>86.2342775674295</v>
      </c>
      <c r="AA26" t="n">
        <v>88.1400074584224</v>
      </c>
      <c r="AB26" t="n">
        <v>90.1431894461138</v>
      </c>
      <c r="AC26" t="n">
        <v>93.4681431551918</v>
      </c>
      <c r="AD26" t="n">
        <v>97.8494623655914</v>
      </c>
      <c r="AE26" t="n">
        <v>100</v>
      </c>
      <c r="AF26" t="n">
        <v>101.234567901235</v>
      </c>
    </row>
    <row r="27">
      <c r="A27" t="s">
        <v>82</v>
      </c>
      <c r="B27" t="s">
        <v>324</v>
      </c>
      <c r="C27" t="s">
        <v>236</v>
      </c>
      <c r="D27" t="s">
        <v>325</v>
      </c>
      <c r="E27" t="s">
        <v>237</v>
      </c>
      <c r="F27" t="n">
        <v>58.4120915305284</v>
      </c>
      <c r="G27" t="n">
        <v>57.7083313916063</v>
      </c>
      <c r="H27" t="n">
        <v>56.2656231068162</v>
      </c>
      <c r="I27" t="n">
        <v>58.9969640343315</v>
      </c>
      <c r="J27" t="n">
        <v>62.5266969252745</v>
      </c>
      <c r="K27" t="n">
        <v>64.5700530339436</v>
      </c>
      <c r="L27" t="n">
        <v>68.4058977686333</v>
      </c>
      <c r="M27" t="n">
        <v>67.4072715238357</v>
      </c>
      <c r="N27" t="n">
        <v>67.0768437222483</v>
      </c>
      <c r="O27" t="n">
        <v>68.7678565891957</v>
      </c>
      <c r="P27" t="n">
        <v>72.0740035405994</v>
      </c>
      <c r="Q27" t="n">
        <v>74.1938271741464</v>
      </c>
      <c r="R27" t="n">
        <v>79.0430969240906</v>
      </c>
      <c r="S27" t="n">
        <v>83.4650883604034</v>
      </c>
      <c r="T27" t="n">
        <v>82.3320781111671</v>
      </c>
      <c r="U27" t="n">
        <v>77.2393722486207</v>
      </c>
      <c r="V27" t="n">
        <v>78.5826656790315</v>
      </c>
      <c r="W27" t="n">
        <v>83.6083012747835</v>
      </c>
      <c r="X27" t="n">
        <v>85.3145931375342</v>
      </c>
      <c r="Y27" t="n">
        <v>86.17635670458</v>
      </c>
      <c r="Z27" t="n">
        <v>86.680312006946</v>
      </c>
      <c r="AA27" t="n">
        <v>88.6615762813905</v>
      </c>
      <c r="AB27" t="n">
        <v>90.8781156884252</v>
      </c>
      <c r="AC27" t="n">
        <v>94.5315072738896</v>
      </c>
      <c r="AD27" t="n">
        <v>98.7854251012146</v>
      </c>
      <c r="AE27" t="n">
        <v>100</v>
      </c>
      <c r="AF27" t="n">
        <v>102.046783625731</v>
      </c>
    </row>
    <row r="28">
      <c r="A28" t="s">
        <v>82</v>
      </c>
      <c r="B28" t="s">
        <v>326</v>
      </c>
      <c r="C28" t="s">
        <v>236</v>
      </c>
      <c r="D28" t="s">
        <v>327</v>
      </c>
      <c r="E28" t="s">
        <v>237</v>
      </c>
      <c r="F28" t="n">
        <v>56.8819299826631</v>
      </c>
      <c r="G28" t="n">
        <v>56.8819299826631</v>
      </c>
      <c r="H28" t="n">
        <v>57.920869343077</v>
      </c>
      <c r="I28" t="n">
        <v>59.134779778411</v>
      </c>
      <c r="J28" t="n">
        <v>61.8338776106206</v>
      </c>
      <c r="K28" t="n">
        <v>64.4465766645905</v>
      </c>
      <c r="L28" t="n">
        <v>67.1601167346785</v>
      </c>
      <c r="M28" t="n">
        <v>67.5010310328241</v>
      </c>
      <c r="N28" t="n">
        <v>67.7754254679169</v>
      </c>
      <c r="O28" t="n">
        <v>69.5668464053949</v>
      </c>
      <c r="P28" t="n">
        <v>72.6587062456346</v>
      </c>
      <c r="Q28" t="n">
        <v>76.4972794057813</v>
      </c>
      <c r="R28" t="n">
        <v>81.2618158393594</v>
      </c>
      <c r="S28" t="n">
        <v>86.9979440162554</v>
      </c>
      <c r="T28" t="n">
        <v>85.8494563064699</v>
      </c>
      <c r="U28" t="n">
        <v>84.2771219418825</v>
      </c>
      <c r="V28" t="n">
        <v>87.7362575439747</v>
      </c>
      <c r="W28" t="n">
        <v>92.48863816094</v>
      </c>
      <c r="X28" t="n">
        <v>93.5853413802397</v>
      </c>
      <c r="Y28" t="n">
        <v>94.0050065882228</v>
      </c>
      <c r="Z28" t="n">
        <v>92.5913974665954</v>
      </c>
      <c r="AA28" t="n">
        <v>91.772004568661</v>
      </c>
      <c r="AB28" t="n">
        <v>94.2692019718898</v>
      </c>
      <c r="AC28" t="n">
        <v>97.2590833777147</v>
      </c>
      <c r="AD28" t="n">
        <v>100.572519083969</v>
      </c>
      <c r="AE28" t="n">
        <v>100</v>
      </c>
      <c r="AF28" t="n">
        <v>103.564356435644</v>
      </c>
    </row>
    <row r="29">
      <c r="A29" t="s">
        <v>82</v>
      </c>
      <c r="B29" t="s">
        <v>328</v>
      </c>
      <c r="C29" t="s">
        <v>236</v>
      </c>
      <c r="D29" t="s">
        <v>329</v>
      </c>
      <c r="E29" t="s">
        <v>237</v>
      </c>
      <c r="F29" t="n">
        <v>65.8994231007186</v>
      </c>
      <c r="G29" t="n">
        <v>65.8994231007186</v>
      </c>
      <c r="H29" t="n">
        <v>66.8544872036275</v>
      </c>
      <c r="I29" t="n">
        <v>66.8544872036275</v>
      </c>
      <c r="J29" t="n">
        <v>68.8803807552526</v>
      </c>
      <c r="K29" t="n">
        <v>70.0679735268949</v>
      </c>
      <c r="L29" t="n">
        <v>71.3655285922078</v>
      </c>
      <c r="M29" t="n">
        <v>71.3655285922078</v>
      </c>
      <c r="N29" t="n">
        <v>71.3655285922078</v>
      </c>
      <c r="O29" t="n">
        <v>73.1061512407982</v>
      </c>
      <c r="P29" t="n">
        <v>76.5873965379791</v>
      </c>
      <c r="Q29" t="n">
        <v>81.0925375108013</v>
      </c>
      <c r="R29" t="n">
        <v>85.0163699710014</v>
      </c>
      <c r="S29" t="n">
        <v>92.1010674685849</v>
      </c>
      <c r="T29" t="n">
        <v>91.2713281220211</v>
      </c>
      <c r="U29" t="n">
        <v>87.7153023510332</v>
      </c>
      <c r="V29" t="n">
        <v>91.4320524506533</v>
      </c>
      <c r="W29" t="n">
        <v>95.0893345486794</v>
      </c>
      <c r="X29" t="n">
        <v>96.069636966707</v>
      </c>
      <c r="Y29" t="n">
        <v>96.069636966707</v>
      </c>
      <c r="Z29" t="n">
        <v>95.1546880432146</v>
      </c>
      <c r="AA29" t="n">
        <v>93.7553543955203</v>
      </c>
      <c r="AB29" t="n">
        <v>96.0420703563866</v>
      </c>
      <c r="AC29" t="n">
        <v>98.2499340427403</v>
      </c>
      <c r="AD29" t="n">
        <v>101.204819277108</v>
      </c>
      <c r="AE29" t="n">
        <v>100</v>
      </c>
      <c r="AF29" t="n">
        <v>103.973509933775</v>
      </c>
    </row>
    <row r="30">
      <c r="A30" t="s">
        <v>82</v>
      </c>
      <c r="B30" t="s">
        <v>330</v>
      </c>
      <c r="C30" t="s">
        <v>236</v>
      </c>
      <c r="D30" t="s">
        <v>331</v>
      </c>
      <c r="E30" t="s">
        <v>237</v>
      </c>
      <c r="F30" t="e">
        <v>#NUM!</v>
      </c>
      <c r="G30" t="e">
        <v>#NUM!</v>
      </c>
      <c r="H30" t="e">
        <v>#NUM!</v>
      </c>
      <c r="I30" t="e">
        <v>#NUM!</v>
      </c>
      <c r="J30" t="e">
        <v>#NUM!</v>
      </c>
      <c r="K30" t="e">
        <v>#NUM!</v>
      </c>
      <c r="L30" t="e">
        <v>#NUM!</v>
      </c>
      <c r="M30" t="e">
        <v>#NUM!</v>
      </c>
      <c r="N30" t="e">
        <v>#NUM!</v>
      </c>
      <c r="O30" t="e">
        <v>#NUM!</v>
      </c>
      <c r="P30" t="n">
        <v>0</v>
      </c>
      <c r="Q30" t="n">
        <v>110</v>
      </c>
      <c r="R30" t="n">
        <v>110</v>
      </c>
      <c r="S30" t="n">
        <v>110</v>
      </c>
      <c r="T30" t="n">
        <v>110</v>
      </c>
      <c r="U30" t="n">
        <v>100</v>
      </c>
      <c r="V30" t="n">
        <v>100</v>
      </c>
      <c r="W30" t="n">
        <v>100</v>
      </c>
      <c r="X30" t="n">
        <v>100</v>
      </c>
      <c r="Y30" t="n">
        <v>100</v>
      </c>
      <c r="Z30" t="n">
        <v>100</v>
      </c>
      <c r="AA30" t="n">
        <v>100</v>
      </c>
      <c r="AB30" t="n">
        <v>100</v>
      </c>
      <c r="AC30" t="n">
        <v>100</v>
      </c>
      <c r="AD30" t="n">
        <v>100</v>
      </c>
      <c r="AE30" t="n">
        <v>100</v>
      </c>
      <c r="AF30" t="n">
        <v>100</v>
      </c>
    </row>
    <row r="31">
      <c r="A31" t="s">
        <v>82</v>
      </c>
      <c r="B31" t="s">
        <v>332</v>
      </c>
      <c r="C31" t="s">
        <v>236</v>
      </c>
      <c r="D31" t="s">
        <v>333</v>
      </c>
      <c r="E31" t="s">
        <v>237</v>
      </c>
      <c r="F31" t="e">
        <v>#NUM!</v>
      </c>
      <c r="G31" t="e">
        <v>#NUM!</v>
      </c>
      <c r="H31" t="e">
        <v>#NUM!</v>
      </c>
      <c r="I31" t="e">
        <v>#NUM!</v>
      </c>
      <c r="J31" t="e">
        <v>#NUM!</v>
      </c>
      <c r="K31" t="e">
        <v>#NUM!</v>
      </c>
      <c r="L31" t="e">
        <v>#NUM!</v>
      </c>
      <c r="M31" t="e">
        <v>#NUM!</v>
      </c>
      <c r="N31" t="n">
        <v>0</v>
      </c>
      <c r="O31" t="n">
        <v>0</v>
      </c>
      <c r="P31" t="n">
        <v>0</v>
      </c>
      <c r="Q31" t="e">
        <v>#NUM!</v>
      </c>
      <c r="R31" t="e">
        <v>#NUM!</v>
      </c>
      <c r="S31" t="e">
        <v>#NUM!</v>
      </c>
      <c r="T31" t="e">
        <v>#NUM!</v>
      </c>
      <c r="U31" t="e">
        <v>#NUM!</v>
      </c>
      <c r="V31" t="e">
        <v>#NUM!</v>
      </c>
      <c r="W31" t="e">
        <v>#NUM!</v>
      </c>
      <c r="X31" t="n">
        <v>0</v>
      </c>
      <c r="Y31" t="e">
        <v>#NUM!</v>
      </c>
      <c r="Z31" t="e">
        <v>#NUM!</v>
      </c>
      <c r="AA31" t="e">
        <v>#NUM!</v>
      </c>
      <c r="AB31" t="e">
        <v>#NUM!</v>
      </c>
      <c r="AC31" t="e">
        <v>#NUM!</v>
      </c>
      <c r="AD31" t="e">
        <v>#NUM!</v>
      </c>
      <c r="AE31" t="n">
        <v>0</v>
      </c>
      <c r="AF31" t="e">
        <v>#NUM!</v>
      </c>
    </row>
    <row r="32">
      <c r="A32" t="s">
        <v>82</v>
      </c>
      <c r="B32" t="s">
        <v>334</v>
      </c>
      <c r="C32" t="s">
        <v>236</v>
      </c>
      <c r="D32" t="s">
        <v>335</v>
      </c>
      <c r="E32" t="s">
        <v>237</v>
      </c>
      <c r="F32" t="n">
        <v>53.2468567590066</v>
      </c>
      <c r="G32" t="n">
        <v>53.2468567590066</v>
      </c>
      <c r="H32" t="n">
        <v>54.5146390627925</v>
      </c>
      <c r="I32" t="n">
        <v>55.7314836847298</v>
      </c>
      <c r="J32" t="n">
        <v>58.5180578689663</v>
      </c>
      <c r="K32" t="n">
        <v>61.5979556515435</v>
      </c>
      <c r="L32" t="n">
        <v>64.5311916349503</v>
      </c>
      <c r="M32" t="n">
        <v>64.9888596607301</v>
      </c>
      <c r="N32" t="n">
        <v>65.3154368449549</v>
      </c>
      <c r="O32" t="n">
        <v>67.1501401271166</v>
      </c>
      <c r="P32" t="n">
        <v>70.1568628193755</v>
      </c>
      <c r="Q32" t="n">
        <v>73.7856660686536</v>
      </c>
      <c r="R32" t="n">
        <v>78.5769430860986</v>
      </c>
      <c r="S32" t="n">
        <v>83.9960426092778</v>
      </c>
      <c r="T32" t="n">
        <v>82.6904046412579</v>
      </c>
      <c r="U32" t="n">
        <v>82.2232272139062</v>
      </c>
      <c r="V32" t="n">
        <v>85.79815013625</v>
      </c>
      <c r="W32" t="n">
        <v>90.8783037627384</v>
      </c>
      <c r="X32" t="n">
        <v>92.0740709175113</v>
      </c>
      <c r="Y32" t="n">
        <v>92.6719544948977</v>
      </c>
      <c r="Z32" t="n">
        <v>91.5183617003554</v>
      </c>
      <c r="AA32" t="n">
        <v>90.8669854604953</v>
      </c>
      <c r="AB32" t="n">
        <v>93.4168243382132</v>
      </c>
      <c r="AC32" t="n">
        <v>96.7294776835399</v>
      </c>
      <c r="AD32" t="n">
        <v>100.281690140845</v>
      </c>
      <c r="AE32" t="n">
        <v>100</v>
      </c>
      <c r="AF32" t="n">
        <v>103.234501347709</v>
      </c>
    </row>
    <row r="33">
      <c r="A33" t="s">
        <v>82</v>
      </c>
      <c r="B33" t="s">
        <v>336</v>
      </c>
      <c r="C33" t="s">
        <v>236</v>
      </c>
      <c r="D33" t="s">
        <v>337</v>
      </c>
      <c r="E33" t="s">
        <v>237</v>
      </c>
      <c r="F33" t="e">
        <v>#NUM!</v>
      </c>
      <c r="G33" t="e">
        <v>#NUM!</v>
      </c>
      <c r="H33" t="e">
        <v>#NUM!</v>
      </c>
      <c r="I33" t="e">
        <v>#NUM!</v>
      </c>
      <c r="J33" t="e">
        <v>#NUM!</v>
      </c>
      <c r="K33" t="e">
        <v>#NUM!</v>
      </c>
      <c r="L33" t="e">
        <v>#NUM!</v>
      </c>
      <c r="M33" t="e">
        <v>#NUM!</v>
      </c>
      <c r="N33" t="e">
        <v>#NUM!</v>
      </c>
      <c r="O33" t="e">
        <v>#NUM!</v>
      </c>
      <c r="P33" t="e">
        <v>#NUM!</v>
      </c>
      <c r="Q33" t="e">
        <v>#NUM!</v>
      </c>
      <c r="R33" t="e">
        <v>#NUM!</v>
      </c>
      <c r="S33" t="e">
        <v>#NUM!</v>
      </c>
      <c r="T33" t="e">
        <v>#NUM!</v>
      </c>
      <c r="U33" t="e">
        <v>#NUM!</v>
      </c>
      <c r="V33" t="e">
        <v>#NUM!</v>
      </c>
      <c r="W33" t="e">
        <v>#NUM!</v>
      </c>
      <c r="X33" t="e">
        <v>#NUM!</v>
      </c>
      <c r="Y33" t="e">
        <v>#NUM!</v>
      </c>
      <c r="Z33" t="e">
        <v>#NUM!</v>
      </c>
      <c r="AA33" t="e">
        <v>#NUM!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82</v>
      </c>
      <c r="B34" t="s">
        <v>338</v>
      </c>
      <c r="C34" t="s">
        <v>236</v>
      </c>
      <c r="D34" t="s">
        <v>339</v>
      </c>
      <c r="E34" t="s">
        <v>237</v>
      </c>
      <c r="F34" t="n">
        <v>54.1397283402073</v>
      </c>
      <c r="G34" t="n">
        <v>54.1397283402073</v>
      </c>
      <c r="H34" t="n">
        <v>54.1397283402073</v>
      </c>
      <c r="I34" t="n">
        <v>56.1449034639187</v>
      </c>
      <c r="J34" t="n">
        <v>57.6623332872679</v>
      </c>
      <c r="K34" t="n">
        <v>59.5224085545991</v>
      </c>
      <c r="L34" t="n">
        <v>66.962709623924</v>
      </c>
      <c r="M34" t="n">
        <v>66.9627096239239</v>
      </c>
      <c r="N34" t="n">
        <v>66.9627096239239</v>
      </c>
      <c r="O34" t="n">
        <v>68.6797021783835</v>
      </c>
      <c r="P34" t="n">
        <v>72.1136872873027</v>
      </c>
      <c r="Q34" t="n">
        <v>74.2039390927318</v>
      </c>
      <c r="R34" t="n">
        <v>78.5056167212959</v>
      </c>
      <c r="S34" t="n">
        <v>82.9916519625129</v>
      </c>
      <c r="T34" t="n">
        <v>81.941124722481</v>
      </c>
      <c r="U34" t="n">
        <v>76.7658957926402</v>
      </c>
      <c r="V34" t="n">
        <v>78.2421630194217</v>
      </c>
      <c r="W34" t="n">
        <v>83.4583072207165</v>
      </c>
      <c r="X34" t="n">
        <v>85.6545784633669</v>
      </c>
      <c r="Y34" t="n">
        <v>85.6545784633669</v>
      </c>
      <c r="Z34" t="n">
        <v>85.6545784633669</v>
      </c>
      <c r="AA34" t="n">
        <v>87.908646317666</v>
      </c>
      <c r="AB34" t="n">
        <v>90.545905707196</v>
      </c>
      <c r="AC34" t="n">
        <v>94.1677419354839</v>
      </c>
      <c r="AD34" t="n">
        <v>98.4</v>
      </c>
      <c r="AE34" t="n">
        <v>100</v>
      </c>
      <c r="AF34" t="n">
        <v>102.173913043478</v>
      </c>
    </row>
    <row r="35">
      <c r="A35" t="s">
        <v>82</v>
      </c>
      <c r="B35" t="s">
        <v>340</v>
      </c>
      <c r="C35" t="s">
        <v>236</v>
      </c>
      <c r="D35" t="s">
        <v>341</v>
      </c>
      <c r="E35" t="s">
        <v>237</v>
      </c>
      <c r="F35" t="n">
        <v>52.4808991001056</v>
      </c>
      <c r="G35" t="n">
        <v>52.4808991001056</v>
      </c>
      <c r="H35" t="n">
        <v>54.0121720181459</v>
      </c>
      <c r="I35" t="n">
        <v>54.4431201991417</v>
      </c>
      <c r="J35" t="n">
        <v>56.027743240281</v>
      </c>
      <c r="K35" t="n">
        <v>59.1468134825234</v>
      </c>
      <c r="L35" t="n">
        <v>61.3765544669836</v>
      </c>
      <c r="M35" t="n">
        <v>62.2639263387955</v>
      </c>
      <c r="N35" t="n">
        <v>63.7918754514039</v>
      </c>
      <c r="O35" t="n">
        <v>66.1328617065013</v>
      </c>
      <c r="P35" t="n">
        <v>68.9470260344376</v>
      </c>
      <c r="Q35" t="n">
        <v>72.8313655293354</v>
      </c>
      <c r="R35" t="n">
        <v>76.9636415877375</v>
      </c>
      <c r="S35" t="n">
        <v>82.8428086534674</v>
      </c>
      <c r="T35" t="n">
        <v>81.7874862502385</v>
      </c>
      <c r="U35" t="n">
        <v>83.173714830751</v>
      </c>
      <c r="V35" t="n">
        <v>87.3324005722886</v>
      </c>
      <c r="W35" t="n">
        <v>91.6680516645299</v>
      </c>
      <c r="X35" t="n">
        <v>92.0754652274833</v>
      </c>
      <c r="Y35" t="n">
        <v>92.7119315769821</v>
      </c>
      <c r="Z35" t="n">
        <v>92.0217683146224</v>
      </c>
      <c r="AA35" t="n">
        <v>90.8318316553816</v>
      </c>
      <c r="AB35" t="n">
        <v>92.8806699633977</v>
      </c>
      <c r="AC35" t="n">
        <v>95.7831908997539</v>
      </c>
      <c r="AD35" t="n">
        <v>99.3527508090615</v>
      </c>
      <c r="AE35" t="n">
        <v>100</v>
      </c>
      <c r="AF35" t="n">
        <v>104.385964912281</v>
      </c>
    </row>
    <row r="36">
      <c r="A36" t="s">
        <v>82</v>
      </c>
      <c r="B36" t="s">
        <v>342</v>
      </c>
      <c r="C36" t="s">
        <v>236</v>
      </c>
      <c r="D36" t="s">
        <v>343</v>
      </c>
      <c r="E36" t="s">
        <v>237</v>
      </c>
      <c r="F36" t="n">
        <v>84.1453909312503</v>
      </c>
      <c r="G36" t="n">
        <v>84.1453909312503</v>
      </c>
      <c r="H36" t="n">
        <v>84.1453909312503</v>
      </c>
      <c r="I36" t="n">
        <v>86.7749343978519</v>
      </c>
      <c r="J36" t="n">
        <v>91.1136811177445</v>
      </c>
      <c r="K36" t="n">
        <v>91.1136811177445</v>
      </c>
      <c r="L36" t="n">
        <v>91.1136811177445</v>
      </c>
      <c r="M36" t="n">
        <v>91.1136811177445</v>
      </c>
      <c r="N36" t="n">
        <v>91.1136811177445</v>
      </c>
      <c r="O36" t="n">
        <v>91.1136811177445</v>
      </c>
      <c r="P36" t="n">
        <v>91.1136811177445</v>
      </c>
      <c r="Q36" t="n">
        <v>91.1136811177445</v>
      </c>
      <c r="R36" t="n">
        <v>91.1136811177445</v>
      </c>
      <c r="S36" t="n">
        <v>91.1136811177445</v>
      </c>
      <c r="T36" t="n">
        <v>91.1136811177445</v>
      </c>
      <c r="U36" t="n">
        <v>91.1136811177445</v>
      </c>
      <c r="V36" t="n">
        <v>91.1136811177445</v>
      </c>
      <c r="W36" t="n">
        <v>91.1136811177445</v>
      </c>
      <c r="X36" t="n">
        <v>91.1136811177445</v>
      </c>
      <c r="Y36" t="n">
        <v>91.9732441471572</v>
      </c>
      <c r="Z36" t="n">
        <v>91.9732441471572</v>
      </c>
      <c r="AA36" t="n">
        <v>91.9732441471572</v>
      </c>
      <c r="AB36" t="n">
        <v>91.9732441471572</v>
      </c>
      <c r="AC36" t="n">
        <v>95.6521739130435</v>
      </c>
      <c r="AD36" t="n">
        <v>100</v>
      </c>
      <c r="AE36" t="n">
        <v>100</v>
      </c>
      <c r="AF36" t="n">
        <v>100</v>
      </c>
    </row>
    <row r="37">
      <c r="A37" t="s">
        <v>82</v>
      </c>
      <c r="B37" t="s">
        <v>344</v>
      </c>
      <c r="C37" t="s">
        <v>236</v>
      </c>
      <c r="D37" t="s">
        <v>345</v>
      </c>
      <c r="E37" t="s">
        <v>237</v>
      </c>
      <c r="F37" t="n">
        <v>53.9311959104657</v>
      </c>
      <c r="G37" t="n">
        <v>53.9311959104657</v>
      </c>
      <c r="H37" t="n">
        <v>55.6607677909762</v>
      </c>
      <c r="I37" t="n">
        <v>55.9891499018374</v>
      </c>
      <c r="J37" t="n">
        <v>57.5748992454625</v>
      </c>
      <c r="K37" t="n">
        <v>60.917957911328</v>
      </c>
      <c r="L37" t="n">
        <v>63.2468134451615</v>
      </c>
      <c r="M37" t="n">
        <v>64.1884533475708</v>
      </c>
      <c r="N37" t="n">
        <v>65.8343111257137</v>
      </c>
      <c r="O37" t="n">
        <v>68.1044597852211</v>
      </c>
      <c r="P37" t="n">
        <v>71.5527868629538</v>
      </c>
      <c r="Q37" t="n">
        <v>75.9901689939897</v>
      </c>
      <c r="R37" t="n">
        <v>80.9326190098589</v>
      </c>
      <c r="S37" t="n">
        <v>86.9888013847463</v>
      </c>
      <c r="T37" t="n">
        <v>85.7549176771613</v>
      </c>
      <c r="U37" t="n">
        <v>87.3528353978537</v>
      </c>
      <c r="V37" t="n">
        <v>92.4537308955386</v>
      </c>
      <c r="W37" t="n">
        <v>96.7208261676404</v>
      </c>
      <c r="X37" t="n">
        <v>97.2436414442222</v>
      </c>
      <c r="Y37" t="n">
        <v>97.9432359869864</v>
      </c>
      <c r="Z37" t="n">
        <v>96.032148455533</v>
      </c>
      <c r="AA37" t="n">
        <v>94.7106051281633</v>
      </c>
      <c r="AB37" t="n">
        <v>97.3173190307733</v>
      </c>
      <c r="AC37" t="n">
        <v>100.327133021416</v>
      </c>
      <c r="AD37" t="n">
        <v>101.932367149758</v>
      </c>
      <c r="AE37" t="n">
        <v>100</v>
      </c>
      <c r="AF37" t="n">
        <v>106.632653061224</v>
      </c>
    </row>
    <row r="38">
      <c r="A38" t="s">
        <v>82</v>
      </c>
      <c r="B38" t="s">
        <v>346</v>
      </c>
      <c r="C38" t="s">
        <v>236</v>
      </c>
      <c r="D38" t="s">
        <v>347</v>
      </c>
      <c r="E38" t="s">
        <v>237</v>
      </c>
      <c r="F38" t="e">
        <v>#NUM!</v>
      </c>
      <c r="G38" t="e">
        <v>#NUM!</v>
      </c>
      <c r="H38" t="e">
        <v>#NUM!</v>
      </c>
      <c r="I38" t="e">
        <v>#NUM!</v>
      </c>
      <c r="J38" t="e">
        <v>#NUM!</v>
      </c>
      <c r="K38" t="e">
        <v>#NUM!</v>
      </c>
      <c r="L38" t="e">
        <v>#NUM!</v>
      </c>
      <c r="M38" t="e">
        <v>#NUM!</v>
      </c>
      <c r="N38" t="n">
        <v>0</v>
      </c>
      <c r="O38" t="n">
        <v>81.1976784724061</v>
      </c>
      <c r="P38" t="n">
        <v>81.1976784724061</v>
      </c>
      <c r="Q38" t="n">
        <v>81.1976784724061</v>
      </c>
      <c r="R38" t="n">
        <v>81.1976784724061</v>
      </c>
      <c r="S38" t="n">
        <v>81.1976784724061</v>
      </c>
      <c r="T38" t="n">
        <v>81.1976784724061</v>
      </c>
      <c r="U38" t="n">
        <v>81.1976784724061</v>
      </c>
      <c r="V38" t="n">
        <v>84.4455856113024</v>
      </c>
      <c r="W38" t="n">
        <v>89.4129730002025</v>
      </c>
      <c r="X38" t="n">
        <v>89.4129730002025</v>
      </c>
      <c r="Y38" t="n">
        <v>90.0818979852414</v>
      </c>
      <c r="Z38" t="n">
        <v>90.5585217841051</v>
      </c>
      <c r="AA38" t="n">
        <v>90.5585217841051</v>
      </c>
      <c r="AB38" t="n">
        <v>90.5585217841051</v>
      </c>
      <c r="AC38" t="n">
        <v>93.2483788668013</v>
      </c>
      <c r="AD38" t="n">
        <v>98.0440097799511</v>
      </c>
      <c r="AE38" t="n">
        <v>100</v>
      </c>
      <c r="AF38" t="n">
        <v>101.526717557252</v>
      </c>
    </row>
    <row r="39">
      <c r="A39" t="s">
        <v>82</v>
      </c>
      <c r="B39" t="s">
        <v>348</v>
      </c>
      <c r="C39" t="s">
        <v>236</v>
      </c>
      <c r="D39" t="s">
        <v>349</v>
      </c>
      <c r="E39" t="s">
        <v>237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81.3492063492063</v>
      </c>
      <c r="V39" t="n">
        <v>81.3492063492063</v>
      </c>
      <c r="W39" t="n">
        <v>81.3492063492063</v>
      </c>
      <c r="X39" t="n">
        <v>81.3492063492064</v>
      </c>
      <c r="Y39" t="n">
        <v>81.3492063492064</v>
      </c>
      <c r="Z39" t="n">
        <v>81.3492063492064</v>
      </c>
      <c r="AA39" t="n">
        <v>83.3333333333333</v>
      </c>
      <c r="AB39" t="n">
        <v>83.3333333333333</v>
      </c>
      <c r="AC39" t="n">
        <v>100</v>
      </c>
      <c r="AD39" t="n">
        <v>100</v>
      </c>
      <c r="AE39" t="n">
        <v>100</v>
      </c>
      <c r="AF39" t="n">
        <v>100</v>
      </c>
    </row>
    <row r="40">
      <c r="A40" t="s">
        <v>82</v>
      </c>
      <c r="B40" t="s">
        <v>350</v>
      </c>
      <c r="C40" t="s">
        <v>236</v>
      </c>
      <c r="D40" t="s">
        <v>351</v>
      </c>
      <c r="E40" t="s">
        <v>237</v>
      </c>
      <c r="F40" t="n">
        <v>56.3950704463347</v>
      </c>
      <c r="G40" t="n">
        <v>55.8183026804063</v>
      </c>
      <c r="H40" t="n">
        <v>54.7861007816221</v>
      </c>
      <c r="I40" t="n">
        <v>56.7941969058887</v>
      </c>
      <c r="J40" t="n">
        <v>60.046728006226</v>
      </c>
      <c r="K40" t="n">
        <v>61.9891341438075</v>
      </c>
      <c r="L40" t="n">
        <v>66.2143683408985</v>
      </c>
      <c r="M40" t="n">
        <v>65.4004375672728</v>
      </c>
      <c r="N40" t="n">
        <v>65.0196120379603</v>
      </c>
      <c r="O40" t="n">
        <v>66.6038235872723</v>
      </c>
      <c r="P40" t="n">
        <v>70.0389246086399</v>
      </c>
      <c r="Q40" t="n">
        <v>72.9048256947907</v>
      </c>
      <c r="R40" t="n">
        <v>77.6323961458278</v>
      </c>
      <c r="S40" t="n">
        <v>81.9571461329601</v>
      </c>
      <c r="T40" t="n">
        <v>80.8151349523572</v>
      </c>
      <c r="U40" t="n">
        <v>75.8195048044139</v>
      </c>
      <c r="V40" t="n">
        <v>77.415163086109</v>
      </c>
      <c r="W40" t="n">
        <v>82.209576071908</v>
      </c>
      <c r="X40" t="n">
        <v>83.862507229351</v>
      </c>
      <c r="Y40" t="n">
        <v>84.4100317596841</v>
      </c>
      <c r="Z40" t="n">
        <v>84.1612040016624</v>
      </c>
      <c r="AA40" t="n">
        <v>86.1021911788225</v>
      </c>
      <c r="AB40" t="n">
        <v>88.7481887482713</v>
      </c>
      <c r="AC40" t="n">
        <v>92.6806850768326</v>
      </c>
      <c r="AD40" t="n">
        <v>97.6441102756892</v>
      </c>
      <c r="AE40" t="n">
        <v>100</v>
      </c>
      <c r="AF40" t="n">
        <v>102.733180428135</v>
      </c>
    </row>
    <row r="41">
      <c r="A41" t="s">
        <v>82</v>
      </c>
      <c r="B41" t="s">
        <v>352</v>
      </c>
      <c r="C41" t="s">
        <v>236</v>
      </c>
      <c r="D41" t="s">
        <v>353</v>
      </c>
      <c r="E41" t="s">
        <v>237</v>
      </c>
      <c r="F41" t="n">
        <v>74.5926500207904</v>
      </c>
      <c r="G41" t="n">
        <v>70.8630175197509</v>
      </c>
      <c r="H41" t="n">
        <v>67.3198666437633</v>
      </c>
      <c r="I41" t="n">
        <v>67.3198666437633</v>
      </c>
      <c r="J41" t="n">
        <v>68.0516043246738</v>
      </c>
      <c r="K41" t="n">
        <v>69.7528944327906</v>
      </c>
      <c r="L41" t="n">
        <v>73.5233211588874</v>
      </c>
      <c r="M41" t="n">
        <v>73.5233211588874</v>
      </c>
      <c r="N41" t="n">
        <v>73.9799877499364</v>
      </c>
      <c r="O41" t="n">
        <v>75.8179998679472</v>
      </c>
      <c r="P41" t="n">
        <v>79.8978922375229</v>
      </c>
      <c r="Q41" t="n">
        <v>83.8434671628326</v>
      </c>
      <c r="R41" t="n">
        <v>88.2370112936361</v>
      </c>
      <c r="S41" t="n">
        <v>92.7305627947009</v>
      </c>
      <c r="T41" t="n">
        <v>91.6886463588054</v>
      </c>
      <c r="U41" t="n">
        <v>89.9048205541594</v>
      </c>
      <c r="V41" t="n">
        <v>91.4390325090085</v>
      </c>
      <c r="W41" t="n">
        <v>94.7762234764905</v>
      </c>
      <c r="X41" t="n">
        <v>96.3453662492801</v>
      </c>
      <c r="Y41" t="n">
        <v>95.848740650057</v>
      </c>
      <c r="Z41" t="n">
        <v>94.0696456959957</v>
      </c>
      <c r="AA41" t="n">
        <v>93.1986304580698</v>
      </c>
      <c r="AB41" t="n">
        <v>95.7175123623419</v>
      </c>
      <c r="AC41" t="n">
        <v>98.8439637711622</v>
      </c>
      <c r="AD41" t="n">
        <v>101.30890052356</v>
      </c>
      <c r="AE41" t="n">
        <v>100</v>
      </c>
      <c r="AF41" t="n">
        <v>105.384615384615</v>
      </c>
    </row>
    <row r="42">
      <c r="A42" t="s">
        <v>82</v>
      </c>
      <c r="B42" t="s">
        <v>354</v>
      </c>
      <c r="C42" t="s">
        <v>236</v>
      </c>
      <c r="D42" t="s">
        <v>355</v>
      </c>
      <c r="E42" t="s">
        <v>237</v>
      </c>
      <c r="F42" t="n">
        <v>75.9479048584921</v>
      </c>
      <c r="G42" t="n">
        <v>75.9479048584921</v>
      </c>
      <c r="H42" t="n">
        <v>75.9479048584921</v>
      </c>
      <c r="I42" t="n">
        <v>75.9479048584921</v>
      </c>
      <c r="J42" t="n">
        <v>75.9479048584921</v>
      </c>
      <c r="K42" t="n">
        <v>75.9479048584921</v>
      </c>
      <c r="L42" t="n">
        <v>75.9479048584921</v>
      </c>
      <c r="M42" t="n">
        <v>75.9479048584921</v>
      </c>
      <c r="N42" t="n">
        <v>75.9479048584921</v>
      </c>
      <c r="O42" t="n">
        <v>75.9479048584921</v>
      </c>
      <c r="P42" t="n">
        <v>77.7141352040384</v>
      </c>
      <c r="Q42" t="n">
        <v>79.7068053374753</v>
      </c>
      <c r="R42" t="n">
        <v>83.7425929494994</v>
      </c>
      <c r="S42" t="n">
        <v>88.3103707467448</v>
      </c>
      <c r="T42" t="n">
        <v>88.3103707467448</v>
      </c>
      <c r="U42" t="n">
        <v>83.1156430557598</v>
      </c>
      <c r="V42" t="n">
        <v>85.3824333209169</v>
      </c>
      <c r="W42" t="n">
        <v>89.9976999869124</v>
      </c>
      <c r="X42" t="n">
        <v>89.9976999869124</v>
      </c>
      <c r="Y42" t="n">
        <v>89.9976999869124</v>
      </c>
      <c r="Z42" t="n">
        <v>89.9976999869124</v>
      </c>
      <c r="AA42" t="n">
        <v>89.9976999869124</v>
      </c>
      <c r="AB42" t="n">
        <v>91.2476680422862</v>
      </c>
      <c r="AC42" t="n">
        <v>95.2585545496394</v>
      </c>
      <c r="AD42" t="n">
        <v>98.9795918367347</v>
      </c>
      <c r="AE42" t="n">
        <v>100</v>
      </c>
      <c r="AF42" t="n">
        <v>101.273885350318</v>
      </c>
    </row>
    <row r="43">
      <c r="A43" t="s">
        <v>82</v>
      </c>
      <c r="B43" t="s">
        <v>356</v>
      </c>
      <c r="C43" t="s">
        <v>236</v>
      </c>
      <c r="D43" t="s">
        <v>357</v>
      </c>
      <c r="E43" t="s">
        <v>237</v>
      </c>
      <c r="F43" t="n">
        <v>68.9518498373083</v>
      </c>
      <c r="G43" t="n">
        <v>68.9518498373083</v>
      </c>
      <c r="H43" t="n">
        <v>68.9518498373083</v>
      </c>
      <c r="I43" t="n">
        <v>69.847328406624</v>
      </c>
      <c r="J43" t="n">
        <v>71.7099238308007</v>
      </c>
      <c r="K43" t="n">
        <v>72.3928754863321</v>
      </c>
      <c r="L43" t="n">
        <v>76.1244670062461</v>
      </c>
      <c r="M43" t="n">
        <v>76.1244670062461</v>
      </c>
      <c r="N43" t="n">
        <v>76.1244670062461</v>
      </c>
      <c r="O43" t="n">
        <v>76.9609996107104</v>
      </c>
      <c r="P43" t="n">
        <v>78.7507902993315</v>
      </c>
      <c r="Q43" t="n">
        <v>80.7444811929855</v>
      </c>
      <c r="R43" t="n">
        <v>85.0922609495309</v>
      </c>
      <c r="S43" t="n">
        <v>89.7457439702084</v>
      </c>
      <c r="T43" t="n">
        <v>89.7457439702084</v>
      </c>
      <c r="U43" t="n">
        <v>84.9046872415249</v>
      </c>
      <c r="V43" t="n">
        <v>86.7707243237562</v>
      </c>
      <c r="W43" t="n">
        <v>90.4894696519172</v>
      </c>
      <c r="X43" t="n">
        <v>90.4894696519172</v>
      </c>
      <c r="Y43" t="n">
        <v>90.4894696519172</v>
      </c>
      <c r="Z43" t="n">
        <v>90.4894696519172</v>
      </c>
      <c r="AA43" t="n">
        <v>90.4894696519172</v>
      </c>
      <c r="AB43" t="n">
        <v>91.2251563970547</v>
      </c>
      <c r="AC43" t="n">
        <v>94.9486321683631</v>
      </c>
      <c r="AD43" t="n">
        <v>98.9417989417989</v>
      </c>
      <c r="AE43" t="n">
        <v>100</v>
      </c>
      <c r="AF43" t="n">
        <v>101.646706586826</v>
      </c>
    </row>
    <row r="44">
      <c r="A44" t="s">
        <v>82</v>
      </c>
      <c r="B44" t="s">
        <v>358</v>
      </c>
      <c r="C44" t="s">
        <v>236</v>
      </c>
      <c r="D44" t="s">
        <v>359</v>
      </c>
      <c r="E44" t="s">
        <v>237</v>
      </c>
      <c r="F44" t="n">
        <v>56.936507633544</v>
      </c>
      <c r="G44" t="n">
        <v>56.7560114839484</v>
      </c>
      <c r="H44" t="n">
        <v>57.6760684077003</v>
      </c>
      <c r="I44" t="n">
        <v>58.8942039204433</v>
      </c>
      <c r="J44" t="n">
        <v>60.814862201299</v>
      </c>
      <c r="K44" t="n">
        <v>63.1402407618274</v>
      </c>
      <c r="L44" t="n">
        <v>65.7097934675579</v>
      </c>
      <c r="M44" t="n">
        <v>66.1124718676376</v>
      </c>
      <c r="N44" t="n">
        <v>66.8059593347807</v>
      </c>
      <c r="O44" t="n">
        <v>68.5559783730966</v>
      </c>
      <c r="P44" t="n">
        <v>71.4368457107338</v>
      </c>
      <c r="Q44" t="n">
        <v>74.7514502797203</v>
      </c>
      <c r="R44" t="n">
        <v>79.8303221865504</v>
      </c>
      <c r="S44" t="n">
        <v>84.2902093450513</v>
      </c>
      <c r="T44" t="n">
        <v>83.9523728346503</v>
      </c>
      <c r="U44" t="n">
        <v>82.6391155716893</v>
      </c>
      <c r="V44" t="n">
        <v>85.5979718579545</v>
      </c>
      <c r="W44" t="n">
        <v>89.9831534449001</v>
      </c>
      <c r="X44" t="n">
        <v>91.1292001814621</v>
      </c>
      <c r="Y44" t="n">
        <v>91.3928333546003</v>
      </c>
      <c r="Z44" t="n">
        <v>90.7166841559226</v>
      </c>
      <c r="AA44" t="n">
        <v>91.0053488685273</v>
      </c>
      <c r="AB44" t="n">
        <v>93.128900147007</v>
      </c>
      <c r="AC44" t="n">
        <v>96.4873765933371</v>
      </c>
      <c r="AD44" t="n">
        <v>99.6093139553055</v>
      </c>
      <c r="AE44" t="n">
        <v>100</v>
      </c>
      <c r="AF44" t="n">
        <v>103.36348219333</v>
      </c>
    </row>
    <row r="45">
      <c r="A45" t="s">
        <v>82</v>
      </c>
      <c r="B45" t="s">
        <v>360</v>
      </c>
      <c r="C45" t="s">
        <v>236</v>
      </c>
      <c r="D45" t="s">
        <v>361</v>
      </c>
      <c r="E45" t="s">
        <v>237</v>
      </c>
      <c r="F45" t="n">
        <v>57.1239518335649</v>
      </c>
      <c r="G45" t="n">
        <v>56.9796994299448</v>
      </c>
      <c r="H45" t="n">
        <v>57.577221445779</v>
      </c>
      <c r="I45" t="n">
        <v>58.9285913989119</v>
      </c>
      <c r="J45" t="n">
        <v>61.1514558935591</v>
      </c>
      <c r="K45" t="n">
        <v>63.4548790782495</v>
      </c>
      <c r="L45" t="n">
        <v>66.373994933282</v>
      </c>
      <c r="M45" t="n">
        <v>66.5835235037484</v>
      </c>
      <c r="N45" t="n">
        <v>67.1699471969924</v>
      </c>
      <c r="O45" t="n">
        <v>68.9529947145463</v>
      </c>
      <c r="P45" t="n">
        <v>72.0276947265905</v>
      </c>
      <c r="Q45" t="n">
        <v>75.3459724361153</v>
      </c>
      <c r="R45" t="n">
        <v>80.0994579937463</v>
      </c>
      <c r="S45" t="n">
        <v>85.279099619208</v>
      </c>
      <c r="T45" t="n">
        <v>84.2362201352599</v>
      </c>
      <c r="U45" t="n">
        <v>83.0389148513566</v>
      </c>
      <c r="V45" t="n">
        <v>86.2852921809364</v>
      </c>
      <c r="W45" t="n">
        <v>90.7760730315086</v>
      </c>
      <c r="X45" t="n">
        <v>91.7753016084854</v>
      </c>
      <c r="Y45" t="n">
        <v>92.2795615074331</v>
      </c>
      <c r="Z45" t="n">
        <v>91.4902690702972</v>
      </c>
      <c r="AA45" t="n">
        <v>91.5812136717588</v>
      </c>
      <c r="AB45" t="n">
        <v>93.8422744526257</v>
      </c>
      <c r="AC45" t="n">
        <v>96.8231466999444</v>
      </c>
      <c r="AD45" t="n">
        <v>99.9089916272297</v>
      </c>
      <c r="AE45" t="n">
        <v>100</v>
      </c>
      <c r="AF45" t="n">
        <v>103.614457831325</v>
      </c>
    </row>
    <row r="46">
      <c r="A46" t="s">
        <v>82</v>
      </c>
      <c r="B46" t="s">
        <v>362</v>
      </c>
      <c r="C46" t="s">
        <v>236</v>
      </c>
      <c r="D46" t="s">
        <v>363</v>
      </c>
      <c r="E46" t="s">
        <v>237</v>
      </c>
      <c r="F46" t="n">
        <v>66.0988055137561</v>
      </c>
      <c r="G46" t="n">
        <v>66.0988055137561</v>
      </c>
      <c r="H46" t="n">
        <v>66.0988055137561</v>
      </c>
      <c r="I46" t="n">
        <v>67.6010510936142</v>
      </c>
      <c r="J46" t="n">
        <v>70.8986633420832</v>
      </c>
      <c r="K46" t="n">
        <v>72.0240389506877</v>
      </c>
      <c r="L46" t="n">
        <v>77.0961543697502</v>
      </c>
      <c r="M46" t="n">
        <v>77.0961543697502</v>
      </c>
      <c r="N46" t="n">
        <v>77.0961543697502</v>
      </c>
      <c r="O46" t="n">
        <v>78.2468432409405</v>
      </c>
      <c r="P46" t="n">
        <v>80.0665372697996</v>
      </c>
      <c r="Q46" t="n">
        <v>82.0682007015446</v>
      </c>
      <c r="R46" t="n">
        <v>86.8957419192825</v>
      </c>
      <c r="S46" t="n">
        <v>91.6571524354076</v>
      </c>
      <c r="T46" t="n">
        <v>91.6571524354076</v>
      </c>
      <c r="U46" t="n">
        <v>87.1494236271088</v>
      </c>
      <c r="V46" t="n">
        <v>88.3598322885964</v>
      </c>
      <c r="W46" t="n">
        <v>91.0374029640085</v>
      </c>
      <c r="X46" t="n">
        <v>91.0374029640085</v>
      </c>
      <c r="Y46" t="n">
        <v>91.0374029640085</v>
      </c>
      <c r="Z46" t="n">
        <v>91.0374029640085</v>
      </c>
      <c r="AA46" t="n">
        <v>91.0374029640085</v>
      </c>
      <c r="AB46" t="n">
        <v>91.0374029640085</v>
      </c>
      <c r="AC46" t="n">
        <v>94.5054945054945</v>
      </c>
      <c r="AD46" t="n">
        <v>98.9010989010989</v>
      </c>
      <c r="AE46" t="n">
        <v>100</v>
      </c>
      <c r="AF46" t="n">
        <v>101.761252446184</v>
      </c>
    </row>
    <row r="47">
      <c r="A47" t="s">
        <v>82</v>
      </c>
      <c r="B47" t="s">
        <v>364</v>
      </c>
      <c r="C47" t="s">
        <v>236</v>
      </c>
      <c r="D47" t="s">
        <v>365</v>
      </c>
      <c r="E47" t="s">
        <v>237</v>
      </c>
      <c r="F47" t="n">
        <v>56.1159885335539</v>
      </c>
      <c r="G47" t="n">
        <v>56.019320163987</v>
      </c>
      <c r="H47" t="n">
        <v>57.2148544357794</v>
      </c>
      <c r="I47" t="n">
        <v>57.8175389979541</v>
      </c>
      <c r="J47" t="n">
        <v>59.4796448418378</v>
      </c>
      <c r="K47" t="n">
        <v>62.4683601877475</v>
      </c>
      <c r="L47" t="n">
        <v>65.2147012148432</v>
      </c>
      <c r="M47" t="n">
        <v>65.7393244300616</v>
      </c>
      <c r="N47" t="n">
        <v>67.0525659286645</v>
      </c>
      <c r="O47" t="n">
        <v>69.348125888674</v>
      </c>
      <c r="P47" t="n">
        <v>72.7593039729277</v>
      </c>
      <c r="Q47" t="n">
        <v>77.0345623612326</v>
      </c>
      <c r="R47" t="n">
        <v>82.0214675907502</v>
      </c>
      <c r="S47" t="n">
        <v>88.5166489933977</v>
      </c>
      <c r="T47" t="n">
        <v>87.166721884566</v>
      </c>
      <c r="U47" t="n">
        <v>87.9935065094873</v>
      </c>
      <c r="V47" t="n">
        <v>92.5375727240216</v>
      </c>
      <c r="W47" t="n">
        <v>96.5558070440941</v>
      </c>
      <c r="X47" t="n">
        <v>97.943989573482</v>
      </c>
      <c r="Y47" t="n">
        <v>98.4928875886048</v>
      </c>
      <c r="Z47" t="n">
        <v>96.3888476683323</v>
      </c>
      <c r="AA47" t="n">
        <v>94.5567865605945</v>
      </c>
      <c r="AB47" t="n">
        <v>97.448664137498</v>
      </c>
      <c r="AC47" t="n">
        <v>100.335219993089</v>
      </c>
      <c r="AD47" t="n">
        <v>102.200328407225</v>
      </c>
      <c r="AE47" t="n">
        <v>100</v>
      </c>
      <c r="AF47" t="n">
        <v>106.586126266563</v>
      </c>
    </row>
    <row r="48">
      <c r="A48" t="s">
        <v>82</v>
      </c>
      <c r="B48" t="s">
        <v>366</v>
      </c>
      <c r="C48" t="s">
        <v>236</v>
      </c>
      <c r="D48" t="s">
        <v>367</v>
      </c>
      <c r="E48" t="s">
        <v>237</v>
      </c>
      <c r="F48" t="n">
        <v>56.3076548468296</v>
      </c>
      <c r="G48" t="n">
        <v>56.0973274274444</v>
      </c>
      <c r="H48" t="n">
        <v>56.6588354712844</v>
      </c>
      <c r="I48" t="n">
        <v>57.7071025475339</v>
      </c>
      <c r="J48" t="n">
        <v>59.8473752428527</v>
      </c>
      <c r="K48" t="n">
        <v>62.4650090587234</v>
      </c>
      <c r="L48" t="n">
        <v>65.7259123985454</v>
      </c>
      <c r="M48" t="n">
        <v>65.7985377161129</v>
      </c>
      <c r="N48" t="n">
        <v>66.4645613090509</v>
      </c>
      <c r="O48" t="n">
        <v>68.5082273554515</v>
      </c>
      <c r="P48" t="n">
        <v>71.8865830545579</v>
      </c>
      <c r="Q48" t="n">
        <v>75.585554152829</v>
      </c>
      <c r="R48" t="n">
        <v>80.5486257152928</v>
      </c>
      <c r="S48" t="n">
        <v>86.1580551895665</v>
      </c>
      <c r="T48" t="n">
        <v>84.924942287304</v>
      </c>
      <c r="U48" t="n">
        <v>83.1774220959297</v>
      </c>
      <c r="V48" t="n">
        <v>86.4314782938848</v>
      </c>
      <c r="W48" t="n">
        <v>90.5134106728477</v>
      </c>
      <c r="X48" t="n">
        <v>92.1526648064235</v>
      </c>
      <c r="Y48" t="n">
        <v>92.6861694345614</v>
      </c>
      <c r="Z48" t="n">
        <v>91.5933825475802</v>
      </c>
      <c r="AA48" t="n">
        <v>91.4710405406155</v>
      </c>
      <c r="AB48" t="n">
        <v>94.0074294288456</v>
      </c>
      <c r="AC48" t="n">
        <v>97.1257827819681</v>
      </c>
      <c r="AD48" t="n">
        <v>100.277585010409</v>
      </c>
      <c r="AE48" t="n">
        <v>100</v>
      </c>
      <c r="AF48" t="n">
        <v>104.20200462606</v>
      </c>
    </row>
    <row r="49">
      <c r="A49" t="s">
        <v>82</v>
      </c>
      <c r="B49" t="s">
        <v>368</v>
      </c>
      <c r="C49" t="s">
        <v>236</v>
      </c>
      <c r="D49" t="s">
        <v>369</v>
      </c>
      <c r="E49" t="s">
        <v>237</v>
      </c>
      <c r="F49" t="n">
        <v>57.3216491037377</v>
      </c>
      <c r="G49" t="n">
        <v>56.8714790845984</v>
      </c>
      <c r="H49" t="n">
        <v>56.3614209762164</v>
      </c>
      <c r="I49" t="n">
        <v>58.4109271935333</v>
      </c>
      <c r="J49" t="n">
        <v>61.6559787042852</v>
      </c>
      <c r="K49" t="n">
        <v>63.5579626231834</v>
      </c>
      <c r="L49" t="n">
        <v>67.6761891430441</v>
      </c>
      <c r="M49" t="n">
        <v>67.0825383610876</v>
      </c>
      <c r="N49" t="n">
        <v>66.7671032277283</v>
      </c>
      <c r="O49" t="n">
        <v>68.4901252465083</v>
      </c>
      <c r="P49" t="n">
        <v>71.8148886079893</v>
      </c>
      <c r="Q49" t="n">
        <v>74.6337907776487</v>
      </c>
      <c r="R49" t="n">
        <v>79.5919796754645</v>
      </c>
      <c r="S49" t="n">
        <v>83.9933794731861</v>
      </c>
      <c r="T49" t="n">
        <v>82.8697222227087</v>
      </c>
      <c r="U49" t="n">
        <v>77.5777698525085</v>
      </c>
      <c r="V49" t="n">
        <v>79.2874727693682</v>
      </c>
      <c r="W49" t="n">
        <v>83.4833426786961</v>
      </c>
      <c r="X49" t="n">
        <v>85.5031009693097</v>
      </c>
      <c r="Y49" t="n">
        <v>86.0158631940132</v>
      </c>
      <c r="Z49" t="n">
        <v>86.2087238738204</v>
      </c>
      <c r="AA49" t="n">
        <v>88.0347726515268</v>
      </c>
      <c r="AB49" t="n">
        <v>90.230414249724</v>
      </c>
      <c r="AC49" t="n">
        <v>93.5835715360313</v>
      </c>
      <c r="AD49" t="n">
        <v>98.1693363844394</v>
      </c>
      <c r="AE49" t="n">
        <v>100</v>
      </c>
      <c r="AF49" t="n">
        <v>101.882352941176</v>
      </c>
    </row>
    <row r="50">
      <c r="A50" t="s">
        <v>82</v>
      </c>
      <c r="B50" t="s">
        <v>370</v>
      </c>
      <c r="C50" t="s">
        <v>236</v>
      </c>
      <c r="D50" t="s">
        <v>371</v>
      </c>
      <c r="E50" t="s">
        <v>237</v>
      </c>
      <c r="F50" t="n">
        <v>57.265539474784</v>
      </c>
      <c r="G50" t="n">
        <v>56.9195241305255</v>
      </c>
      <c r="H50" t="n">
        <v>56.4172930352561</v>
      </c>
      <c r="I50" t="n">
        <v>58.121171012831</v>
      </c>
      <c r="J50" t="n">
        <v>61.2282776393031</v>
      </c>
      <c r="K50" t="n">
        <v>63.214059616794</v>
      </c>
      <c r="L50" t="n">
        <v>67.3709932423882</v>
      </c>
      <c r="M50" t="n">
        <v>66.7342163686416</v>
      </c>
      <c r="N50" t="n">
        <v>66.4799907824753</v>
      </c>
      <c r="O50" t="n">
        <v>68.0883776562449</v>
      </c>
      <c r="P50" t="n">
        <v>71.5358904489662</v>
      </c>
      <c r="Q50" t="n">
        <v>74.406896085714</v>
      </c>
      <c r="R50" t="n">
        <v>79.428220361437</v>
      </c>
      <c r="S50" t="n">
        <v>83.8584796644654</v>
      </c>
      <c r="T50" t="n">
        <v>82.8102486686595</v>
      </c>
      <c r="U50" t="n">
        <v>77.4777705346928</v>
      </c>
      <c r="V50" t="n">
        <v>79.1196835526466</v>
      </c>
      <c r="W50" t="n">
        <v>83.3841619092686</v>
      </c>
      <c r="X50" t="n">
        <v>85.3777541378686</v>
      </c>
      <c r="Y50" t="n">
        <v>85.9064089622517</v>
      </c>
      <c r="Z50" t="n">
        <v>86.1258378484899</v>
      </c>
      <c r="AA50" t="n">
        <v>88.1583059983067</v>
      </c>
      <c r="AB50" t="n">
        <v>90.2590380229172</v>
      </c>
      <c r="AC50" t="n">
        <v>93.7069639236228</v>
      </c>
      <c r="AD50" t="n">
        <v>98.0823863636364</v>
      </c>
      <c r="AE50" t="n">
        <v>100</v>
      </c>
      <c r="AF50" t="n">
        <v>101.855976243504</v>
      </c>
    </row>
    <row r="51">
      <c r="A51" t="s">
        <v>82</v>
      </c>
      <c r="B51" t="s">
        <v>372</v>
      </c>
      <c r="C51" t="s">
        <v>236</v>
      </c>
      <c r="D51" t="s">
        <v>373</v>
      </c>
      <c r="E51" t="s">
        <v>237</v>
      </c>
      <c r="F51" t="n">
        <v>56.6440473501612</v>
      </c>
      <c r="G51" t="n">
        <v>56.3007500934935</v>
      </c>
      <c r="H51" t="n">
        <v>55.9914053127601</v>
      </c>
      <c r="I51" t="n">
        <v>57.5254164172192</v>
      </c>
      <c r="J51" t="n">
        <v>60.6140293792176</v>
      </c>
      <c r="K51" t="n">
        <v>62.6922246722193</v>
      </c>
      <c r="L51" t="n">
        <v>66.5758138112064</v>
      </c>
      <c r="M51" t="n">
        <v>66.1449023949526</v>
      </c>
      <c r="N51" t="n">
        <v>65.9111748246524</v>
      </c>
      <c r="O51" t="n">
        <v>67.6327353611172</v>
      </c>
      <c r="P51" t="n">
        <v>71.2057855311385</v>
      </c>
      <c r="Q51" t="n">
        <v>74.1400898799491</v>
      </c>
      <c r="R51" t="n">
        <v>79.2455451710834</v>
      </c>
      <c r="S51" t="n">
        <v>83.8094247359102</v>
      </c>
      <c r="T51" t="n">
        <v>82.8037116390792</v>
      </c>
      <c r="U51" t="n">
        <v>77.5463331223123</v>
      </c>
      <c r="V51" t="n">
        <v>79.1731792717315</v>
      </c>
      <c r="W51" t="n">
        <v>83.4777404748547</v>
      </c>
      <c r="X51" t="n">
        <v>85.4857960876519</v>
      </c>
      <c r="Y51" t="n">
        <v>86.0794474493717</v>
      </c>
      <c r="Z51" t="n">
        <v>86.2707351103703</v>
      </c>
      <c r="AA51" t="n">
        <v>88.3280658363728</v>
      </c>
      <c r="AB51" t="n">
        <v>90.3974040002335</v>
      </c>
      <c r="AC51" t="n">
        <v>93.7662513542795</v>
      </c>
      <c r="AD51" t="n">
        <v>98.125</v>
      </c>
      <c r="AE51" t="n">
        <v>100</v>
      </c>
      <c r="AF51" t="n">
        <v>101.935483870968</v>
      </c>
    </row>
    <row r="52">
      <c r="A52" t="s">
        <v>82</v>
      </c>
      <c r="B52" t="s">
        <v>374</v>
      </c>
      <c r="C52" t="s">
        <v>236</v>
      </c>
      <c r="D52" t="s">
        <v>375</v>
      </c>
      <c r="E52" t="s">
        <v>237</v>
      </c>
      <c r="F52" t="n">
        <v>58.0082360114688</v>
      </c>
      <c r="G52" t="n">
        <v>57.6587888065804</v>
      </c>
      <c r="H52" t="n">
        <v>56.9289307204211</v>
      </c>
      <c r="I52" t="n">
        <v>58.8015929151718</v>
      </c>
      <c r="J52" t="n">
        <v>61.9330386917195</v>
      </c>
      <c r="K52" t="n">
        <v>63.8386706514647</v>
      </c>
      <c r="L52" t="n">
        <v>68.2925313945901</v>
      </c>
      <c r="M52" t="n">
        <v>67.3612696028457</v>
      </c>
      <c r="N52" t="n">
        <v>67.0829172491149</v>
      </c>
      <c r="O52" t="n">
        <v>68.5540338554552</v>
      </c>
      <c r="P52" t="n">
        <v>71.8341311691133</v>
      </c>
      <c r="Q52" t="n">
        <v>74.5969823679254</v>
      </c>
      <c r="R52" t="n">
        <v>79.5231981846752</v>
      </c>
      <c r="S52" t="n">
        <v>83.8101630463827</v>
      </c>
      <c r="T52" t="n">
        <v>82.7073977431409</v>
      </c>
      <c r="U52" t="n">
        <v>77.287824671653</v>
      </c>
      <c r="V52" t="n">
        <v>78.9473791891425</v>
      </c>
      <c r="W52" t="n">
        <v>83.149060434503</v>
      </c>
      <c r="X52" t="n">
        <v>85.1183802868991</v>
      </c>
      <c r="Y52" t="n">
        <v>85.5515527056619</v>
      </c>
      <c r="Z52" t="n">
        <v>85.8084642753486</v>
      </c>
      <c r="AA52" t="n">
        <v>87.7988667971995</v>
      </c>
      <c r="AB52" t="n">
        <v>89.9614004621551</v>
      </c>
      <c r="AC52" t="n">
        <v>93.5791511509817</v>
      </c>
      <c r="AD52" t="n">
        <v>97.9910714285714</v>
      </c>
      <c r="AE52" t="n">
        <v>100</v>
      </c>
      <c r="AF52" t="n">
        <v>101.678657074341</v>
      </c>
    </row>
    <row r="53">
      <c r="A53" t="s">
        <v>82</v>
      </c>
      <c r="B53" t="s">
        <v>376</v>
      </c>
      <c r="C53" t="s">
        <v>236</v>
      </c>
      <c r="D53" t="s">
        <v>377</v>
      </c>
      <c r="E53" t="s">
        <v>237</v>
      </c>
      <c r="F53" t="n">
        <v>57.3821447708377</v>
      </c>
      <c r="G53" t="n">
        <v>57.135869471392</v>
      </c>
      <c r="H53" t="n">
        <v>57.5857582073872</v>
      </c>
      <c r="I53" t="n">
        <v>59.0623161101407</v>
      </c>
      <c r="J53" t="n">
        <v>61.4895345804205</v>
      </c>
      <c r="K53" t="n">
        <v>63.9061538434065</v>
      </c>
      <c r="L53" t="n">
        <v>67.0726749797915</v>
      </c>
      <c r="M53" t="n">
        <v>67.0726749797915</v>
      </c>
      <c r="N53" t="n">
        <v>67.5096305171191</v>
      </c>
      <c r="O53" t="n">
        <v>69.3202336344365</v>
      </c>
      <c r="P53" t="n">
        <v>72.8301188817497</v>
      </c>
      <c r="Q53" t="n">
        <v>76.0314427886398</v>
      </c>
      <c r="R53" t="n">
        <v>80.5742019489674</v>
      </c>
      <c r="S53" t="n">
        <v>86.1770438063459</v>
      </c>
      <c r="T53" t="n">
        <v>85.0757397321434</v>
      </c>
      <c r="U53" t="n">
        <v>82.5403700050265</v>
      </c>
      <c r="V53" t="n">
        <v>85.3964381712904</v>
      </c>
      <c r="W53" t="n">
        <v>89.7142356069175</v>
      </c>
      <c r="X53" t="n">
        <v>91.2391234642588</v>
      </c>
      <c r="Y53" t="n">
        <v>91.8040715971645</v>
      </c>
      <c r="Z53" t="n">
        <v>90.9500802334699</v>
      </c>
      <c r="AA53" t="n">
        <v>91.1508530375173</v>
      </c>
      <c r="AB53" t="n">
        <v>93.511333295461</v>
      </c>
      <c r="AC53" t="n">
        <v>96.7107879338749</v>
      </c>
      <c r="AD53" t="n">
        <v>100.164744645799</v>
      </c>
      <c r="AE53" t="n">
        <v>100</v>
      </c>
      <c r="AF53" t="n">
        <v>103.81679389313</v>
      </c>
    </row>
    <row r="54">
      <c r="A54" t="s">
        <v>82</v>
      </c>
      <c r="B54" t="s">
        <v>378</v>
      </c>
      <c r="C54" t="s">
        <v>236</v>
      </c>
      <c r="D54" t="s">
        <v>379</v>
      </c>
      <c r="E54" t="s">
        <v>237</v>
      </c>
      <c r="F54" t="n">
        <v>59.6269503329748</v>
      </c>
      <c r="G54" t="n">
        <v>59.4220467235832</v>
      </c>
      <c r="H54" t="n">
        <v>59.5999570431148</v>
      </c>
      <c r="I54" t="n">
        <v>61.2303510047806</v>
      </c>
      <c r="J54" t="n">
        <v>63.963848817494</v>
      </c>
      <c r="K54" t="n">
        <v>66.1904384915207</v>
      </c>
      <c r="L54" t="n">
        <v>69.4035665736334</v>
      </c>
      <c r="M54" t="n">
        <v>69.1976212722279</v>
      </c>
      <c r="N54" t="n">
        <v>69.3663959582578</v>
      </c>
      <c r="O54" t="n">
        <v>71.1359468755603</v>
      </c>
      <c r="P54" t="n">
        <v>74.581277635915</v>
      </c>
      <c r="Q54" t="n">
        <v>77.5725053485854</v>
      </c>
      <c r="R54" t="n">
        <v>82.2958897492019</v>
      </c>
      <c r="S54" t="n">
        <v>87.0934079857024</v>
      </c>
      <c r="T54" t="n">
        <v>86.1405260602571</v>
      </c>
      <c r="U54" t="n">
        <v>82.7021437175157</v>
      </c>
      <c r="V54" t="n">
        <v>85.1109440199676</v>
      </c>
      <c r="W54" t="n">
        <v>89.1976908100705</v>
      </c>
      <c r="X54" t="n">
        <v>90.7031370684683</v>
      </c>
      <c r="Y54" t="n">
        <v>91.3173795316859</v>
      </c>
      <c r="Z54" t="n">
        <v>90.6359065501061</v>
      </c>
      <c r="AA54" t="n">
        <v>91.1249492113477</v>
      </c>
      <c r="AB54" t="n">
        <v>93.4106920845421</v>
      </c>
      <c r="AC54" t="n">
        <v>96.5879265091863</v>
      </c>
      <c r="AD54" t="n">
        <v>100</v>
      </c>
      <c r="AE54" t="n">
        <v>100</v>
      </c>
      <c r="AF54" t="n">
        <v>103.259259259259</v>
      </c>
    </row>
    <row r="55">
      <c r="A55" t="s">
        <v>82</v>
      </c>
      <c r="B55" t="s">
        <v>380</v>
      </c>
      <c r="C55" t="s">
        <v>236</v>
      </c>
      <c r="D55" t="s">
        <v>381</v>
      </c>
      <c r="E55" t="s">
        <v>237</v>
      </c>
      <c r="F55" t="n">
        <v>64.8612275268708</v>
      </c>
      <c r="G55" t="n">
        <v>64.8612275268708</v>
      </c>
      <c r="H55" t="n">
        <v>64.0504621827849</v>
      </c>
      <c r="I55" t="n">
        <v>66.0731083569781</v>
      </c>
      <c r="J55" t="n">
        <v>69.4614728881052</v>
      </c>
      <c r="K55" t="n">
        <v>71.0582883567972</v>
      </c>
      <c r="L55" t="n">
        <v>74.3253360973396</v>
      </c>
      <c r="M55" t="n">
        <v>73.3962693961229</v>
      </c>
      <c r="N55" t="n">
        <v>72.6836842563547</v>
      </c>
      <c r="O55" t="n">
        <v>74.3481961095537</v>
      </c>
      <c r="P55" t="n">
        <v>77.6090819038323</v>
      </c>
      <c r="Q55" t="n">
        <v>79.9143021584016</v>
      </c>
      <c r="R55" t="n">
        <v>85.0464133061889</v>
      </c>
      <c r="S55" t="n">
        <v>87.9994137682093</v>
      </c>
      <c r="T55" t="n">
        <v>87.3883067281523</v>
      </c>
      <c r="U55" t="n">
        <v>82.3659902495229</v>
      </c>
      <c r="V55" t="n">
        <v>83.705274643824</v>
      </c>
      <c r="W55" t="n">
        <v>87.1079280846299</v>
      </c>
      <c r="X55" t="n">
        <v>88.5477285488386</v>
      </c>
      <c r="Y55" t="n">
        <v>89.2856262867456</v>
      </c>
      <c r="Z55" t="n">
        <v>89.2856262867456</v>
      </c>
      <c r="AA55" t="n">
        <v>91.0193277680417</v>
      </c>
      <c r="AB55" t="n">
        <v>92.9155637632092</v>
      </c>
      <c r="AC55" t="n">
        <v>95.9454191033138</v>
      </c>
      <c r="AD55" t="n">
        <v>99.0740740740741</v>
      </c>
      <c r="AE55" t="n">
        <v>100</v>
      </c>
      <c r="AF55" t="n">
        <v>101.324503311258</v>
      </c>
    </row>
    <row r="56">
      <c r="A56" t="s">
        <v>82</v>
      </c>
      <c r="B56" t="s">
        <v>382</v>
      </c>
      <c r="C56" t="s">
        <v>236</v>
      </c>
      <c r="D56" t="s">
        <v>383</v>
      </c>
      <c r="E56" t="s">
        <v>237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82</v>
      </c>
      <c r="B57" t="s">
        <v>384</v>
      </c>
      <c r="C57" t="s">
        <v>236</v>
      </c>
      <c r="D57" t="s">
        <v>385</v>
      </c>
      <c r="E57" t="s">
        <v>237</v>
      </c>
      <c r="F57" t="n">
        <v>56.3160365848787</v>
      </c>
      <c r="G57" t="n">
        <v>56.0643110503495</v>
      </c>
      <c r="H57" t="n">
        <v>56.6091915465001</v>
      </c>
      <c r="I57" t="n">
        <v>57.921942098521</v>
      </c>
      <c r="J57" t="n">
        <v>60.2134320520415</v>
      </c>
      <c r="K57" t="n">
        <v>62.4950321063462</v>
      </c>
      <c r="L57" t="n">
        <v>65.8475758431585</v>
      </c>
      <c r="M57" t="n">
        <v>65.7627480481915</v>
      </c>
      <c r="N57" t="n">
        <v>66.1333259138975</v>
      </c>
      <c r="O57" t="n">
        <v>67.9236515935044</v>
      </c>
      <c r="P57" t="n">
        <v>71.1672166471823</v>
      </c>
      <c r="Q57" t="n">
        <v>74.4289028318898</v>
      </c>
      <c r="R57" t="n">
        <v>79.3488091352916</v>
      </c>
      <c r="S57" t="n">
        <v>84.0386234430876</v>
      </c>
      <c r="T57" t="n">
        <v>83.1496716823145</v>
      </c>
      <c r="U57" t="n">
        <v>80.5268339518634</v>
      </c>
      <c r="V57" t="n">
        <v>83.0717857795874</v>
      </c>
      <c r="W57" t="n">
        <v>87.5441274933409</v>
      </c>
      <c r="X57" t="n">
        <v>89.0140725600538</v>
      </c>
      <c r="Y57" t="n">
        <v>89.4474094920793</v>
      </c>
      <c r="Z57" t="n">
        <v>88.7948003400376</v>
      </c>
      <c r="AA57" t="n">
        <v>89.4728064511549</v>
      </c>
      <c r="AB57" t="n">
        <v>91.8739287611077</v>
      </c>
      <c r="AC57" t="n">
        <v>95.3578132410084</v>
      </c>
      <c r="AD57" t="n">
        <v>99.1734626405114</v>
      </c>
      <c r="AE57" t="n">
        <v>100</v>
      </c>
      <c r="AF57" t="n">
        <v>103.423639689072</v>
      </c>
    </row>
    <row r="58">
      <c r="A58" t="s">
        <v>82</v>
      </c>
      <c r="B58" t="s">
        <v>386</v>
      </c>
      <c r="C58" t="s">
        <v>236</v>
      </c>
      <c r="D58" t="s">
        <v>387</v>
      </c>
      <c r="E58" t="s">
        <v>237</v>
      </c>
      <c r="F58" t="n">
        <v>56.3160365848787</v>
      </c>
      <c r="G58" t="n">
        <v>56.0643110503495</v>
      </c>
      <c r="H58" t="n">
        <v>56.6091915465001</v>
      </c>
      <c r="I58" t="n">
        <v>57.921942098521</v>
      </c>
      <c r="J58" t="n">
        <v>60.2134320520415</v>
      </c>
      <c r="K58" t="n">
        <v>62.4950321063462</v>
      </c>
      <c r="L58" t="n">
        <v>65.8475758431585</v>
      </c>
      <c r="M58" t="n">
        <v>65.7627480481915</v>
      </c>
      <c r="N58" t="n">
        <v>66.1333259138975</v>
      </c>
      <c r="O58" t="n">
        <v>67.9236515935044</v>
      </c>
      <c r="P58" t="n">
        <v>71.1672166471823</v>
      </c>
      <c r="Q58" t="n">
        <v>74.4289028318898</v>
      </c>
      <c r="R58" t="n">
        <v>79.3488091352916</v>
      </c>
      <c r="S58" t="n">
        <v>84.0386234430876</v>
      </c>
      <c r="T58" t="n">
        <v>83.1496716823145</v>
      </c>
      <c r="U58" t="n">
        <v>80.5268339518634</v>
      </c>
      <c r="V58" t="n">
        <v>83.0717857795874</v>
      </c>
      <c r="W58" t="n">
        <v>87.5441274933409</v>
      </c>
      <c r="X58" t="n">
        <v>89.0140725600538</v>
      </c>
      <c r="Y58" t="n">
        <v>89.4474094920793</v>
      </c>
      <c r="Z58" t="n">
        <v>88.7948003400376</v>
      </c>
      <c r="AA58" t="n">
        <v>89.4728064511549</v>
      </c>
      <c r="AB58" t="n">
        <v>91.8739287611077</v>
      </c>
      <c r="AC58" t="n">
        <v>95.3578132410084</v>
      </c>
      <c r="AD58" t="n">
        <v>99.1734626405114</v>
      </c>
      <c r="AE58" t="n">
        <v>100</v>
      </c>
      <c r="AF58" t="n">
        <v>103.423639689072</v>
      </c>
    </row>
    <row r="59">
      <c r="A59" t="s">
        <v>82</v>
      </c>
      <c r="B59" t="s">
        <v>388</v>
      </c>
      <c r="C59" t="s">
        <v>236</v>
      </c>
      <c r="D59" t="s">
        <v>389</v>
      </c>
      <c r="E59" t="s">
        <v>237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84</v>
      </c>
      <c r="B2" t="s">
        <v>197</v>
      </c>
      <c r="C2" t="s">
        <v>236</v>
      </c>
      <c r="D2" t="s">
        <v>199</v>
      </c>
      <c r="E2" t="s">
        <v>237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84</v>
      </c>
      <c r="B3" t="s">
        <v>276</v>
      </c>
      <c r="C3" t="s">
        <v>236</v>
      </c>
      <c r="D3" t="s">
        <v>277</v>
      </c>
      <c r="E3" t="s">
        <v>237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84</v>
      </c>
      <c r="B4" t="s">
        <v>278</v>
      </c>
      <c r="C4" t="s">
        <v>236</v>
      </c>
      <c r="D4" t="s">
        <v>279</v>
      </c>
      <c r="E4" t="s">
        <v>237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84</v>
      </c>
      <c r="B5" t="s">
        <v>280</v>
      </c>
      <c r="C5" t="s">
        <v>236</v>
      </c>
      <c r="D5" t="s">
        <v>281</v>
      </c>
      <c r="E5" t="s">
        <v>237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84</v>
      </c>
      <c r="B6" t="s">
        <v>282</v>
      </c>
      <c r="C6" t="s">
        <v>236</v>
      </c>
      <c r="D6" t="s">
        <v>283</v>
      </c>
      <c r="E6" t="s">
        <v>237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84</v>
      </c>
      <c r="B7" t="s">
        <v>284</v>
      </c>
      <c r="C7" t="s">
        <v>236</v>
      </c>
      <c r="D7" t="s">
        <v>285</v>
      </c>
      <c r="E7" t="s">
        <v>237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84</v>
      </c>
      <c r="B8" t="s">
        <v>286</v>
      </c>
      <c r="C8" t="s">
        <v>236</v>
      </c>
      <c r="D8" t="s">
        <v>287</v>
      </c>
      <c r="E8" t="s">
        <v>237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84</v>
      </c>
      <c r="B9" t="s">
        <v>288</v>
      </c>
      <c r="C9" t="s">
        <v>236</v>
      </c>
      <c r="D9" t="s">
        <v>289</v>
      </c>
      <c r="E9" t="s">
        <v>237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84</v>
      </c>
      <c r="B10" t="s">
        <v>290</v>
      </c>
      <c r="C10" t="s">
        <v>236</v>
      </c>
      <c r="D10" t="s">
        <v>291</v>
      </c>
      <c r="E10" t="s">
        <v>237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84</v>
      </c>
      <c r="B11" t="s">
        <v>292</v>
      </c>
      <c r="C11" t="s">
        <v>236</v>
      </c>
      <c r="D11" t="s">
        <v>293</v>
      </c>
      <c r="E11" t="s">
        <v>237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84</v>
      </c>
      <c r="B12" t="s">
        <v>294</v>
      </c>
      <c r="C12" t="s">
        <v>236</v>
      </c>
      <c r="D12" t="s">
        <v>295</v>
      </c>
      <c r="E12" t="s">
        <v>237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84</v>
      </c>
      <c r="B13" t="s">
        <v>296</v>
      </c>
      <c r="C13" t="s">
        <v>236</v>
      </c>
      <c r="D13" t="s">
        <v>297</v>
      </c>
      <c r="E13" t="s">
        <v>237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84</v>
      </c>
      <c r="B14" t="s">
        <v>298</v>
      </c>
      <c r="C14" t="s">
        <v>236</v>
      </c>
      <c r="D14" t="s">
        <v>299</v>
      </c>
      <c r="E14" t="s">
        <v>237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84</v>
      </c>
      <c r="B15" t="s">
        <v>300</v>
      </c>
      <c r="C15" t="s">
        <v>236</v>
      </c>
      <c r="D15" t="s">
        <v>301</v>
      </c>
      <c r="E15" t="s">
        <v>237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84</v>
      </c>
      <c r="B16" t="s">
        <v>302</v>
      </c>
      <c r="C16" t="s">
        <v>236</v>
      </c>
      <c r="D16" t="s">
        <v>303</v>
      </c>
      <c r="E16" t="s">
        <v>237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84</v>
      </c>
      <c r="B17" t="s">
        <v>304</v>
      </c>
      <c r="C17" t="s">
        <v>236</v>
      </c>
      <c r="D17" t="s">
        <v>305</v>
      </c>
      <c r="E17" t="s">
        <v>237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84</v>
      </c>
      <c r="B18" t="s">
        <v>306</v>
      </c>
      <c r="C18" t="s">
        <v>236</v>
      </c>
      <c r="D18" t="s">
        <v>307</v>
      </c>
      <c r="E18" t="s">
        <v>237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84</v>
      </c>
      <c r="B19" t="s">
        <v>308</v>
      </c>
      <c r="C19" t="s">
        <v>236</v>
      </c>
      <c r="D19" t="s">
        <v>309</v>
      </c>
      <c r="E19" t="s">
        <v>237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84</v>
      </c>
      <c r="B20" t="s">
        <v>310</v>
      </c>
      <c r="C20" t="s">
        <v>236</v>
      </c>
      <c r="D20" t="s">
        <v>311</v>
      </c>
      <c r="E20" t="s">
        <v>237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84</v>
      </c>
      <c r="B21" t="s">
        <v>312</v>
      </c>
      <c r="C21" t="s">
        <v>236</v>
      </c>
      <c r="D21" t="s">
        <v>313</v>
      </c>
      <c r="E21" t="s">
        <v>237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84</v>
      </c>
      <c r="B22" t="s">
        <v>314</v>
      </c>
      <c r="C22" t="s">
        <v>236</v>
      </c>
      <c r="D22" t="s">
        <v>315</v>
      </c>
      <c r="E22" t="s">
        <v>237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84</v>
      </c>
      <c r="B23" t="s">
        <v>316</v>
      </c>
      <c r="C23" t="s">
        <v>236</v>
      </c>
      <c r="D23" t="s">
        <v>317</v>
      </c>
      <c r="E23" t="s">
        <v>237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84</v>
      </c>
      <c r="B24" t="s">
        <v>318</v>
      </c>
      <c r="C24" t="s">
        <v>236</v>
      </c>
      <c r="D24" t="s">
        <v>319</v>
      </c>
      <c r="E24" t="s">
        <v>237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84</v>
      </c>
      <c r="B25" t="s">
        <v>320</v>
      </c>
      <c r="C25" t="s">
        <v>236</v>
      </c>
      <c r="D25" t="s">
        <v>321</v>
      </c>
      <c r="E25" t="s">
        <v>237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84</v>
      </c>
      <c r="B26" t="s">
        <v>322</v>
      </c>
      <c r="C26" t="s">
        <v>236</v>
      </c>
      <c r="D26" t="s">
        <v>323</v>
      </c>
      <c r="E26" t="s">
        <v>237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84</v>
      </c>
      <c r="B27" t="s">
        <v>324</v>
      </c>
      <c r="C27" t="s">
        <v>236</v>
      </c>
      <c r="D27" t="s">
        <v>325</v>
      </c>
      <c r="E27" t="s">
        <v>237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84</v>
      </c>
      <c r="B28" t="s">
        <v>326</v>
      </c>
      <c r="C28" t="s">
        <v>236</v>
      </c>
      <c r="D28" t="s">
        <v>327</v>
      </c>
      <c r="E28" t="s">
        <v>237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84</v>
      </c>
      <c r="B29" t="s">
        <v>328</v>
      </c>
      <c r="C29" t="s">
        <v>236</v>
      </c>
      <c r="D29" t="s">
        <v>329</v>
      </c>
      <c r="E29" t="s">
        <v>237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84</v>
      </c>
      <c r="B30" t="s">
        <v>330</v>
      </c>
      <c r="C30" t="s">
        <v>236</v>
      </c>
      <c r="D30" t="s">
        <v>331</v>
      </c>
      <c r="E30" t="s">
        <v>237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84</v>
      </c>
      <c r="B31" t="s">
        <v>332</v>
      </c>
      <c r="C31" t="s">
        <v>236</v>
      </c>
      <c r="D31" t="s">
        <v>333</v>
      </c>
      <c r="E31" t="s">
        <v>237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84</v>
      </c>
      <c r="B32" t="s">
        <v>334</v>
      </c>
      <c r="C32" t="s">
        <v>236</v>
      </c>
      <c r="D32" t="s">
        <v>335</v>
      </c>
      <c r="E32" t="s">
        <v>237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84</v>
      </c>
      <c r="B33" t="s">
        <v>336</v>
      </c>
      <c r="C33" t="s">
        <v>236</v>
      </c>
      <c r="D33" t="s">
        <v>337</v>
      </c>
      <c r="E33" t="s">
        <v>237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84</v>
      </c>
      <c r="B34" t="s">
        <v>338</v>
      </c>
      <c r="C34" t="s">
        <v>236</v>
      </c>
      <c r="D34" t="s">
        <v>339</v>
      </c>
      <c r="E34" t="s">
        <v>237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84</v>
      </c>
      <c r="B35" t="s">
        <v>340</v>
      </c>
      <c r="C35" t="s">
        <v>236</v>
      </c>
      <c r="D35" t="s">
        <v>341</v>
      </c>
      <c r="E35" t="s">
        <v>237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84</v>
      </c>
      <c r="B36" t="s">
        <v>342</v>
      </c>
      <c r="C36" t="s">
        <v>236</v>
      </c>
      <c r="D36" t="s">
        <v>343</v>
      </c>
      <c r="E36" t="s">
        <v>237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84</v>
      </c>
      <c r="B37" t="s">
        <v>344</v>
      </c>
      <c r="C37" t="s">
        <v>236</v>
      </c>
      <c r="D37" t="s">
        <v>345</v>
      </c>
      <c r="E37" t="s">
        <v>237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84</v>
      </c>
      <c r="B38" t="s">
        <v>346</v>
      </c>
      <c r="C38" t="s">
        <v>236</v>
      </c>
      <c r="D38" t="s">
        <v>347</v>
      </c>
      <c r="E38" t="s">
        <v>237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84</v>
      </c>
      <c r="B39" t="s">
        <v>348</v>
      </c>
      <c r="C39" t="s">
        <v>236</v>
      </c>
      <c r="D39" t="s">
        <v>349</v>
      </c>
      <c r="E39" t="s">
        <v>237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84</v>
      </c>
      <c r="B40" t="s">
        <v>350</v>
      </c>
      <c r="C40" t="s">
        <v>236</v>
      </c>
      <c r="D40" t="s">
        <v>351</v>
      </c>
      <c r="E40" t="s">
        <v>237</v>
      </c>
      <c r="F40" t="n">
        <v>51.5917923832061</v>
      </c>
      <c r="G40" t="n">
        <v>51.1664315434227</v>
      </c>
      <c r="H40" t="n">
        <v>53.4518786204489</v>
      </c>
      <c r="I40" t="n">
        <v>56.8480414458689</v>
      </c>
      <c r="J40" t="n">
        <v>59.0971898746333</v>
      </c>
      <c r="K40" t="n">
        <v>63.3990781275638</v>
      </c>
      <c r="L40" t="n">
        <v>66.0107365323324</v>
      </c>
      <c r="M40" t="n">
        <v>64.6347962189956</v>
      </c>
      <c r="N40" t="n">
        <v>64.6966107282308</v>
      </c>
      <c r="O40" t="n">
        <v>66.2872832488197</v>
      </c>
      <c r="P40" t="n">
        <v>69.7458077040404</v>
      </c>
      <c r="Q40" t="n">
        <v>72.4405609814701</v>
      </c>
      <c r="R40" t="n">
        <v>77.2054726956835</v>
      </c>
      <c r="S40" t="n">
        <v>81.1812395579816</v>
      </c>
      <c r="T40" t="n">
        <v>78.6563112410207</v>
      </c>
      <c r="U40" t="n">
        <v>75.8849281704032</v>
      </c>
      <c r="V40" t="n">
        <v>78.5196961877347</v>
      </c>
      <c r="W40" t="n">
        <v>82.5613755965116</v>
      </c>
      <c r="X40" t="n">
        <v>84.0808307821315</v>
      </c>
      <c r="Y40" t="n">
        <v>84.6480210417964</v>
      </c>
      <c r="Z40" t="n">
        <v>85.0786628022634</v>
      </c>
      <c r="AA40" t="n">
        <v>87.1881516191541</v>
      </c>
      <c r="AB40" t="n">
        <v>90.1099905142336</v>
      </c>
      <c r="AC40" t="n">
        <v>93.9616216810883</v>
      </c>
      <c r="AD40" t="n">
        <v>98.1598445281185</v>
      </c>
      <c r="AE40" t="n">
        <v>100</v>
      </c>
      <c r="AF40" t="n">
        <v>102.296376031575</v>
      </c>
    </row>
    <row r="41">
      <c r="A41" t="s">
        <v>84</v>
      </c>
      <c r="B41" t="s">
        <v>352</v>
      </c>
      <c r="C41" t="s">
        <v>236</v>
      </c>
      <c r="D41" t="s">
        <v>353</v>
      </c>
      <c r="E41" t="s">
        <v>237</v>
      </c>
      <c r="F41" t="n">
        <v>51.5904218190231</v>
      </c>
      <c r="G41" t="n">
        <v>51.1684806528405</v>
      </c>
      <c r="H41" t="n">
        <v>53.4522715972328</v>
      </c>
      <c r="I41" t="n">
        <v>56.8529870822117</v>
      </c>
      <c r="J41" t="n">
        <v>59.098922280657</v>
      </c>
      <c r="K41" t="n">
        <v>63.4079981259145</v>
      </c>
      <c r="L41" t="n">
        <v>66.0242321071037</v>
      </c>
      <c r="M41" t="n">
        <v>64.6643580083069</v>
      </c>
      <c r="N41" t="n">
        <v>64.7260999160169</v>
      </c>
      <c r="O41" t="n">
        <v>66.3134131846973</v>
      </c>
      <c r="P41" t="n">
        <v>69.7693753785334</v>
      </c>
      <c r="Q41" t="n">
        <v>72.4627977768674</v>
      </c>
      <c r="R41" t="n">
        <v>77.2241807281351</v>
      </c>
      <c r="S41" t="n">
        <v>81.2070131713653</v>
      </c>
      <c r="T41" t="n">
        <v>78.6846817388678</v>
      </c>
      <c r="U41" t="n">
        <v>75.9151090143867</v>
      </c>
      <c r="V41" t="n">
        <v>78.5529398632538</v>
      </c>
      <c r="W41" t="n">
        <v>82.4342884635698</v>
      </c>
      <c r="X41" t="n">
        <v>84.1520102910504</v>
      </c>
      <c r="Y41" t="n">
        <v>84.7561606094442</v>
      </c>
      <c r="Z41" t="n">
        <v>85.152052993441</v>
      </c>
      <c r="AA41" t="n">
        <v>87.2339907762314</v>
      </c>
      <c r="AB41" t="n">
        <v>90.1528347432422</v>
      </c>
      <c r="AC41" t="n">
        <v>93.9788698351025</v>
      </c>
      <c r="AD41" t="n">
        <v>98.1664656212304</v>
      </c>
      <c r="AE41" t="n">
        <v>100</v>
      </c>
      <c r="AF41" t="n">
        <v>102.180660565062</v>
      </c>
    </row>
    <row r="42">
      <c r="A42" t="s">
        <v>84</v>
      </c>
      <c r="B42" t="s">
        <v>354</v>
      </c>
      <c r="C42" t="s">
        <v>236</v>
      </c>
      <c r="D42" t="s">
        <v>355</v>
      </c>
      <c r="E42" t="s">
        <v>237</v>
      </c>
      <c r="F42" t="n">
        <v>0</v>
      </c>
      <c r="G42" t="n">
        <v>0</v>
      </c>
      <c r="H42" t="n">
        <v>0</v>
      </c>
      <c r="I42" t="n">
        <v>0</v>
      </c>
      <c r="J42" t="e">
        <v>#NUM!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84</v>
      </c>
      <c r="B43" t="s">
        <v>356</v>
      </c>
      <c r="C43" t="s">
        <v>236</v>
      </c>
      <c r="D43" t="s">
        <v>357</v>
      </c>
      <c r="E43" t="s">
        <v>237</v>
      </c>
      <c r="F43" t="n">
        <v>0</v>
      </c>
      <c r="G43" t="n">
        <v>0</v>
      </c>
      <c r="H43" t="n">
        <v>0</v>
      </c>
      <c r="I43" t="n">
        <v>0</v>
      </c>
      <c r="J43" t="e">
        <v>#NUM!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84</v>
      </c>
      <c r="B44" t="s">
        <v>358</v>
      </c>
      <c r="C44" t="s">
        <v>236</v>
      </c>
      <c r="D44" t="s">
        <v>359</v>
      </c>
      <c r="E44" t="s">
        <v>237</v>
      </c>
      <c r="F44" t="n">
        <v>0</v>
      </c>
      <c r="G44" t="n">
        <v>0</v>
      </c>
      <c r="H44" t="n">
        <v>0</v>
      </c>
      <c r="I44" t="e">
        <v>#NUM!</v>
      </c>
      <c r="J44" t="e">
        <v>#NUM!</v>
      </c>
      <c r="K44" t="e">
        <v>#NUM!</v>
      </c>
      <c r="L44" t="e">
        <v>#NUM!</v>
      </c>
      <c r="M44" t="n">
        <v>0</v>
      </c>
      <c r="N44" t="e">
        <v>#NUM!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e">
        <v>#NUM!</v>
      </c>
      <c r="AB44" t="e">
        <v>#NUM!</v>
      </c>
      <c r="AC44" t="e">
        <v>#NUM!</v>
      </c>
      <c r="AD44" t="e">
        <v>#NUM!</v>
      </c>
      <c r="AE44" t="n">
        <v>0</v>
      </c>
      <c r="AF44" t="e">
        <v>#NUM!</v>
      </c>
    </row>
    <row r="45">
      <c r="A45" t="s">
        <v>84</v>
      </c>
      <c r="B45" t="s">
        <v>360</v>
      </c>
      <c r="C45" t="s">
        <v>236</v>
      </c>
      <c r="D45" t="s">
        <v>361</v>
      </c>
      <c r="E45" t="s">
        <v>237</v>
      </c>
      <c r="F45" t="n">
        <v>0</v>
      </c>
      <c r="G45" t="n">
        <v>0</v>
      </c>
      <c r="H45" t="n">
        <v>0</v>
      </c>
      <c r="I45" t="e">
        <v>#NUM!</v>
      </c>
      <c r="J45" t="e">
        <v>#NUM!</v>
      </c>
      <c r="K45" t="e">
        <v>#NUM!</v>
      </c>
      <c r="L45" t="e">
        <v>#NUM!</v>
      </c>
      <c r="M45" t="n">
        <v>0</v>
      </c>
      <c r="N45" t="e">
        <v>#NUM!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e">
        <v>#NUM!</v>
      </c>
      <c r="AB45" t="e">
        <v>#NUM!</v>
      </c>
      <c r="AC45" t="e">
        <v>#NUM!</v>
      </c>
      <c r="AD45" t="e">
        <v>#NUM!</v>
      </c>
      <c r="AE45" t="n">
        <v>0</v>
      </c>
      <c r="AF45" t="e">
        <v>#NUM!</v>
      </c>
    </row>
    <row r="46">
      <c r="A46" t="s">
        <v>84</v>
      </c>
      <c r="B46" t="s">
        <v>362</v>
      </c>
      <c r="C46" t="s">
        <v>236</v>
      </c>
      <c r="D46" t="s">
        <v>363</v>
      </c>
      <c r="E46" t="s">
        <v>237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84</v>
      </c>
      <c r="B47" t="s">
        <v>364</v>
      </c>
      <c r="C47" t="s">
        <v>236</v>
      </c>
      <c r="D47" t="s">
        <v>365</v>
      </c>
      <c r="E47" t="s">
        <v>237</v>
      </c>
      <c r="F47" t="n">
        <v>52.2624716553288</v>
      </c>
      <c r="G47" t="n">
        <v>52.2624716553288</v>
      </c>
      <c r="H47" t="n">
        <v>54.0646258503401</v>
      </c>
      <c r="I47" t="n">
        <v>54.0646258503401</v>
      </c>
      <c r="J47" t="n">
        <v>54.0646258503401</v>
      </c>
      <c r="K47" t="n">
        <v>72.0861678004535</v>
      </c>
      <c r="L47" t="n">
        <v>78.0933484504913</v>
      </c>
      <c r="M47" t="n">
        <v>78.0933484504913</v>
      </c>
      <c r="N47" t="n">
        <v>78.0933484504913</v>
      </c>
      <c r="O47" t="n">
        <v>78.0933484504913</v>
      </c>
      <c r="P47" t="n">
        <v>78.0933484504913</v>
      </c>
      <c r="Q47" t="n">
        <v>81.0969387755102</v>
      </c>
      <c r="R47" t="n">
        <v>87.3351648351648</v>
      </c>
      <c r="S47" t="n">
        <v>92.4725274725275</v>
      </c>
      <c r="T47" t="n">
        <v>87.032967032967</v>
      </c>
      <c r="U47" t="n">
        <v>87.032967032967</v>
      </c>
      <c r="V47" t="n">
        <v>94.2857142857143</v>
      </c>
      <c r="W47" t="n">
        <v>100</v>
      </c>
      <c r="X47" t="n">
        <v>100</v>
      </c>
      <c r="Y47" t="n">
        <v>100</v>
      </c>
      <c r="Z47" t="n">
        <v>100</v>
      </c>
      <c r="AA47" t="n">
        <v>100</v>
      </c>
      <c r="AB47" t="n">
        <v>100</v>
      </c>
      <c r="AC47" t="n">
        <v>100</v>
      </c>
      <c r="AD47" t="n">
        <v>100</v>
      </c>
      <c r="AE47" t="n">
        <v>100</v>
      </c>
      <c r="AF47" t="n">
        <v>100</v>
      </c>
    </row>
    <row r="48">
      <c r="A48" t="s">
        <v>84</v>
      </c>
      <c r="B48" t="s">
        <v>366</v>
      </c>
      <c r="C48" t="s">
        <v>236</v>
      </c>
      <c r="D48" t="s">
        <v>367</v>
      </c>
      <c r="E48" t="s">
        <v>237</v>
      </c>
      <c r="F48" t="e">
        <v>#NUM!</v>
      </c>
      <c r="G48" t="e">
        <v>#NUM!</v>
      </c>
      <c r="H48" t="e">
        <v>#NUM!</v>
      </c>
      <c r="I48" t="n">
        <v>0</v>
      </c>
      <c r="J48" t="e">
        <v>#NUM!</v>
      </c>
      <c r="K48" t="e">
        <v>#NUM!</v>
      </c>
      <c r="L48" t="e">
        <v>#NUM!</v>
      </c>
      <c r="M48" t="e">
        <v>#NUM!</v>
      </c>
      <c r="N48" t="e">
        <v>#NUM!</v>
      </c>
      <c r="O48" t="e">
        <v>#NUM!</v>
      </c>
      <c r="P48" t="e">
        <v>#NUM!</v>
      </c>
      <c r="Q48" t="e">
        <v>#NUM!</v>
      </c>
      <c r="R48" t="e">
        <v>#NUM!</v>
      </c>
      <c r="S48" t="e">
        <v>#NUM!</v>
      </c>
      <c r="T48" t="e">
        <v>#NUM!</v>
      </c>
      <c r="U48" t="e">
        <v>#NUM!</v>
      </c>
      <c r="V48" t="e">
        <v>#NUM!</v>
      </c>
      <c r="W48" t="e">
        <v>#NUM!</v>
      </c>
      <c r="X48" t="e">
        <v>#NUM!</v>
      </c>
      <c r="Y48" t="e">
        <v>#NUM!</v>
      </c>
      <c r="Z48" t="e">
        <v>#NUM!</v>
      </c>
      <c r="AA48" t="n">
        <v>0</v>
      </c>
      <c r="AB48" t="n">
        <v>100</v>
      </c>
      <c r="AC48" t="n">
        <v>100</v>
      </c>
      <c r="AD48" t="n">
        <v>100</v>
      </c>
      <c r="AE48" t="n">
        <v>100</v>
      </c>
      <c r="AF48" t="n">
        <v>100</v>
      </c>
    </row>
    <row r="49">
      <c r="A49" t="s">
        <v>84</v>
      </c>
      <c r="B49" t="s">
        <v>368</v>
      </c>
      <c r="C49" t="s">
        <v>236</v>
      </c>
      <c r="D49" t="s">
        <v>369</v>
      </c>
      <c r="E49" t="s">
        <v>237</v>
      </c>
      <c r="F49" t="e">
        <v>#NUM!</v>
      </c>
      <c r="G49" t="e">
        <v>#NUM!</v>
      </c>
      <c r="H49" t="e">
        <v>#NUM!</v>
      </c>
      <c r="I49" t="e">
        <v>#NUM!</v>
      </c>
      <c r="J49" t="n">
        <v>0</v>
      </c>
      <c r="K49" t="n">
        <v>0</v>
      </c>
      <c r="L49" t="n">
        <v>0</v>
      </c>
      <c r="M49" t="n">
        <v>0</v>
      </c>
      <c r="N49" t="e">
        <v>#NUM!</v>
      </c>
      <c r="O49" t="e">
        <v>#NUM!</v>
      </c>
      <c r="P49" t="n">
        <v>0</v>
      </c>
      <c r="Q49" t="e">
        <v>#NUM!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100</v>
      </c>
      <c r="AA49" t="n">
        <v>100</v>
      </c>
      <c r="AB49" t="n">
        <v>100</v>
      </c>
      <c r="AC49" t="n">
        <v>100</v>
      </c>
      <c r="AD49" t="n">
        <v>100</v>
      </c>
      <c r="AE49" t="n">
        <v>100</v>
      </c>
      <c r="AF49" t="n">
        <v>100</v>
      </c>
    </row>
    <row r="50">
      <c r="A50" t="s">
        <v>84</v>
      </c>
      <c r="B50" t="s">
        <v>370</v>
      </c>
      <c r="C50" t="s">
        <v>236</v>
      </c>
      <c r="D50" t="s">
        <v>371</v>
      </c>
      <c r="E50" t="s">
        <v>237</v>
      </c>
      <c r="F50" t="e">
        <v>#NUM!</v>
      </c>
      <c r="G50" t="e">
        <v>#NUM!</v>
      </c>
      <c r="H50" t="e">
        <v>#NUM!</v>
      </c>
      <c r="I50" t="e">
        <v>#NUM!</v>
      </c>
      <c r="J50" t="e">
        <v>#NUM!</v>
      </c>
      <c r="K50" t="e">
        <v>#NUM!</v>
      </c>
      <c r="L50" t="e">
        <v>#NUM!</v>
      </c>
      <c r="M50" t="e">
        <v>#NUM!</v>
      </c>
      <c r="N50" t="n">
        <v>0</v>
      </c>
      <c r="O50" t="n">
        <v>91.6666666666666</v>
      </c>
      <c r="P50" t="n">
        <v>91.6666666666667</v>
      </c>
      <c r="Q50" t="n">
        <v>91.6666666666667</v>
      </c>
      <c r="R50" t="n">
        <v>91.6666666666667</v>
      </c>
      <c r="S50" t="n">
        <v>100</v>
      </c>
      <c r="T50" t="n">
        <v>100</v>
      </c>
      <c r="U50" t="n">
        <v>100</v>
      </c>
      <c r="V50" t="n">
        <v>100</v>
      </c>
      <c r="W50" t="n">
        <v>100</v>
      </c>
      <c r="X50" t="n">
        <v>100</v>
      </c>
      <c r="Y50" t="n">
        <v>100</v>
      </c>
      <c r="Z50" t="n">
        <v>100</v>
      </c>
      <c r="AA50" t="n">
        <v>100</v>
      </c>
      <c r="AB50" t="n">
        <v>100</v>
      </c>
      <c r="AC50" t="n">
        <v>100</v>
      </c>
      <c r="AD50" t="n">
        <v>100</v>
      </c>
      <c r="AE50" t="n">
        <v>100</v>
      </c>
      <c r="AF50" t="n">
        <v>100</v>
      </c>
    </row>
    <row r="51">
      <c r="A51" t="s">
        <v>84</v>
      </c>
      <c r="B51" t="s">
        <v>372</v>
      </c>
      <c r="C51" t="s">
        <v>236</v>
      </c>
      <c r="D51" t="s">
        <v>373</v>
      </c>
      <c r="E51" t="s">
        <v>237</v>
      </c>
      <c r="F51" t="e">
        <v>#NUM!</v>
      </c>
      <c r="G51" t="e">
        <v>#NUM!</v>
      </c>
      <c r="H51" t="e">
        <v>#NUM!</v>
      </c>
      <c r="I51" t="e">
        <v>#NUM!</v>
      </c>
      <c r="J51" t="n">
        <v>0</v>
      </c>
      <c r="K51" t="e">
        <v>#NUM!</v>
      </c>
      <c r="L51" t="e">
        <v>#NUM!</v>
      </c>
      <c r="M51" t="e">
        <v>#NUM!</v>
      </c>
      <c r="N51" t="e">
        <v>#NUM!</v>
      </c>
      <c r="O51" t="n">
        <v>0</v>
      </c>
      <c r="P51" t="e">
        <v>#NUM!</v>
      </c>
      <c r="Q51" t="e">
        <v>#NUM!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e">
        <v>#NUM!</v>
      </c>
      <c r="X51" t="e">
        <v>#NUM!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e">
        <v>#NUM!</v>
      </c>
      <c r="AE51" t="n">
        <v>0</v>
      </c>
      <c r="AF51" t="e">
        <v>#NUM!</v>
      </c>
    </row>
    <row r="52">
      <c r="A52" t="s">
        <v>84</v>
      </c>
      <c r="B52" t="s">
        <v>374</v>
      </c>
      <c r="C52" t="s">
        <v>236</v>
      </c>
      <c r="D52" t="s">
        <v>375</v>
      </c>
      <c r="E52" t="s">
        <v>237</v>
      </c>
      <c r="F52" t="n">
        <v>91.6666666666666</v>
      </c>
      <c r="G52" t="n">
        <v>91.6666666666666</v>
      </c>
      <c r="H52" t="n">
        <v>91.6666666666666</v>
      </c>
      <c r="I52" t="n">
        <v>91.6666666666666</v>
      </c>
      <c r="J52" t="n">
        <v>91.6666666666666</v>
      </c>
      <c r="K52" t="n">
        <v>91.6666666666666</v>
      </c>
      <c r="L52" t="n">
        <v>91.6666666666666</v>
      </c>
      <c r="M52" t="n">
        <v>91.6666666666667</v>
      </c>
      <c r="N52" t="n">
        <v>91.6666666666667</v>
      </c>
      <c r="O52" t="n">
        <v>91.6666666666667</v>
      </c>
      <c r="P52" t="n">
        <v>91.6666666666667</v>
      </c>
      <c r="Q52" t="n">
        <v>91.6666666666667</v>
      </c>
      <c r="R52" t="n">
        <v>91.6666666666667</v>
      </c>
      <c r="S52" t="n">
        <v>100</v>
      </c>
      <c r="T52" t="n">
        <v>100</v>
      </c>
      <c r="U52" t="n">
        <v>100</v>
      </c>
      <c r="V52" t="n">
        <v>100</v>
      </c>
      <c r="W52" t="n">
        <v>100</v>
      </c>
      <c r="X52" t="n">
        <v>100</v>
      </c>
      <c r="Y52" t="n">
        <v>100</v>
      </c>
      <c r="Z52" t="n">
        <v>100</v>
      </c>
      <c r="AA52" t="n">
        <v>100</v>
      </c>
      <c r="AB52" t="n">
        <v>100</v>
      </c>
      <c r="AC52" t="n">
        <v>100</v>
      </c>
      <c r="AD52" t="n">
        <v>100</v>
      </c>
      <c r="AE52" t="n">
        <v>100</v>
      </c>
      <c r="AF52" t="n">
        <v>100</v>
      </c>
    </row>
    <row r="53">
      <c r="A53" t="s">
        <v>84</v>
      </c>
      <c r="B53" t="s">
        <v>376</v>
      </c>
      <c r="C53" t="s">
        <v>236</v>
      </c>
      <c r="D53" t="s">
        <v>377</v>
      </c>
      <c r="E53" t="s">
        <v>237</v>
      </c>
      <c r="F53" t="n">
        <v>0</v>
      </c>
      <c r="G53" t="n">
        <v>0</v>
      </c>
      <c r="H53" t="n">
        <v>0</v>
      </c>
      <c r="I53" t="e">
        <v>#NUM!</v>
      </c>
      <c r="J53" t="e">
        <v>#NUM!</v>
      </c>
      <c r="K53" t="e">
        <v>#NUM!</v>
      </c>
      <c r="L53" t="e">
        <v>#NUM!</v>
      </c>
      <c r="M53" t="n">
        <v>0</v>
      </c>
      <c r="N53" t="e">
        <v>#NUM!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e">
        <v>#NUM!</v>
      </c>
      <c r="AB53" t="e">
        <v>#NUM!</v>
      </c>
      <c r="AC53" t="e">
        <v>#NUM!</v>
      </c>
      <c r="AD53" t="e">
        <v>#NUM!</v>
      </c>
      <c r="AE53" t="n">
        <v>0</v>
      </c>
      <c r="AF53" t="e">
        <v>#NUM!</v>
      </c>
    </row>
    <row r="54">
      <c r="A54" t="s">
        <v>84</v>
      </c>
      <c r="B54" t="s">
        <v>378</v>
      </c>
      <c r="C54" t="s">
        <v>236</v>
      </c>
      <c r="D54" t="s">
        <v>379</v>
      </c>
      <c r="E54" t="s">
        <v>237</v>
      </c>
      <c r="F54" t="n">
        <v>0</v>
      </c>
      <c r="G54" t="n">
        <v>0</v>
      </c>
      <c r="H54" t="n">
        <v>0</v>
      </c>
      <c r="I54" t="e">
        <v>#NUM!</v>
      </c>
      <c r="J54" t="e">
        <v>#NUM!</v>
      </c>
      <c r="K54" t="e">
        <v>#NUM!</v>
      </c>
      <c r="L54" t="e">
        <v>#NUM!</v>
      </c>
      <c r="M54" t="n">
        <v>0</v>
      </c>
      <c r="N54" t="e">
        <v>#NUM!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e">
        <v>#NUM!</v>
      </c>
      <c r="AB54" t="e">
        <v>#NUM!</v>
      </c>
      <c r="AC54" t="e">
        <v>#NUM!</v>
      </c>
      <c r="AD54" t="e">
        <v>#NUM!</v>
      </c>
      <c r="AE54" t="n">
        <v>0</v>
      </c>
      <c r="AF54" t="e">
        <v>#NUM!</v>
      </c>
    </row>
    <row r="55">
      <c r="A55" t="s">
        <v>84</v>
      </c>
      <c r="B55" t="s">
        <v>380</v>
      </c>
      <c r="C55" t="s">
        <v>236</v>
      </c>
      <c r="D55" t="s">
        <v>381</v>
      </c>
      <c r="E55" t="s">
        <v>237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84</v>
      </c>
      <c r="B56" t="s">
        <v>382</v>
      </c>
      <c r="C56" t="s">
        <v>236</v>
      </c>
      <c r="D56" t="s">
        <v>383</v>
      </c>
      <c r="E56" t="s">
        <v>237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84</v>
      </c>
      <c r="B57" t="s">
        <v>384</v>
      </c>
      <c r="C57" t="s">
        <v>236</v>
      </c>
      <c r="D57" t="s">
        <v>385</v>
      </c>
      <c r="E57" t="s">
        <v>237</v>
      </c>
      <c r="F57" t="n">
        <v>51.6146214066423</v>
      </c>
      <c r="G57" t="n">
        <v>51.1862842995332</v>
      </c>
      <c r="H57" t="n">
        <v>53.4649247737004</v>
      </c>
      <c r="I57" t="n">
        <v>56.8624801392765</v>
      </c>
      <c r="J57" t="n">
        <v>59.1105885074817</v>
      </c>
      <c r="K57" t="n">
        <v>63.4046520520798</v>
      </c>
      <c r="L57" t="n">
        <v>66.0222753019363</v>
      </c>
      <c r="M57" t="n">
        <v>64.6471693336585</v>
      </c>
      <c r="N57" t="n">
        <v>64.7089439818512</v>
      </c>
      <c r="O57" t="n">
        <v>66.2988955024353</v>
      </c>
      <c r="P57" t="n">
        <v>69.7559565540578</v>
      </c>
      <c r="Q57" t="n">
        <v>72.4501466218415</v>
      </c>
      <c r="R57" t="n">
        <v>77.2113552436736</v>
      </c>
      <c r="S57" t="n">
        <v>81.1895890769833</v>
      </c>
      <c r="T57" t="n">
        <v>78.6686703427054</v>
      </c>
      <c r="U57" t="n">
        <v>75.8966272808117</v>
      </c>
      <c r="V57" t="n">
        <v>78.5274534981287</v>
      </c>
      <c r="W57" t="n">
        <v>82.5648547062587</v>
      </c>
      <c r="X57" t="n">
        <v>84.0861610302332</v>
      </c>
      <c r="Y57" t="n">
        <v>84.653987192914</v>
      </c>
      <c r="Z57" t="n">
        <v>85.0844539957383</v>
      </c>
      <c r="AA57" t="n">
        <v>87.1939356716829</v>
      </c>
      <c r="AB57" t="n">
        <v>90.1147649281204</v>
      </c>
      <c r="AC57" t="n">
        <v>93.9670859004574</v>
      </c>
      <c r="AD57" t="n">
        <v>98.162411304506</v>
      </c>
      <c r="AE57" t="n">
        <v>100</v>
      </c>
      <c r="AF57" t="n">
        <v>102.294455066922</v>
      </c>
    </row>
    <row r="58">
      <c r="A58" t="s">
        <v>84</v>
      </c>
      <c r="B58" t="s">
        <v>386</v>
      </c>
      <c r="C58" t="s">
        <v>236</v>
      </c>
      <c r="D58" t="s">
        <v>387</v>
      </c>
      <c r="E58" t="s">
        <v>237</v>
      </c>
      <c r="F58" t="n">
        <v>51.6146214066423</v>
      </c>
      <c r="G58" t="n">
        <v>51.1862842995332</v>
      </c>
      <c r="H58" t="n">
        <v>53.4649247737004</v>
      </c>
      <c r="I58" t="n">
        <v>56.8624801392765</v>
      </c>
      <c r="J58" t="n">
        <v>59.1105885074817</v>
      </c>
      <c r="K58" t="n">
        <v>63.4046520520798</v>
      </c>
      <c r="L58" t="n">
        <v>66.0222753019363</v>
      </c>
      <c r="M58" t="n">
        <v>64.6471693336585</v>
      </c>
      <c r="N58" t="n">
        <v>64.7089439818512</v>
      </c>
      <c r="O58" t="n">
        <v>66.2988955024353</v>
      </c>
      <c r="P58" t="n">
        <v>69.7559565540578</v>
      </c>
      <c r="Q58" t="n">
        <v>72.4501466218415</v>
      </c>
      <c r="R58" t="n">
        <v>77.2113552436736</v>
      </c>
      <c r="S58" t="n">
        <v>81.1895890769833</v>
      </c>
      <c r="T58" t="n">
        <v>78.6686703427054</v>
      </c>
      <c r="U58" t="n">
        <v>75.8966272808117</v>
      </c>
      <c r="V58" t="n">
        <v>78.5274534981287</v>
      </c>
      <c r="W58" t="n">
        <v>82.5648547062587</v>
      </c>
      <c r="X58" t="n">
        <v>84.0861610302332</v>
      </c>
      <c r="Y58" t="n">
        <v>84.653987192914</v>
      </c>
      <c r="Z58" t="n">
        <v>85.0844539957383</v>
      </c>
      <c r="AA58" t="n">
        <v>87.1939356716829</v>
      </c>
      <c r="AB58" t="n">
        <v>90.1147649281204</v>
      </c>
      <c r="AC58" t="n">
        <v>93.9670859004574</v>
      </c>
      <c r="AD58" t="n">
        <v>98.162411304506</v>
      </c>
      <c r="AE58" t="n">
        <v>100</v>
      </c>
      <c r="AF58" t="n">
        <v>102.294455066922</v>
      </c>
    </row>
    <row r="59">
      <c r="A59" t="s">
        <v>84</v>
      </c>
      <c r="B59" t="s">
        <v>388</v>
      </c>
      <c r="C59" t="s">
        <v>236</v>
      </c>
      <c r="D59" t="s">
        <v>389</v>
      </c>
      <c r="E59" t="s">
        <v>237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86</v>
      </c>
      <c r="B2" t="s">
        <v>197</v>
      </c>
      <c r="C2" t="s">
        <v>236</v>
      </c>
      <c r="D2" t="s">
        <v>199</v>
      </c>
      <c r="E2" t="s">
        <v>237</v>
      </c>
      <c r="F2" t="n">
        <v>63.4513789629191</v>
      </c>
      <c r="G2" t="n">
        <v>47.0010214540141</v>
      </c>
      <c r="H2" t="n">
        <v>60.0568607467958</v>
      </c>
      <c r="I2" t="n">
        <v>53.928609650184</v>
      </c>
      <c r="J2" t="n">
        <v>56.3799100888287</v>
      </c>
      <c r="K2" t="n">
        <v>67.6558921065945</v>
      </c>
      <c r="L2" t="n">
        <v>69.0366245985658</v>
      </c>
      <c r="M2" t="n">
        <v>82.0624028247103</v>
      </c>
      <c r="N2" t="n">
        <v>82.0624028247103</v>
      </c>
      <c r="O2" t="n">
        <v>70.935297356953</v>
      </c>
      <c r="P2" t="n">
        <v>79.4475330397873</v>
      </c>
      <c r="Q2" t="n">
        <v>72.8269052864717</v>
      </c>
      <c r="R2" t="n">
        <v>74.5205542466222</v>
      </c>
      <c r="S2" t="n">
        <v>79.6015011270737</v>
      </c>
      <c r="T2" t="n">
        <v>79.6015011270737</v>
      </c>
      <c r="U2" t="n">
        <v>79.6015011270737</v>
      </c>
      <c r="V2" t="n">
        <v>82.0890480372948</v>
      </c>
      <c r="W2" t="n">
        <v>87.9525514685301</v>
      </c>
      <c r="X2" t="n">
        <v>92.8388043278929</v>
      </c>
      <c r="Y2" t="n">
        <v>89.1252521547772</v>
      </c>
      <c r="Z2" t="n">
        <v>89.1252521547772</v>
      </c>
      <c r="AA2" t="n">
        <v>89.1252521547772</v>
      </c>
      <c r="AB2" t="n">
        <v>89.1252521547772</v>
      </c>
      <c r="AC2" t="n">
        <v>94.0766550522648</v>
      </c>
      <c r="AD2" t="n">
        <v>97.5609756097561</v>
      </c>
      <c r="AE2" t="n">
        <v>100</v>
      </c>
      <c r="AF2" t="n">
        <v>100</v>
      </c>
    </row>
    <row r="3">
      <c r="A3" t="s">
        <v>86</v>
      </c>
      <c r="B3" t="s">
        <v>276</v>
      </c>
      <c r="C3" t="s">
        <v>236</v>
      </c>
      <c r="D3" t="s">
        <v>277</v>
      </c>
      <c r="E3" t="s">
        <v>237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86</v>
      </c>
      <c r="B4" t="s">
        <v>278</v>
      </c>
      <c r="C4" t="s">
        <v>236</v>
      </c>
      <c r="D4" t="s">
        <v>279</v>
      </c>
      <c r="E4" t="s">
        <v>237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86</v>
      </c>
      <c r="B5" t="s">
        <v>280</v>
      </c>
      <c r="C5" t="s">
        <v>236</v>
      </c>
      <c r="D5" t="s">
        <v>281</v>
      </c>
      <c r="E5" t="s">
        <v>237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86</v>
      </c>
      <c r="B6" t="s">
        <v>282</v>
      </c>
      <c r="C6" t="s">
        <v>236</v>
      </c>
      <c r="D6" t="s">
        <v>283</v>
      </c>
      <c r="E6" t="s">
        <v>237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86</v>
      </c>
      <c r="B7" t="s">
        <v>284</v>
      </c>
      <c r="C7" t="s">
        <v>236</v>
      </c>
      <c r="D7" t="s">
        <v>285</v>
      </c>
      <c r="E7" t="s">
        <v>237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86</v>
      </c>
      <c r="B8" t="s">
        <v>286</v>
      </c>
      <c r="C8" t="s">
        <v>236</v>
      </c>
      <c r="D8" t="s">
        <v>287</v>
      </c>
      <c r="E8" t="s">
        <v>237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86</v>
      </c>
      <c r="B9" t="s">
        <v>288</v>
      </c>
      <c r="C9" t="s">
        <v>236</v>
      </c>
      <c r="D9" t="s">
        <v>289</v>
      </c>
      <c r="E9" t="s">
        <v>237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86</v>
      </c>
      <c r="B10" t="s">
        <v>290</v>
      </c>
      <c r="C10" t="s">
        <v>236</v>
      </c>
      <c r="D10" t="s">
        <v>291</v>
      </c>
      <c r="E10" t="s">
        <v>237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86</v>
      </c>
      <c r="B11" t="s">
        <v>292</v>
      </c>
      <c r="C11" t="s">
        <v>236</v>
      </c>
      <c r="D11" t="s">
        <v>293</v>
      </c>
      <c r="E11" t="s">
        <v>237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86</v>
      </c>
      <c r="B12" t="s">
        <v>294</v>
      </c>
      <c r="C12" t="s">
        <v>236</v>
      </c>
      <c r="D12" t="s">
        <v>295</v>
      </c>
      <c r="E12" t="s">
        <v>237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86</v>
      </c>
      <c r="B13" t="s">
        <v>296</v>
      </c>
      <c r="C13" t="s">
        <v>236</v>
      </c>
      <c r="D13" t="s">
        <v>297</v>
      </c>
      <c r="E13" t="s">
        <v>237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86</v>
      </c>
      <c r="B14" t="s">
        <v>298</v>
      </c>
      <c r="C14" t="s">
        <v>236</v>
      </c>
      <c r="D14" t="s">
        <v>299</v>
      </c>
      <c r="E14" t="s">
        <v>237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86</v>
      </c>
      <c r="B15" t="s">
        <v>300</v>
      </c>
      <c r="C15" t="s">
        <v>236</v>
      </c>
      <c r="D15" t="s">
        <v>301</v>
      </c>
      <c r="E15" t="s">
        <v>237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86</v>
      </c>
      <c r="B16" t="s">
        <v>302</v>
      </c>
      <c r="C16" t="s">
        <v>236</v>
      </c>
      <c r="D16" t="s">
        <v>303</v>
      </c>
      <c r="E16" t="s">
        <v>237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86</v>
      </c>
      <c r="B17" t="s">
        <v>304</v>
      </c>
      <c r="C17" t="s">
        <v>236</v>
      </c>
      <c r="D17" t="s">
        <v>305</v>
      </c>
      <c r="E17" t="s">
        <v>237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86</v>
      </c>
      <c r="B18" t="s">
        <v>306</v>
      </c>
      <c r="C18" t="s">
        <v>236</v>
      </c>
      <c r="D18" t="s">
        <v>307</v>
      </c>
      <c r="E18" t="s">
        <v>237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86</v>
      </c>
      <c r="B19" t="s">
        <v>308</v>
      </c>
      <c r="C19" t="s">
        <v>236</v>
      </c>
      <c r="D19" t="s">
        <v>309</v>
      </c>
      <c r="E19" t="s">
        <v>237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86</v>
      </c>
      <c r="B20" t="s">
        <v>310</v>
      </c>
      <c r="C20" t="s">
        <v>236</v>
      </c>
      <c r="D20" t="s">
        <v>311</v>
      </c>
      <c r="E20" t="s">
        <v>237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86</v>
      </c>
      <c r="B21" t="s">
        <v>312</v>
      </c>
      <c r="C21" t="s">
        <v>236</v>
      </c>
      <c r="D21" t="s">
        <v>313</v>
      </c>
      <c r="E21" t="s">
        <v>237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86</v>
      </c>
      <c r="B22" t="s">
        <v>314</v>
      </c>
      <c r="C22" t="s">
        <v>236</v>
      </c>
      <c r="D22" t="s">
        <v>315</v>
      </c>
      <c r="E22" t="s">
        <v>237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86</v>
      </c>
      <c r="B23" t="s">
        <v>316</v>
      </c>
      <c r="C23" t="s">
        <v>236</v>
      </c>
      <c r="D23" t="s">
        <v>317</v>
      </c>
      <c r="E23" t="s">
        <v>237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86</v>
      </c>
      <c r="B24" t="s">
        <v>318</v>
      </c>
      <c r="C24" t="s">
        <v>236</v>
      </c>
      <c r="D24" t="s">
        <v>319</v>
      </c>
      <c r="E24" t="s">
        <v>237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86</v>
      </c>
      <c r="B25" t="s">
        <v>320</v>
      </c>
      <c r="C25" t="s">
        <v>236</v>
      </c>
      <c r="D25" t="s">
        <v>321</v>
      </c>
      <c r="E25" t="s">
        <v>237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86</v>
      </c>
      <c r="B26" t="s">
        <v>322</v>
      </c>
      <c r="C26" t="s">
        <v>236</v>
      </c>
      <c r="D26" t="s">
        <v>323</v>
      </c>
      <c r="E26" t="s">
        <v>237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86</v>
      </c>
      <c r="B27" t="s">
        <v>324</v>
      </c>
      <c r="C27" t="s">
        <v>236</v>
      </c>
      <c r="D27" t="s">
        <v>325</v>
      </c>
      <c r="E27" t="s">
        <v>237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86</v>
      </c>
      <c r="B28" t="s">
        <v>326</v>
      </c>
      <c r="C28" t="s">
        <v>236</v>
      </c>
      <c r="D28" t="s">
        <v>327</v>
      </c>
      <c r="E28" t="s">
        <v>237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86</v>
      </c>
      <c r="B29" t="s">
        <v>328</v>
      </c>
      <c r="C29" t="s">
        <v>236</v>
      </c>
      <c r="D29" t="s">
        <v>329</v>
      </c>
      <c r="E29" t="s">
        <v>237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86</v>
      </c>
      <c r="B30" t="s">
        <v>330</v>
      </c>
      <c r="C30" t="s">
        <v>236</v>
      </c>
      <c r="D30" t="s">
        <v>331</v>
      </c>
      <c r="E30" t="s">
        <v>237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86</v>
      </c>
      <c r="B31" t="s">
        <v>332</v>
      </c>
      <c r="C31" t="s">
        <v>236</v>
      </c>
      <c r="D31" t="s">
        <v>333</v>
      </c>
      <c r="E31" t="s">
        <v>237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86</v>
      </c>
      <c r="B32" t="s">
        <v>334</v>
      </c>
      <c r="C32" t="s">
        <v>236</v>
      </c>
      <c r="D32" t="s">
        <v>335</v>
      </c>
      <c r="E32" t="s">
        <v>237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86</v>
      </c>
      <c r="B33" t="s">
        <v>336</v>
      </c>
      <c r="C33" t="s">
        <v>236</v>
      </c>
      <c r="D33" t="s">
        <v>337</v>
      </c>
      <c r="E33" t="s">
        <v>237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86</v>
      </c>
      <c r="B34" t="s">
        <v>338</v>
      </c>
      <c r="C34" t="s">
        <v>236</v>
      </c>
      <c r="D34" t="s">
        <v>339</v>
      </c>
      <c r="E34" t="s">
        <v>237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86</v>
      </c>
      <c r="B35" t="s">
        <v>340</v>
      </c>
      <c r="C35" t="s">
        <v>236</v>
      </c>
      <c r="D35" t="s">
        <v>341</v>
      </c>
      <c r="E35" t="s">
        <v>237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86</v>
      </c>
      <c r="B36" t="s">
        <v>342</v>
      </c>
      <c r="C36" t="s">
        <v>236</v>
      </c>
      <c r="D36" t="s">
        <v>343</v>
      </c>
      <c r="E36" t="s">
        <v>237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86</v>
      </c>
      <c r="B37" t="s">
        <v>344</v>
      </c>
      <c r="C37" t="s">
        <v>236</v>
      </c>
      <c r="D37" t="s">
        <v>345</v>
      </c>
      <c r="E37" t="s">
        <v>237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86</v>
      </c>
      <c r="B38" t="s">
        <v>346</v>
      </c>
      <c r="C38" t="s">
        <v>236</v>
      </c>
      <c r="D38" t="s">
        <v>347</v>
      </c>
      <c r="E38" t="s">
        <v>237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86</v>
      </c>
      <c r="B39" t="s">
        <v>348</v>
      </c>
      <c r="C39" t="s">
        <v>236</v>
      </c>
      <c r="D39" t="s">
        <v>349</v>
      </c>
      <c r="E39" t="s">
        <v>237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86</v>
      </c>
      <c r="B40" t="s">
        <v>350</v>
      </c>
      <c r="C40" t="s">
        <v>236</v>
      </c>
      <c r="D40" t="s">
        <v>351</v>
      </c>
      <c r="E40" t="s">
        <v>237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86</v>
      </c>
      <c r="B41" t="s">
        <v>352</v>
      </c>
      <c r="C41" t="s">
        <v>236</v>
      </c>
      <c r="D41" t="s">
        <v>353</v>
      </c>
      <c r="E41" t="s">
        <v>237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86</v>
      </c>
      <c r="B42" t="s">
        <v>354</v>
      </c>
      <c r="C42" t="s">
        <v>236</v>
      </c>
      <c r="D42" t="s">
        <v>355</v>
      </c>
      <c r="E42" t="s">
        <v>237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86</v>
      </c>
      <c r="B43" t="s">
        <v>356</v>
      </c>
      <c r="C43" t="s">
        <v>236</v>
      </c>
      <c r="D43" t="s">
        <v>357</v>
      </c>
      <c r="E43" t="s">
        <v>237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86</v>
      </c>
      <c r="B44" t="s">
        <v>358</v>
      </c>
      <c r="C44" t="s">
        <v>236</v>
      </c>
      <c r="D44" t="s">
        <v>359</v>
      </c>
      <c r="E44" t="s">
        <v>237</v>
      </c>
      <c r="F44" t="n">
        <v>136.121208664197</v>
      </c>
      <c r="G44" t="n">
        <v>100.917447802767</v>
      </c>
      <c r="H44" t="n">
        <v>128.669745948528</v>
      </c>
      <c r="I44" t="n">
        <v>114.633046390507</v>
      </c>
      <c r="J44" t="n">
        <v>119.31194624318</v>
      </c>
      <c r="K44" t="n">
        <v>143.174335491817</v>
      </c>
      <c r="L44" t="n">
        <v>145.686165939041</v>
      </c>
      <c r="M44" t="n">
        <v>171.957441764114</v>
      </c>
      <c r="N44" t="n">
        <v>171.957441764114</v>
      </c>
      <c r="O44" t="n">
        <v>149.198368589452</v>
      </c>
      <c r="P44" t="n">
        <v>167.2050682468</v>
      </c>
      <c r="Q44" t="n">
        <v>153.035147208936</v>
      </c>
      <c r="R44" t="n">
        <v>155.817604430916</v>
      </c>
      <c r="S44" t="n">
        <v>166.947433318839</v>
      </c>
      <c r="T44" t="n">
        <v>166.947433318839</v>
      </c>
      <c r="U44" t="n">
        <v>166.947433318839</v>
      </c>
      <c r="V44" t="n">
        <v>174.712430217389</v>
      </c>
      <c r="W44" t="n">
        <v>168.241599468597</v>
      </c>
      <c r="X44" t="n">
        <v>180.258856573497</v>
      </c>
      <c r="Y44" t="n">
        <v>175.10860352854</v>
      </c>
      <c r="Z44" t="n">
        <v>175.10860352854</v>
      </c>
      <c r="AA44" t="n">
        <v>91.534042753555</v>
      </c>
      <c r="AB44" t="n">
        <v>91.534042753555</v>
      </c>
      <c r="AC44" t="n">
        <v>94.9241924851681</v>
      </c>
      <c r="AD44" t="n">
        <v>97.5609756097561</v>
      </c>
      <c r="AE44" t="n">
        <v>100</v>
      </c>
      <c r="AF44" t="n">
        <v>100</v>
      </c>
    </row>
    <row r="45">
      <c r="A45" t="s">
        <v>86</v>
      </c>
      <c r="B45" t="s">
        <v>360</v>
      </c>
      <c r="C45" t="s">
        <v>236</v>
      </c>
      <c r="D45" t="s">
        <v>361</v>
      </c>
      <c r="E45" t="s">
        <v>237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86</v>
      </c>
      <c r="B46" t="s">
        <v>362</v>
      </c>
      <c r="C46" t="s">
        <v>236</v>
      </c>
      <c r="D46" t="s">
        <v>363</v>
      </c>
      <c r="E46" t="s">
        <v>237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86</v>
      </c>
      <c r="B47" t="s">
        <v>364</v>
      </c>
      <c r="C47" t="s">
        <v>236</v>
      </c>
      <c r="D47" t="s">
        <v>365</v>
      </c>
      <c r="E47" t="s">
        <v>237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86</v>
      </c>
      <c r="B48" t="s">
        <v>366</v>
      </c>
      <c r="C48" t="s">
        <v>236</v>
      </c>
      <c r="D48" t="s">
        <v>367</v>
      </c>
      <c r="E48" t="s">
        <v>237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86</v>
      </c>
      <c r="B49" t="s">
        <v>368</v>
      </c>
      <c r="C49" t="s">
        <v>236</v>
      </c>
      <c r="D49" t="s">
        <v>369</v>
      </c>
      <c r="E49" t="s">
        <v>237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86</v>
      </c>
      <c r="B50" t="s">
        <v>370</v>
      </c>
      <c r="C50" t="s">
        <v>236</v>
      </c>
      <c r="D50" t="s">
        <v>371</v>
      </c>
      <c r="E50" t="s">
        <v>237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86</v>
      </c>
      <c r="B51" t="s">
        <v>372</v>
      </c>
      <c r="C51" t="s">
        <v>236</v>
      </c>
      <c r="D51" t="s">
        <v>373</v>
      </c>
      <c r="E51" t="s">
        <v>237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86</v>
      </c>
      <c r="B52" t="s">
        <v>374</v>
      </c>
      <c r="C52" t="s">
        <v>236</v>
      </c>
      <c r="D52" t="s">
        <v>375</v>
      </c>
      <c r="E52" t="s">
        <v>237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86</v>
      </c>
      <c r="B53" t="s">
        <v>376</v>
      </c>
      <c r="C53" t="s">
        <v>236</v>
      </c>
      <c r="D53" t="s">
        <v>377</v>
      </c>
      <c r="E53" t="s">
        <v>237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86</v>
      </c>
      <c r="B54" t="s">
        <v>378</v>
      </c>
      <c r="C54" t="s">
        <v>236</v>
      </c>
      <c r="D54" t="s">
        <v>379</v>
      </c>
      <c r="E54" t="s">
        <v>237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86</v>
      </c>
      <c r="B55" t="s">
        <v>380</v>
      </c>
      <c r="C55" t="s">
        <v>236</v>
      </c>
      <c r="D55" t="s">
        <v>381</v>
      </c>
      <c r="E55" t="s">
        <v>237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86</v>
      </c>
      <c r="B56" t="s">
        <v>382</v>
      </c>
      <c r="C56" t="s">
        <v>236</v>
      </c>
      <c r="D56" t="s">
        <v>383</v>
      </c>
      <c r="E56" t="s">
        <v>237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86</v>
      </c>
      <c r="B57" t="s">
        <v>384</v>
      </c>
      <c r="C57" t="s">
        <v>236</v>
      </c>
      <c r="D57" t="s">
        <v>385</v>
      </c>
      <c r="E57" t="s">
        <v>237</v>
      </c>
      <c r="F57" t="n">
        <v>136.121208664197</v>
      </c>
      <c r="G57" t="n">
        <v>100.917447802767</v>
      </c>
      <c r="H57" t="n">
        <v>128.669745948528</v>
      </c>
      <c r="I57" t="n">
        <v>114.633046390507</v>
      </c>
      <c r="J57" t="n">
        <v>119.31194624318</v>
      </c>
      <c r="K57" t="n">
        <v>143.174335491817</v>
      </c>
      <c r="L57" t="n">
        <v>145.686165939041</v>
      </c>
      <c r="M57" t="n">
        <v>171.957441764114</v>
      </c>
      <c r="N57" t="n">
        <v>171.957441764114</v>
      </c>
      <c r="O57" t="n">
        <v>149.198368589452</v>
      </c>
      <c r="P57" t="n">
        <v>167.2050682468</v>
      </c>
      <c r="Q57" t="n">
        <v>153.035147208936</v>
      </c>
      <c r="R57" t="n">
        <v>155.817604430916</v>
      </c>
      <c r="S57" t="n">
        <v>166.947433318839</v>
      </c>
      <c r="T57" t="n">
        <v>166.947433318839</v>
      </c>
      <c r="U57" t="n">
        <v>166.947433318839</v>
      </c>
      <c r="V57" t="n">
        <v>174.712430217389</v>
      </c>
      <c r="W57" t="n">
        <v>168.241599468597</v>
      </c>
      <c r="X57" t="n">
        <v>180.258856573497</v>
      </c>
      <c r="Y57" t="n">
        <v>175.10860352854</v>
      </c>
      <c r="Z57" t="n">
        <v>175.10860352854</v>
      </c>
      <c r="AA57" t="n">
        <v>91.534042753555</v>
      </c>
      <c r="AB57" t="n">
        <v>91.534042753555</v>
      </c>
      <c r="AC57" t="n">
        <v>94.9241924851681</v>
      </c>
      <c r="AD57" t="n">
        <v>97.5609756097561</v>
      </c>
      <c r="AE57" t="n">
        <v>100</v>
      </c>
      <c r="AF57" t="n">
        <v>100</v>
      </c>
    </row>
    <row r="58">
      <c r="A58" t="s">
        <v>86</v>
      </c>
      <c r="B58" t="s">
        <v>386</v>
      </c>
      <c r="C58" t="s">
        <v>236</v>
      </c>
      <c r="D58" t="s">
        <v>387</v>
      </c>
      <c r="E58" t="s">
        <v>237</v>
      </c>
      <c r="F58" t="n">
        <v>136.121208664197</v>
      </c>
      <c r="G58" t="n">
        <v>100.917447802767</v>
      </c>
      <c r="H58" t="n">
        <v>128.669745948528</v>
      </c>
      <c r="I58" t="n">
        <v>114.633046390507</v>
      </c>
      <c r="J58" t="n">
        <v>119.31194624318</v>
      </c>
      <c r="K58" t="n">
        <v>143.174335491817</v>
      </c>
      <c r="L58" t="n">
        <v>145.686165939041</v>
      </c>
      <c r="M58" t="n">
        <v>171.957441764114</v>
      </c>
      <c r="N58" t="n">
        <v>171.957441764114</v>
      </c>
      <c r="O58" t="n">
        <v>149.198368589452</v>
      </c>
      <c r="P58" t="n">
        <v>167.2050682468</v>
      </c>
      <c r="Q58" t="n">
        <v>153.035147208936</v>
      </c>
      <c r="R58" t="n">
        <v>155.817604430916</v>
      </c>
      <c r="S58" t="n">
        <v>166.947433318839</v>
      </c>
      <c r="T58" t="n">
        <v>166.947433318839</v>
      </c>
      <c r="U58" t="n">
        <v>166.947433318839</v>
      </c>
      <c r="V58" t="n">
        <v>174.712430217389</v>
      </c>
      <c r="W58" t="n">
        <v>168.241599468597</v>
      </c>
      <c r="X58" t="n">
        <v>180.258856573497</v>
      </c>
      <c r="Y58" t="n">
        <v>175.10860352854</v>
      </c>
      <c r="Z58" t="n">
        <v>175.10860352854</v>
      </c>
      <c r="AA58" t="n">
        <v>91.534042753555</v>
      </c>
      <c r="AB58" t="n">
        <v>91.534042753555</v>
      </c>
      <c r="AC58" t="n">
        <v>94.9241924851681</v>
      </c>
      <c r="AD58" t="n">
        <v>97.5609756097561</v>
      </c>
      <c r="AE58" t="n">
        <v>100</v>
      </c>
      <c r="AF58" t="n">
        <v>100</v>
      </c>
    </row>
    <row r="59">
      <c r="A59" t="s">
        <v>86</v>
      </c>
      <c r="B59" t="s">
        <v>388</v>
      </c>
      <c r="C59" t="s">
        <v>236</v>
      </c>
      <c r="D59" t="s">
        <v>389</v>
      </c>
      <c r="E59" t="s">
        <v>237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88</v>
      </c>
      <c r="B2" t="s">
        <v>197</v>
      </c>
      <c r="C2" t="s">
        <v>236</v>
      </c>
      <c r="D2" t="s">
        <v>199</v>
      </c>
      <c r="E2" t="s">
        <v>237</v>
      </c>
      <c r="F2" t="e">
        <v>#NUM!</v>
      </c>
      <c r="G2" t="e">
        <v>#NUM!</v>
      </c>
      <c r="H2" t="n">
        <v>0</v>
      </c>
      <c r="I2" t="e">
        <v>#NUM!</v>
      </c>
      <c r="J2" t="e">
        <v>#NUM!</v>
      </c>
      <c r="K2" t="e">
        <v>#NUM!</v>
      </c>
      <c r="L2" t="n">
        <v>0</v>
      </c>
      <c r="M2" t="e">
        <v>#NUM!</v>
      </c>
      <c r="N2" t="n">
        <v>0</v>
      </c>
      <c r="O2" t="e">
        <v>#NUM!</v>
      </c>
      <c r="P2" t="n">
        <v>0</v>
      </c>
      <c r="Q2" t="n">
        <v>0</v>
      </c>
      <c r="R2" t="n">
        <v>0</v>
      </c>
      <c r="S2" t="n">
        <v>0</v>
      </c>
      <c r="T2" t="n">
        <v>100</v>
      </c>
      <c r="U2" t="n">
        <v>100</v>
      </c>
      <c r="V2" t="n">
        <v>100</v>
      </c>
      <c r="W2" t="n">
        <v>100</v>
      </c>
      <c r="X2" t="n">
        <v>100</v>
      </c>
      <c r="Y2" t="n">
        <v>100</v>
      </c>
      <c r="Z2" t="n">
        <v>100</v>
      </c>
      <c r="AA2" t="n">
        <v>100</v>
      </c>
      <c r="AB2" t="n">
        <v>100</v>
      </c>
      <c r="AC2" t="n">
        <v>100</v>
      </c>
      <c r="AD2" t="n">
        <v>100</v>
      </c>
      <c r="AE2" t="n">
        <v>100</v>
      </c>
      <c r="AF2" t="n">
        <v>100</v>
      </c>
    </row>
    <row r="3">
      <c r="A3" t="s">
        <v>88</v>
      </c>
      <c r="B3" t="s">
        <v>276</v>
      </c>
      <c r="C3" t="s">
        <v>236</v>
      </c>
      <c r="D3" t="s">
        <v>277</v>
      </c>
      <c r="E3" t="s">
        <v>237</v>
      </c>
      <c r="F3" t="n">
        <v>100</v>
      </c>
      <c r="G3" t="n">
        <v>100</v>
      </c>
      <c r="H3" t="n">
        <v>100</v>
      </c>
      <c r="I3" t="n">
        <v>100</v>
      </c>
      <c r="J3" t="n">
        <v>100</v>
      </c>
      <c r="K3" t="n">
        <v>100</v>
      </c>
      <c r="L3" t="n">
        <v>100</v>
      </c>
      <c r="M3" t="n">
        <v>100</v>
      </c>
      <c r="N3" t="n">
        <v>100</v>
      </c>
      <c r="O3" t="n">
        <v>100</v>
      </c>
      <c r="P3" t="n">
        <v>100</v>
      </c>
      <c r="Q3" t="n">
        <v>100</v>
      </c>
      <c r="R3" t="n">
        <v>100</v>
      </c>
      <c r="S3" t="n">
        <v>100</v>
      </c>
      <c r="T3" t="n">
        <v>100</v>
      </c>
      <c r="U3" t="n">
        <v>100</v>
      </c>
      <c r="V3" t="n">
        <v>100</v>
      </c>
      <c r="W3" t="n">
        <v>100</v>
      </c>
      <c r="X3" t="n">
        <v>100</v>
      </c>
      <c r="Y3" t="n">
        <v>100</v>
      </c>
      <c r="Z3" t="n">
        <v>100</v>
      </c>
      <c r="AA3" t="n">
        <v>100</v>
      </c>
      <c r="AB3" t="n">
        <v>100</v>
      </c>
      <c r="AC3" t="n">
        <v>100</v>
      </c>
      <c r="AD3" t="n">
        <v>100</v>
      </c>
      <c r="AE3" t="n">
        <v>100</v>
      </c>
      <c r="AF3" t="n">
        <v>100</v>
      </c>
    </row>
    <row r="4">
      <c r="A4" t="s">
        <v>88</v>
      </c>
      <c r="B4" t="s">
        <v>278</v>
      </c>
      <c r="C4" t="s">
        <v>236</v>
      </c>
      <c r="D4" t="s">
        <v>279</v>
      </c>
      <c r="E4" t="s">
        <v>237</v>
      </c>
      <c r="F4" t="n">
        <v>47.8552353617701</v>
      </c>
      <c r="G4" t="n">
        <v>49.3472146403911</v>
      </c>
      <c r="H4" t="n">
        <v>50.4020649199452</v>
      </c>
      <c r="I4" t="n">
        <v>52.1488106019109</v>
      </c>
      <c r="J4" t="n">
        <v>52.9323101867386</v>
      </c>
      <c r="K4" t="n">
        <v>55.7676054144675</v>
      </c>
      <c r="L4" t="n">
        <v>58.6413655142422</v>
      </c>
      <c r="M4" t="n">
        <v>61.1408335525541</v>
      </c>
      <c r="N4" t="n">
        <v>62.6920177975448</v>
      </c>
      <c r="O4" t="n">
        <v>65.1591533362523</v>
      </c>
      <c r="P4" t="n">
        <v>68.188465469445</v>
      </c>
      <c r="Q4" t="n">
        <v>70.0889243732756</v>
      </c>
      <c r="R4" t="n">
        <v>72.2530608549621</v>
      </c>
      <c r="S4" t="n">
        <v>77.4092870400062</v>
      </c>
      <c r="T4" t="n">
        <v>81.1061126149992</v>
      </c>
      <c r="U4" t="n">
        <v>82.9802930055368</v>
      </c>
      <c r="V4" t="n">
        <v>85.5818823272555</v>
      </c>
      <c r="W4" t="n">
        <v>88.3261944683907</v>
      </c>
      <c r="X4" t="n">
        <v>90.4653021823708</v>
      </c>
      <c r="Y4" t="n">
        <v>91.4553852268933</v>
      </c>
      <c r="Z4" t="n">
        <v>92.5471104939264</v>
      </c>
      <c r="AA4" t="n">
        <v>94.3387894759384</v>
      </c>
      <c r="AB4" t="n">
        <v>94.6449599894506</v>
      </c>
      <c r="AC4" t="n">
        <v>94.6449599894506</v>
      </c>
      <c r="AD4" t="n">
        <v>98.4469370146678</v>
      </c>
      <c r="AE4" t="n">
        <v>100</v>
      </c>
      <c r="AF4" t="n">
        <v>102.145922746781</v>
      </c>
    </row>
    <row r="5">
      <c r="A5" t="s">
        <v>88</v>
      </c>
      <c r="B5" t="s">
        <v>280</v>
      </c>
      <c r="C5" t="s">
        <v>236</v>
      </c>
      <c r="D5" t="s">
        <v>281</v>
      </c>
      <c r="E5" t="s">
        <v>237</v>
      </c>
      <c r="F5" t="n">
        <v>81.1909688765559</v>
      </c>
      <c r="G5" t="n">
        <v>81.1909688765559</v>
      </c>
      <c r="H5" t="n">
        <v>81.1909688765559</v>
      </c>
      <c r="I5" t="n">
        <v>81.1909688765559</v>
      </c>
      <c r="J5" t="n">
        <v>81.1909688765559</v>
      </c>
      <c r="K5" t="n">
        <v>81.1909688765559</v>
      </c>
      <c r="L5" t="n">
        <v>81.1909688765559</v>
      </c>
      <c r="M5" t="n">
        <v>82.8824473948175</v>
      </c>
      <c r="N5" t="n">
        <v>82.8824473948175</v>
      </c>
      <c r="O5" t="n">
        <v>82.8824473948175</v>
      </c>
      <c r="P5" t="n">
        <v>87.5739066813166</v>
      </c>
      <c r="Q5" t="n">
        <v>87.5739066813166</v>
      </c>
      <c r="R5" t="n">
        <v>89.3253848149429</v>
      </c>
      <c r="S5" t="n">
        <v>92.4596088435374</v>
      </c>
      <c r="T5" t="n">
        <v>95.7617377308066</v>
      </c>
      <c r="U5" t="n">
        <v>95.7617377308066</v>
      </c>
      <c r="V5" t="n">
        <v>98.8508260447036</v>
      </c>
      <c r="W5" t="n">
        <v>102.091836734694</v>
      </c>
      <c r="X5" t="n">
        <v>103.571428571429</v>
      </c>
      <c r="Y5" t="n">
        <v>103.571428571429</v>
      </c>
      <c r="Z5" t="n">
        <v>103.571428571429</v>
      </c>
      <c r="AA5" t="n">
        <v>103.571428571429</v>
      </c>
      <c r="AB5" t="n">
        <v>103.571428571429</v>
      </c>
      <c r="AC5" t="n">
        <v>103.571428571429</v>
      </c>
      <c r="AD5" t="n">
        <v>107.142857142857</v>
      </c>
      <c r="AE5" t="n">
        <v>100</v>
      </c>
      <c r="AF5" t="n">
        <v>100</v>
      </c>
    </row>
    <row r="6">
      <c r="A6" t="s">
        <v>88</v>
      </c>
      <c r="B6" t="s">
        <v>282</v>
      </c>
      <c r="C6" t="s">
        <v>236</v>
      </c>
      <c r="D6" t="s">
        <v>283</v>
      </c>
      <c r="E6" t="s">
        <v>237</v>
      </c>
      <c r="F6" t="n">
        <v>80.672268907563</v>
      </c>
      <c r="G6" t="n">
        <v>80.672268907563</v>
      </c>
      <c r="H6" t="n">
        <v>80.672268907563</v>
      </c>
      <c r="I6" t="n">
        <v>80.672268907563</v>
      </c>
      <c r="J6" t="n">
        <v>80.672268907563</v>
      </c>
      <c r="K6" t="n">
        <v>86.8778280542986</v>
      </c>
      <c r="L6" t="n">
        <v>92.3076923076923</v>
      </c>
      <c r="M6" t="n">
        <v>92.3076923076923</v>
      </c>
      <c r="N6" t="n">
        <v>92.3076923076923</v>
      </c>
      <c r="O6" t="n">
        <v>92.3076923076923</v>
      </c>
      <c r="P6" t="n">
        <v>92.3076923076923</v>
      </c>
      <c r="Q6" t="n">
        <v>92.3076923076923</v>
      </c>
      <c r="R6" t="n">
        <v>92.3076923076923</v>
      </c>
      <c r="S6" t="n">
        <v>100</v>
      </c>
      <c r="T6" t="n">
        <v>100</v>
      </c>
      <c r="U6" t="n">
        <v>100</v>
      </c>
      <c r="V6" t="n">
        <v>100</v>
      </c>
      <c r="W6" t="n">
        <v>100</v>
      </c>
      <c r="X6" t="n">
        <v>100</v>
      </c>
      <c r="Y6" t="n">
        <v>100</v>
      </c>
      <c r="Z6" t="n">
        <v>100</v>
      </c>
      <c r="AA6" t="n">
        <v>100</v>
      </c>
      <c r="AB6" t="n">
        <v>100</v>
      </c>
      <c r="AC6" t="n">
        <v>100</v>
      </c>
      <c r="AD6" t="n">
        <v>100</v>
      </c>
      <c r="AE6" t="n">
        <v>100</v>
      </c>
      <c r="AF6" t="n">
        <v>100</v>
      </c>
    </row>
    <row r="7">
      <c r="A7" t="s">
        <v>88</v>
      </c>
      <c r="B7" t="s">
        <v>284</v>
      </c>
      <c r="C7" t="s">
        <v>236</v>
      </c>
      <c r="D7" t="s">
        <v>285</v>
      </c>
      <c r="E7" t="s">
        <v>237</v>
      </c>
      <c r="F7" t="n">
        <v>49.3948537946651</v>
      </c>
      <c r="G7" t="n">
        <v>50.826588687264</v>
      </c>
      <c r="H7" t="n">
        <v>52.2002802734063</v>
      </c>
      <c r="I7" t="n">
        <v>54.2340574269157</v>
      </c>
      <c r="J7" t="n">
        <v>54.8874798055532</v>
      </c>
      <c r="K7" t="n">
        <v>57.8384195800453</v>
      </c>
      <c r="L7" t="n">
        <v>60.7595518820678</v>
      </c>
      <c r="M7" t="n">
        <v>63.0099056554777</v>
      </c>
      <c r="N7" t="n">
        <v>64.7128760785987</v>
      </c>
      <c r="O7" t="n">
        <v>67.0448716129626</v>
      </c>
      <c r="P7" t="n">
        <v>69.5052338739888</v>
      </c>
      <c r="Q7" t="n">
        <v>71.4910976989599</v>
      </c>
      <c r="R7" t="n">
        <v>73.4587425897569</v>
      </c>
      <c r="S7" t="n">
        <v>78.2644547217971</v>
      </c>
      <c r="T7" t="n">
        <v>81.630667828111</v>
      </c>
      <c r="U7" t="n">
        <v>83.1855376915036</v>
      </c>
      <c r="V7" t="n">
        <v>85.3746307886484</v>
      </c>
      <c r="W7" t="n">
        <v>88.0993530478606</v>
      </c>
      <c r="X7" t="n">
        <v>90.0571164489241</v>
      </c>
      <c r="Y7" t="n">
        <v>91.1421419483088</v>
      </c>
      <c r="Z7" t="n">
        <v>92.1015329161857</v>
      </c>
      <c r="AA7" t="n">
        <v>94.1257424308272</v>
      </c>
      <c r="AB7" t="n">
        <v>94.1257424308272</v>
      </c>
      <c r="AC7" t="n">
        <v>94.1257424308272</v>
      </c>
      <c r="AD7" t="n">
        <v>98.2905982905983</v>
      </c>
      <c r="AE7" t="n">
        <v>100</v>
      </c>
      <c r="AF7" t="n">
        <v>101.88679245283</v>
      </c>
    </row>
    <row r="8">
      <c r="A8" t="s">
        <v>88</v>
      </c>
      <c r="B8" t="s">
        <v>286</v>
      </c>
      <c r="C8" t="s">
        <v>236</v>
      </c>
      <c r="D8" t="s">
        <v>287</v>
      </c>
      <c r="E8" t="s">
        <v>237</v>
      </c>
      <c r="F8" t="n">
        <v>47.6590562830281</v>
      </c>
      <c r="G8" t="n">
        <v>49.1964451953839</v>
      </c>
      <c r="H8" t="n">
        <v>50.7338341077396</v>
      </c>
      <c r="I8" t="n">
        <v>52.0689350053117</v>
      </c>
      <c r="J8" t="n">
        <v>52.0689350053117</v>
      </c>
      <c r="K8" t="n">
        <v>55.9258931538533</v>
      </c>
      <c r="L8" t="n">
        <v>60.0685519059906</v>
      </c>
      <c r="M8" t="n">
        <v>63.2300546378848</v>
      </c>
      <c r="N8" t="n">
        <v>63.2300546378848</v>
      </c>
      <c r="O8" t="n">
        <v>63.2300546378848</v>
      </c>
      <c r="P8" t="n">
        <v>69.5530601016733</v>
      </c>
      <c r="Q8" t="n">
        <v>69.5530601016733</v>
      </c>
      <c r="R8" t="n">
        <v>72.5771061930504</v>
      </c>
      <c r="S8" t="n">
        <v>77.7611852068397</v>
      </c>
      <c r="T8" t="n">
        <v>81.5544137535149</v>
      </c>
      <c r="U8" t="n">
        <v>83.6455525677075</v>
      </c>
      <c r="V8" t="n">
        <v>85.7366913819002</v>
      </c>
      <c r="W8" t="n">
        <v>87.7780411767074</v>
      </c>
      <c r="X8" t="n">
        <v>90.1504206679697</v>
      </c>
      <c r="Y8" t="n">
        <v>90.1504206679697</v>
      </c>
      <c r="Z8" t="n">
        <v>90.1504206679697</v>
      </c>
      <c r="AA8" t="n">
        <v>92.8019036287924</v>
      </c>
      <c r="AB8" t="n">
        <v>92.8019036287924</v>
      </c>
      <c r="AC8" t="n">
        <v>92.8019036287924</v>
      </c>
      <c r="AD8" t="n">
        <v>97.5609756097561</v>
      </c>
      <c r="AE8" t="n">
        <v>100</v>
      </c>
      <c r="AF8" t="n">
        <v>102.127659574468</v>
      </c>
    </row>
    <row r="9">
      <c r="A9" t="s">
        <v>88</v>
      </c>
      <c r="B9" t="s">
        <v>288</v>
      </c>
      <c r="C9" t="s">
        <v>236</v>
      </c>
      <c r="D9" t="s">
        <v>289</v>
      </c>
      <c r="E9" t="s">
        <v>237</v>
      </c>
      <c r="F9" t="n">
        <v>49.72461545298</v>
      </c>
      <c r="G9" t="n">
        <v>51.1058547711183</v>
      </c>
      <c r="H9" t="n">
        <v>51.7610580374147</v>
      </c>
      <c r="I9" t="n">
        <v>53.0714645700075</v>
      </c>
      <c r="J9" t="n">
        <v>53.6242923259451</v>
      </c>
      <c r="K9" t="n">
        <v>56.4466235009948</v>
      </c>
      <c r="L9" t="n">
        <v>60.0116734063208</v>
      </c>
      <c r="M9" t="n">
        <v>62.3650723634314</v>
      </c>
      <c r="N9" t="n">
        <v>63.6780212552931</v>
      </c>
      <c r="O9" t="n">
        <v>65.9935856645765</v>
      </c>
      <c r="P9" t="n">
        <v>69.6262601048285</v>
      </c>
      <c r="Q9" t="n">
        <v>71.854300428183</v>
      </c>
      <c r="R9" t="n">
        <v>73.9676622054825</v>
      </c>
      <c r="S9" t="n">
        <v>79.2890767526395</v>
      </c>
      <c r="T9" t="n">
        <v>83.5749727933227</v>
      </c>
      <c r="U9" t="n">
        <v>85.5969479415483</v>
      </c>
      <c r="V9" t="n">
        <v>88.2718525647216</v>
      </c>
      <c r="W9" t="n">
        <v>90.7939054951422</v>
      </c>
      <c r="X9" t="n">
        <v>92.6986727432921</v>
      </c>
      <c r="Y9" t="n">
        <v>92.6986727432921</v>
      </c>
      <c r="Z9" t="n">
        <v>93.477653186513</v>
      </c>
      <c r="AA9" t="n">
        <v>95.1619352259096</v>
      </c>
      <c r="AB9" t="n">
        <v>95.1619352259096</v>
      </c>
      <c r="AC9" t="n">
        <v>95.1619352259096</v>
      </c>
      <c r="AD9" t="n">
        <v>98.3606557377049</v>
      </c>
      <c r="AE9" t="n">
        <v>100</v>
      </c>
      <c r="AF9" t="n">
        <v>101.680672268908</v>
      </c>
    </row>
    <row r="10">
      <c r="A10" t="s">
        <v>88</v>
      </c>
      <c r="B10" t="s">
        <v>290</v>
      </c>
      <c r="C10" t="s">
        <v>236</v>
      </c>
      <c r="D10" t="s">
        <v>291</v>
      </c>
      <c r="E10" t="s">
        <v>237</v>
      </c>
      <c r="F10" t="n">
        <v>47.2721272324671</v>
      </c>
      <c r="G10" t="n">
        <v>48.8584402268452</v>
      </c>
      <c r="H10" t="n">
        <v>49.8040874570422</v>
      </c>
      <c r="I10" t="n">
        <v>51.3133022284677</v>
      </c>
      <c r="J10" t="n">
        <v>52.1499321561058</v>
      </c>
      <c r="K10" t="n">
        <v>54.921184589522</v>
      </c>
      <c r="L10" t="n">
        <v>58.080367773875</v>
      </c>
      <c r="M10" t="n">
        <v>60.5376141027698</v>
      </c>
      <c r="N10" t="n">
        <v>62.123752463541</v>
      </c>
      <c r="O10" t="n">
        <v>64.6087025620827</v>
      </c>
      <c r="P10" t="n">
        <v>67.7673502428956</v>
      </c>
      <c r="Q10" t="n">
        <v>69.953393799118</v>
      </c>
      <c r="R10" t="n">
        <v>72.0380975878335</v>
      </c>
      <c r="S10" t="n">
        <v>77.2513809659004</v>
      </c>
      <c r="T10" t="n">
        <v>81.2570081270952</v>
      </c>
      <c r="U10" t="n">
        <v>83.2957144241908</v>
      </c>
      <c r="V10" t="n">
        <v>85.9446947415679</v>
      </c>
      <c r="W10" t="n">
        <v>88.6644635625036</v>
      </c>
      <c r="X10" t="n">
        <v>90.6681802531816</v>
      </c>
      <c r="Y10" t="n">
        <v>91.499998420642</v>
      </c>
      <c r="Z10" t="n">
        <v>92.5578018705916</v>
      </c>
      <c r="AA10" t="n">
        <v>94.3880408906316</v>
      </c>
      <c r="AB10" t="n">
        <v>94.6332046332046</v>
      </c>
      <c r="AC10" t="n">
        <v>94.6332046332046</v>
      </c>
      <c r="AD10" t="n">
        <v>98.2857142857143</v>
      </c>
      <c r="AE10" t="n">
        <v>100</v>
      </c>
      <c r="AF10" t="n">
        <v>102.051282051282</v>
      </c>
    </row>
    <row r="11">
      <c r="A11" t="s">
        <v>88</v>
      </c>
      <c r="B11" t="s">
        <v>292</v>
      </c>
      <c r="C11" t="s">
        <v>236</v>
      </c>
      <c r="D11" t="s">
        <v>293</v>
      </c>
      <c r="E11" t="s">
        <v>237</v>
      </c>
      <c r="F11" t="n">
        <v>45.5935369670934</v>
      </c>
      <c r="G11" t="n">
        <v>47.3699085372399</v>
      </c>
      <c r="H11" t="n">
        <v>48.6002957719734</v>
      </c>
      <c r="I11" t="n">
        <v>50.2956549268097</v>
      </c>
      <c r="J11" t="n">
        <v>51.4387379933281</v>
      </c>
      <c r="K11" t="n">
        <v>54.1943846715421</v>
      </c>
      <c r="L11" t="n">
        <v>57.0902678219299</v>
      </c>
      <c r="M11" t="n">
        <v>59.6195834849267</v>
      </c>
      <c r="N11" t="n">
        <v>61.3992725441783</v>
      </c>
      <c r="O11" t="n">
        <v>64.0688061330556</v>
      </c>
      <c r="P11" t="n">
        <v>66.830392604308</v>
      </c>
      <c r="Q11" t="n">
        <v>69.0037387052611</v>
      </c>
      <c r="R11" t="n">
        <v>71.0821645698774</v>
      </c>
      <c r="S11" t="n">
        <v>76.2517765385958</v>
      </c>
      <c r="T11" t="n">
        <v>80.0883439116069</v>
      </c>
      <c r="U11" t="n">
        <v>82.1551398835193</v>
      </c>
      <c r="V11" t="n">
        <v>84.8053056862135</v>
      </c>
      <c r="W11" t="n">
        <v>87.6187518464196</v>
      </c>
      <c r="X11" t="n">
        <v>89.6950255868561</v>
      </c>
      <c r="Y11" t="n">
        <v>90.8209045691179</v>
      </c>
      <c r="Z11" t="n">
        <v>92.0211808409565</v>
      </c>
      <c r="AA11" t="n">
        <v>93.9146207759556</v>
      </c>
      <c r="AB11" t="n">
        <v>94.2703579758645</v>
      </c>
      <c r="AC11" t="n">
        <v>94.2703579758645</v>
      </c>
      <c r="AD11" t="n">
        <v>98.2456140350877</v>
      </c>
      <c r="AE11" t="n">
        <v>100</v>
      </c>
      <c r="AF11" t="n">
        <v>102.214022140221</v>
      </c>
    </row>
    <row r="12">
      <c r="A12" t="s">
        <v>88</v>
      </c>
      <c r="B12" t="s">
        <v>294</v>
      </c>
      <c r="C12" t="s">
        <v>236</v>
      </c>
      <c r="D12" t="s">
        <v>295</v>
      </c>
      <c r="E12" t="s">
        <v>237</v>
      </c>
      <c r="F12" t="n">
        <v>68.0781110195731</v>
      </c>
      <c r="G12" t="n">
        <v>68.0781110195731</v>
      </c>
      <c r="H12" t="n">
        <v>68.0781110195731</v>
      </c>
      <c r="I12" t="n">
        <v>68.0781110195731</v>
      </c>
      <c r="J12" t="n">
        <v>68.0781110195731</v>
      </c>
      <c r="K12" t="n">
        <v>71.0380288899893</v>
      </c>
      <c r="L12" t="n">
        <v>74.1266388417279</v>
      </c>
      <c r="M12" t="n">
        <v>75.4503288210445</v>
      </c>
      <c r="N12" t="n">
        <v>76.8739199308755</v>
      </c>
      <c r="O12" t="n">
        <v>79.7211021505376</v>
      </c>
      <c r="P12" t="n">
        <v>83.1872370266479</v>
      </c>
      <c r="Q12" t="n">
        <v>83.187237026648</v>
      </c>
      <c r="R12" t="n">
        <v>84.5736909770921</v>
      </c>
      <c r="S12" t="n">
        <v>88.7330528284245</v>
      </c>
      <c r="T12" t="n">
        <v>91.6908212560386</v>
      </c>
      <c r="U12" t="n">
        <v>91.6908212560386</v>
      </c>
      <c r="V12" t="n">
        <v>93.1014492753623</v>
      </c>
      <c r="W12" t="n">
        <v>95.6521739130435</v>
      </c>
      <c r="X12" t="n">
        <v>95.6521739130435</v>
      </c>
      <c r="Y12" t="n">
        <v>95.6521739130435</v>
      </c>
      <c r="Z12" t="n">
        <v>95.6521739130435</v>
      </c>
      <c r="AA12" t="n">
        <v>95.6521739130435</v>
      </c>
      <c r="AB12" t="n">
        <v>95.6521739130435</v>
      </c>
      <c r="AC12" t="n">
        <v>95.6521739130435</v>
      </c>
      <c r="AD12" t="n">
        <v>100</v>
      </c>
      <c r="AE12" t="n">
        <v>100</v>
      </c>
      <c r="AF12" t="n">
        <v>101.063829787234</v>
      </c>
    </row>
    <row r="13">
      <c r="A13" t="s">
        <v>88</v>
      </c>
      <c r="B13" t="s">
        <v>296</v>
      </c>
      <c r="C13" t="s">
        <v>236</v>
      </c>
      <c r="D13" t="s">
        <v>297</v>
      </c>
      <c r="E13" t="s">
        <v>237</v>
      </c>
      <c r="F13" t="n">
        <v>67.3844404274956</v>
      </c>
      <c r="G13" t="n">
        <v>68.7596330892812</v>
      </c>
      <c r="H13" t="n">
        <v>70.0819337256135</v>
      </c>
      <c r="I13" t="n">
        <v>71.3561507024429</v>
      </c>
      <c r="J13" t="n">
        <v>71.3561507024429</v>
      </c>
      <c r="K13" t="n">
        <v>73.6956966271131</v>
      </c>
      <c r="L13" t="n">
        <v>75.895568168221</v>
      </c>
      <c r="M13" t="n">
        <v>77.160494304358</v>
      </c>
      <c r="N13" t="n">
        <v>78.3295927029089</v>
      </c>
      <c r="O13" t="n">
        <v>79.3881007124076</v>
      </c>
      <c r="P13" t="n">
        <v>81.3243958517346</v>
      </c>
      <c r="Q13" t="n">
        <v>82.3042078499483</v>
      </c>
      <c r="R13" t="n">
        <v>83.2289742302848</v>
      </c>
      <c r="S13" t="n">
        <v>87.9578932206419</v>
      </c>
      <c r="T13" t="n">
        <v>90.6782404336515</v>
      </c>
      <c r="U13" t="n">
        <v>91.585022837988</v>
      </c>
      <c r="V13" t="n">
        <v>92.5805122166617</v>
      </c>
      <c r="W13" t="n">
        <v>93.6696947133283</v>
      </c>
      <c r="X13" t="n">
        <v>94.8705882352941</v>
      </c>
      <c r="Y13" t="n">
        <v>94.8705882352941</v>
      </c>
      <c r="Z13" t="n">
        <v>94.8705882352941</v>
      </c>
      <c r="AA13" t="n">
        <v>94.8705882352941</v>
      </c>
      <c r="AB13" t="n">
        <v>94.8705882352941</v>
      </c>
      <c r="AC13" t="n">
        <v>94.8705882352941</v>
      </c>
      <c r="AD13" t="n">
        <v>98.8235294117647</v>
      </c>
      <c r="AE13" t="n">
        <v>100</v>
      </c>
      <c r="AF13" t="n">
        <v>101.315789473684</v>
      </c>
    </row>
    <row r="14">
      <c r="A14" t="s">
        <v>88</v>
      </c>
      <c r="B14" t="s">
        <v>298</v>
      </c>
      <c r="C14" t="s">
        <v>236</v>
      </c>
      <c r="D14" t="s">
        <v>299</v>
      </c>
      <c r="E14" t="s">
        <v>237</v>
      </c>
      <c r="F14" t="n">
        <v>45.6276977504641</v>
      </c>
      <c r="G14" t="n">
        <v>47.3406829902426</v>
      </c>
      <c r="H14" t="n">
        <v>48.4502302478264</v>
      </c>
      <c r="I14" t="n">
        <v>50.2987330082857</v>
      </c>
      <c r="J14" t="n">
        <v>51.1741279264864</v>
      </c>
      <c r="K14" t="n">
        <v>54.1353794520697</v>
      </c>
      <c r="L14" t="n">
        <v>57.0757440571912</v>
      </c>
      <c r="M14" t="n">
        <v>59.685705879301</v>
      </c>
      <c r="N14" t="n">
        <v>61.29480628743</v>
      </c>
      <c r="O14" t="n">
        <v>63.8612703368814</v>
      </c>
      <c r="P14" t="n">
        <v>66.9035767076729</v>
      </c>
      <c r="Q14" t="n">
        <v>68.8840962128067</v>
      </c>
      <c r="R14" t="n">
        <v>71.1308913694025</v>
      </c>
      <c r="S14" t="n">
        <v>76.3082873969459</v>
      </c>
      <c r="T14" t="n">
        <v>80.0100061202904</v>
      </c>
      <c r="U14" t="n">
        <v>82.0310201157165</v>
      </c>
      <c r="V14" t="n">
        <v>84.7559910015765</v>
      </c>
      <c r="W14" t="n">
        <v>87.5486101449562</v>
      </c>
      <c r="X14" t="n">
        <v>89.8076052461736</v>
      </c>
      <c r="Y14" t="n">
        <v>90.9268691691229</v>
      </c>
      <c r="Z14" t="n">
        <v>92.1446397383523</v>
      </c>
      <c r="AA14" t="n">
        <v>94.1624055720388</v>
      </c>
      <c r="AB14" t="n">
        <v>94.5108326046828</v>
      </c>
      <c r="AC14" t="n">
        <v>94.5108326046828</v>
      </c>
      <c r="AD14" t="n">
        <v>98.3451536643026</v>
      </c>
      <c r="AE14" t="n">
        <v>100</v>
      </c>
      <c r="AF14" t="n">
        <v>102.276336686077</v>
      </c>
    </row>
    <row r="15">
      <c r="A15" t="s">
        <v>88</v>
      </c>
      <c r="B15" t="s">
        <v>300</v>
      </c>
      <c r="C15" t="s">
        <v>236</v>
      </c>
      <c r="D15" t="s">
        <v>301</v>
      </c>
      <c r="E15" t="s">
        <v>237</v>
      </c>
      <c r="F15" t="n">
        <v>45.9636776337463</v>
      </c>
      <c r="G15" t="n">
        <v>47.655592147872</v>
      </c>
      <c r="H15" t="n">
        <v>48.742574441761</v>
      </c>
      <c r="I15" t="n">
        <v>50.5613272194387</v>
      </c>
      <c r="J15" t="n">
        <v>51.4288860255375</v>
      </c>
      <c r="K15" t="n">
        <v>54.3550122994043</v>
      </c>
      <c r="L15" t="n">
        <v>57.2618645960371</v>
      </c>
      <c r="M15" t="n">
        <v>59.8438778968858</v>
      </c>
      <c r="N15" t="n">
        <v>61.4344128576004</v>
      </c>
      <c r="O15" t="n">
        <v>63.9855028830431</v>
      </c>
      <c r="P15" t="n">
        <v>67.0225429793174</v>
      </c>
      <c r="Q15" t="n">
        <v>68.9983821051623</v>
      </c>
      <c r="R15" t="n">
        <v>71.2387527754868</v>
      </c>
      <c r="S15" t="n">
        <v>76.4086007628837</v>
      </c>
      <c r="T15" t="n">
        <v>80.1105678541087</v>
      </c>
      <c r="U15" t="n">
        <v>82.1184152083202</v>
      </c>
      <c r="V15" t="n">
        <v>84.8347276890968</v>
      </c>
      <c r="W15" t="n">
        <v>87.6491499347067</v>
      </c>
      <c r="X15" t="n">
        <v>89.922856265668</v>
      </c>
      <c r="Y15" t="n">
        <v>91.0068083251236</v>
      </c>
      <c r="Z15" t="n">
        <v>92.230616261036</v>
      </c>
      <c r="AA15" t="n">
        <v>94.2045556496486</v>
      </c>
      <c r="AB15" t="n">
        <v>94.5675789854854</v>
      </c>
      <c r="AC15" t="n">
        <v>94.5675789854854</v>
      </c>
      <c r="AD15" t="n">
        <v>98.3870967741936</v>
      </c>
      <c r="AE15" t="n">
        <v>100</v>
      </c>
      <c r="AF15" t="n">
        <v>102.28245363766</v>
      </c>
    </row>
    <row r="16">
      <c r="A16" t="s">
        <v>88</v>
      </c>
      <c r="B16" t="s">
        <v>302</v>
      </c>
      <c r="C16" t="s">
        <v>236</v>
      </c>
      <c r="D16" t="s">
        <v>303</v>
      </c>
      <c r="E16" t="s">
        <v>237</v>
      </c>
      <c r="F16" t="n">
        <v>51.5538101659638</v>
      </c>
      <c r="G16" t="n">
        <v>53.1160468376597</v>
      </c>
      <c r="H16" t="n">
        <v>53.9332167890083</v>
      </c>
      <c r="I16" t="n">
        <v>55.3525119676664</v>
      </c>
      <c r="J16" t="n">
        <v>56.0621595569955</v>
      </c>
      <c r="K16" t="n">
        <v>58.1385358368842</v>
      </c>
      <c r="L16" t="n">
        <v>60.2655554406726</v>
      </c>
      <c r="M16" t="n">
        <v>62.274407288695</v>
      </c>
      <c r="N16" t="n">
        <v>63.4719920442469</v>
      </c>
      <c r="O16" t="n">
        <v>65.6797135066555</v>
      </c>
      <c r="P16" t="n">
        <v>68.5604026955439</v>
      </c>
      <c r="Q16" t="n">
        <v>70.3968420534602</v>
      </c>
      <c r="R16" t="n">
        <v>72.4826744105998</v>
      </c>
      <c r="S16" t="n">
        <v>77.5062261024235</v>
      </c>
      <c r="T16" t="n">
        <v>81.1969987739675</v>
      </c>
      <c r="U16" t="n">
        <v>83.0564720283331</v>
      </c>
      <c r="V16" t="n">
        <v>85.6827636339721</v>
      </c>
      <c r="W16" t="n">
        <v>88.6475651437982</v>
      </c>
      <c r="X16" t="n">
        <v>91.0434452828197</v>
      </c>
      <c r="Y16" t="n">
        <v>91.9360280797101</v>
      </c>
      <c r="Z16" t="n">
        <v>93.1954257246377</v>
      </c>
      <c r="AA16" t="n">
        <v>94.9945652173913</v>
      </c>
      <c r="AB16" t="n">
        <v>94.9945652173913</v>
      </c>
      <c r="AC16" t="n">
        <v>94.9945652173913</v>
      </c>
      <c r="AD16" t="n">
        <v>98.695652173913</v>
      </c>
      <c r="AE16" t="n">
        <v>100</v>
      </c>
      <c r="AF16" t="n">
        <v>102.336448598131</v>
      </c>
    </row>
    <row r="17">
      <c r="A17" t="s">
        <v>88</v>
      </c>
      <c r="B17" t="s">
        <v>304</v>
      </c>
      <c r="C17" t="s">
        <v>236</v>
      </c>
      <c r="D17" t="s">
        <v>305</v>
      </c>
      <c r="E17" t="s">
        <v>237</v>
      </c>
      <c r="F17" t="n">
        <v>46.1095619921846</v>
      </c>
      <c r="G17" t="n">
        <v>47.46572558019</v>
      </c>
      <c r="H17" t="n">
        <v>48.427868666275</v>
      </c>
      <c r="I17" t="n">
        <v>50.5334281735043</v>
      </c>
      <c r="J17" t="n">
        <v>51.3528891709125</v>
      </c>
      <c r="K17" t="n">
        <v>53.9938948997023</v>
      </c>
      <c r="L17" t="n">
        <v>56.8631356914739</v>
      </c>
      <c r="M17" t="n">
        <v>59.3117874676618</v>
      </c>
      <c r="N17" t="n">
        <v>60.9148087505716</v>
      </c>
      <c r="O17" t="n">
        <v>63.6372583036697</v>
      </c>
      <c r="P17" t="n">
        <v>66.5895022455926</v>
      </c>
      <c r="Q17" t="n">
        <v>68.5011625971407</v>
      </c>
      <c r="R17" t="n">
        <v>70.8331170685327</v>
      </c>
      <c r="S17" t="n">
        <v>76.295825325746</v>
      </c>
      <c r="T17" t="n">
        <v>80.2262163273754</v>
      </c>
      <c r="U17" t="n">
        <v>82.0495394257248</v>
      </c>
      <c r="V17" t="n">
        <v>84.5676838582279</v>
      </c>
      <c r="W17" t="n">
        <v>87.4404714202908</v>
      </c>
      <c r="X17" t="n">
        <v>89.732257969613</v>
      </c>
      <c r="Y17" t="n">
        <v>91.011536596471</v>
      </c>
      <c r="Z17" t="n">
        <v>92.2343403511261</v>
      </c>
      <c r="AA17" t="n">
        <v>94.0332370601019</v>
      </c>
      <c r="AB17" t="n">
        <v>94.523845253459</v>
      </c>
      <c r="AC17" t="n">
        <v>94.523845253459</v>
      </c>
      <c r="AD17" t="n">
        <v>98.3216783216783</v>
      </c>
      <c r="AE17" t="n">
        <v>100</v>
      </c>
      <c r="AF17" t="n">
        <v>102.363367799114</v>
      </c>
    </row>
    <row r="18">
      <c r="A18" t="s">
        <v>88</v>
      </c>
      <c r="B18" t="s">
        <v>306</v>
      </c>
      <c r="C18" t="s">
        <v>236</v>
      </c>
      <c r="D18" t="s">
        <v>307</v>
      </c>
      <c r="E18" t="s">
        <v>237</v>
      </c>
      <c r="F18" t="n">
        <v>66.8091647858387</v>
      </c>
      <c r="G18" t="n">
        <v>66.8091647858387</v>
      </c>
      <c r="H18" t="n">
        <v>66.8091647858387</v>
      </c>
      <c r="I18" t="n">
        <v>66.8091647858387</v>
      </c>
      <c r="J18" t="n">
        <v>66.8091647858387</v>
      </c>
      <c r="K18" t="n">
        <v>66.8091647858387</v>
      </c>
      <c r="L18" t="n">
        <v>66.8091647858387</v>
      </c>
      <c r="M18" t="n">
        <v>69.195206385333</v>
      </c>
      <c r="N18" t="n">
        <v>69.195206385333</v>
      </c>
      <c r="O18" t="n">
        <v>69.195206385333</v>
      </c>
      <c r="P18" t="n">
        <v>71.3575565848746</v>
      </c>
      <c r="Q18" t="n">
        <v>72.9793192345309</v>
      </c>
      <c r="R18" t="n">
        <v>72.9793192345309</v>
      </c>
      <c r="S18" t="n">
        <v>78.740844437257</v>
      </c>
      <c r="T18" t="n">
        <v>83.0357995883801</v>
      </c>
      <c r="U18" t="n">
        <v>83.0357995883801</v>
      </c>
      <c r="V18" t="n">
        <v>85.5144801731079</v>
      </c>
      <c r="W18" t="n">
        <v>87.7071591519055</v>
      </c>
      <c r="X18" t="n">
        <v>90.2130779848171</v>
      </c>
      <c r="Y18" t="n">
        <v>90.2130779848171</v>
      </c>
      <c r="Z18" t="n">
        <v>91.7166292845641</v>
      </c>
      <c r="AA18" t="n">
        <v>94.723731884058</v>
      </c>
      <c r="AB18" t="n">
        <v>94.723731884058</v>
      </c>
      <c r="AC18" t="n">
        <v>94.723731884058</v>
      </c>
      <c r="AD18" t="n">
        <v>97.9166666666667</v>
      </c>
      <c r="AE18" t="n">
        <v>100</v>
      </c>
      <c r="AF18" t="n">
        <v>101.785714285714</v>
      </c>
    </row>
    <row r="19">
      <c r="A19" t="s">
        <v>88</v>
      </c>
      <c r="B19" t="s">
        <v>308</v>
      </c>
      <c r="C19" t="s">
        <v>236</v>
      </c>
      <c r="D19" t="s">
        <v>309</v>
      </c>
      <c r="E19" t="s">
        <v>237</v>
      </c>
      <c r="F19" t="n">
        <v>58.1158144612765</v>
      </c>
      <c r="G19" t="n">
        <v>59.9905181535757</v>
      </c>
      <c r="H19" t="n">
        <v>61.6883630069788</v>
      </c>
      <c r="I19" t="n">
        <v>64.3473441710727</v>
      </c>
      <c r="J19" t="n">
        <v>65.2600724571872</v>
      </c>
      <c r="K19" t="n">
        <v>68.6067428396071</v>
      </c>
      <c r="L19" t="n">
        <v>72.0952212890786</v>
      </c>
      <c r="M19" t="n">
        <v>75.4398449571286</v>
      </c>
      <c r="N19" t="n">
        <v>77.4462238123714</v>
      </c>
      <c r="O19" t="n">
        <v>80.5440727648663</v>
      </c>
      <c r="P19" t="n">
        <v>84.2051669814511</v>
      </c>
      <c r="Q19" t="n">
        <v>86.468746739017</v>
      </c>
      <c r="R19" t="n">
        <v>89.0119451725175</v>
      </c>
      <c r="S19" t="n">
        <v>91.4844992050874</v>
      </c>
      <c r="T19" t="n">
        <v>94.4356120826709</v>
      </c>
      <c r="U19" t="n">
        <v>94.4356120826709</v>
      </c>
      <c r="V19" t="n">
        <v>94.4356120826709</v>
      </c>
      <c r="W19" t="n">
        <v>97.2972972972973</v>
      </c>
      <c r="X19" t="n">
        <v>97.2972972972973</v>
      </c>
      <c r="Y19" t="n">
        <v>97.2972972972973</v>
      </c>
      <c r="Z19" t="n">
        <v>97.2972972972973</v>
      </c>
      <c r="AA19" t="n">
        <v>97.2972972972973</v>
      </c>
      <c r="AB19" t="n">
        <v>97.2972972972973</v>
      </c>
      <c r="AC19" t="n">
        <v>97.2972972972973</v>
      </c>
      <c r="AD19" t="n">
        <v>100</v>
      </c>
      <c r="AE19" t="n">
        <v>100</v>
      </c>
      <c r="AF19" t="n">
        <v>101.754385964912</v>
      </c>
    </row>
    <row r="20">
      <c r="A20" t="s">
        <v>88</v>
      </c>
      <c r="B20" t="s">
        <v>310</v>
      </c>
      <c r="C20" t="s">
        <v>236</v>
      </c>
      <c r="D20" t="s">
        <v>311</v>
      </c>
      <c r="E20" t="s">
        <v>237</v>
      </c>
      <c r="F20" t="n">
        <v>45.7700100288384</v>
      </c>
      <c r="G20" t="n">
        <v>47.8504650301493</v>
      </c>
      <c r="H20" t="n">
        <v>49.300479121972</v>
      </c>
      <c r="I20" t="n">
        <v>50.7090642397426</v>
      </c>
      <c r="J20" t="n">
        <v>52.5201022483048</v>
      </c>
      <c r="K20" t="n">
        <v>55.0210594982241</v>
      </c>
      <c r="L20" t="n">
        <v>58.689130131439</v>
      </c>
      <c r="M20" t="n">
        <v>62.8812108551133</v>
      </c>
      <c r="N20" t="n">
        <v>62.8812108551133</v>
      </c>
      <c r="O20" t="n">
        <v>62.8812108551133</v>
      </c>
      <c r="P20" t="n">
        <v>68.121311759706</v>
      </c>
      <c r="Q20" t="n">
        <v>70.8461642300943</v>
      </c>
      <c r="R20" t="n">
        <v>70.8461642300943</v>
      </c>
      <c r="S20" t="n">
        <v>75.9066045322439</v>
      </c>
      <c r="T20" t="n">
        <v>80.1236381173686</v>
      </c>
      <c r="U20" t="n">
        <v>83.3285836420633</v>
      </c>
      <c r="V20" t="n">
        <v>86.6617269877458</v>
      </c>
      <c r="W20" t="n">
        <v>89.2106013109148</v>
      </c>
      <c r="X20" t="n">
        <v>92.396694214876</v>
      </c>
      <c r="Y20" t="n">
        <v>92.396694214876</v>
      </c>
      <c r="Z20" t="n">
        <v>92.396694214876</v>
      </c>
      <c r="AA20" t="n">
        <v>94.5454545454546</v>
      </c>
      <c r="AB20" t="n">
        <v>94.5454545454546</v>
      </c>
      <c r="AC20" t="n">
        <v>94.5454545454546</v>
      </c>
      <c r="AD20" t="n">
        <v>98.4848484848485</v>
      </c>
      <c r="AE20" t="n">
        <v>100</v>
      </c>
      <c r="AF20" t="n">
        <v>101.587301587302</v>
      </c>
    </row>
    <row r="21">
      <c r="A21" t="s">
        <v>88</v>
      </c>
      <c r="B21" t="s">
        <v>312</v>
      </c>
      <c r="C21" t="s">
        <v>236</v>
      </c>
      <c r="D21" t="s">
        <v>313</v>
      </c>
      <c r="E21" t="s">
        <v>237</v>
      </c>
      <c r="F21" t="n">
        <v>50.0938524999576</v>
      </c>
      <c r="G21" t="n">
        <v>52.2718460869123</v>
      </c>
      <c r="H21" t="n">
        <v>53.8092533247626</v>
      </c>
      <c r="I21" t="n">
        <v>55.303954806006</v>
      </c>
      <c r="J21" t="n">
        <v>57.0879533481353</v>
      </c>
      <c r="K21" t="n">
        <v>59.570038276315</v>
      </c>
      <c r="L21" t="n">
        <v>63.1803436263948</v>
      </c>
      <c r="M21" t="n">
        <v>66.5056248698892</v>
      </c>
      <c r="N21" t="n">
        <v>66.5056248698892</v>
      </c>
      <c r="O21" t="n">
        <v>66.5056248698892</v>
      </c>
      <c r="P21" t="n">
        <v>69.8309061133837</v>
      </c>
      <c r="Q21" t="n">
        <v>71.621442167573</v>
      </c>
      <c r="R21" t="n">
        <v>71.621442167573</v>
      </c>
      <c r="S21" t="n">
        <v>77.1307838727709</v>
      </c>
      <c r="T21" t="n">
        <v>82.2728361309557</v>
      </c>
      <c r="U21" t="n">
        <v>84.186157901443</v>
      </c>
      <c r="V21" t="n">
        <v>86.2394788258685</v>
      </c>
      <c r="W21" t="n">
        <v>89.213253957795</v>
      </c>
      <c r="X21" t="n">
        <v>92.711812936532</v>
      </c>
      <c r="Y21" t="n">
        <v>92.711812936532</v>
      </c>
      <c r="Z21" t="n">
        <v>92.711812936532</v>
      </c>
      <c r="AA21" t="n">
        <v>95.2871410736579</v>
      </c>
      <c r="AB21" t="n">
        <v>95.2871410736579</v>
      </c>
      <c r="AC21" t="n">
        <v>95.2871410736579</v>
      </c>
      <c r="AD21" t="n">
        <v>98.6111111111111</v>
      </c>
      <c r="AE21" t="n">
        <v>100</v>
      </c>
      <c r="AF21" t="n">
        <v>101.408450704225</v>
      </c>
    </row>
    <row r="22">
      <c r="A22" t="s">
        <v>88</v>
      </c>
      <c r="B22" t="s">
        <v>314</v>
      </c>
      <c r="C22" t="s">
        <v>236</v>
      </c>
      <c r="D22" t="s">
        <v>315</v>
      </c>
      <c r="E22" t="s">
        <v>237</v>
      </c>
      <c r="F22" t="n">
        <v>75.7775147928994</v>
      </c>
      <c r="G22" t="n">
        <v>75.7775147928994</v>
      </c>
      <c r="H22" t="n">
        <v>75.7775147928994</v>
      </c>
      <c r="I22" t="n">
        <v>75.7775147928994</v>
      </c>
      <c r="J22" t="n">
        <v>75.7775147928994</v>
      </c>
      <c r="K22" t="n">
        <v>75.7775147928994</v>
      </c>
      <c r="L22" t="n">
        <v>75.7775147928994</v>
      </c>
      <c r="M22" t="n">
        <v>75.7775147928994</v>
      </c>
      <c r="N22" t="n">
        <v>75.7775147928994</v>
      </c>
      <c r="O22" t="n">
        <v>75.7775147928994</v>
      </c>
      <c r="P22" t="n">
        <v>75.7775147928994</v>
      </c>
      <c r="Q22" t="n">
        <v>75.7775147928994</v>
      </c>
      <c r="R22" t="n">
        <v>75.7775147928994</v>
      </c>
      <c r="S22" t="n">
        <v>82.0923076923077</v>
      </c>
      <c r="T22" t="n">
        <v>88.9333333333333</v>
      </c>
      <c r="U22" t="n">
        <v>88.9333333333333</v>
      </c>
      <c r="V22" t="n">
        <v>88.9333333333333</v>
      </c>
      <c r="W22" t="n">
        <v>92.6388888888889</v>
      </c>
      <c r="X22" t="n">
        <v>96.6666666666667</v>
      </c>
      <c r="Y22" t="n">
        <v>96.6666666666667</v>
      </c>
      <c r="Z22" t="n">
        <v>96.6666666666667</v>
      </c>
      <c r="AA22" t="n">
        <v>100</v>
      </c>
      <c r="AB22" t="n">
        <v>100</v>
      </c>
      <c r="AC22" t="n">
        <v>100</v>
      </c>
      <c r="AD22" t="n">
        <v>100</v>
      </c>
      <c r="AE22" t="n">
        <v>100</v>
      </c>
      <c r="AF22" t="n">
        <v>100</v>
      </c>
    </row>
    <row r="23">
      <c r="A23" t="s">
        <v>88</v>
      </c>
      <c r="B23" t="s">
        <v>316</v>
      </c>
      <c r="C23" t="s">
        <v>236</v>
      </c>
      <c r="D23" t="s">
        <v>317</v>
      </c>
      <c r="E23" t="s">
        <v>237</v>
      </c>
      <c r="F23" t="n">
        <v>56.1654291916733</v>
      </c>
      <c r="G23" t="n">
        <v>56.1654291916733</v>
      </c>
      <c r="H23" t="n">
        <v>56.1654291916733</v>
      </c>
      <c r="I23" t="n">
        <v>56.1654291916733</v>
      </c>
      <c r="J23" t="n">
        <v>56.1654291916733</v>
      </c>
      <c r="K23" t="n">
        <v>59.7890052685555</v>
      </c>
      <c r="L23" t="n">
        <v>62.1805654792977</v>
      </c>
      <c r="M23" t="n">
        <v>64.1863901721782</v>
      </c>
      <c r="N23" t="n">
        <v>66.0202870342405</v>
      </c>
      <c r="O23" t="n">
        <v>69.3213013859525</v>
      </c>
      <c r="P23" t="n">
        <v>72.9697909325816</v>
      </c>
      <c r="Q23" t="n">
        <v>76.6182804792107</v>
      </c>
      <c r="R23" t="n">
        <v>79.8107088325111</v>
      </c>
      <c r="S23" t="n">
        <v>85.1314227546785</v>
      </c>
      <c r="T23" t="n">
        <v>89.2841750841751</v>
      </c>
      <c r="U23" t="n">
        <v>90.937585733882</v>
      </c>
      <c r="V23" t="n">
        <v>92.8724279835391</v>
      </c>
      <c r="W23" t="n">
        <v>94.7677836566725</v>
      </c>
      <c r="X23" t="n">
        <v>96.2962962962963</v>
      </c>
      <c r="Y23" t="n">
        <v>96.2962962962963</v>
      </c>
      <c r="Z23" t="n">
        <v>96.2962962962963</v>
      </c>
      <c r="AA23" t="n">
        <v>96.2962962962963</v>
      </c>
      <c r="AB23" t="n">
        <v>96.2962962962963</v>
      </c>
      <c r="AC23" t="n">
        <v>96.2962962962963</v>
      </c>
      <c r="AD23" t="n">
        <v>100</v>
      </c>
      <c r="AE23" t="n">
        <v>100</v>
      </c>
      <c r="AF23" t="n">
        <v>102.777777777778</v>
      </c>
    </row>
    <row r="24">
      <c r="A24" t="s">
        <v>88</v>
      </c>
      <c r="B24" t="s">
        <v>318</v>
      </c>
      <c r="C24" t="s">
        <v>236</v>
      </c>
      <c r="D24" t="s">
        <v>319</v>
      </c>
      <c r="E24" t="s">
        <v>237</v>
      </c>
      <c r="F24" t="n">
        <v>55.4142939471415</v>
      </c>
      <c r="G24" t="n">
        <v>57.429359181583</v>
      </c>
      <c r="H24" t="n">
        <v>59.1696427931461</v>
      </c>
      <c r="I24" t="n">
        <v>61.3083045808501</v>
      </c>
      <c r="J24" t="n">
        <v>62.6267627438792</v>
      </c>
      <c r="K24" t="n">
        <v>66.3419096863127</v>
      </c>
      <c r="L24" t="n">
        <v>70.1484127011011</v>
      </c>
      <c r="M24" t="n">
        <v>70.1484127011011</v>
      </c>
      <c r="N24" t="n">
        <v>70.1484127011011</v>
      </c>
      <c r="O24" t="n">
        <v>70.1484127011011</v>
      </c>
      <c r="P24" t="n">
        <v>70.1484127011011</v>
      </c>
      <c r="Q24" t="n">
        <v>70.1484127011011</v>
      </c>
      <c r="R24" t="n">
        <v>72.5263249960537</v>
      </c>
      <c r="S24" t="n">
        <v>78.2520874957421</v>
      </c>
      <c r="T24" t="n">
        <v>81.4460502506704</v>
      </c>
      <c r="U24" t="n">
        <v>82.9004440051467</v>
      </c>
      <c r="V24" t="n">
        <v>85.5322041322942</v>
      </c>
      <c r="W24" t="n">
        <v>88.1505369118542</v>
      </c>
      <c r="X24" t="n">
        <v>90.5329838554178</v>
      </c>
      <c r="Y24" t="n">
        <v>91.8643512650563</v>
      </c>
      <c r="Z24" t="n">
        <v>93.1227670358105</v>
      </c>
      <c r="AA24" t="n">
        <v>94.4922194922195</v>
      </c>
      <c r="AB24" t="n">
        <v>94.4922194922195</v>
      </c>
      <c r="AC24" t="n">
        <v>94.4922194922195</v>
      </c>
      <c r="AD24" t="n">
        <v>98.4848484848485</v>
      </c>
      <c r="AE24" t="n">
        <v>100</v>
      </c>
      <c r="AF24" t="n">
        <v>102.631578947368</v>
      </c>
    </row>
    <row r="25">
      <c r="A25" t="s">
        <v>88</v>
      </c>
      <c r="B25" t="s">
        <v>320</v>
      </c>
      <c r="C25" t="s">
        <v>236</v>
      </c>
      <c r="D25" t="s">
        <v>321</v>
      </c>
      <c r="E25" t="s">
        <v>237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e">
        <v>#NUM!</v>
      </c>
      <c r="T25" t="n">
        <v>0</v>
      </c>
      <c r="U25" t="n">
        <v>0</v>
      </c>
      <c r="V25" t="n">
        <v>0</v>
      </c>
      <c r="W25" t="n">
        <v>100</v>
      </c>
      <c r="X25" t="n">
        <v>100</v>
      </c>
      <c r="Y25" t="n">
        <v>100</v>
      </c>
      <c r="Z25" t="n">
        <v>100</v>
      </c>
      <c r="AA25" t="n">
        <v>100</v>
      </c>
      <c r="AB25" t="n">
        <v>100</v>
      </c>
      <c r="AC25" t="n">
        <v>100</v>
      </c>
      <c r="AD25" t="n">
        <v>100</v>
      </c>
      <c r="AE25" t="n">
        <v>100</v>
      </c>
      <c r="AF25" t="n">
        <v>100</v>
      </c>
    </row>
    <row r="26">
      <c r="A26" t="s">
        <v>88</v>
      </c>
      <c r="B26" t="s">
        <v>322</v>
      </c>
      <c r="C26" t="s">
        <v>236</v>
      </c>
      <c r="D26" t="s">
        <v>323</v>
      </c>
      <c r="E26" t="s">
        <v>237</v>
      </c>
      <c r="F26" t="n">
        <v>54.0301170294777</v>
      </c>
      <c r="G26" t="n">
        <v>55.9948485578223</v>
      </c>
      <c r="H26" t="n">
        <v>57.6916621504836</v>
      </c>
      <c r="I26" t="n">
        <v>59.8023327169647</v>
      </c>
      <c r="J26" t="n">
        <v>61.102383428203</v>
      </c>
      <c r="K26" t="n">
        <v>64.7895962212843</v>
      </c>
      <c r="L26" t="n">
        <v>68.6007489401833</v>
      </c>
      <c r="M26" t="n">
        <v>68.6007489401833</v>
      </c>
      <c r="N26" t="n">
        <v>68.6007489401833</v>
      </c>
      <c r="O26" t="n">
        <v>68.6007489401833</v>
      </c>
      <c r="P26" t="n">
        <v>68.6007489401833</v>
      </c>
      <c r="Q26" t="n">
        <v>68.6007489401833</v>
      </c>
      <c r="R26" t="n">
        <v>70.9261980567997</v>
      </c>
      <c r="S26" t="n">
        <v>77.184392002988</v>
      </c>
      <c r="T26" t="n">
        <v>80.3347753500487</v>
      </c>
      <c r="U26" t="n">
        <v>81.8796748760112</v>
      </c>
      <c r="V26" t="n">
        <v>84.7031119407012</v>
      </c>
      <c r="W26" t="n">
        <v>87.3779470546181</v>
      </c>
      <c r="X26" t="n">
        <v>89.8392976758749</v>
      </c>
      <c r="Y26" t="n">
        <v>91.288318606131</v>
      </c>
      <c r="Z26" t="n">
        <v>92.6508308241329</v>
      </c>
      <c r="AA26" t="n">
        <v>94.1950113378685</v>
      </c>
      <c r="AB26" t="n">
        <v>94.1950113378685</v>
      </c>
      <c r="AC26" t="n">
        <v>94.1950113378685</v>
      </c>
      <c r="AD26" t="n">
        <v>98.4126984126984</v>
      </c>
      <c r="AE26" t="n">
        <v>100</v>
      </c>
      <c r="AF26" t="n">
        <v>102.727272727273</v>
      </c>
    </row>
    <row r="27">
      <c r="A27" t="s">
        <v>88</v>
      </c>
      <c r="B27" t="s">
        <v>324</v>
      </c>
      <c r="C27" t="s">
        <v>236</v>
      </c>
      <c r="D27" t="s">
        <v>325</v>
      </c>
      <c r="E27" t="s">
        <v>237</v>
      </c>
      <c r="F27" t="n">
        <v>0</v>
      </c>
      <c r="G27" t="n">
        <v>0</v>
      </c>
      <c r="H27" t="n">
        <v>0</v>
      </c>
      <c r="I27" t="e">
        <v>#NUM!</v>
      </c>
      <c r="J27" t="e">
        <v>#NUM!</v>
      </c>
      <c r="K27" t="e">
        <v>#NUM!</v>
      </c>
      <c r="L27" t="e">
        <v>#NUM!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e">
        <v>#NUM!</v>
      </c>
      <c r="V27" t="e">
        <v>#NUM!</v>
      </c>
      <c r="W27" t="e">
        <v>#NUM!</v>
      </c>
      <c r="X27" t="e">
        <v>#NUM!</v>
      </c>
      <c r="Y27" t="e">
        <v>#NUM!</v>
      </c>
      <c r="Z27" t="n">
        <v>0</v>
      </c>
      <c r="AA27" t="e">
        <v>#NUM!</v>
      </c>
      <c r="AB27" t="n">
        <v>0</v>
      </c>
      <c r="AC27" t="n">
        <v>0</v>
      </c>
      <c r="AD27" t="n">
        <v>0</v>
      </c>
      <c r="AE27" t="n">
        <v>100</v>
      </c>
      <c r="AF27" t="n">
        <v>100</v>
      </c>
    </row>
    <row r="28">
      <c r="A28" t="s">
        <v>88</v>
      </c>
      <c r="B28" t="s">
        <v>326</v>
      </c>
      <c r="C28" t="s">
        <v>236</v>
      </c>
      <c r="D28" t="s">
        <v>327</v>
      </c>
      <c r="E28" t="s">
        <v>237</v>
      </c>
      <c r="F28" t="n">
        <v>65.7646309598824</v>
      </c>
      <c r="G28" t="n">
        <v>65.7646309598824</v>
      </c>
      <c r="H28" t="n">
        <v>65.7646309598824</v>
      </c>
      <c r="I28" t="n">
        <v>65.7646309598824</v>
      </c>
      <c r="J28" t="n">
        <v>65.7646309598824</v>
      </c>
      <c r="K28" t="n">
        <v>69.6331386634048</v>
      </c>
      <c r="L28" t="n">
        <v>72.034281375936</v>
      </c>
      <c r="M28" t="n">
        <v>75.8255593430906</v>
      </c>
      <c r="N28" t="n">
        <v>75.8255593430906</v>
      </c>
      <c r="O28" t="n">
        <v>79.2721756768674</v>
      </c>
      <c r="P28" t="n">
        <v>82.5751829967369</v>
      </c>
      <c r="Q28" t="n">
        <v>85.5242966751918</v>
      </c>
      <c r="R28" t="n">
        <v>89.4117647058823</v>
      </c>
      <c r="S28" t="n">
        <v>94.1176470588235</v>
      </c>
      <c r="T28" t="n">
        <v>100</v>
      </c>
      <c r="U28" t="n">
        <v>100</v>
      </c>
      <c r="V28" t="n">
        <v>100</v>
      </c>
      <c r="W28" t="n">
        <v>100</v>
      </c>
      <c r="X28" t="n">
        <v>100</v>
      </c>
      <c r="Y28" t="n">
        <v>100</v>
      </c>
      <c r="Z28" t="n">
        <v>100</v>
      </c>
      <c r="AA28" t="n">
        <v>100</v>
      </c>
      <c r="AB28" t="n">
        <v>100</v>
      </c>
      <c r="AC28" t="n">
        <v>100</v>
      </c>
      <c r="AD28" t="n">
        <v>100</v>
      </c>
      <c r="AE28" t="n">
        <v>100</v>
      </c>
      <c r="AF28" t="n">
        <v>100</v>
      </c>
    </row>
    <row r="29">
      <c r="A29" t="s">
        <v>88</v>
      </c>
      <c r="B29" t="s">
        <v>328</v>
      </c>
      <c r="C29" t="s">
        <v>236</v>
      </c>
      <c r="D29" t="s">
        <v>329</v>
      </c>
      <c r="E29" t="s">
        <v>237</v>
      </c>
      <c r="F29" t="e">
        <v>#NUM!</v>
      </c>
      <c r="G29" t="e">
        <v>#NUM!</v>
      </c>
      <c r="H29" t="e">
        <v>#NUM!</v>
      </c>
      <c r="I29" t="e">
        <v>#NUM!</v>
      </c>
      <c r="J29" t="e">
        <v>#NUM!</v>
      </c>
      <c r="K29" t="e">
        <v>#NUM!</v>
      </c>
      <c r="L29" t="e">
        <v>#NUM!</v>
      </c>
      <c r="M29" t="e">
        <v>#NUM!</v>
      </c>
      <c r="N29" t="e">
        <v>#NUM!</v>
      </c>
      <c r="O29" t="e">
        <v>#NUM!</v>
      </c>
      <c r="P29" t="e">
        <v>#NUM!</v>
      </c>
      <c r="Q29" t="e">
        <v>#NUM!</v>
      </c>
      <c r="R29" t="e">
        <v>#NUM!</v>
      </c>
      <c r="S29" t="n">
        <v>0</v>
      </c>
      <c r="T29" t="n">
        <v>0</v>
      </c>
      <c r="U29" t="e">
        <v>#NUM!</v>
      </c>
      <c r="V29" t="e">
        <v>#NUM!</v>
      </c>
      <c r="W29" t="e">
        <v>#NUM!</v>
      </c>
      <c r="X29" t="e">
        <v>#NUM!</v>
      </c>
      <c r="Y29" t="e">
        <v>#NUM!</v>
      </c>
      <c r="Z29" t="e">
        <v>#NUM!</v>
      </c>
      <c r="AA29" t="e">
        <v>#NUM!</v>
      </c>
      <c r="AB29" t="n">
        <v>0</v>
      </c>
      <c r="AC29" t="n">
        <v>100</v>
      </c>
      <c r="AD29" t="n">
        <v>100</v>
      </c>
      <c r="AE29" t="n">
        <v>100</v>
      </c>
      <c r="AF29" t="n">
        <v>100</v>
      </c>
    </row>
    <row r="30">
      <c r="A30" t="s">
        <v>88</v>
      </c>
      <c r="B30" t="s">
        <v>330</v>
      </c>
      <c r="C30" t="s">
        <v>236</v>
      </c>
      <c r="D30" t="s">
        <v>331</v>
      </c>
      <c r="E30" t="s">
        <v>237</v>
      </c>
      <c r="F30" t="n">
        <v>0</v>
      </c>
      <c r="G30" t="e">
        <v>#NUM!</v>
      </c>
      <c r="H30" t="e">
        <v>#NUM!</v>
      </c>
      <c r="I30" t="e">
        <v>#NUM!</v>
      </c>
      <c r="J30" t="e">
        <v>#NUM!</v>
      </c>
      <c r="K30" t="e">
        <v>#NUM!</v>
      </c>
      <c r="L30" t="e">
        <v>#NUM!</v>
      </c>
      <c r="M30" t="e">
        <v>#NUM!</v>
      </c>
      <c r="N30" t="e">
        <v>#NUM!</v>
      </c>
      <c r="O30" t="e">
        <v>#NUM!</v>
      </c>
      <c r="P30" t="e">
        <v>#NUM!</v>
      </c>
      <c r="Q30" t="n">
        <v>0</v>
      </c>
      <c r="R30" t="e">
        <v>#NUM!</v>
      </c>
      <c r="S30" t="e">
        <v>#NUM!</v>
      </c>
      <c r="T30" t="n">
        <v>0</v>
      </c>
      <c r="U30" t="n">
        <v>0</v>
      </c>
      <c r="V30" t="e">
        <v>#NUM!</v>
      </c>
      <c r="W30" t="n">
        <v>0</v>
      </c>
      <c r="X30" t="n">
        <v>0</v>
      </c>
      <c r="Y30" t="e">
        <v>#NUM!</v>
      </c>
      <c r="Z30" t="n">
        <v>0</v>
      </c>
      <c r="AA30" t="e">
        <v>#NUM!</v>
      </c>
      <c r="AB30" t="n">
        <v>0</v>
      </c>
      <c r="AC30" t="n">
        <v>0</v>
      </c>
      <c r="AD30" t="n">
        <v>100</v>
      </c>
      <c r="AE30" t="n">
        <v>100</v>
      </c>
      <c r="AF30" t="n">
        <v>100</v>
      </c>
    </row>
    <row r="31">
      <c r="A31" t="s">
        <v>88</v>
      </c>
      <c r="B31" t="s">
        <v>332</v>
      </c>
      <c r="C31" t="s">
        <v>236</v>
      </c>
      <c r="D31" t="s">
        <v>333</v>
      </c>
      <c r="E31" t="s">
        <v>237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88</v>
      </c>
      <c r="B32" t="s">
        <v>334</v>
      </c>
      <c r="C32" t="s">
        <v>236</v>
      </c>
      <c r="D32" t="s">
        <v>335</v>
      </c>
      <c r="E32" t="s">
        <v>237</v>
      </c>
      <c r="F32" t="n">
        <v>0</v>
      </c>
      <c r="G32" t="n">
        <v>0</v>
      </c>
      <c r="H32" t="n">
        <v>0</v>
      </c>
      <c r="I32" t="n">
        <v>0</v>
      </c>
      <c r="J32" t="e">
        <v>#NUM!</v>
      </c>
      <c r="K32" t="n">
        <v>0</v>
      </c>
      <c r="L32" t="n">
        <v>0</v>
      </c>
      <c r="M32" t="e">
        <v>#NUM!</v>
      </c>
      <c r="N32" t="e">
        <v>#NUM!</v>
      </c>
      <c r="O32" t="e">
        <v>#NUM!</v>
      </c>
      <c r="P32" t="e">
        <v>#NUM!</v>
      </c>
      <c r="Q32" t="e">
        <v>#NUM!</v>
      </c>
      <c r="R32" t="n">
        <v>0</v>
      </c>
      <c r="S32" t="e">
        <v>#NUM!</v>
      </c>
      <c r="T32" t="e">
        <v>#NUM!</v>
      </c>
      <c r="U32" t="e">
        <v>#NUM!</v>
      </c>
      <c r="V32" t="e">
        <v>#NUM!</v>
      </c>
      <c r="W32" t="e">
        <v>#NUM!</v>
      </c>
      <c r="X32" t="e">
        <v>#NUM!</v>
      </c>
      <c r="Y32" t="e">
        <v>#NUM!</v>
      </c>
      <c r="Z32" t="e">
        <v>#NUM!</v>
      </c>
      <c r="AA32" t="n">
        <v>0</v>
      </c>
      <c r="AB32" t="n">
        <v>100</v>
      </c>
      <c r="AC32" t="n">
        <v>100</v>
      </c>
      <c r="AD32" t="n">
        <v>100</v>
      </c>
      <c r="AE32" t="n">
        <v>100</v>
      </c>
      <c r="AF32" t="n">
        <v>100</v>
      </c>
    </row>
    <row r="33">
      <c r="A33" t="s">
        <v>88</v>
      </c>
      <c r="B33" t="s">
        <v>336</v>
      </c>
      <c r="C33" t="s">
        <v>236</v>
      </c>
      <c r="D33" t="s">
        <v>337</v>
      </c>
      <c r="E33" t="s">
        <v>237</v>
      </c>
      <c r="F33" t="n">
        <v>57.8728426179084</v>
      </c>
      <c r="G33" t="n">
        <v>57.8728426179084</v>
      </c>
      <c r="H33" t="n">
        <v>57.8728426179084</v>
      </c>
      <c r="I33" t="n">
        <v>57.8728426179084</v>
      </c>
      <c r="J33" t="n">
        <v>57.8728426179084</v>
      </c>
      <c r="K33" t="n">
        <v>63.6601268796993</v>
      </c>
      <c r="L33" t="n">
        <v>67.4048402255639</v>
      </c>
      <c r="M33" t="n">
        <v>71.8984962406015</v>
      </c>
      <c r="N33" t="n">
        <v>71.8984962406015</v>
      </c>
      <c r="O33" t="n">
        <v>76.6917293233083</v>
      </c>
      <c r="P33" t="n">
        <v>80.952380952381</v>
      </c>
      <c r="Q33" t="n">
        <v>84.3253968253968</v>
      </c>
      <c r="R33" t="n">
        <v>88.5416666666667</v>
      </c>
      <c r="S33" t="n">
        <v>93.75</v>
      </c>
      <c r="T33" t="n">
        <v>100</v>
      </c>
      <c r="U33" t="n">
        <v>100</v>
      </c>
      <c r="V33" t="n">
        <v>100</v>
      </c>
      <c r="W33" t="n">
        <v>100</v>
      </c>
      <c r="X33" t="n">
        <v>100</v>
      </c>
      <c r="Y33" t="n">
        <v>100</v>
      </c>
      <c r="Z33" t="n">
        <v>100</v>
      </c>
      <c r="AA33" t="n">
        <v>100</v>
      </c>
      <c r="AB33" t="n">
        <v>100</v>
      </c>
      <c r="AC33" t="n">
        <v>100</v>
      </c>
      <c r="AD33" t="n">
        <v>100</v>
      </c>
      <c r="AE33" t="n">
        <v>100</v>
      </c>
      <c r="AF33" t="n">
        <v>100</v>
      </c>
    </row>
    <row r="34">
      <c r="A34" t="s">
        <v>88</v>
      </c>
      <c r="B34" t="s">
        <v>338</v>
      </c>
      <c r="C34" t="s">
        <v>236</v>
      </c>
      <c r="D34" t="s">
        <v>339</v>
      </c>
      <c r="E34" t="s">
        <v>237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e">
        <v>#NUM!</v>
      </c>
      <c r="V34" t="e">
        <v>#NUM!</v>
      </c>
      <c r="W34" t="e">
        <v>#NUM!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e">
        <v>#NUM!</v>
      </c>
      <c r="AD34" t="n">
        <v>0</v>
      </c>
      <c r="AE34" t="n">
        <v>100</v>
      </c>
      <c r="AF34" t="n">
        <v>100</v>
      </c>
    </row>
    <row r="35">
      <c r="A35" t="s">
        <v>88</v>
      </c>
      <c r="B35" t="s">
        <v>340</v>
      </c>
      <c r="C35" t="s">
        <v>236</v>
      </c>
      <c r="D35" t="s">
        <v>341</v>
      </c>
      <c r="E35" t="s">
        <v>237</v>
      </c>
      <c r="F35" t="n">
        <v>46.218869909397</v>
      </c>
      <c r="G35" t="n">
        <v>48.0676247057729</v>
      </c>
      <c r="H35" t="n">
        <v>48.8556185534085</v>
      </c>
      <c r="I35" t="n">
        <v>50.6430192321918</v>
      </c>
      <c r="J35" t="n">
        <v>51.7601446564313</v>
      </c>
      <c r="K35" t="n">
        <v>54.7391457877367</v>
      </c>
      <c r="L35" t="n">
        <v>57.7562640595017</v>
      </c>
      <c r="M35" t="n">
        <v>60.5175197117488</v>
      </c>
      <c r="N35" t="n">
        <v>62.253678064135</v>
      </c>
      <c r="O35" t="n">
        <v>64.7689781879385</v>
      </c>
      <c r="P35" t="n">
        <v>67.7751332937078</v>
      </c>
      <c r="Q35" t="n">
        <v>69.9335770291762</v>
      </c>
      <c r="R35" t="n">
        <v>72.1961339330613</v>
      </c>
      <c r="S35" t="n">
        <v>77.314516562644</v>
      </c>
      <c r="T35" t="n">
        <v>80.7660574806192</v>
      </c>
      <c r="U35" t="n">
        <v>82.6370858392436</v>
      </c>
      <c r="V35" t="n">
        <v>85.4122118562331</v>
      </c>
      <c r="W35" t="n">
        <v>88.2506841535701</v>
      </c>
      <c r="X35" t="n">
        <v>90.508259794708</v>
      </c>
      <c r="Y35" t="n">
        <v>91.7247686629164</v>
      </c>
      <c r="Z35" t="n">
        <v>92.686916585954</v>
      </c>
      <c r="AA35" t="n">
        <v>94.6520102238187</v>
      </c>
      <c r="AB35" t="n">
        <v>94.8991434097817</v>
      </c>
      <c r="AC35" t="n">
        <v>94.8991434097817</v>
      </c>
      <c r="AD35" t="n">
        <v>98.4802431610942</v>
      </c>
      <c r="AE35" t="n">
        <v>100</v>
      </c>
      <c r="AF35" t="n">
        <v>102.386117136659</v>
      </c>
    </row>
    <row r="36">
      <c r="A36" t="s">
        <v>88</v>
      </c>
      <c r="B36" t="s">
        <v>342</v>
      </c>
      <c r="C36" t="s">
        <v>236</v>
      </c>
      <c r="D36" t="s">
        <v>343</v>
      </c>
      <c r="E36" t="s">
        <v>237</v>
      </c>
      <c r="F36" t="n">
        <v>74.8712511748548</v>
      </c>
      <c r="G36" t="n">
        <v>74.8712511748548</v>
      </c>
      <c r="H36" t="n">
        <v>74.8712511748548</v>
      </c>
      <c r="I36" t="n">
        <v>74.8712511748548</v>
      </c>
      <c r="J36" t="n">
        <v>74.8712511748548</v>
      </c>
      <c r="K36" t="n">
        <v>74.8712511748548</v>
      </c>
      <c r="L36" t="n">
        <v>74.8712511748548</v>
      </c>
      <c r="M36" t="n">
        <v>74.8712511748548</v>
      </c>
      <c r="N36" t="n">
        <v>74.8712511748548</v>
      </c>
      <c r="O36" t="n">
        <v>74.8712511748548</v>
      </c>
      <c r="P36" t="n">
        <v>74.8712511748548</v>
      </c>
      <c r="Q36" t="n">
        <v>74.8712511748548</v>
      </c>
      <c r="R36" t="n">
        <v>74.8712511748548</v>
      </c>
      <c r="S36" t="n">
        <v>80.6305781883051</v>
      </c>
      <c r="T36" t="n">
        <v>80.6305781883051</v>
      </c>
      <c r="U36" t="n">
        <v>82.1237370436441</v>
      </c>
      <c r="V36" t="n">
        <v>84.907592536649</v>
      </c>
      <c r="W36" t="n">
        <v>87.8868063098647</v>
      </c>
      <c r="X36" t="n">
        <v>90.4717123778019</v>
      </c>
      <c r="Y36" t="n">
        <v>91.5886470985155</v>
      </c>
      <c r="Z36" t="n">
        <v>92.809829059829</v>
      </c>
      <c r="AA36" t="n">
        <v>94.6296296296296</v>
      </c>
      <c r="AB36" t="n">
        <v>94.6296296296296</v>
      </c>
      <c r="AC36" t="n">
        <v>94.6296296296296</v>
      </c>
      <c r="AD36" t="n">
        <v>98.5185185185185</v>
      </c>
      <c r="AE36" t="n">
        <v>100</v>
      </c>
      <c r="AF36" t="n">
        <v>102.439024390244</v>
      </c>
    </row>
    <row r="37">
      <c r="A37" t="s">
        <v>88</v>
      </c>
      <c r="B37" t="s">
        <v>344</v>
      </c>
      <c r="C37" t="s">
        <v>236</v>
      </c>
      <c r="D37" t="s">
        <v>345</v>
      </c>
      <c r="E37" t="s">
        <v>237</v>
      </c>
      <c r="F37" t="n">
        <v>46.065500178449</v>
      </c>
      <c r="G37" t="n">
        <v>48.3125977481295</v>
      </c>
      <c r="H37" t="n">
        <v>49.2599035863281</v>
      </c>
      <c r="I37" t="n">
        <v>51.465570911089</v>
      </c>
      <c r="J37" t="n">
        <v>52.5723573822953</v>
      </c>
      <c r="K37" t="n">
        <v>55.559423142653</v>
      </c>
      <c r="L37" t="n">
        <v>58.7802592668647</v>
      </c>
      <c r="M37" t="n">
        <v>61.719272230208</v>
      </c>
      <c r="N37" t="n">
        <v>63.647999487402</v>
      </c>
      <c r="O37" t="n">
        <v>66.065012126164</v>
      </c>
      <c r="P37" t="n">
        <v>69.5421180275411</v>
      </c>
      <c r="Q37" t="n">
        <v>71.6818755053116</v>
      </c>
      <c r="R37" t="n">
        <v>74.2419424876441</v>
      </c>
      <c r="S37" t="n">
        <v>79.3620764523093</v>
      </c>
      <c r="T37" t="n">
        <v>82.9694435637778</v>
      </c>
      <c r="U37" t="n">
        <v>84.8551127356819</v>
      </c>
      <c r="V37" t="n">
        <v>86.8754725627219</v>
      </c>
      <c r="W37" t="n">
        <v>89.9781680113906</v>
      </c>
      <c r="X37" t="n">
        <v>92.1205053449951</v>
      </c>
      <c r="Y37" t="n">
        <v>94.3673469387755</v>
      </c>
      <c r="Z37" t="n">
        <v>94.3673469387755</v>
      </c>
      <c r="AA37" t="n">
        <v>97.1428571428571</v>
      </c>
      <c r="AB37" t="n">
        <v>97.1428571428571</v>
      </c>
      <c r="AC37" t="n">
        <v>97.1428571428571</v>
      </c>
      <c r="AD37" t="n">
        <v>100</v>
      </c>
      <c r="AE37" t="n">
        <v>100</v>
      </c>
      <c r="AF37" t="n">
        <v>102.127659574468</v>
      </c>
    </row>
    <row r="38">
      <c r="A38" t="s">
        <v>88</v>
      </c>
      <c r="B38" t="s">
        <v>346</v>
      </c>
      <c r="C38" t="s">
        <v>236</v>
      </c>
      <c r="D38" t="s">
        <v>347</v>
      </c>
      <c r="E38" t="s">
        <v>237</v>
      </c>
      <c r="F38" t="n">
        <v>49.5989747522247</v>
      </c>
      <c r="G38" t="n">
        <v>49.5989747522247</v>
      </c>
      <c r="H38" t="n">
        <v>49.5989747522247</v>
      </c>
      <c r="I38" t="n">
        <v>49.5989747522247</v>
      </c>
      <c r="J38" t="n">
        <v>50.9042109299148</v>
      </c>
      <c r="K38" t="n">
        <v>54.0857241130345</v>
      </c>
      <c r="L38" t="n">
        <v>57.1471801949044</v>
      </c>
      <c r="M38" t="n">
        <v>59.9060095836239</v>
      </c>
      <c r="N38" t="n">
        <v>61.6373971438443</v>
      </c>
      <c r="O38" t="n">
        <v>64.3407917554164</v>
      </c>
      <c r="P38" t="n">
        <v>67.2094894769955</v>
      </c>
      <c r="Q38" t="n">
        <v>69.5270580796505</v>
      </c>
      <c r="R38" t="n">
        <v>71.7860599667149</v>
      </c>
      <c r="S38" t="n">
        <v>76.887607375517</v>
      </c>
      <c r="T38" t="n">
        <v>80.5058477226001</v>
      </c>
      <c r="U38" t="n">
        <v>82.5059930076337</v>
      </c>
      <c r="V38" t="n">
        <v>85.4702801815606</v>
      </c>
      <c r="W38" t="n">
        <v>88.249801488278</v>
      </c>
      <c r="X38" t="n">
        <v>90.456046525485</v>
      </c>
      <c r="Y38" t="n">
        <v>91.5415190837908</v>
      </c>
      <c r="Z38" t="n">
        <v>92.5877078733199</v>
      </c>
      <c r="AA38" t="n">
        <v>94.4581666182354</v>
      </c>
      <c r="AB38" t="n">
        <v>94.8452902519167</v>
      </c>
      <c r="AC38" t="n">
        <v>94.8452902519168</v>
      </c>
      <c r="AD38" t="n">
        <v>98.1927710843374</v>
      </c>
      <c r="AE38" t="n">
        <v>100</v>
      </c>
      <c r="AF38" t="n">
        <v>102.392344497608</v>
      </c>
    </row>
    <row r="39">
      <c r="A39" t="s">
        <v>88</v>
      </c>
      <c r="B39" t="s">
        <v>348</v>
      </c>
      <c r="C39" t="s">
        <v>236</v>
      </c>
      <c r="D39" t="s">
        <v>349</v>
      </c>
      <c r="E39" t="s">
        <v>237</v>
      </c>
      <c r="F39" t="n">
        <v>0</v>
      </c>
      <c r="G39" t="e">
        <v>#NUM!</v>
      </c>
      <c r="H39" t="e">
        <v>#NUM!</v>
      </c>
      <c r="I39" t="e">
        <v>#NUM!</v>
      </c>
      <c r="J39" t="e">
        <v>#NUM!</v>
      </c>
      <c r="K39" t="e">
        <v>#NUM!</v>
      </c>
      <c r="L39" t="e">
        <v>#NUM!</v>
      </c>
      <c r="M39" t="e">
        <v>#NUM!</v>
      </c>
      <c r="N39" t="n">
        <v>0</v>
      </c>
      <c r="O39" t="n">
        <v>0</v>
      </c>
      <c r="P39" t="n">
        <v>0</v>
      </c>
      <c r="Q39" t="n">
        <v>68.3926256999615</v>
      </c>
      <c r="R39" t="n">
        <v>72.415721329371</v>
      </c>
      <c r="S39" t="n">
        <v>77.1799135220928</v>
      </c>
      <c r="T39" t="n">
        <v>80.584909706891</v>
      </c>
      <c r="U39" t="n">
        <v>82.7927154522853</v>
      </c>
      <c r="V39" t="n">
        <v>86.1044240703767</v>
      </c>
      <c r="W39" t="n">
        <v>88.9745715393893</v>
      </c>
      <c r="X39" t="n">
        <v>91.630528898774</v>
      </c>
      <c r="Y39" t="n">
        <v>91.630528898774</v>
      </c>
      <c r="Z39" t="n">
        <v>92.6717849089873</v>
      </c>
      <c r="AA39" t="n">
        <v>95.0179060459238</v>
      </c>
      <c r="AB39" t="n">
        <v>95.0179060459238</v>
      </c>
      <c r="AC39" t="n">
        <v>95.0179060459238</v>
      </c>
      <c r="AD39" t="n">
        <v>98.936170212766</v>
      </c>
      <c r="AE39" t="n">
        <v>100</v>
      </c>
      <c r="AF39" t="n">
        <v>102.197802197802</v>
      </c>
    </row>
    <row r="40">
      <c r="A40" t="s">
        <v>88</v>
      </c>
      <c r="B40" t="s">
        <v>350</v>
      </c>
      <c r="C40" t="s">
        <v>236</v>
      </c>
      <c r="D40" t="s">
        <v>351</v>
      </c>
      <c r="E40" t="s">
        <v>237</v>
      </c>
      <c r="F40" t="e">
        <v>#NUM!</v>
      </c>
      <c r="G40" t="e">
        <v>#NUM!</v>
      </c>
      <c r="H40" t="e">
        <v>#NUM!</v>
      </c>
      <c r="I40" t="e">
        <v>#NUM!</v>
      </c>
      <c r="J40" t="e">
        <v>#NUM!</v>
      </c>
      <c r="K40" t="e">
        <v>#NUM!</v>
      </c>
      <c r="L40" t="e">
        <v>#NUM!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100</v>
      </c>
      <c r="V40" t="n">
        <v>100</v>
      </c>
      <c r="W40" t="n">
        <v>100</v>
      </c>
      <c r="X40" t="n">
        <v>100</v>
      </c>
      <c r="Y40" t="n">
        <v>100</v>
      </c>
      <c r="Z40" t="n">
        <v>100</v>
      </c>
      <c r="AA40" t="n">
        <v>100</v>
      </c>
      <c r="AB40" t="n">
        <v>100</v>
      </c>
      <c r="AC40" t="n">
        <v>100</v>
      </c>
      <c r="AD40" t="n">
        <v>100</v>
      </c>
      <c r="AE40" t="n">
        <v>100</v>
      </c>
      <c r="AF40" t="n">
        <v>100</v>
      </c>
    </row>
    <row r="41">
      <c r="A41" t="s">
        <v>88</v>
      </c>
      <c r="B41" t="s">
        <v>352</v>
      </c>
      <c r="C41" t="s">
        <v>236</v>
      </c>
      <c r="D41" t="s">
        <v>353</v>
      </c>
      <c r="E41" t="s">
        <v>237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/>
      <c r="AD41"/>
      <c r="AE41"/>
      <c r="AF41"/>
    </row>
    <row r="42">
      <c r="A42" t="s">
        <v>88</v>
      </c>
      <c r="B42" t="s">
        <v>354</v>
      </c>
      <c r="C42" t="s">
        <v>236</v>
      </c>
      <c r="D42" t="s">
        <v>355</v>
      </c>
      <c r="E42" t="s">
        <v>237</v>
      </c>
      <c r="F42" t="n">
        <v>46.0933729486635</v>
      </c>
      <c r="G42" t="n">
        <v>47.8921387222699</v>
      </c>
      <c r="H42" t="n">
        <v>49.0706924715875</v>
      </c>
      <c r="I42" t="n">
        <v>50.8608250295639</v>
      </c>
      <c r="J42" t="n">
        <v>51.8296026491746</v>
      </c>
      <c r="K42" t="n">
        <v>54.7562286639732</v>
      </c>
      <c r="L42" t="n">
        <v>57.7565699606292</v>
      </c>
      <c r="M42" t="n">
        <v>60.2998280128729</v>
      </c>
      <c r="N42" t="n">
        <v>61.8288252366541</v>
      </c>
      <c r="O42" t="n">
        <v>64.5049982692854</v>
      </c>
      <c r="P42" t="n">
        <v>67.5405275996047</v>
      </c>
      <c r="Q42" t="n">
        <v>69.5323394054912</v>
      </c>
      <c r="R42" t="n">
        <v>71.8334096304211</v>
      </c>
      <c r="S42" t="n">
        <v>76.8906468026778</v>
      </c>
      <c r="T42" t="n">
        <v>80.422369424848</v>
      </c>
      <c r="U42" t="n">
        <v>82.3516939438785</v>
      </c>
      <c r="V42" t="n">
        <v>85.1004153705767</v>
      </c>
      <c r="W42" t="n">
        <v>87.9547150165463</v>
      </c>
      <c r="X42" t="n">
        <v>90.2635262857307</v>
      </c>
      <c r="Y42" t="n">
        <v>91.2433203295378</v>
      </c>
      <c r="Z42" t="n">
        <v>92.4680628842967</v>
      </c>
      <c r="AA42" t="n">
        <v>94.4382630877973</v>
      </c>
      <c r="AB42" t="n">
        <v>94.720168350746</v>
      </c>
      <c r="AC42" t="n">
        <v>94.720168350746</v>
      </c>
      <c r="AD42" t="n">
        <v>98.4165651644336</v>
      </c>
      <c r="AE42" t="n">
        <v>100</v>
      </c>
      <c r="AF42" t="n">
        <v>102.312775330396</v>
      </c>
    </row>
    <row r="43">
      <c r="A43" t="s">
        <v>88</v>
      </c>
      <c r="B43" t="s">
        <v>356</v>
      </c>
      <c r="C43" t="s">
        <v>236</v>
      </c>
      <c r="D43" t="s">
        <v>357</v>
      </c>
      <c r="E43" t="s">
        <v>237</v>
      </c>
      <c r="F43" t="n">
        <v>46.3287855696425</v>
      </c>
      <c r="G43" t="n">
        <v>48.1279617082694</v>
      </c>
      <c r="H43" t="n">
        <v>49.3044229944715</v>
      </c>
      <c r="I43" t="n">
        <v>51.0915769196443</v>
      </c>
      <c r="J43" t="n">
        <v>52.0592204219103</v>
      </c>
      <c r="K43" t="n">
        <v>54.9934673911452</v>
      </c>
      <c r="L43" t="n">
        <v>58.0016570604044</v>
      </c>
      <c r="M43" t="n">
        <v>60.5341237771263</v>
      </c>
      <c r="N43" t="n">
        <v>62.0569948155446</v>
      </c>
      <c r="O43" t="n">
        <v>64.7113500510177</v>
      </c>
      <c r="P43" t="n">
        <v>67.7124561403403</v>
      </c>
      <c r="Q43" t="n">
        <v>69.6829244407206</v>
      </c>
      <c r="R43" t="n">
        <v>71.9627356244142</v>
      </c>
      <c r="S43" t="n">
        <v>77.0290776439491</v>
      </c>
      <c r="T43" t="n">
        <v>80.5671586380937</v>
      </c>
      <c r="U43" t="n">
        <v>82.4926630583752</v>
      </c>
      <c r="V43" t="n">
        <v>85.231463292717</v>
      </c>
      <c r="W43" t="n">
        <v>88.0725120691409</v>
      </c>
      <c r="X43" t="n">
        <v>90.3757782627299</v>
      </c>
      <c r="Y43" t="n">
        <v>91.3462564185713</v>
      </c>
      <c r="Z43" t="n">
        <v>92.5609672752012</v>
      </c>
      <c r="AA43" t="n">
        <v>94.4920027538216</v>
      </c>
      <c r="AB43" t="n">
        <v>94.7711519495492</v>
      </c>
      <c r="AC43" t="n">
        <v>94.7711519495492</v>
      </c>
      <c r="AD43" t="n">
        <v>98.4560570071259</v>
      </c>
      <c r="AE43" t="n">
        <v>100</v>
      </c>
      <c r="AF43" t="n">
        <v>102.285092491839</v>
      </c>
    </row>
    <row r="44">
      <c r="A44" t="s">
        <v>88</v>
      </c>
      <c r="B44" t="s">
        <v>358</v>
      </c>
      <c r="C44" t="s">
        <v>236</v>
      </c>
      <c r="D44" t="s">
        <v>359</v>
      </c>
      <c r="E44" t="s">
        <v>237</v>
      </c>
      <c r="F44" t="n">
        <v>47.7557024703927</v>
      </c>
      <c r="G44" t="n">
        <v>49.3168481567239</v>
      </c>
      <c r="H44" t="n">
        <v>50.3919371471534</v>
      </c>
      <c r="I44" t="n">
        <v>52.1233420990731</v>
      </c>
      <c r="J44" t="n">
        <v>52.9605303756403</v>
      </c>
      <c r="K44" t="n">
        <v>55.8306104587469</v>
      </c>
      <c r="L44" t="n">
        <v>58.7386133487444</v>
      </c>
      <c r="M44" t="n">
        <v>61.2601814224461</v>
      </c>
      <c r="N44" t="n">
        <v>62.8019901250793</v>
      </c>
      <c r="O44" t="n">
        <v>65.2938971494093</v>
      </c>
      <c r="P44" t="n">
        <v>68.3145582982995</v>
      </c>
      <c r="Q44" t="n">
        <v>70.2430908886966</v>
      </c>
      <c r="R44" t="n">
        <v>72.4407790924162</v>
      </c>
      <c r="S44" t="n">
        <v>77.5760196398095</v>
      </c>
      <c r="T44" t="n">
        <v>81.2336292128382</v>
      </c>
      <c r="U44" t="n">
        <v>83.1024114808546</v>
      </c>
      <c r="V44" t="n">
        <v>85.7136172930488</v>
      </c>
      <c r="W44" t="n">
        <v>88.4529184642699</v>
      </c>
      <c r="X44" t="n">
        <v>90.6314708288668</v>
      </c>
      <c r="Y44" t="n">
        <v>91.6036560457264</v>
      </c>
      <c r="Z44" t="n">
        <v>92.6773041475282</v>
      </c>
      <c r="AA44" t="n">
        <v>94.4949631174822</v>
      </c>
      <c r="AB44" t="n">
        <v>94.7629993718123</v>
      </c>
      <c r="AC44" t="n">
        <v>94.7629993718123</v>
      </c>
      <c r="AD44" t="n">
        <v>98.4975961538462</v>
      </c>
      <c r="AE44" t="n">
        <v>100</v>
      </c>
      <c r="AF44" t="n">
        <v>102.169981916817</v>
      </c>
    </row>
    <row r="45">
      <c r="A45" t="s">
        <v>88</v>
      </c>
      <c r="B45" t="s">
        <v>360</v>
      </c>
      <c r="C45" t="s">
        <v>236</v>
      </c>
      <c r="D45" t="s">
        <v>361</v>
      </c>
      <c r="E45" t="s">
        <v>237</v>
      </c>
      <c r="F45" t="n">
        <v>47.7374244514344</v>
      </c>
      <c r="G45" t="n">
        <v>49.2988093798727</v>
      </c>
      <c r="H45" t="n">
        <v>50.3735051316603</v>
      </c>
      <c r="I45" t="n">
        <v>52.1063537081894</v>
      </c>
      <c r="J45" t="n">
        <v>52.9440764366169</v>
      </c>
      <c r="K45" t="n">
        <v>55.8149024991047</v>
      </c>
      <c r="L45" t="n">
        <v>58.7220872215833</v>
      </c>
      <c r="M45" t="n">
        <v>61.2436099342066</v>
      </c>
      <c r="N45" t="n">
        <v>62.7850015622541</v>
      </c>
      <c r="O45" t="n">
        <v>65.2768230275172</v>
      </c>
      <c r="P45" t="n">
        <v>68.2966942842597</v>
      </c>
      <c r="Q45" t="n">
        <v>70.2247225702432</v>
      </c>
      <c r="R45" t="n">
        <v>72.4218360863133</v>
      </c>
      <c r="S45" t="n">
        <v>77.5557337865666</v>
      </c>
      <c r="T45" t="n">
        <v>81.2130684833049</v>
      </c>
      <c r="U45" t="n">
        <v>83.0823856503366</v>
      </c>
      <c r="V45" t="n">
        <v>85.6959304708702</v>
      </c>
      <c r="W45" t="n">
        <v>88.4357962346872</v>
      </c>
      <c r="X45" t="n">
        <v>90.6143816116586</v>
      </c>
      <c r="Y45" t="n">
        <v>91.5868092724057</v>
      </c>
      <c r="Z45" t="n">
        <v>92.6607634149058</v>
      </c>
      <c r="AA45" t="n">
        <v>94.479012357387</v>
      </c>
      <c r="AB45" t="n">
        <v>94.7472800744575</v>
      </c>
      <c r="AC45" t="n">
        <v>94.7472800744575</v>
      </c>
      <c r="AD45" t="n">
        <v>98.4933708316593</v>
      </c>
      <c r="AE45" t="n">
        <v>100</v>
      </c>
      <c r="AF45" t="n">
        <v>102.175095160413</v>
      </c>
    </row>
    <row r="46">
      <c r="A46" t="s">
        <v>88</v>
      </c>
      <c r="B46" t="s">
        <v>362</v>
      </c>
      <c r="C46" t="s">
        <v>236</v>
      </c>
      <c r="D46" t="s">
        <v>363</v>
      </c>
      <c r="E46" t="s">
        <v>237</v>
      </c>
      <c r="F46" t="e">
        <v>#NUM!</v>
      </c>
      <c r="G46" t="e">
        <v>#NUM!</v>
      </c>
      <c r="H46" t="e">
        <v>#NUM!</v>
      </c>
      <c r="I46" t="e">
        <v>#NUM!</v>
      </c>
      <c r="J46" t="e">
        <v>#NUM!</v>
      </c>
      <c r="K46" t="e">
        <v>#NUM!</v>
      </c>
      <c r="L46" t="e">
        <v>#NUM!</v>
      </c>
      <c r="M46" t="e">
        <v>#NUM!</v>
      </c>
      <c r="N46" t="e">
        <v>#NUM!</v>
      </c>
      <c r="O46" t="e">
        <v>#NUM!</v>
      </c>
      <c r="P46" t="e">
        <v>#NUM!</v>
      </c>
      <c r="Q46" t="e">
        <v>#NUM!</v>
      </c>
      <c r="R46" t="e">
        <v>#NUM!</v>
      </c>
      <c r="S46" t="n">
        <v>0</v>
      </c>
      <c r="T46" t="n">
        <v>0</v>
      </c>
      <c r="U46" t="n">
        <v>100</v>
      </c>
      <c r="V46" t="n">
        <v>100</v>
      </c>
      <c r="W46" t="n">
        <v>100</v>
      </c>
      <c r="X46" t="n">
        <v>100</v>
      </c>
      <c r="Y46" t="n">
        <v>100</v>
      </c>
      <c r="Z46" t="n">
        <v>100</v>
      </c>
      <c r="AA46" t="n">
        <v>100</v>
      </c>
      <c r="AB46" t="n">
        <v>100</v>
      </c>
      <c r="AC46" t="n">
        <v>100</v>
      </c>
      <c r="AD46" t="n">
        <v>100</v>
      </c>
      <c r="AE46" t="n">
        <v>100</v>
      </c>
      <c r="AF46" t="n">
        <v>100</v>
      </c>
    </row>
    <row r="47">
      <c r="A47" t="s">
        <v>88</v>
      </c>
      <c r="B47" t="s">
        <v>364</v>
      </c>
      <c r="C47" t="s">
        <v>236</v>
      </c>
      <c r="D47" t="s">
        <v>365</v>
      </c>
      <c r="E47" t="s">
        <v>237</v>
      </c>
      <c r="F47" t="n">
        <v>52.3263235332564</v>
      </c>
      <c r="G47" t="n">
        <v>54.0705343176983</v>
      </c>
      <c r="H47" t="n">
        <v>55.7602385151264</v>
      </c>
      <c r="I47" t="n">
        <v>57.1899882206425</v>
      </c>
      <c r="J47" t="n">
        <v>58.3814463085725</v>
      </c>
      <c r="K47" t="n">
        <v>62.1889319373925</v>
      </c>
      <c r="L47" t="n">
        <v>65.2225383733628</v>
      </c>
      <c r="M47" t="n">
        <v>67.7310975415691</v>
      </c>
      <c r="N47" t="n">
        <v>69.1133648383358</v>
      </c>
      <c r="O47" t="n">
        <v>71.8236928712117</v>
      </c>
      <c r="P47" t="n">
        <v>74.6966405860602</v>
      </c>
      <c r="Q47" t="n">
        <v>76.994998757939</v>
      </c>
      <c r="R47" t="n">
        <v>78.7448850933467</v>
      </c>
      <c r="S47" t="n">
        <v>84.3695197428714</v>
      </c>
      <c r="T47" t="n">
        <v>87.1818370676338</v>
      </c>
      <c r="U47" t="n">
        <v>88.7963155318492</v>
      </c>
      <c r="V47" t="n">
        <v>90.6855988410375</v>
      </c>
      <c r="W47" t="n">
        <v>91.911079906457</v>
      </c>
      <c r="X47" t="n">
        <v>93.4178189213169</v>
      </c>
      <c r="Y47" t="n">
        <v>93.4178189213169</v>
      </c>
      <c r="Z47" t="n">
        <v>93.4178189213169</v>
      </c>
      <c r="AA47" t="n">
        <v>94.4793850454228</v>
      </c>
      <c r="AB47" t="n">
        <v>94.4793850454228</v>
      </c>
      <c r="AC47" t="n">
        <v>94.4793850454228</v>
      </c>
      <c r="AD47" t="n">
        <v>98.1132075471698</v>
      </c>
      <c r="AE47" t="n">
        <v>100</v>
      </c>
      <c r="AF47" t="n">
        <v>102.040816326531</v>
      </c>
    </row>
    <row r="48">
      <c r="A48" t="s">
        <v>88</v>
      </c>
      <c r="B48" t="s">
        <v>366</v>
      </c>
      <c r="C48" t="s">
        <v>236</v>
      </c>
      <c r="D48" t="s">
        <v>367</v>
      </c>
      <c r="E48" t="s">
        <v>237</v>
      </c>
      <c r="F48" t="n">
        <v>45.9419983674044</v>
      </c>
      <c r="G48" t="n">
        <v>47.6936863467509</v>
      </c>
      <c r="H48" t="n">
        <v>48.8648819187038</v>
      </c>
      <c r="I48" t="n">
        <v>50.7293607200534</v>
      </c>
      <c r="J48" t="n">
        <v>51.6813862563547</v>
      </c>
      <c r="K48" t="n">
        <v>54.6367734469674</v>
      </c>
      <c r="L48" t="n">
        <v>57.6092403961547</v>
      </c>
      <c r="M48" t="n">
        <v>60.1711108356644</v>
      </c>
      <c r="N48" t="n">
        <v>61.8061953692423</v>
      </c>
      <c r="O48" t="n">
        <v>64.3628115168842</v>
      </c>
      <c r="P48" t="n">
        <v>67.3839230778808</v>
      </c>
      <c r="Q48" t="n">
        <v>69.3790535606069</v>
      </c>
      <c r="R48" t="n">
        <v>71.5745932302464</v>
      </c>
      <c r="S48" t="n">
        <v>76.7061050353944</v>
      </c>
      <c r="T48" t="n">
        <v>80.3195331238386</v>
      </c>
      <c r="U48" t="n">
        <v>82.3245728640813</v>
      </c>
      <c r="V48" t="n">
        <v>85.0445477384452</v>
      </c>
      <c r="W48" t="n">
        <v>87.7783347377244</v>
      </c>
      <c r="X48" t="n">
        <v>89.9838205351546</v>
      </c>
      <c r="Y48" t="n">
        <v>91.0388032586702</v>
      </c>
      <c r="Z48" t="n">
        <v>92.2202228429431</v>
      </c>
      <c r="AA48" t="n">
        <v>94.1048323015863</v>
      </c>
      <c r="AB48" t="n">
        <v>94.4617406415418</v>
      </c>
      <c r="AC48" t="n">
        <v>94.4617406415418</v>
      </c>
      <c r="AD48" t="n">
        <v>98.3266012694749</v>
      </c>
      <c r="AE48" t="n">
        <v>100</v>
      </c>
      <c r="AF48" t="n">
        <v>102.252519264967</v>
      </c>
    </row>
    <row r="49">
      <c r="A49" t="s">
        <v>88</v>
      </c>
      <c r="B49" t="s">
        <v>368</v>
      </c>
      <c r="C49" t="s">
        <v>236</v>
      </c>
      <c r="D49" t="s">
        <v>369</v>
      </c>
      <c r="E49" t="s">
        <v>237</v>
      </c>
      <c r="F49" t="n">
        <v>45.3403583527513</v>
      </c>
      <c r="G49" t="n">
        <v>47.0906295391627</v>
      </c>
      <c r="H49" t="n">
        <v>48.2375359892569</v>
      </c>
      <c r="I49" t="n">
        <v>50.1373019614365</v>
      </c>
      <c r="J49" t="n">
        <v>51.079187691926</v>
      </c>
      <c r="K49" t="n">
        <v>53.9979984171789</v>
      </c>
      <c r="L49" t="n">
        <v>56.9771983298508</v>
      </c>
      <c r="M49" t="n">
        <v>59.5544065672646</v>
      </c>
      <c r="N49" t="n">
        <v>61.2067831656627</v>
      </c>
      <c r="O49" t="n">
        <v>63.7626708143387</v>
      </c>
      <c r="P49" t="n">
        <v>66.7989884721644</v>
      </c>
      <c r="Q49" t="n">
        <v>68.7858301805672</v>
      </c>
      <c r="R49" t="n">
        <v>71.0068351436624</v>
      </c>
      <c r="S49" t="n">
        <v>76.1381884645912</v>
      </c>
      <c r="T49" t="n">
        <v>79.8083027201148</v>
      </c>
      <c r="U49" t="n">
        <v>81.8420278087355</v>
      </c>
      <c r="V49" t="n">
        <v>84.6056879956767</v>
      </c>
      <c r="W49" t="n">
        <v>87.4426894560385</v>
      </c>
      <c r="X49" t="n">
        <v>89.6984189260728</v>
      </c>
      <c r="Y49" t="n">
        <v>90.8025993183562</v>
      </c>
      <c r="Z49" t="n">
        <v>92.0414790843369</v>
      </c>
      <c r="AA49" t="n">
        <v>93.9940781285548</v>
      </c>
      <c r="AB49" t="n">
        <v>94.3795630696151</v>
      </c>
      <c r="AC49" t="n">
        <v>94.3795630696151</v>
      </c>
      <c r="AD49" t="n">
        <v>98.314606741573</v>
      </c>
      <c r="AE49" t="n">
        <v>100</v>
      </c>
      <c r="AF49" t="n">
        <v>102.310654685494</v>
      </c>
    </row>
    <row r="50">
      <c r="A50" t="s">
        <v>88</v>
      </c>
      <c r="B50" t="s">
        <v>370</v>
      </c>
      <c r="C50" t="s">
        <v>236</v>
      </c>
      <c r="D50" t="s">
        <v>371</v>
      </c>
      <c r="E50" t="s">
        <v>237</v>
      </c>
      <c r="F50" t="n">
        <v>100</v>
      </c>
      <c r="G50" t="n">
        <v>100</v>
      </c>
      <c r="H50" t="n">
        <v>100</v>
      </c>
      <c r="I50" t="n">
        <v>100</v>
      </c>
      <c r="J50" t="n">
        <v>100</v>
      </c>
      <c r="K50" t="n">
        <v>100</v>
      </c>
      <c r="L50" t="n">
        <v>100</v>
      </c>
      <c r="M50" t="n">
        <v>100</v>
      </c>
      <c r="N50" t="n">
        <v>100</v>
      </c>
      <c r="O50" t="n">
        <v>100</v>
      </c>
      <c r="P50" t="n">
        <v>100</v>
      </c>
      <c r="Q50" t="n">
        <v>100</v>
      </c>
      <c r="R50" t="n">
        <v>100</v>
      </c>
      <c r="S50" t="n">
        <v>100</v>
      </c>
      <c r="T50" t="n">
        <v>100</v>
      </c>
      <c r="U50" t="n">
        <v>100</v>
      </c>
      <c r="V50" t="n">
        <v>100</v>
      </c>
      <c r="W50" t="n">
        <v>100</v>
      </c>
      <c r="X50" t="n">
        <v>100</v>
      </c>
      <c r="Y50" t="n">
        <v>100</v>
      </c>
      <c r="Z50" t="n">
        <v>100</v>
      </c>
      <c r="AA50" t="n">
        <v>100</v>
      </c>
      <c r="AB50" t="n">
        <v>100</v>
      </c>
      <c r="AC50" t="n">
        <v>100</v>
      </c>
      <c r="AD50" t="n">
        <v>100</v>
      </c>
      <c r="AE50" t="n">
        <v>100</v>
      </c>
      <c r="AF50" t="n">
        <v>100</v>
      </c>
    </row>
    <row r="51">
      <c r="A51" t="s">
        <v>88</v>
      </c>
      <c r="B51" t="s">
        <v>372</v>
      </c>
      <c r="C51" t="s">
        <v>236</v>
      </c>
      <c r="D51" t="s">
        <v>373</v>
      </c>
      <c r="E51" t="s">
        <v>237</v>
      </c>
      <c r="F51" t="n">
        <v>100</v>
      </c>
      <c r="G51" t="n">
        <v>100</v>
      </c>
      <c r="H51" t="n">
        <v>100</v>
      </c>
      <c r="I51" t="n">
        <v>100</v>
      </c>
      <c r="J51" t="n">
        <v>100</v>
      </c>
      <c r="K51" t="n">
        <v>100</v>
      </c>
      <c r="L51" t="n">
        <v>100</v>
      </c>
      <c r="M51" t="n">
        <v>100</v>
      </c>
      <c r="N51" t="n">
        <v>100</v>
      </c>
      <c r="O51" t="n">
        <v>100</v>
      </c>
      <c r="P51" t="n">
        <v>100</v>
      </c>
      <c r="Q51" t="n">
        <v>100</v>
      </c>
      <c r="R51" t="n">
        <v>100</v>
      </c>
      <c r="S51" t="n">
        <v>100</v>
      </c>
      <c r="T51" t="n">
        <v>100</v>
      </c>
      <c r="U51" t="n">
        <v>100</v>
      </c>
      <c r="V51" t="n">
        <v>100</v>
      </c>
      <c r="W51" t="n">
        <v>100</v>
      </c>
      <c r="X51" t="n">
        <v>100</v>
      </c>
      <c r="Y51" t="n">
        <v>100</v>
      </c>
      <c r="Z51" t="n">
        <v>100</v>
      </c>
      <c r="AA51" t="n">
        <v>100</v>
      </c>
      <c r="AB51" t="n">
        <v>100</v>
      </c>
      <c r="AC51" t="n">
        <v>100</v>
      </c>
      <c r="AD51" t="n">
        <v>100</v>
      </c>
      <c r="AE51" t="n">
        <v>100</v>
      </c>
      <c r="AF51" t="n">
        <v>100</v>
      </c>
    </row>
    <row r="52">
      <c r="A52" t="s">
        <v>88</v>
      </c>
      <c r="B52" t="s">
        <v>374</v>
      </c>
      <c r="C52" t="s">
        <v>236</v>
      </c>
      <c r="D52" t="s">
        <v>375</v>
      </c>
      <c r="E52" t="s">
        <v>237</v>
      </c>
      <c r="F52" t="n">
        <v>0</v>
      </c>
      <c r="G52" t="n">
        <v>100</v>
      </c>
      <c r="H52" t="n">
        <v>100</v>
      </c>
      <c r="I52" t="n">
        <v>100</v>
      </c>
      <c r="J52" t="n">
        <v>100</v>
      </c>
      <c r="K52" t="n">
        <v>100</v>
      </c>
      <c r="L52" t="n">
        <v>100</v>
      </c>
      <c r="M52" t="n">
        <v>100</v>
      </c>
      <c r="N52" t="n">
        <v>100</v>
      </c>
      <c r="O52" t="n">
        <v>100</v>
      </c>
      <c r="P52" t="n">
        <v>100</v>
      </c>
      <c r="Q52" t="n">
        <v>100</v>
      </c>
      <c r="R52" t="n">
        <v>100</v>
      </c>
      <c r="S52" t="n">
        <v>100</v>
      </c>
      <c r="T52" t="n">
        <v>100</v>
      </c>
      <c r="U52" t="n">
        <v>100</v>
      </c>
      <c r="V52" t="n">
        <v>100</v>
      </c>
      <c r="W52" t="n">
        <v>100</v>
      </c>
      <c r="X52" t="n">
        <v>100</v>
      </c>
      <c r="Y52" t="n">
        <v>100</v>
      </c>
      <c r="Z52" t="n">
        <v>100</v>
      </c>
      <c r="AA52" t="n">
        <v>100</v>
      </c>
      <c r="AB52" t="n">
        <v>100</v>
      </c>
      <c r="AC52" t="n">
        <v>100</v>
      </c>
      <c r="AD52" t="n">
        <v>100</v>
      </c>
      <c r="AE52" t="n">
        <v>100</v>
      </c>
      <c r="AF52" t="n">
        <v>100</v>
      </c>
    </row>
    <row r="53">
      <c r="A53" t="s">
        <v>88</v>
      </c>
      <c r="B53" t="s">
        <v>376</v>
      </c>
      <c r="C53" t="s">
        <v>236</v>
      </c>
      <c r="D53" t="s">
        <v>377</v>
      </c>
      <c r="E53" t="s">
        <v>237</v>
      </c>
      <c r="F53" t="n">
        <v>96</v>
      </c>
      <c r="G53" t="n">
        <v>96</v>
      </c>
      <c r="H53" t="n">
        <v>96</v>
      </c>
      <c r="I53" t="n">
        <v>96</v>
      </c>
      <c r="J53" t="n">
        <v>96</v>
      </c>
      <c r="K53" t="n">
        <v>96</v>
      </c>
      <c r="L53" t="n">
        <v>96</v>
      </c>
      <c r="M53" t="n">
        <v>96</v>
      </c>
      <c r="N53" t="n">
        <v>96</v>
      </c>
      <c r="O53" t="n">
        <v>96</v>
      </c>
      <c r="P53" t="n">
        <v>96</v>
      </c>
      <c r="Q53" t="n">
        <v>96</v>
      </c>
      <c r="R53" t="n">
        <v>96</v>
      </c>
      <c r="S53" t="n">
        <v>96</v>
      </c>
      <c r="T53" t="n">
        <v>96</v>
      </c>
      <c r="U53" t="n">
        <v>96</v>
      </c>
      <c r="V53" t="n">
        <v>96</v>
      </c>
      <c r="W53" t="n">
        <v>96</v>
      </c>
      <c r="X53" t="n">
        <v>96</v>
      </c>
      <c r="Y53" t="n">
        <v>96</v>
      </c>
      <c r="Z53" t="n">
        <v>96</v>
      </c>
      <c r="AA53" t="n">
        <v>96</v>
      </c>
      <c r="AB53" t="n">
        <v>96</v>
      </c>
      <c r="AC53" t="n">
        <v>96</v>
      </c>
      <c r="AD53" t="n">
        <v>100</v>
      </c>
      <c r="AE53" t="n">
        <v>100</v>
      </c>
      <c r="AF53" t="n">
        <v>103.333333333333</v>
      </c>
    </row>
    <row r="54">
      <c r="A54" t="s">
        <v>88</v>
      </c>
      <c r="B54" t="s">
        <v>378</v>
      </c>
      <c r="C54" t="s">
        <v>236</v>
      </c>
      <c r="D54" t="s">
        <v>379</v>
      </c>
      <c r="E54" t="s">
        <v>237</v>
      </c>
      <c r="F54" t="n">
        <v>97.0588235294118</v>
      </c>
      <c r="G54" t="n">
        <v>97.0588235294118</v>
      </c>
      <c r="H54" t="n">
        <v>97.0588235294118</v>
      </c>
      <c r="I54" t="n">
        <v>97.0588235294118</v>
      </c>
      <c r="J54" t="n">
        <v>97.0588235294118</v>
      </c>
      <c r="K54" t="n">
        <v>97.0588235294118</v>
      </c>
      <c r="L54" t="n">
        <v>97.0588235294118</v>
      </c>
      <c r="M54" t="n">
        <v>97.0588235294118</v>
      </c>
      <c r="N54" t="n">
        <v>97.0588235294118</v>
      </c>
      <c r="O54" t="n">
        <v>97.0588235294118</v>
      </c>
      <c r="P54" t="n">
        <v>97.0588235294118</v>
      </c>
      <c r="Q54" t="n">
        <v>97.0588235294118</v>
      </c>
      <c r="R54" t="n">
        <v>97.0588235294118</v>
      </c>
      <c r="S54" t="n">
        <v>97.0588235294118</v>
      </c>
      <c r="T54" t="n">
        <v>97.0588235294118</v>
      </c>
      <c r="U54" t="n">
        <v>97.0588235294118</v>
      </c>
      <c r="V54" t="n">
        <v>97.0588235294118</v>
      </c>
      <c r="W54" t="n">
        <v>97.0588235294117</v>
      </c>
      <c r="X54" t="n">
        <v>97.0588235294118</v>
      </c>
      <c r="Y54" t="n">
        <v>97.0588235294118</v>
      </c>
      <c r="Z54" t="n">
        <v>97.0588235294118</v>
      </c>
      <c r="AA54" t="n">
        <v>97.0588235294118</v>
      </c>
      <c r="AB54" t="n">
        <v>97.0588235294118</v>
      </c>
      <c r="AC54" t="n">
        <v>97.0588235294118</v>
      </c>
      <c r="AD54" t="n">
        <v>100</v>
      </c>
      <c r="AE54" t="n">
        <v>100</v>
      </c>
      <c r="AF54" t="n">
        <v>102.222222222222</v>
      </c>
    </row>
    <row r="55">
      <c r="A55" t="s">
        <v>88</v>
      </c>
      <c r="B55" t="s">
        <v>380</v>
      </c>
      <c r="C55" t="s">
        <v>236</v>
      </c>
      <c r="D55" t="s">
        <v>381</v>
      </c>
      <c r="E55" t="s">
        <v>237</v>
      </c>
      <c r="F55" t="n">
        <v>100</v>
      </c>
      <c r="G55" t="n">
        <v>100</v>
      </c>
      <c r="H55" t="n">
        <v>100</v>
      </c>
      <c r="I55" t="n">
        <v>100</v>
      </c>
      <c r="J55" t="n">
        <v>100</v>
      </c>
      <c r="K55" t="n">
        <v>100</v>
      </c>
      <c r="L55" t="n">
        <v>100</v>
      </c>
      <c r="M55" t="n">
        <v>100</v>
      </c>
      <c r="N55" t="n">
        <v>100</v>
      </c>
      <c r="O55" t="n">
        <v>100</v>
      </c>
      <c r="P55" t="n">
        <v>100</v>
      </c>
      <c r="Q55" t="n">
        <v>100</v>
      </c>
      <c r="R55" t="n">
        <v>100</v>
      </c>
      <c r="S55" t="n">
        <v>100</v>
      </c>
      <c r="T55" t="n">
        <v>100</v>
      </c>
      <c r="U55" t="n">
        <v>100</v>
      </c>
      <c r="V55" t="n">
        <v>100</v>
      </c>
      <c r="W55" t="n">
        <v>100</v>
      </c>
      <c r="X55" t="n">
        <v>100</v>
      </c>
      <c r="Y55" t="n">
        <v>100</v>
      </c>
      <c r="Z55" t="n">
        <v>100</v>
      </c>
      <c r="AA55" t="n">
        <v>100</v>
      </c>
      <c r="AB55" t="n">
        <v>100</v>
      </c>
      <c r="AC55" t="n">
        <v>100</v>
      </c>
      <c r="AD55" t="n">
        <v>100</v>
      </c>
      <c r="AE55" t="n">
        <v>100</v>
      </c>
      <c r="AF55" t="n">
        <v>100</v>
      </c>
    </row>
    <row r="56">
      <c r="A56" t="s">
        <v>88</v>
      </c>
      <c r="B56" t="s">
        <v>382</v>
      </c>
      <c r="C56" t="s">
        <v>236</v>
      </c>
      <c r="D56" t="s">
        <v>383</v>
      </c>
      <c r="E56" t="s">
        <v>237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88</v>
      </c>
      <c r="B57" t="s">
        <v>384</v>
      </c>
      <c r="C57" t="s">
        <v>236</v>
      </c>
      <c r="D57" t="s">
        <v>385</v>
      </c>
      <c r="E57" t="s">
        <v>237</v>
      </c>
      <c r="F57" t="n">
        <v>47.3775985391442</v>
      </c>
      <c r="G57" t="n">
        <v>48.9852603047815</v>
      </c>
      <c r="H57" t="n">
        <v>50.0862429879803</v>
      </c>
      <c r="I57" t="n">
        <v>51.8447768943569</v>
      </c>
      <c r="J57" t="n">
        <v>52.7041567755376</v>
      </c>
      <c r="K57" t="n">
        <v>55.5846464895228</v>
      </c>
      <c r="L57" t="n">
        <v>58.5009317027764</v>
      </c>
      <c r="M57" t="n">
        <v>61.0292133039661</v>
      </c>
      <c r="N57" t="n">
        <v>62.5880377264878</v>
      </c>
      <c r="O57" t="n">
        <v>65.0910778816713</v>
      </c>
      <c r="P57" t="n">
        <v>68.1103920382541</v>
      </c>
      <c r="Q57" t="n">
        <v>70.0505500563289</v>
      </c>
      <c r="R57" t="n">
        <v>72.2467049869895</v>
      </c>
      <c r="S57" t="n">
        <v>77.3776154286168</v>
      </c>
      <c r="T57" t="n">
        <v>81.0252828226057</v>
      </c>
      <c r="U57" t="n">
        <v>82.9193803431341</v>
      </c>
      <c r="V57" t="n">
        <v>85.5511476795363</v>
      </c>
      <c r="W57" t="n">
        <v>88.287586362475</v>
      </c>
      <c r="X57" t="n">
        <v>90.4712269563092</v>
      </c>
      <c r="Y57" t="n">
        <v>91.462939459069</v>
      </c>
      <c r="Z57" t="n">
        <v>92.5609536041608</v>
      </c>
      <c r="AA57" t="n">
        <v>94.3955256337533</v>
      </c>
      <c r="AB57" t="n">
        <v>94.6892159587485</v>
      </c>
      <c r="AC57" t="n">
        <v>94.6892159587485</v>
      </c>
      <c r="AD57" t="n">
        <v>98.4544508842324</v>
      </c>
      <c r="AE57" t="n">
        <v>100</v>
      </c>
      <c r="AF57" t="n">
        <v>102.18836565097</v>
      </c>
    </row>
    <row r="58">
      <c r="A58" t="s">
        <v>88</v>
      </c>
      <c r="B58" t="s">
        <v>386</v>
      </c>
      <c r="C58" t="s">
        <v>236</v>
      </c>
      <c r="D58" t="s">
        <v>387</v>
      </c>
      <c r="E58" t="s">
        <v>237</v>
      </c>
      <c r="F58" t="n">
        <v>47.3775985391442</v>
      </c>
      <c r="G58" t="n">
        <v>48.9852603047815</v>
      </c>
      <c r="H58" t="n">
        <v>50.0862429879803</v>
      </c>
      <c r="I58" t="n">
        <v>51.8447768943569</v>
      </c>
      <c r="J58" t="n">
        <v>52.7041567755376</v>
      </c>
      <c r="K58" t="n">
        <v>55.5846464895228</v>
      </c>
      <c r="L58" t="n">
        <v>58.5009317027764</v>
      </c>
      <c r="M58" t="n">
        <v>61.0292133039661</v>
      </c>
      <c r="N58" t="n">
        <v>62.5880377264878</v>
      </c>
      <c r="O58" t="n">
        <v>65.0910778816713</v>
      </c>
      <c r="P58" t="n">
        <v>68.1103920382541</v>
      </c>
      <c r="Q58" t="n">
        <v>70.0505500563289</v>
      </c>
      <c r="R58" t="n">
        <v>72.2467049869895</v>
      </c>
      <c r="S58" t="n">
        <v>77.3776154286168</v>
      </c>
      <c r="T58" t="n">
        <v>81.0252828226057</v>
      </c>
      <c r="U58" t="n">
        <v>82.9193803431341</v>
      </c>
      <c r="V58" t="n">
        <v>85.5511476795363</v>
      </c>
      <c r="W58" t="n">
        <v>88.287586362475</v>
      </c>
      <c r="X58" t="n">
        <v>90.4712269563092</v>
      </c>
      <c r="Y58" t="n">
        <v>91.462939459069</v>
      </c>
      <c r="Z58" t="n">
        <v>92.5609536041608</v>
      </c>
      <c r="AA58" t="n">
        <v>94.3955256337533</v>
      </c>
      <c r="AB58" t="n">
        <v>94.6892159587485</v>
      </c>
      <c r="AC58" t="n">
        <v>94.6892159587485</v>
      </c>
      <c r="AD58" t="n">
        <v>98.4544508842324</v>
      </c>
      <c r="AE58" t="n">
        <v>100</v>
      </c>
      <c r="AF58" t="n">
        <v>102.18836565097</v>
      </c>
    </row>
    <row r="59">
      <c r="A59" t="s">
        <v>88</v>
      </c>
      <c r="B59" t="s">
        <v>388</v>
      </c>
      <c r="C59" t="s">
        <v>236</v>
      </c>
      <c r="D59" t="s">
        <v>389</v>
      </c>
      <c r="E59" t="s">
        <v>237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90</v>
      </c>
      <c r="B2" t="s">
        <v>197</v>
      </c>
      <c r="C2" t="s">
        <v>236</v>
      </c>
      <c r="D2" t="s">
        <v>199</v>
      </c>
      <c r="E2" t="s">
        <v>237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90</v>
      </c>
      <c r="B3" t="s">
        <v>276</v>
      </c>
      <c r="C3" t="s">
        <v>236</v>
      </c>
      <c r="D3" t="s">
        <v>277</v>
      </c>
      <c r="E3" t="s">
        <v>237</v>
      </c>
      <c r="F3" t="n">
        <v>52.442177977902</v>
      </c>
      <c r="G3" t="n">
        <v>54.9395664768754</v>
      </c>
      <c r="H3" t="n">
        <v>57.6859685748819</v>
      </c>
      <c r="I3" t="n">
        <v>60.1941260565323</v>
      </c>
      <c r="J3" t="n">
        <v>62.2703779811943</v>
      </c>
      <c r="K3" t="n">
        <v>64.1013900844307</v>
      </c>
      <c r="L3" t="n">
        <v>68.2822145733755</v>
      </c>
      <c r="M3" t="n">
        <v>69.7995538898077</v>
      </c>
      <c r="N3" t="n">
        <v>71.4227741254768</v>
      </c>
      <c r="O3" t="n">
        <v>73.523233341736</v>
      </c>
      <c r="P3" t="n">
        <v>75.36210572752</v>
      </c>
      <c r="Q3" t="n">
        <v>77.2002058672156</v>
      </c>
      <c r="R3" t="n">
        <v>79.9089850204513</v>
      </c>
      <c r="S3" t="n">
        <v>86.4587290566829</v>
      </c>
      <c r="T3" t="n">
        <v>89.6602516891351</v>
      </c>
      <c r="U3" t="n">
        <v>91.0190053117061</v>
      </c>
      <c r="V3" t="n">
        <v>91.0187969155877</v>
      </c>
      <c r="W3" t="n">
        <v>92.955700798838</v>
      </c>
      <c r="X3" t="n">
        <v>94.5588588829233</v>
      </c>
      <c r="Y3" t="n">
        <v>94.5585833404969</v>
      </c>
      <c r="Z3" t="n">
        <v>94.5592086121618</v>
      </c>
      <c r="AA3" t="n">
        <v>94.5576801849128</v>
      </c>
      <c r="AB3" t="n">
        <v>95.9912891486862</v>
      </c>
      <c r="AC3" t="n">
        <v>98.5511698151846</v>
      </c>
      <c r="AD3" t="n">
        <v>100</v>
      </c>
      <c r="AE3" t="n">
        <v>100</v>
      </c>
      <c r="AF3" t="n">
        <v>100</v>
      </c>
    </row>
    <row r="4">
      <c r="A4" t="s">
        <v>90</v>
      </c>
      <c r="B4" t="s">
        <v>278</v>
      </c>
      <c r="C4" t="s">
        <v>236</v>
      </c>
      <c r="D4" t="s">
        <v>279</v>
      </c>
      <c r="E4" t="s">
        <v>237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90</v>
      </c>
      <c r="B5" t="s">
        <v>280</v>
      </c>
      <c r="C5" t="s">
        <v>236</v>
      </c>
      <c r="D5" t="s">
        <v>281</v>
      </c>
      <c r="E5" t="s">
        <v>237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90</v>
      </c>
      <c r="B6" t="s">
        <v>282</v>
      </c>
      <c r="C6" t="s">
        <v>236</v>
      </c>
      <c r="D6" t="s">
        <v>283</v>
      </c>
      <c r="E6" t="s">
        <v>237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90</v>
      </c>
      <c r="B7" t="s">
        <v>284</v>
      </c>
      <c r="C7" t="s">
        <v>236</v>
      </c>
      <c r="D7" t="s">
        <v>285</v>
      </c>
      <c r="E7" t="s">
        <v>237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90</v>
      </c>
      <c r="B8" t="s">
        <v>286</v>
      </c>
      <c r="C8" t="s">
        <v>236</v>
      </c>
      <c r="D8" t="s">
        <v>287</v>
      </c>
      <c r="E8" t="s">
        <v>237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90</v>
      </c>
      <c r="B9" t="s">
        <v>288</v>
      </c>
      <c r="C9" t="s">
        <v>236</v>
      </c>
      <c r="D9" t="s">
        <v>289</v>
      </c>
      <c r="E9" t="s">
        <v>237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90</v>
      </c>
      <c r="B10" t="s">
        <v>290</v>
      </c>
      <c r="C10" t="s">
        <v>236</v>
      </c>
      <c r="D10" t="s">
        <v>291</v>
      </c>
      <c r="E10" t="s">
        <v>237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90</v>
      </c>
      <c r="B11" t="s">
        <v>292</v>
      </c>
      <c r="C11" t="s">
        <v>236</v>
      </c>
      <c r="D11" t="s">
        <v>293</v>
      </c>
      <c r="E11" t="s">
        <v>237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90</v>
      </c>
      <c r="B12" t="s">
        <v>294</v>
      </c>
      <c r="C12" t="s">
        <v>236</v>
      </c>
      <c r="D12" t="s">
        <v>295</v>
      </c>
      <c r="E12" t="s">
        <v>237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90</v>
      </c>
      <c r="B13" t="s">
        <v>296</v>
      </c>
      <c r="C13" t="s">
        <v>236</v>
      </c>
      <c r="D13" t="s">
        <v>297</v>
      </c>
      <c r="E13" t="s">
        <v>237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90</v>
      </c>
      <c r="B14" t="s">
        <v>298</v>
      </c>
      <c r="C14" t="s">
        <v>236</v>
      </c>
      <c r="D14" t="s">
        <v>299</v>
      </c>
      <c r="E14" t="s">
        <v>237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90</v>
      </c>
      <c r="B15" t="s">
        <v>300</v>
      </c>
      <c r="C15" t="s">
        <v>236</v>
      </c>
      <c r="D15" t="s">
        <v>301</v>
      </c>
      <c r="E15" t="s">
        <v>237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90</v>
      </c>
      <c r="B16" t="s">
        <v>302</v>
      </c>
      <c r="C16" t="s">
        <v>236</v>
      </c>
      <c r="D16" t="s">
        <v>303</v>
      </c>
      <c r="E16" t="s">
        <v>237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90</v>
      </c>
      <c r="B17" t="s">
        <v>304</v>
      </c>
      <c r="C17" t="s">
        <v>236</v>
      </c>
      <c r="D17" t="s">
        <v>305</v>
      </c>
      <c r="E17" t="s">
        <v>237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90</v>
      </c>
      <c r="B18" t="s">
        <v>306</v>
      </c>
      <c r="C18" t="s">
        <v>236</v>
      </c>
      <c r="D18" t="s">
        <v>307</v>
      </c>
      <c r="E18" t="s">
        <v>237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90</v>
      </c>
      <c r="B19" t="s">
        <v>308</v>
      </c>
      <c r="C19" t="s">
        <v>236</v>
      </c>
      <c r="D19" t="s">
        <v>309</v>
      </c>
      <c r="E19" t="s">
        <v>237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90</v>
      </c>
      <c r="B20" t="s">
        <v>310</v>
      </c>
      <c r="C20" t="s">
        <v>236</v>
      </c>
      <c r="D20" t="s">
        <v>311</v>
      </c>
      <c r="E20" t="s">
        <v>237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90</v>
      </c>
      <c r="B21" t="s">
        <v>312</v>
      </c>
      <c r="C21" t="s">
        <v>236</v>
      </c>
      <c r="D21" t="s">
        <v>313</v>
      </c>
      <c r="E21" t="s">
        <v>237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90</v>
      </c>
      <c r="B22" t="s">
        <v>314</v>
      </c>
      <c r="C22" t="s">
        <v>236</v>
      </c>
      <c r="D22" t="s">
        <v>315</v>
      </c>
      <c r="E22" t="s">
        <v>237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90</v>
      </c>
      <c r="B23" t="s">
        <v>316</v>
      </c>
      <c r="C23" t="s">
        <v>236</v>
      </c>
      <c r="D23" t="s">
        <v>317</v>
      </c>
      <c r="E23" t="s">
        <v>237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90</v>
      </c>
      <c r="B24" t="s">
        <v>318</v>
      </c>
      <c r="C24" t="s">
        <v>236</v>
      </c>
      <c r="D24" t="s">
        <v>319</v>
      </c>
      <c r="E24" t="s">
        <v>237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90</v>
      </c>
      <c r="B25" t="s">
        <v>320</v>
      </c>
      <c r="C25" t="s">
        <v>236</v>
      </c>
      <c r="D25" t="s">
        <v>321</v>
      </c>
      <c r="E25" t="s">
        <v>237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90</v>
      </c>
      <c r="B26" t="s">
        <v>322</v>
      </c>
      <c r="C26" t="s">
        <v>236</v>
      </c>
      <c r="D26" t="s">
        <v>323</v>
      </c>
      <c r="E26" t="s">
        <v>237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90</v>
      </c>
      <c r="B27" t="s">
        <v>324</v>
      </c>
      <c r="C27" t="s">
        <v>236</v>
      </c>
      <c r="D27" t="s">
        <v>325</v>
      </c>
      <c r="E27" t="s">
        <v>237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90</v>
      </c>
      <c r="B28" t="s">
        <v>326</v>
      </c>
      <c r="C28" t="s">
        <v>236</v>
      </c>
      <c r="D28" t="s">
        <v>327</v>
      </c>
      <c r="E28" t="s">
        <v>237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90</v>
      </c>
      <c r="B29" t="s">
        <v>328</v>
      </c>
      <c r="C29" t="s">
        <v>236</v>
      </c>
      <c r="D29" t="s">
        <v>329</v>
      </c>
      <c r="E29" t="s">
        <v>237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90</v>
      </c>
      <c r="B30" t="s">
        <v>330</v>
      </c>
      <c r="C30" t="s">
        <v>236</v>
      </c>
      <c r="D30" t="s">
        <v>331</v>
      </c>
      <c r="E30" t="s">
        <v>237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90</v>
      </c>
      <c r="B31" t="s">
        <v>332</v>
      </c>
      <c r="C31" t="s">
        <v>236</v>
      </c>
      <c r="D31" t="s">
        <v>333</v>
      </c>
      <c r="E31" t="s">
        <v>237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90</v>
      </c>
      <c r="B32" t="s">
        <v>334</v>
      </c>
      <c r="C32" t="s">
        <v>236</v>
      </c>
      <c r="D32" t="s">
        <v>335</v>
      </c>
      <c r="E32" t="s">
        <v>237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90</v>
      </c>
      <c r="B33" t="s">
        <v>336</v>
      </c>
      <c r="C33" t="s">
        <v>236</v>
      </c>
      <c r="D33" t="s">
        <v>337</v>
      </c>
      <c r="E33" t="s">
        <v>237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90</v>
      </c>
      <c r="B34" t="s">
        <v>338</v>
      </c>
      <c r="C34" t="s">
        <v>236</v>
      </c>
      <c r="D34" t="s">
        <v>339</v>
      </c>
      <c r="E34" t="s">
        <v>237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90</v>
      </c>
      <c r="B35" t="s">
        <v>340</v>
      </c>
      <c r="C35" t="s">
        <v>236</v>
      </c>
      <c r="D35" t="s">
        <v>341</v>
      </c>
      <c r="E35" t="s">
        <v>237</v>
      </c>
      <c r="F35" t="n">
        <v>55.5950898416652</v>
      </c>
      <c r="G35" t="n">
        <v>55.3070260087051</v>
      </c>
      <c r="H35" t="n">
        <v>55.5862816408847</v>
      </c>
      <c r="I35" t="n">
        <v>56.9970993555377</v>
      </c>
      <c r="J35" t="n">
        <v>57.2895049134519</v>
      </c>
      <c r="K35" t="n">
        <v>59.6519515342659</v>
      </c>
      <c r="L35" t="n">
        <v>62.5812224376318</v>
      </c>
      <c r="M35" t="n">
        <v>63.8267399792018</v>
      </c>
      <c r="N35" t="n">
        <v>64.1522459799011</v>
      </c>
      <c r="O35" t="n">
        <v>66.4552381203037</v>
      </c>
      <c r="P35" t="n">
        <v>68.3185258104285</v>
      </c>
      <c r="Q35" t="n">
        <v>69.7721068559816</v>
      </c>
      <c r="R35" t="n">
        <v>71.2076881332962</v>
      </c>
      <c r="S35" t="n">
        <v>73.114984439224</v>
      </c>
      <c r="T35" t="n">
        <v>76.6579701742519</v>
      </c>
      <c r="U35" t="n">
        <v>79.4254798046188</v>
      </c>
      <c r="V35" t="n">
        <v>83.3134306804485</v>
      </c>
      <c r="W35" t="n">
        <v>85.6493257062176</v>
      </c>
      <c r="X35" t="n">
        <v>87.8383555346373</v>
      </c>
      <c r="Y35" t="n">
        <v>89.8810826584957</v>
      </c>
      <c r="Z35" t="n">
        <v>91.3944001258943</v>
      </c>
      <c r="AA35" t="n">
        <v>93.3704509693977</v>
      </c>
      <c r="AB35" t="n">
        <v>95.0949717917765</v>
      </c>
      <c r="AC35" t="n">
        <v>96.8149360382542</v>
      </c>
      <c r="AD35" t="n">
        <v>98.8009830449569</v>
      </c>
      <c r="AE35" t="n">
        <v>100</v>
      </c>
      <c r="AF35" t="n">
        <v>101.58371040724</v>
      </c>
    </row>
    <row r="36">
      <c r="A36" t="s">
        <v>90</v>
      </c>
      <c r="B36" t="s">
        <v>342</v>
      </c>
      <c r="C36" t="s">
        <v>236</v>
      </c>
      <c r="D36" t="s">
        <v>343</v>
      </c>
      <c r="E36" t="s">
        <v>237</v>
      </c>
      <c r="F36" t="n">
        <v>55.5950898416652</v>
      </c>
      <c r="G36" t="n">
        <v>55.3070260087051</v>
      </c>
      <c r="H36" t="n">
        <v>55.5862816408847</v>
      </c>
      <c r="I36" t="n">
        <v>56.9970993555377</v>
      </c>
      <c r="J36" t="n">
        <v>57.2895049134519</v>
      </c>
      <c r="K36" t="n">
        <v>59.6519515342659</v>
      </c>
      <c r="L36" t="n">
        <v>62.5812224376318</v>
      </c>
      <c r="M36" t="n">
        <v>63.8267399792018</v>
      </c>
      <c r="N36" t="n">
        <v>64.1522459799011</v>
      </c>
      <c r="O36" t="n">
        <v>66.4552381203037</v>
      </c>
      <c r="P36" t="n">
        <v>68.3185258104285</v>
      </c>
      <c r="Q36" t="n">
        <v>69.7721068559816</v>
      </c>
      <c r="R36" t="n">
        <v>71.2076881332962</v>
      </c>
      <c r="S36" t="n">
        <v>73.114984439224</v>
      </c>
      <c r="T36" t="n">
        <v>76.6579701742519</v>
      </c>
      <c r="U36" t="n">
        <v>79.4254798046188</v>
      </c>
      <c r="V36" t="n">
        <v>83.3134306804485</v>
      </c>
      <c r="W36" t="n">
        <v>85.6493257062176</v>
      </c>
      <c r="X36" t="n">
        <v>87.8383555346373</v>
      </c>
      <c r="Y36" t="n">
        <v>89.8810826584957</v>
      </c>
      <c r="Z36" t="n">
        <v>91.3944001258943</v>
      </c>
      <c r="AA36" t="n">
        <v>93.3704509693977</v>
      </c>
      <c r="AB36" t="n">
        <v>95.0949717917765</v>
      </c>
      <c r="AC36" t="n">
        <v>96.8149360382542</v>
      </c>
      <c r="AD36" t="n">
        <v>98.8009830449569</v>
      </c>
      <c r="AE36" t="n">
        <v>100</v>
      </c>
      <c r="AF36" t="n">
        <v>101.58371040724</v>
      </c>
    </row>
    <row r="37">
      <c r="A37" t="s">
        <v>90</v>
      </c>
      <c r="B37" t="s">
        <v>344</v>
      </c>
      <c r="C37" t="s">
        <v>236</v>
      </c>
      <c r="D37" t="s">
        <v>345</v>
      </c>
      <c r="E37" t="s">
        <v>237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90</v>
      </c>
      <c r="B38" t="s">
        <v>346</v>
      </c>
      <c r="C38" t="s">
        <v>236</v>
      </c>
      <c r="D38" t="s">
        <v>347</v>
      </c>
      <c r="E38" t="s">
        <v>237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90</v>
      </c>
      <c r="B39" t="s">
        <v>348</v>
      </c>
      <c r="C39" t="s">
        <v>236</v>
      </c>
      <c r="D39" t="s">
        <v>349</v>
      </c>
      <c r="E39" t="s">
        <v>237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90</v>
      </c>
      <c r="B40" t="s">
        <v>350</v>
      </c>
      <c r="C40" t="s">
        <v>236</v>
      </c>
      <c r="D40" t="s">
        <v>351</v>
      </c>
      <c r="E40" t="s">
        <v>237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90</v>
      </c>
      <c r="B41" t="s">
        <v>352</v>
      </c>
      <c r="C41" t="s">
        <v>236</v>
      </c>
      <c r="D41" t="s">
        <v>353</v>
      </c>
      <c r="E41" t="s">
        <v>237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90</v>
      </c>
      <c r="B42" t="s">
        <v>354</v>
      </c>
      <c r="C42" t="s">
        <v>236</v>
      </c>
      <c r="D42" t="s">
        <v>355</v>
      </c>
      <c r="E42" t="s">
        <v>237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90</v>
      </c>
      <c r="B43" t="s">
        <v>356</v>
      </c>
      <c r="C43" t="s">
        <v>236</v>
      </c>
      <c r="D43" t="s">
        <v>357</v>
      </c>
      <c r="E43" t="s">
        <v>237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90</v>
      </c>
      <c r="B44" t="s">
        <v>358</v>
      </c>
      <c r="C44" t="s">
        <v>236</v>
      </c>
      <c r="D44" t="s">
        <v>359</v>
      </c>
      <c r="E44" t="s">
        <v>237</v>
      </c>
      <c r="F44" t="n">
        <v>54.8909012842031</v>
      </c>
      <c r="G44" t="n">
        <v>54.8908436514223</v>
      </c>
      <c r="H44" t="n">
        <v>55.3444853983555</v>
      </c>
      <c r="I44" t="n">
        <v>56.9322370286362</v>
      </c>
      <c r="J44" t="n">
        <v>57.391444083516</v>
      </c>
      <c r="K44" t="n">
        <v>59.6509066259956</v>
      </c>
      <c r="L44" t="n">
        <v>62.6736877318775</v>
      </c>
      <c r="M44" t="n">
        <v>63.8216300227967</v>
      </c>
      <c r="N44" t="n">
        <v>64.301429747089</v>
      </c>
      <c r="O44" t="n">
        <v>66.5532425940753</v>
      </c>
      <c r="P44" t="n">
        <v>68.4214950913999</v>
      </c>
      <c r="Q44" t="n">
        <v>69.9614551982681</v>
      </c>
      <c r="R44" t="n">
        <v>71.6272716672497</v>
      </c>
      <c r="S44" t="n">
        <v>74.3048148627481</v>
      </c>
      <c r="T44" t="n">
        <v>77.6927072746573</v>
      </c>
      <c r="U44" t="n">
        <v>80.2114171458685</v>
      </c>
      <c r="V44" t="n">
        <v>83.2894253210717</v>
      </c>
      <c r="W44" t="n">
        <v>85.5265648607999</v>
      </c>
      <c r="X44" t="n">
        <v>87.6794689129312</v>
      </c>
      <c r="Y44" t="n">
        <v>89.3860945956613</v>
      </c>
      <c r="Z44" t="n">
        <v>90.7790748428199</v>
      </c>
      <c r="AA44" t="n">
        <v>92.8423255970981</v>
      </c>
      <c r="AB44" t="n">
        <v>94.8099596968228</v>
      </c>
      <c r="AC44" t="n">
        <v>96.8635712537672</v>
      </c>
      <c r="AD44" t="n">
        <v>98.811604519834</v>
      </c>
      <c r="AE44" t="n">
        <v>100</v>
      </c>
      <c r="AF44" t="n">
        <v>101.463414634146</v>
      </c>
    </row>
    <row r="45">
      <c r="A45" t="s">
        <v>90</v>
      </c>
      <c r="B45" t="s">
        <v>360</v>
      </c>
      <c r="C45" t="s">
        <v>236</v>
      </c>
      <c r="D45" t="s">
        <v>361</v>
      </c>
      <c r="E45" t="s">
        <v>237</v>
      </c>
      <c r="F45" t="n">
        <v>54.8909012842031</v>
      </c>
      <c r="G45" t="n">
        <v>54.8908436514223</v>
      </c>
      <c r="H45" t="n">
        <v>55.3444853983555</v>
      </c>
      <c r="I45" t="n">
        <v>56.9322370286362</v>
      </c>
      <c r="J45" t="n">
        <v>57.391444083516</v>
      </c>
      <c r="K45" t="n">
        <v>59.6509066259956</v>
      </c>
      <c r="L45" t="n">
        <v>62.6736877318775</v>
      </c>
      <c r="M45" t="n">
        <v>63.8216300227967</v>
      </c>
      <c r="N45" t="n">
        <v>64.301429747089</v>
      </c>
      <c r="O45" t="n">
        <v>66.5532425940753</v>
      </c>
      <c r="P45" t="n">
        <v>68.4214950913999</v>
      </c>
      <c r="Q45" t="n">
        <v>69.9614551982681</v>
      </c>
      <c r="R45" t="n">
        <v>71.6272716672497</v>
      </c>
      <c r="S45" t="n">
        <v>74.3048148627481</v>
      </c>
      <c r="T45" t="n">
        <v>77.6927072746573</v>
      </c>
      <c r="U45" t="n">
        <v>80.2114171458685</v>
      </c>
      <c r="V45" t="n">
        <v>83.2894253210717</v>
      </c>
      <c r="W45" t="n">
        <v>85.5265648607999</v>
      </c>
      <c r="X45" t="n">
        <v>87.6794689129312</v>
      </c>
      <c r="Y45" t="n">
        <v>89.3860945956613</v>
      </c>
      <c r="Z45" t="n">
        <v>90.7790748428199</v>
      </c>
      <c r="AA45" t="n">
        <v>92.8423255970981</v>
      </c>
      <c r="AB45" t="n">
        <v>94.8099596968228</v>
      </c>
      <c r="AC45" t="n">
        <v>96.8635712537672</v>
      </c>
      <c r="AD45" t="n">
        <v>98.811604519834</v>
      </c>
      <c r="AE45" t="n">
        <v>100</v>
      </c>
      <c r="AF45" t="n">
        <v>101.463414634146</v>
      </c>
    </row>
    <row r="46">
      <c r="A46" t="s">
        <v>90</v>
      </c>
      <c r="B46" t="s">
        <v>362</v>
      </c>
      <c r="C46" t="s">
        <v>236</v>
      </c>
      <c r="D46" t="s">
        <v>363</v>
      </c>
      <c r="E46" t="s">
        <v>237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90</v>
      </c>
      <c r="B47" t="s">
        <v>364</v>
      </c>
      <c r="C47" t="s">
        <v>236</v>
      </c>
      <c r="D47" t="s">
        <v>365</v>
      </c>
      <c r="E47" t="s">
        <v>237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90</v>
      </c>
      <c r="B48" t="s">
        <v>366</v>
      </c>
      <c r="C48" t="s">
        <v>236</v>
      </c>
      <c r="D48" t="s">
        <v>367</v>
      </c>
      <c r="E48" t="s">
        <v>237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90</v>
      </c>
      <c r="B49" t="s">
        <v>368</v>
      </c>
      <c r="C49" t="s">
        <v>236</v>
      </c>
      <c r="D49" t="s">
        <v>369</v>
      </c>
      <c r="E49" t="s">
        <v>237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90</v>
      </c>
      <c r="B50" t="s">
        <v>370</v>
      </c>
      <c r="C50" t="s">
        <v>236</v>
      </c>
      <c r="D50" t="s">
        <v>371</v>
      </c>
      <c r="E50" t="s">
        <v>237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90</v>
      </c>
      <c r="B51" t="s">
        <v>372</v>
      </c>
      <c r="C51" t="s">
        <v>236</v>
      </c>
      <c r="D51" t="s">
        <v>373</v>
      </c>
      <c r="E51" t="s">
        <v>237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90</v>
      </c>
      <c r="B52" t="s">
        <v>374</v>
      </c>
      <c r="C52" t="s">
        <v>236</v>
      </c>
      <c r="D52" t="s">
        <v>375</v>
      </c>
      <c r="E52" t="s">
        <v>237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90</v>
      </c>
      <c r="B53" t="s">
        <v>376</v>
      </c>
      <c r="C53" t="s">
        <v>236</v>
      </c>
      <c r="D53" t="s">
        <v>377</v>
      </c>
      <c r="E53" t="s">
        <v>237</v>
      </c>
      <c r="F53" t="n">
        <v>53.2319391634981</v>
      </c>
      <c r="G53" t="n">
        <v>53.2308831697834</v>
      </c>
      <c r="H53" t="n">
        <v>53.2316018276183</v>
      </c>
      <c r="I53" t="n">
        <v>55.4495852371024</v>
      </c>
      <c r="J53" t="n">
        <v>55.4495852371024</v>
      </c>
      <c r="K53" t="n">
        <v>57.5031318670035</v>
      </c>
      <c r="L53" t="n">
        <v>59.6328321335775</v>
      </c>
      <c r="M53" t="n">
        <v>59.6328321335775</v>
      </c>
      <c r="N53" t="n">
        <v>59.6328321335775</v>
      </c>
      <c r="O53" t="n">
        <v>61.6890460817174</v>
      </c>
      <c r="P53" t="n">
        <v>63.6790575499483</v>
      </c>
      <c r="Q53" t="n">
        <v>65.4986081545767</v>
      </c>
      <c r="R53" t="n">
        <v>67.3180139366483</v>
      </c>
      <c r="S53" t="n">
        <v>69.1873293690863</v>
      </c>
      <c r="T53" t="n">
        <v>72.0710332103321</v>
      </c>
      <c r="U53" t="n">
        <v>74.5554630515551</v>
      </c>
      <c r="V53" t="n">
        <v>77.8449022553093</v>
      </c>
      <c r="W53" t="n">
        <v>80.1010853132968</v>
      </c>
      <c r="X53" t="n">
        <v>82.4924680790015</v>
      </c>
      <c r="Y53" t="n">
        <v>83.7232208815563</v>
      </c>
      <c r="Z53" t="n">
        <v>85.4321156409117</v>
      </c>
      <c r="AA53" t="n">
        <v>89.1464229997771</v>
      </c>
      <c r="AB53" t="n">
        <v>92.7610259128528</v>
      </c>
      <c r="AC53" t="n">
        <v>95.7854406130268</v>
      </c>
      <c r="AD53" t="n">
        <v>97.9379224245555</v>
      </c>
      <c r="AE53" t="n">
        <v>100</v>
      </c>
      <c r="AF53" t="n">
        <v>102.040816326531</v>
      </c>
    </row>
    <row r="54">
      <c r="A54" t="s">
        <v>90</v>
      </c>
      <c r="B54" t="s">
        <v>378</v>
      </c>
      <c r="C54" t="s">
        <v>236</v>
      </c>
      <c r="D54" t="s">
        <v>379</v>
      </c>
      <c r="E54" t="s">
        <v>237</v>
      </c>
      <c r="F54" t="n">
        <v>53.2319391634981</v>
      </c>
      <c r="G54" t="n">
        <v>53.2308831697834</v>
      </c>
      <c r="H54" t="n">
        <v>53.2316018276183</v>
      </c>
      <c r="I54" t="n">
        <v>55.4495852371024</v>
      </c>
      <c r="J54" t="n">
        <v>55.4495852371024</v>
      </c>
      <c r="K54" t="n">
        <v>57.5031318670035</v>
      </c>
      <c r="L54" t="n">
        <v>59.6328321335775</v>
      </c>
      <c r="M54" t="n">
        <v>59.6328321335775</v>
      </c>
      <c r="N54" t="n">
        <v>59.6328321335775</v>
      </c>
      <c r="O54" t="n">
        <v>61.6890460817174</v>
      </c>
      <c r="P54" t="n">
        <v>63.6790575499483</v>
      </c>
      <c r="Q54" t="n">
        <v>65.4986081545767</v>
      </c>
      <c r="R54" t="n">
        <v>67.3180139366483</v>
      </c>
      <c r="S54" t="n">
        <v>69.1873293690863</v>
      </c>
      <c r="T54" t="n">
        <v>72.0710332103321</v>
      </c>
      <c r="U54" t="n">
        <v>74.5554630515551</v>
      </c>
      <c r="V54" t="n">
        <v>77.8449022553093</v>
      </c>
      <c r="W54" t="n">
        <v>80.1010853132968</v>
      </c>
      <c r="X54" t="n">
        <v>82.4924680790015</v>
      </c>
      <c r="Y54" t="n">
        <v>83.7232208815563</v>
      </c>
      <c r="Z54" t="n">
        <v>85.4321156409117</v>
      </c>
      <c r="AA54" t="n">
        <v>89.1464229997771</v>
      </c>
      <c r="AB54" t="n">
        <v>92.7610259128528</v>
      </c>
      <c r="AC54" t="n">
        <v>95.7854406130268</v>
      </c>
      <c r="AD54" t="n">
        <v>97.9379224245555</v>
      </c>
      <c r="AE54" t="n">
        <v>100</v>
      </c>
      <c r="AF54" t="n">
        <v>102.040816326531</v>
      </c>
    </row>
    <row r="55">
      <c r="A55" t="s">
        <v>90</v>
      </c>
      <c r="B55" t="s">
        <v>380</v>
      </c>
      <c r="C55" t="s">
        <v>236</v>
      </c>
      <c r="D55" t="s">
        <v>381</v>
      </c>
      <c r="E55" t="s">
        <v>237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90</v>
      </c>
      <c r="B56" t="s">
        <v>382</v>
      </c>
      <c r="C56" t="s">
        <v>236</v>
      </c>
      <c r="D56" t="s">
        <v>383</v>
      </c>
      <c r="E56" t="s">
        <v>237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90</v>
      </c>
      <c r="B57" t="s">
        <v>384</v>
      </c>
      <c r="C57" t="s">
        <v>236</v>
      </c>
      <c r="D57" t="s">
        <v>385</v>
      </c>
      <c r="E57" t="s">
        <v>237</v>
      </c>
      <c r="F57" t="n">
        <v>54.5184926727146</v>
      </c>
      <c r="G57" t="n">
        <v>54.5184776232704</v>
      </c>
      <c r="H57" t="n">
        <v>54.9690686347395</v>
      </c>
      <c r="I57" t="n">
        <v>56.5460501119657</v>
      </c>
      <c r="J57" t="n">
        <v>57.0021432805873</v>
      </c>
      <c r="K57" t="n">
        <v>59.2462264193286</v>
      </c>
      <c r="L57" t="n">
        <v>62.2485538720202</v>
      </c>
      <c r="M57" t="n">
        <v>63.3886958345874</v>
      </c>
      <c r="N57" t="n">
        <v>63.8653299430693</v>
      </c>
      <c r="O57" t="n">
        <v>66.1019012994242</v>
      </c>
      <c r="P57" t="n">
        <v>67.957314456817</v>
      </c>
      <c r="Q57" t="n">
        <v>69.4869329604056</v>
      </c>
      <c r="R57" t="n">
        <v>71.1414059527158</v>
      </c>
      <c r="S57" t="n">
        <v>73.8009015677705</v>
      </c>
      <c r="T57" t="n">
        <v>77.1656863932669</v>
      </c>
      <c r="U57" t="n">
        <v>79.8597547247148</v>
      </c>
      <c r="V57" t="n">
        <v>82.9242703114888</v>
      </c>
      <c r="W57" t="n">
        <v>85.3229163989617</v>
      </c>
      <c r="X57" t="n">
        <v>87.4706153401592</v>
      </c>
      <c r="Y57" t="n">
        <v>89.3860455613444</v>
      </c>
      <c r="Z57" t="n">
        <v>90.7790748428199</v>
      </c>
      <c r="AA57" t="n">
        <v>92.8423255970981</v>
      </c>
      <c r="AB57" t="n">
        <v>94.8099596968228</v>
      </c>
      <c r="AC57" t="n">
        <v>96.8635712537672</v>
      </c>
      <c r="AD57" t="n">
        <v>98.811604519834</v>
      </c>
      <c r="AE57" t="n">
        <v>100</v>
      </c>
      <c r="AF57" t="n">
        <v>101.463414634146</v>
      </c>
    </row>
    <row r="58">
      <c r="A58" t="s">
        <v>90</v>
      </c>
      <c r="B58" t="s">
        <v>386</v>
      </c>
      <c r="C58" t="s">
        <v>236</v>
      </c>
      <c r="D58" t="s">
        <v>387</v>
      </c>
      <c r="E58" t="s">
        <v>237</v>
      </c>
      <c r="F58" t="n">
        <v>54.5184926727146</v>
      </c>
      <c r="G58" t="n">
        <v>54.5184776232704</v>
      </c>
      <c r="H58" t="n">
        <v>54.9690686347395</v>
      </c>
      <c r="I58" t="n">
        <v>56.5460501119657</v>
      </c>
      <c r="J58" t="n">
        <v>57.0021432805873</v>
      </c>
      <c r="K58" t="n">
        <v>59.2462264193286</v>
      </c>
      <c r="L58" t="n">
        <v>62.2485538720202</v>
      </c>
      <c r="M58" t="n">
        <v>63.3886958345874</v>
      </c>
      <c r="N58" t="n">
        <v>63.8653299430693</v>
      </c>
      <c r="O58" t="n">
        <v>66.1019012994242</v>
      </c>
      <c r="P58" t="n">
        <v>67.957314456817</v>
      </c>
      <c r="Q58" t="n">
        <v>69.4869329604056</v>
      </c>
      <c r="R58" t="n">
        <v>71.1414059527158</v>
      </c>
      <c r="S58" t="n">
        <v>73.8009015677705</v>
      </c>
      <c r="T58" t="n">
        <v>77.1656863932669</v>
      </c>
      <c r="U58" t="n">
        <v>79.8597547247148</v>
      </c>
      <c r="V58" t="n">
        <v>82.9242703114888</v>
      </c>
      <c r="W58" t="n">
        <v>85.3229163989617</v>
      </c>
      <c r="X58" t="n">
        <v>87.4706153401592</v>
      </c>
      <c r="Y58" t="n">
        <v>89.3860455613444</v>
      </c>
      <c r="Z58" t="n">
        <v>90.7790748428199</v>
      </c>
      <c r="AA58" t="n">
        <v>92.8423255970981</v>
      </c>
      <c r="AB58" t="n">
        <v>94.8099596968228</v>
      </c>
      <c r="AC58" t="n">
        <v>96.8635712537672</v>
      </c>
      <c r="AD58" t="n">
        <v>98.811604519834</v>
      </c>
      <c r="AE58" t="n">
        <v>100</v>
      </c>
      <c r="AF58" t="n">
        <v>101.463414634146</v>
      </c>
    </row>
    <row r="59">
      <c r="A59" t="s">
        <v>90</v>
      </c>
      <c r="B59" t="s">
        <v>388</v>
      </c>
      <c r="C59" t="s">
        <v>236</v>
      </c>
      <c r="D59" t="s">
        <v>389</v>
      </c>
      <c r="E59" t="s">
        <v>237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92</v>
      </c>
      <c r="B2" t="s">
        <v>197</v>
      </c>
      <c r="C2" t="s">
        <v>236</v>
      </c>
      <c r="D2" t="s">
        <v>199</v>
      </c>
      <c r="E2" t="s">
        <v>237</v>
      </c>
      <c r="F2" t="n">
        <v>72.8721146569727</v>
      </c>
      <c r="G2" t="n">
        <v>70.2345510447762</v>
      </c>
      <c r="H2" t="n">
        <v>70.8881720781878</v>
      </c>
      <c r="I2" t="n">
        <v>69.2459750416275</v>
      </c>
      <c r="J2" t="n">
        <v>68.3726949409541</v>
      </c>
      <c r="K2" t="n">
        <v>69.6467203125247</v>
      </c>
      <c r="L2" t="n">
        <v>70.7111898369519</v>
      </c>
      <c r="M2" t="n">
        <v>71.8406046746255</v>
      </c>
      <c r="N2" t="n">
        <v>72.2416687621321</v>
      </c>
      <c r="O2" t="n">
        <v>72.4525933424595</v>
      </c>
      <c r="P2" t="n">
        <v>74.2933084873632</v>
      </c>
      <c r="Q2" t="n">
        <v>76.4904283394654</v>
      </c>
      <c r="R2" t="n">
        <v>80.1239566040685</v>
      </c>
      <c r="S2" t="n">
        <v>81.5313428799728</v>
      </c>
      <c r="T2" t="n">
        <v>83.1478255145199</v>
      </c>
      <c r="U2" t="n">
        <v>82.183482177367</v>
      </c>
      <c r="V2" t="n">
        <v>83.8385302765965</v>
      </c>
      <c r="W2" t="n">
        <v>87.379008751115</v>
      </c>
      <c r="X2" t="n">
        <v>88.6818766748393</v>
      </c>
      <c r="Y2" t="n">
        <v>88.3880659293678</v>
      </c>
      <c r="Z2" t="n">
        <v>88.9808323923814</v>
      </c>
      <c r="AA2" t="n">
        <v>89.831161166097</v>
      </c>
      <c r="AB2" t="n">
        <v>90.8013833642061</v>
      </c>
      <c r="AC2" t="n">
        <v>94.8410199414981</v>
      </c>
      <c r="AD2" t="n">
        <v>97.6729944886712</v>
      </c>
      <c r="AE2" t="n">
        <v>100</v>
      </c>
      <c r="AF2" t="n">
        <v>102.083333333333</v>
      </c>
    </row>
    <row r="3">
      <c r="A3" t="s">
        <v>92</v>
      </c>
      <c r="B3" t="s">
        <v>276</v>
      </c>
      <c r="C3" t="s">
        <v>236</v>
      </c>
      <c r="D3" t="s">
        <v>277</v>
      </c>
      <c r="E3" t="s">
        <v>237</v>
      </c>
      <c r="F3" t="n">
        <v>70.287718233999</v>
      </c>
      <c r="G3" t="n">
        <v>71.1244767844038</v>
      </c>
      <c r="H3" t="n">
        <v>72.2716457647974</v>
      </c>
      <c r="I3" t="n">
        <v>73.0658396743007</v>
      </c>
      <c r="J3" t="n">
        <v>73.6957176025274</v>
      </c>
      <c r="K3" t="n">
        <v>75.4229609838366</v>
      </c>
      <c r="L3" t="n">
        <v>76.9622050855476</v>
      </c>
      <c r="M3" t="n">
        <v>77.5542220477441</v>
      </c>
      <c r="N3" t="n">
        <v>77.9780156108465</v>
      </c>
      <c r="O3" t="n">
        <v>78.6278324076036</v>
      </c>
      <c r="P3" t="n">
        <v>79.7275223713463</v>
      </c>
      <c r="Q3" t="n">
        <v>80.6545865849666</v>
      </c>
      <c r="R3" t="n">
        <v>83.6737422325322</v>
      </c>
      <c r="S3" t="n">
        <v>87.2042798794745</v>
      </c>
      <c r="T3" t="n">
        <v>87.6731200938803</v>
      </c>
      <c r="U3" t="n">
        <v>87.1465548080311</v>
      </c>
      <c r="V3" t="n">
        <v>89.4586062621217</v>
      </c>
      <c r="W3" t="n">
        <v>91.9867842651817</v>
      </c>
      <c r="X3" t="n">
        <v>93.0532977059374</v>
      </c>
      <c r="Y3" t="n">
        <v>93.0532977059374</v>
      </c>
      <c r="Z3" t="n">
        <v>92.8146995066914</v>
      </c>
      <c r="AA3" t="n">
        <v>92.8146995066914</v>
      </c>
      <c r="AB3" t="n">
        <v>94.1520871076524</v>
      </c>
      <c r="AC3" t="n">
        <v>97.1253109110519</v>
      </c>
      <c r="AD3" t="n">
        <v>99.601593625498</v>
      </c>
      <c r="AE3" t="n">
        <v>100</v>
      </c>
      <c r="AF3" t="n">
        <v>101.930501930502</v>
      </c>
    </row>
    <row r="4">
      <c r="A4" t="s">
        <v>92</v>
      </c>
      <c r="B4" t="s">
        <v>278</v>
      </c>
      <c r="C4" t="s">
        <v>236</v>
      </c>
      <c r="D4" t="s">
        <v>279</v>
      </c>
      <c r="E4" t="s">
        <v>237</v>
      </c>
      <c r="F4" t="n">
        <v>65.7111825660719</v>
      </c>
      <c r="G4" t="n">
        <v>66.4990864337706</v>
      </c>
      <c r="H4" t="n">
        <v>67.3899232520343</v>
      </c>
      <c r="I4" t="n">
        <v>68.1163768629708</v>
      </c>
      <c r="J4" t="n">
        <v>68.4456608984811</v>
      </c>
      <c r="K4" t="n">
        <v>70.1946251133192</v>
      </c>
      <c r="L4" t="n">
        <v>71.8443338673568</v>
      </c>
      <c r="M4" t="n">
        <v>72.9439364920883</v>
      </c>
      <c r="N4" t="n">
        <v>73.5576345555642</v>
      </c>
      <c r="O4" t="n">
        <v>75.2507491020614</v>
      </c>
      <c r="P4" t="n">
        <v>77.3272996563505</v>
      </c>
      <c r="Q4" t="n">
        <v>78.7109520292173</v>
      </c>
      <c r="R4" t="n">
        <v>80.3501814171172</v>
      </c>
      <c r="S4" t="n">
        <v>84.0439024718519</v>
      </c>
      <c r="T4" t="n">
        <v>86.0264316452398</v>
      </c>
      <c r="U4" t="n">
        <v>86.6964567039509</v>
      </c>
      <c r="V4" t="n">
        <v>88.7794395278019</v>
      </c>
      <c r="W4" t="n">
        <v>90.9995902317766</v>
      </c>
      <c r="X4" t="n">
        <v>92.5665287825973</v>
      </c>
      <c r="Y4" t="n">
        <v>93.2352547089446</v>
      </c>
      <c r="Z4" t="n">
        <v>94.155812607953</v>
      </c>
      <c r="AA4" t="n">
        <v>95.1107686244127</v>
      </c>
      <c r="AB4" t="n">
        <v>95.7031183883882</v>
      </c>
      <c r="AC4" t="n">
        <v>96.4170301626132</v>
      </c>
      <c r="AD4" t="n">
        <v>98.8614055751865</v>
      </c>
      <c r="AE4" t="n">
        <v>100</v>
      </c>
      <c r="AF4" t="n">
        <v>101.89908358176</v>
      </c>
    </row>
    <row r="5">
      <c r="A5" t="s">
        <v>92</v>
      </c>
      <c r="B5" t="s">
        <v>280</v>
      </c>
      <c r="C5" t="s">
        <v>236</v>
      </c>
      <c r="D5" t="s">
        <v>281</v>
      </c>
      <c r="E5" t="s">
        <v>237</v>
      </c>
      <c r="F5" t="n">
        <v>84.2513542860063</v>
      </c>
      <c r="G5" t="n">
        <v>84.2513542860063</v>
      </c>
      <c r="H5" t="n">
        <v>84.9653488138538</v>
      </c>
      <c r="I5" t="n">
        <v>84.3151037974213</v>
      </c>
      <c r="J5" t="n">
        <v>83.8689921371174</v>
      </c>
      <c r="K5" t="n">
        <v>83.65394343933</v>
      </c>
      <c r="L5" t="n">
        <v>84.792092329661</v>
      </c>
      <c r="M5" t="n">
        <v>84.4431536780986</v>
      </c>
      <c r="N5" t="n">
        <v>84.4431536780986</v>
      </c>
      <c r="O5" t="n">
        <v>84.4431536780986</v>
      </c>
      <c r="P5" t="n">
        <v>85.7625779543189</v>
      </c>
      <c r="Q5" t="n">
        <v>86.165219165372</v>
      </c>
      <c r="R5" t="n">
        <v>88.1357335329793</v>
      </c>
      <c r="S5" t="n">
        <v>89.9492259925056</v>
      </c>
      <c r="T5" t="n">
        <v>89.7365800681734</v>
      </c>
      <c r="U5" t="n">
        <v>88.5271921966347</v>
      </c>
      <c r="V5" t="n">
        <v>90.5391738374673</v>
      </c>
      <c r="W5" t="n">
        <v>92.7622339093694</v>
      </c>
      <c r="X5" t="n">
        <v>93.3581369109286</v>
      </c>
      <c r="Y5" t="n">
        <v>93.5316650464507</v>
      </c>
      <c r="Z5" t="n">
        <v>94.715610173621</v>
      </c>
      <c r="AA5" t="n">
        <v>95.3826215128718</v>
      </c>
      <c r="AB5" t="n">
        <v>96.4407488513664</v>
      </c>
      <c r="AC5" t="n">
        <v>98.0582037587269</v>
      </c>
      <c r="AD5" t="n">
        <v>99.7899159663865</v>
      </c>
      <c r="AE5" t="n">
        <v>100</v>
      </c>
      <c r="AF5" t="n">
        <v>101.457194899818</v>
      </c>
    </row>
    <row r="6">
      <c r="A6" t="s">
        <v>92</v>
      </c>
      <c r="B6" t="s">
        <v>282</v>
      </c>
      <c r="C6" t="s">
        <v>236</v>
      </c>
      <c r="D6" t="s">
        <v>283</v>
      </c>
      <c r="E6" t="s">
        <v>237</v>
      </c>
      <c r="F6" t="n">
        <v>94.464654182563</v>
      </c>
      <c r="G6" t="n">
        <v>94.464654182563</v>
      </c>
      <c r="H6" t="n">
        <v>95.9179565546025</v>
      </c>
      <c r="I6" t="n">
        <v>94.4863452627428</v>
      </c>
      <c r="J6" t="n">
        <v>94.4863452627427</v>
      </c>
      <c r="K6" t="n">
        <v>96.2042788129744</v>
      </c>
      <c r="L6" t="n">
        <v>97.6190476190476</v>
      </c>
      <c r="M6" t="n">
        <v>97.6190476190476</v>
      </c>
      <c r="N6" t="n">
        <v>97.6190476190476</v>
      </c>
      <c r="O6" t="n">
        <v>97.6190476190476</v>
      </c>
      <c r="P6" t="n">
        <v>97.6190476190476</v>
      </c>
      <c r="Q6" t="n">
        <v>97.6190476190476</v>
      </c>
      <c r="R6" t="n">
        <v>97.6190476190476</v>
      </c>
      <c r="S6" t="n">
        <v>100</v>
      </c>
      <c r="T6" t="n">
        <v>100</v>
      </c>
      <c r="U6" t="n">
        <v>100</v>
      </c>
      <c r="V6" t="n">
        <v>100</v>
      </c>
      <c r="W6" t="n">
        <v>100</v>
      </c>
      <c r="X6" t="n">
        <v>100</v>
      </c>
      <c r="Y6" t="n">
        <v>100</v>
      </c>
      <c r="Z6" t="n">
        <v>100</v>
      </c>
      <c r="AA6" t="n">
        <v>100</v>
      </c>
      <c r="AB6" t="n">
        <v>100</v>
      </c>
      <c r="AC6" t="n">
        <v>100</v>
      </c>
      <c r="AD6" t="n">
        <v>100</v>
      </c>
      <c r="AE6" t="n">
        <v>100</v>
      </c>
      <c r="AF6" t="n">
        <v>100</v>
      </c>
    </row>
    <row r="7">
      <c r="A7" t="s">
        <v>92</v>
      </c>
      <c r="B7" t="s">
        <v>284</v>
      </c>
      <c r="C7" t="s">
        <v>236</v>
      </c>
      <c r="D7" t="s">
        <v>285</v>
      </c>
      <c r="E7" t="s">
        <v>237</v>
      </c>
      <c r="F7" t="n">
        <v>78.87562292067</v>
      </c>
      <c r="G7" t="n">
        <v>79.6192940855084</v>
      </c>
      <c r="H7" t="n">
        <v>80.7149724444833</v>
      </c>
      <c r="I7" t="n">
        <v>80.8220925140844</v>
      </c>
      <c r="J7" t="n">
        <v>80.7551868083608</v>
      </c>
      <c r="K7" t="n">
        <v>81.9935633615157</v>
      </c>
      <c r="L7" t="n">
        <v>82.6456860817823</v>
      </c>
      <c r="M7" t="n">
        <v>82.6456860817823</v>
      </c>
      <c r="N7" t="n">
        <v>82.3220929491206</v>
      </c>
      <c r="O7" t="n">
        <v>83.2004081988203</v>
      </c>
      <c r="P7" t="n">
        <v>84.6105846089698</v>
      </c>
      <c r="Q7" t="n">
        <v>85.3482531757437</v>
      </c>
      <c r="R7" t="n">
        <v>86.850863266866</v>
      </c>
      <c r="S7" t="n">
        <v>88.8807665819513</v>
      </c>
      <c r="T7" t="n">
        <v>89.3485600902774</v>
      </c>
      <c r="U7" t="n">
        <v>88.9003231667475</v>
      </c>
      <c r="V7" t="n">
        <v>90.1255956146813</v>
      </c>
      <c r="W7" t="n">
        <v>92.0623920820455</v>
      </c>
      <c r="X7" t="n">
        <v>93.3322181797288</v>
      </c>
      <c r="Y7" t="n">
        <v>93.8313209507434</v>
      </c>
      <c r="Z7" t="n">
        <v>94.5122449053932</v>
      </c>
      <c r="AA7" t="n">
        <v>94.9755402235569</v>
      </c>
      <c r="AB7" t="n">
        <v>95.7838426935447</v>
      </c>
      <c r="AC7" t="n">
        <v>97.2211136450019</v>
      </c>
      <c r="AD7" t="n">
        <v>98.9737742303307</v>
      </c>
      <c r="AE7" t="n">
        <v>100</v>
      </c>
      <c r="AF7" t="n">
        <v>102.325581395349</v>
      </c>
    </row>
    <row r="8">
      <c r="A8" t="s">
        <v>92</v>
      </c>
      <c r="B8" t="s">
        <v>286</v>
      </c>
      <c r="C8" t="s">
        <v>236</v>
      </c>
      <c r="D8" t="s">
        <v>287</v>
      </c>
      <c r="E8" t="s">
        <v>237</v>
      </c>
      <c r="F8" t="n">
        <v>70.1095708735722</v>
      </c>
      <c r="G8" t="n">
        <v>71.9072521780228</v>
      </c>
      <c r="H8" t="n">
        <v>73.0990850870508</v>
      </c>
      <c r="I8" t="n">
        <v>73.9693122904681</v>
      </c>
      <c r="J8" t="n">
        <v>74.5756181289145</v>
      </c>
      <c r="K8" t="n">
        <v>77.1179687469457</v>
      </c>
      <c r="L8" t="n">
        <v>78.1066606539578</v>
      </c>
      <c r="M8" t="n">
        <v>79.3464489183064</v>
      </c>
      <c r="N8" t="n">
        <v>79.3464489183064</v>
      </c>
      <c r="O8" t="n">
        <v>80.9657642023534</v>
      </c>
      <c r="P8" t="n">
        <v>82.6114098162224</v>
      </c>
      <c r="Q8" t="n">
        <v>83.8444159328824</v>
      </c>
      <c r="R8" t="n">
        <v>85.3506030454492</v>
      </c>
      <c r="S8" t="n">
        <v>87.8462347134448</v>
      </c>
      <c r="T8" t="n">
        <v>87.0889395866048</v>
      </c>
      <c r="U8" t="n">
        <v>85.4379644285649</v>
      </c>
      <c r="V8" t="n">
        <v>87.6475669568898</v>
      </c>
      <c r="W8" t="n">
        <v>89.6283029333167</v>
      </c>
      <c r="X8" t="n">
        <v>91.1138549156369</v>
      </c>
      <c r="Y8" t="n">
        <v>91.1138549156369</v>
      </c>
      <c r="Z8" t="n">
        <v>91.8668619810553</v>
      </c>
      <c r="AA8" t="n">
        <v>92.8042789400457</v>
      </c>
      <c r="AB8" t="n">
        <v>93.554212507238</v>
      </c>
      <c r="AC8" t="n">
        <v>95.640923566879</v>
      </c>
      <c r="AD8" t="n">
        <v>98.7261146496815</v>
      </c>
      <c r="AE8" t="n">
        <v>100</v>
      </c>
      <c r="AF8" t="n">
        <v>102.564102564103</v>
      </c>
    </row>
    <row r="9">
      <c r="A9" t="s">
        <v>92</v>
      </c>
      <c r="B9" t="s">
        <v>288</v>
      </c>
      <c r="C9" t="s">
        <v>236</v>
      </c>
      <c r="D9" t="s">
        <v>289</v>
      </c>
      <c r="E9" t="s">
        <v>237</v>
      </c>
      <c r="F9" t="n">
        <v>75.2355817066067</v>
      </c>
      <c r="G9" t="n">
        <v>76.7107891910499</v>
      </c>
      <c r="H9" t="n">
        <v>77.5334250000692</v>
      </c>
      <c r="I9" t="n">
        <v>78.1923492918545</v>
      </c>
      <c r="J9" t="n">
        <v>78.4083502567491</v>
      </c>
      <c r="K9" t="n">
        <v>80.3897887108908</v>
      </c>
      <c r="L9" t="n">
        <v>82.3686142791589</v>
      </c>
      <c r="M9" t="n">
        <v>82.9214237709653</v>
      </c>
      <c r="N9" t="n">
        <v>83.1813655382724</v>
      </c>
      <c r="O9" t="n">
        <v>84.3239667132487</v>
      </c>
      <c r="P9" t="n">
        <v>86.3735075708624</v>
      </c>
      <c r="Q9" t="n">
        <v>87.6038994166012</v>
      </c>
      <c r="R9" t="n">
        <v>87.7848992087842</v>
      </c>
      <c r="S9" t="n">
        <v>90.5591398158338</v>
      </c>
      <c r="T9" t="n">
        <v>91.2850647842974</v>
      </c>
      <c r="U9" t="n">
        <v>90.6422122153939</v>
      </c>
      <c r="V9" t="n">
        <v>92.3417536944326</v>
      </c>
      <c r="W9" t="n">
        <v>94.5081291476744</v>
      </c>
      <c r="X9" t="n">
        <v>95.8518466237077</v>
      </c>
      <c r="Y9" t="n">
        <v>95.5323404682953</v>
      </c>
      <c r="Z9" t="n">
        <v>96.42725700664</v>
      </c>
      <c r="AA9" t="n">
        <v>96.8332665098259</v>
      </c>
      <c r="AB9" t="n">
        <v>97.3938064027916</v>
      </c>
      <c r="AC9" t="n">
        <v>98.1165804762817</v>
      </c>
      <c r="AD9" t="n">
        <v>99.5594713656388</v>
      </c>
      <c r="AE9" t="n">
        <v>100</v>
      </c>
      <c r="AF9" t="n">
        <v>102.253032928943</v>
      </c>
    </row>
    <row r="10">
      <c r="A10" t="s">
        <v>92</v>
      </c>
      <c r="B10" t="s">
        <v>290</v>
      </c>
      <c r="C10" t="s">
        <v>236</v>
      </c>
      <c r="D10" t="s">
        <v>291</v>
      </c>
      <c r="E10" t="s">
        <v>237</v>
      </c>
      <c r="F10" t="n">
        <v>66.7154823724451</v>
      </c>
      <c r="G10" t="n">
        <v>68.2189298625284</v>
      </c>
      <c r="H10" t="n">
        <v>69.0770296092268</v>
      </c>
      <c r="I10" t="n">
        <v>69.9404924793422</v>
      </c>
      <c r="J10" t="n">
        <v>70.3749054761083</v>
      </c>
      <c r="K10" t="n">
        <v>72.517467001142</v>
      </c>
      <c r="L10" t="n">
        <v>74.8074922748623</v>
      </c>
      <c r="M10" t="n">
        <v>75.9173957210769</v>
      </c>
      <c r="N10" t="n">
        <v>76.6936472110674</v>
      </c>
      <c r="O10" t="n">
        <v>78.1886500806789</v>
      </c>
      <c r="P10" t="n">
        <v>80.3911472660501</v>
      </c>
      <c r="Q10" t="n">
        <v>81.821029332047</v>
      </c>
      <c r="R10" t="n">
        <v>82.4208902509037</v>
      </c>
      <c r="S10" t="n">
        <v>85.7640152844817</v>
      </c>
      <c r="T10" t="n">
        <v>87.2155924120046</v>
      </c>
      <c r="U10" t="n">
        <v>87.3961629967086</v>
      </c>
      <c r="V10" t="n">
        <v>89.2774894017258</v>
      </c>
      <c r="W10" t="n">
        <v>91.8947447913529</v>
      </c>
      <c r="X10" t="n">
        <v>93.3553235165135</v>
      </c>
      <c r="Y10" t="n">
        <v>93.6654740929803</v>
      </c>
      <c r="Z10" t="n">
        <v>94.5915451645211</v>
      </c>
      <c r="AA10" t="n">
        <v>95.4570887150461</v>
      </c>
      <c r="AB10" t="n">
        <v>95.9324726229896</v>
      </c>
      <c r="AC10" t="n">
        <v>96.6234628219547</v>
      </c>
      <c r="AD10" t="n">
        <v>98.7886944818304</v>
      </c>
      <c r="AE10" t="n">
        <v>100</v>
      </c>
      <c r="AF10" t="n">
        <v>102.121212121212</v>
      </c>
    </row>
    <row r="11">
      <c r="A11" t="s">
        <v>92</v>
      </c>
      <c r="B11" t="s">
        <v>292</v>
      </c>
      <c r="C11" t="s">
        <v>236</v>
      </c>
      <c r="D11" t="s">
        <v>293</v>
      </c>
      <c r="E11" t="s">
        <v>237</v>
      </c>
      <c r="F11" t="n">
        <v>52.6789243057507</v>
      </c>
      <c r="G11" t="n">
        <v>54.2592920349232</v>
      </c>
      <c r="H11" t="n">
        <v>55.3027399586718</v>
      </c>
      <c r="I11" t="n">
        <v>56.6091038947034</v>
      </c>
      <c r="J11" t="n">
        <v>57.5447915623844</v>
      </c>
      <c r="K11" t="n">
        <v>59.8465832248798</v>
      </c>
      <c r="L11" t="n">
        <v>62.6394237753742</v>
      </c>
      <c r="M11" t="n">
        <v>64.57103596228</v>
      </c>
      <c r="N11" t="n">
        <v>66.0903544555101</v>
      </c>
      <c r="O11" t="n">
        <v>68.3081515848897</v>
      </c>
      <c r="P11" t="n">
        <v>70.7830846133277</v>
      </c>
      <c r="Q11" t="n">
        <v>72.6097448614136</v>
      </c>
      <c r="R11" t="n">
        <v>74.0766083939674</v>
      </c>
      <c r="S11" t="n">
        <v>78.5660998117836</v>
      </c>
      <c r="T11" t="n">
        <v>81.5590940903277</v>
      </c>
      <c r="U11" t="n">
        <v>82.7886281720915</v>
      </c>
      <c r="V11" t="n">
        <v>84.9558697472771</v>
      </c>
      <c r="W11" t="n">
        <v>88.0678063680565</v>
      </c>
      <c r="X11" t="n">
        <v>89.6546136900035</v>
      </c>
      <c r="Y11" t="n">
        <v>90.5452224352684</v>
      </c>
      <c r="Z11" t="n">
        <v>91.5118974078869</v>
      </c>
      <c r="AA11" t="n">
        <v>93.0896887425057</v>
      </c>
      <c r="AB11" t="n">
        <v>93.3870998886479</v>
      </c>
      <c r="AC11" t="n">
        <v>94.0223862824482</v>
      </c>
      <c r="AD11" t="n">
        <v>97.5778546712803</v>
      </c>
      <c r="AE11" t="n">
        <v>100</v>
      </c>
      <c r="AF11" t="n">
        <v>101.937046004843</v>
      </c>
    </row>
    <row r="12">
      <c r="A12" t="s">
        <v>92</v>
      </c>
      <c r="B12" t="s">
        <v>294</v>
      </c>
      <c r="C12" t="s">
        <v>236</v>
      </c>
      <c r="D12" t="s">
        <v>295</v>
      </c>
      <c r="E12" t="s">
        <v>237</v>
      </c>
      <c r="F12" t="n">
        <v>84.7098206194246</v>
      </c>
      <c r="G12" t="n">
        <v>84.7098206194246</v>
      </c>
      <c r="H12" t="n">
        <v>85.3985183480379</v>
      </c>
      <c r="I12" t="n">
        <v>85.6474936201896</v>
      </c>
      <c r="J12" t="n">
        <v>85.89012108087</v>
      </c>
      <c r="K12" t="n">
        <v>86.4154429223432</v>
      </c>
      <c r="L12" t="n">
        <v>87.545056555315</v>
      </c>
      <c r="M12" t="n">
        <v>87.8418194588923</v>
      </c>
      <c r="N12" t="n">
        <v>87.8418194588923</v>
      </c>
      <c r="O12" t="n">
        <v>88.4178313897703</v>
      </c>
      <c r="P12" t="n">
        <v>89.7615674291285</v>
      </c>
      <c r="Q12" t="n">
        <v>90.4993337367652</v>
      </c>
      <c r="R12" t="n">
        <v>90.7812631253533</v>
      </c>
      <c r="S12" t="n">
        <v>93.1842965610244</v>
      </c>
      <c r="T12" t="n">
        <v>93.488820405995</v>
      </c>
      <c r="U12" t="n">
        <v>92.7097469026117</v>
      </c>
      <c r="V12" t="n">
        <v>93.9929267905372</v>
      </c>
      <c r="W12" t="n">
        <v>95.4558517211292</v>
      </c>
      <c r="X12" t="n">
        <v>95.8438836386948</v>
      </c>
      <c r="Y12" t="n">
        <v>95.8438836386948</v>
      </c>
      <c r="Z12" t="n">
        <v>96.4126900697849</v>
      </c>
      <c r="AA12" t="n">
        <v>96.6835122329023</v>
      </c>
      <c r="AB12" t="n">
        <v>96.6835122329023</v>
      </c>
      <c r="AC12" t="n">
        <v>97.3580483647598</v>
      </c>
      <c r="AD12" t="n">
        <v>99.5859213250518</v>
      </c>
      <c r="AE12" t="n">
        <v>100</v>
      </c>
      <c r="AF12" t="n">
        <v>101.818181818182</v>
      </c>
    </row>
    <row r="13">
      <c r="A13" t="s">
        <v>92</v>
      </c>
      <c r="B13" t="s">
        <v>296</v>
      </c>
      <c r="C13" t="s">
        <v>236</v>
      </c>
      <c r="D13" t="s">
        <v>297</v>
      </c>
      <c r="E13" t="s">
        <v>237</v>
      </c>
      <c r="F13" t="n">
        <v>84.2407143420121</v>
      </c>
      <c r="G13" t="n">
        <v>84.5405033610229</v>
      </c>
      <c r="H13" t="n">
        <v>85.272455771075</v>
      </c>
      <c r="I13" t="n">
        <v>85.6740528940157</v>
      </c>
      <c r="J13" t="n">
        <v>85.6740528940157</v>
      </c>
      <c r="K13" t="n">
        <v>86.2588587158179</v>
      </c>
      <c r="L13" t="n">
        <v>87.2910159995969</v>
      </c>
      <c r="M13" t="n">
        <v>86.8924268854434</v>
      </c>
      <c r="N13" t="n">
        <v>86.4719796585784</v>
      </c>
      <c r="O13" t="n">
        <v>87.2083590473984</v>
      </c>
      <c r="P13" t="n">
        <v>88.0295300365453</v>
      </c>
      <c r="Q13" t="n">
        <v>89.0571120992287</v>
      </c>
      <c r="R13" t="n">
        <v>90.4023856958938</v>
      </c>
      <c r="S13" t="n">
        <v>93.358941706074</v>
      </c>
      <c r="T13" t="n">
        <v>93.2428236193748</v>
      </c>
      <c r="U13" t="n">
        <v>91.9086655707669</v>
      </c>
      <c r="V13" t="n">
        <v>93.1382129362621</v>
      </c>
      <c r="W13" t="n">
        <v>95.0092931068567</v>
      </c>
      <c r="X13" t="n">
        <v>95.9119942290121</v>
      </c>
      <c r="Y13" t="n">
        <v>96.0906012946155</v>
      </c>
      <c r="Z13" t="n">
        <v>96.5928169808243</v>
      </c>
      <c r="AA13" t="n">
        <v>96.9686645177147</v>
      </c>
      <c r="AB13" t="n">
        <v>97.4575821539384</v>
      </c>
      <c r="AC13" t="n">
        <v>98.1567039771374</v>
      </c>
      <c r="AD13" t="n">
        <v>99.6904024767802</v>
      </c>
      <c r="AE13" t="n">
        <v>100</v>
      </c>
      <c r="AF13" t="n">
        <v>101.236476043277</v>
      </c>
    </row>
    <row r="14">
      <c r="A14" t="s">
        <v>92</v>
      </c>
      <c r="B14" t="s">
        <v>298</v>
      </c>
      <c r="C14" t="s">
        <v>236</v>
      </c>
      <c r="D14" t="s">
        <v>299</v>
      </c>
      <c r="E14" t="s">
        <v>237</v>
      </c>
      <c r="F14" t="n">
        <v>51.9169529390878</v>
      </c>
      <c r="G14" t="n">
        <v>53.3086661297626</v>
      </c>
      <c r="H14" t="n">
        <v>54.4245468670174</v>
      </c>
      <c r="I14" t="n">
        <v>55.9544006088872</v>
      </c>
      <c r="J14" t="n">
        <v>56.6076753368082</v>
      </c>
      <c r="K14" t="n">
        <v>59.1434605297614</v>
      </c>
      <c r="L14" t="n">
        <v>61.5960619167407</v>
      </c>
      <c r="M14" t="n">
        <v>63.7526626457202</v>
      </c>
      <c r="N14" t="n">
        <v>65.0510335807327</v>
      </c>
      <c r="O14" t="n">
        <v>67.559617862485</v>
      </c>
      <c r="P14" t="n">
        <v>70.2733293728538</v>
      </c>
      <c r="Q14" t="n">
        <v>72.1435443927568</v>
      </c>
      <c r="R14" t="n">
        <v>74.1664804272455</v>
      </c>
      <c r="S14" t="n">
        <v>78.9466596029936</v>
      </c>
      <c r="T14" t="n">
        <v>82.2752996962454</v>
      </c>
      <c r="U14" t="n">
        <v>83.8847727122012</v>
      </c>
      <c r="V14" t="n">
        <v>86.3590143431034</v>
      </c>
      <c r="W14" t="n">
        <v>88.6079470082884</v>
      </c>
      <c r="X14" t="n">
        <v>90.7135674755076</v>
      </c>
      <c r="Y14" t="n">
        <v>91.8028274115728</v>
      </c>
      <c r="Z14" t="n">
        <v>92.8478226012322</v>
      </c>
      <c r="AA14" t="n">
        <v>94.5230782484438</v>
      </c>
      <c r="AB14" t="n">
        <v>94.9686415802547</v>
      </c>
      <c r="AC14" t="n">
        <v>95.1860855220527</v>
      </c>
      <c r="AD14" t="n">
        <v>98.3906046107003</v>
      </c>
      <c r="AE14" t="n">
        <v>100</v>
      </c>
      <c r="AF14" t="n">
        <v>101.919150673744</v>
      </c>
    </row>
    <row r="15">
      <c r="A15" t="s">
        <v>92</v>
      </c>
      <c r="B15" t="s">
        <v>300</v>
      </c>
      <c r="C15" t="s">
        <v>236</v>
      </c>
      <c r="D15" t="s">
        <v>301</v>
      </c>
      <c r="E15" t="s">
        <v>237</v>
      </c>
      <c r="F15" t="n">
        <v>52.9798161447067</v>
      </c>
      <c r="G15" t="n">
        <v>54.2783410502143</v>
      </c>
      <c r="H15" t="n">
        <v>55.3007831830193</v>
      </c>
      <c r="I15" t="n">
        <v>56.7064447518375</v>
      </c>
      <c r="J15" t="n">
        <v>57.3427021964584</v>
      </c>
      <c r="K15" t="n">
        <v>59.8072882507474</v>
      </c>
      <c r="L15" t="n">
        <v>62.1842137974451</v>
      </c>
      <c r="M15" t="n">
        <v>64.2940353370013</v>
      </c>
      <c r="N15" t="n">
        <v>65.556644425252</v>
      </c>
      <c r="O15" t="n">
        <v>68.0138595274715</v>
      </c>
      <c r="P15" t="n">
        <v>70.6871851558031</v>
      </c>
      <c r="Q15" t="n">
        <v>72.5415647788786</v>
      </c>
      <c r="R15" t="n">
        <v>74.5505424909968</v>
      </c>
      <c r="S15" t="n">
        <v>79.2642850066235</v>
      </c>
      <c r="T15" t="n">
        <v>82.4982150360361</v>
      </c>
      <c r="U15" t="n">
        <v>84.0621622405107</v>
      </c>
      <c r="V15" t="n">
        <v>86.5381138306658</v>
      </c>
      <c r="W15" t="n">
        <v>88.8675849542716</v>
      </c>
      <c r="X15" t="n">
        <v>90.9386515527821</v>
      </c>
      <c r="Y15" t="n">
        <v>91.9737256354967</v>
      </c>
      <c r="Z15" t="n">
        <v>93.0333307695462</v>
      </c>
      <c r="AA15" t="n">
        <v>94.6136229634399</v>
      </c>
      <c r="AB15" t="n">
        <v>95.0442441342748</v>
      </c>
      <c r="AC15" t="n">
        <v>95.2712967958474</v>
      </c>
      <c r="AD15" t="n">
        <v>98.448145344436</v>
      </c>
      <c r="AE15" t="n">
        <v>100</v>
      </c>
      <c r="AF15" t="n">
        <v>101.902368987796</v>
      </c>
    </row>
    <row r="16">
      <c r="A16" t="s">
        <v>92</v>
      </c>
      <c r="B16" t="s">
        <v>302</v>
      </c>
      <c r="C16" t="s">
        <v>236</v>
      </c>
      <c r="D16" t="s">
        <v>303</v>
      </c>
      <c r="E16" t="s">
        <v>237</v>
      </c>
      <c r="F16" t="n">
        <v>64.8920547133026</v>
      </c>
      <c r="G16" t="n">
        <v>65.6931911912446</v>
      </c>
      <c r="H16" t="n">
        <v>66.0796217276636</v>
      </c>
      <c r="I16" t="n">
        <v>66.4274092104408</v>
      </c>
      <c r="J16" t="n">
        <v>66.820470803402</v>
      </c>
      <c r="K16" t="n">
        <v>68.028069673343</v>
      </c>
      <c r="L16" t="n">
        <v>69.187639042775</v>
      </c>
      <c r="M16" t="n">
        <v>70.5267546371513</v>
      </c>
      <c r="N16" t="n">
        <v>71.2652546857078</v>
      </c>
      <c r="O16" t="n">
        <v>72.8229651706413</v>
      </c>
      <c r="P16" t="n">
        <v>74.7393589909214</v>
      </c>
      <c r="Q16" t="n">
        <v>76.2646520315524</v>
      </c>
      <c r="R16" t="n">
        <v>78.0591144322948</v>
      </c>
      <c r="S16" t="n">
        <v>81.9968145668617</v>
      </c>
      <c r="T16" t="n">
        <v>84.2330913277761</v>
      </c>
      <c r="U16" t="n">
        <v>85.3622212383361</v>
      </c>
      <c r="V16" t="n">
        <v>87.8436811580551</v>
      </c>
      <c r="W16" t="n">
        <v>90.6397664999561</v>
      </c>
      <c r="X16" t="n">
        <v>92.464728241566</v>
      </c>
      <c r="Y16" t="n">
        <v>93.1985752911022</v>
      </c>
      <c r="Z16" t="n">
        <v>94.3268873406313</v>
      </c>
      <c r="AA16" t="n">
        <v>95.5551020195457</v>
      </c>
      <c r="AB16" t="n">
        <v>95.5551020195458</v>
      </c>
      <c r="AC16" t="n">
        <v>95.8312728346312</v>
      </c>
      <c r="AD16" t="n">
        <v>98.8338192419825</v>
      </c>
      <c r="AE16" t="n">
        <v>100</v>
      </c>
      <c r="AF16" t="n">
        <v>101.780415430267</v>
      </c>
    </row>
    <row r="17">
      <c r="A17" t="s">
        <v>92</v>
      </c>
      <c r="B17" t="s">
        <v>304</v>
      </c>
      <c r="C17" t="s">
        <v>236</v>
      </c>
      <c r="D17" t="s">
        <v>305</v>
      </c>
      <c r="E17" t="s">
        <v>237</v>
      </c>
      <c r="F17" t="n">
        <v>62.1091732124519</v>
      </c>
      <c r="G17" t="n">
        <v>62.7788138939877</v>
      </c>
      <c r="H17" t="n">
        <v>63.5596449125697</v>
      </c>
      <c r="I17" t="n">
        <v>64.6691648985746</v>
      </c>
      <c r="J17" t="n">
        <v>65.0059834657547</v>
      </c>
      <c r="K17" t="n">
        <v>66.3159277169538</v>
      </c>
      <c r="L17" t="n">
        <v>68.1796071844092</v>
      </c>
      <c r="M17" t="n">
        <v>69.7529827348186</v>
      </c>
      <c r="N17" t="n">
        <v>70.368903112168</v>
      </c>
      <c r="O17" t="n">
        <v>72.3737151666457</v>
      </c>
      <c r="P17" t="n">
        <v>74.1740563399454</v>
      </c>
      <c r="Q17" t="n">
        <v>75.4753555739795</v>
      </c>
      <c r="R17" t="n">
        <v>77.3954722519868</v>
      </c>
      <c r="S17" t="n">
        <v>81.3453101462261</v>
      </c>
      <c r="T17" t="n">
        <v>83.3002041150273</v>
      </c>
      <c r="U17" t="n">
        <v>84.1276895863686</v>
      </c>
      <c r="V17" t="n">
        <v>86.3578787064785</v>
      </c>
      <c r="W17" t="n">
        <v>89.0356423872995</v>
      </c>
      <c r="X17" t="n">
        <v>90.9027069720922</v>
      </c>
      <c r="Y17" t="n">
        <v>91.9671414799622</v>
      </c>
      <c r="Z17" t="n">
        <v>93.211341815655</v>
      </c>
      <c r="AA17" t="n">
        <v>94.4795233369564</v>
      </c>
      <c r="AB17" t="n">
        <v>95.193731396739</v>
      </c>
      <c r="AC17" t="n">
        <v>95.6217607645301</v>
      </c>
      <c r="AD17" t="n">
        <v>98.3141082519964</v>
      </c>
      <c r="AE17" t="n">
        <v>100</v>
      </c>
      <c r="AF17" t="n">
        <v>101.769087523277</v>
      </c>
    </row>
    <row r="18">
      <c r="A18" t="s">
        <v>92</v>
      </c>
      <c r="B18" t="s">
        <v>306</v>
      </c>
      <c r="C18" t="s">
        <v>236</v>
      </c>
      <c r="D18" t="s">
        <v>307</v>
      </c>
      <c r="E18" t="s">
        <v>237</v>
      </c>
      <c r="F18" t="n">
        <v>78.4417109370909</v>
      </c>
      <c r="G18" t="n">
        <v>78.4417109370909</v>
      </c>
      <c r="H18" t="n">
        <v>78.4417109370909</v>
      </c>
      <c r="I18" t="n">
        <v>79.0953918615667</v>
      </c>
      <c r="J18" t="n">
        <v>79.0953918615667</v>
      </c>
      <c r="K18" t="n">
        <v>79.0953918615667</v>
      </c>
      <c r="L18" t="n">
        <v>79.0953918615667</v>
      </c>
      <c r="M18" t="n">
        <v>79.9742295489174</v>
      </c>
      <c r="N18" t="n">
        <v>79.9742295489174</v>
      </c>
      <c r="O18" t="n">
        <v>79.9742295489174</v>
      </c>
      <c r="P18" t="n">
        <v>81.4283064498068</v>
      </c>
      <c r="Q18" t="n">
        <v>82.5999367584371</v>
      </c>
      <c r="R18" t="n">
        <v>83.3577343433769</v>
      </c>
      <c r="S18" t="n">
        <v>86.025181842365</v>
      </c>
      <c r="T18" t="n">
        <v>87.8818404432793</v>
      </c>
      <c r="U18" t="n">
        <v>87.8818404432793</v>
      </c>
      <c r="V18" t="n">
        <v>89.7384990441937</v>
      </c>
      <c r="W18" t="n">
        <v>91.8624871872515</v>
      </c>
      <c r="X18" t="n">
        <v>93.3850698478137</v>
      </c>
      <c r="Y18" t="n">
        <v>93.3850698478137</v>
      </c>
      <c r="Z18" t="n">
        <v>94.1971139334469</v>
      </c>
      <c r="AA18" t="n">
        <v>95.5238338480025</v>
      </c>
      <c r="AB18" t="n">
        <v>95.9201983038033</v>
      </c>
      <c r="AC18" t="n">
        <v>96.926354230067</v>
      </c>
      <c r="AD18" t="n">
        <v>99.0566037735849</v>
      </c>
      <c r="AE18" t="n">
        <v>100</v>
      </c>
      <c r="AF18" t="n">
        <v>101.171875</v>
      </c>
    </row>
    <row r="19">
      <c r="A19" t="s">
        <v>92</v>
      </c>
      <c r="B19" t="s">
        <v>308</v>
      </c>
      <c r="C19" t="s">
        <v>236</v>
      </c>
      <c r="D19" t="s">
        <v>309</v>
      </c>
      <c r="E19" t="s">
        <v>237</v>
      </c>
      <c r="F19" t="n">
        <v>74.0259066642388</v>
      </c>
      <c r="G19" t="n">
        <v>75.0987458912568</v>
      </c>
      <c r="H19" t="n">
        <v>76.203139213187</v>
      </c>
      <c r="I19" t="n">
        <v>77.7636130537301</v>
      </c>
      <c r="J19" t="n">
        <v>78.0112678723725</v>
      </c>
      <c r="K19" t="n">
        <v>80.0702162912914</v>
      </c>
      <c r="L19" t="n">
        <v>82.4892560584</v>
      </c>
      <c r="M19" t="n">
        <v>84.6663918487976</v>
      </c>
      <c r="N19" t="n">
        <v>86.0498296241048</v>
      </c>
      <c r="O19" t="n">
        <v>88.2087859229174</v>
      </c>
      <c r="P19" t="n">
        <v>90.7023205073109</v>
      </c>
      <c r="Q19" t="n">
        <v>91.9076669592352</v>
      </c>
      <c r="R19" t="n">
        <v>94.0702002994526</v>
      </c>
      <c r="S19" t="n">
        <v>95.7500253047999</v>
      </c>
      <c r="T19" t="n">
        <v>96.5899378074736</v>
      </c>
      <c r="U19" t="n">
        <v>96.5899378074736</v>
      </c>
      <c r="V19" t="n">
        <v>97.3565246154694</v>
      </c>
      <c r="W19" t="n">
        <v>98.952533215723</v>
      </c>
      <c r="X19" t="n">
        <v>98.952533215723</v>
      </c>
      <c r="Y19" t="n">
        <v>98.952533215723</v>
      </c>
      <c r="Z19" t="n">
        <v>98.952533215723</v>
      </c>
      <c r="AA19" t="n">
        <v>99.4845360824742</v>
      </c>
      <c r="AB19" t="n">
        <v>99.4845360824742</v>
      </c>
      <c r="AC19" t="n">
        <v>99.4845360824742</v>
      </c>
      <c r="AD19" t="n">
        <v>100</v>
      </c>
      <c r="AE19" t="n">
        <v>100</v>
      </c>
      <c r="AF19" t="n">
        <v>101.577287066246</v>
      </c>
    </row>
    <row r="20">
      <c r="A20" t="s">
        <v>92</v>
      </c>
      <c r="B20" t="s">
        <v>310</v>
      </c>
      <c r="C20" t="s">
        <v>236</v>
      </c>
      <c r="D20" t="s">
        <v>311</v>
      </c>
      <c r="E20" t="s">
        <v>237</v>
      </c>
      <c r="F20" t="n">
        <v>65.1397767528099</v>
      </c>
      <c r="G20" t="n">
        <v>65.1397767528099</v>
      </c>
      <c r="H20" t="n">
        <v>66.2076419454789</v>
      </c>
      <c r="I20" t="n">
        <v>66.50995994523</v>
      </c>
      <c r="J20" t="n">
        <v>67.086302752381</v>
      </c>
      <c r="K20" t="n">
        <v>69.0903032613426</v>
      </c>
      <c r="L20" t="n">
        <v>70.7962366752029</v>
      </c>
      <c r="M20" t="n">
        <v>71.059093989591</v>
      </c>
      <c r="N20" t="n">
        <v>71.6504318036514</v>
      </c>
      <c r="O20" t="n">
        <v>73.2928485785202</v>
      </c>
      <c r="P20" t="n">
        <v>75.4661539044682</v>
      </c>
      <c r="Q20" t="n">
        <v>78.0151642205864</v>
      </c>
      <c r="R20" t="n">
        <v>81.1591680270392</v>
      </c>
      <c r="S20" t="n">
        <v>85.3920870826915</v>
      </c>
      <c r="T20" t="n">
        <v>85.0914107197243</v>
      </c>
      <c r="U20" t="n">
        <v>86.0401142697726</v>
      </c>
      <c r="V20" t="n">
        <v>89.7188917913676</v>
      </c>
      <c r="W20" t="n">
        <v>93.0572691603487</v>
      </c>
      <c r="X20" t="n">
        <v>94.0525340711545</v>
      </c>
      <c r="Y20" t="n">
        <v>94.508362184585</v>
      </c>
      <c r="Z20" t="n">
        <v>95.2404176623897</v>
      </c>
      <c r="AA20" t="n">
        <v>94.4937853508313</v>
      </c>
      <c r="AB20" t="n">
        <v>96.1562753314645</v>
      </c>
      <c r="AC20" t="n">
        <v>98.2981295912946</v>
      </c>
      <c r="AD20" t="n">
        <v>100.202429149798</v>
      </c>
      <c r="AE20" t="n">
        <v>100</v>
      </c>
      <c r="AF20" t="n">
        <v>104.663212435233</v>
      </c>
    </row>
    <row r="21">
      <c r="A21" t="s">
        <v>92</v>
      </c>
      <c r="B21" t="s">
        <v>312</v>
      </c>
      <c r="C21" t="s">
        <v>236</v>
      </c>
      <c r="D21" t="s">
        <v>313</v>
      </c>
      <c r="E21" t="s">
        <v>237</v>
      </c>
      <c r="F21" t="n">
        <v>63.324809537816</v>
      </c>
      <c r="G21" t="n">
        <v>63.324809537816</v>
      </c>
      <c r="H21" t="n">
        <v>64.4814270636209</v>
      </c>
      <c r="I21" t="n">
        <v>64.9486837814732</v>
      </c>
      <c r="J21" t="n">
        <v>65.8051499412289</v>
      </c>
      <c r="K21" t="n">
        <v>68.1373247954678</v>
      </c>
      <c r="L21" t="n">
        <v>69.9788741142642</v>
      </c>
      <c r="M21" t="n">
        <v>70.3908607574937</v>
      </c>
      <c r="N21" t="n">
        <v>71.2637323700756</v>
      </c>
      <c r="O21" t="n">
        <v>73.0214706596828</v>
      </c>
      <c r="P21" t="n">
        <v>75.3246568310276</v>
      </c>
      <c r="Q21" t="n">
        <v>78.1219938504108</v>
      </c>
      <c r="R21" t="n">
        <v>81.5207132845493</v>
      </c>
      <c r="S21" t="n">
        <v>86.1732601965707</v>
      </c>
      <c r="T21" t="n">
        <v>85.7646800835697</v>
      </c>
      <c r="U21" t="n">
        <v>86.5334869767491</v>
      </c>
      <c r="V21" t="n">
        <v>90.210738470108</v>
      </c>
      <c r="W21" t="n">
        <v>93.5794416869684</v>
      </c>
      <c r="X21" t="n">
        <v>94.5383202165882</v>
      </c>
      <c r="Y21" t="n">
        <v>95.0021981371799</v>
      </c>
      <c r="Z21" t="n">
        <v>95.488298287546</v>
      </c>
      <c r="AA21" t="n">
        <v>94.8203749575554</v>
      </c>
      <c r="AB21" t="n">
        <v>96.4919246730592</v>
      </c>
      <c r="AC21" t="n">
        <v>98.7002751300356</v>
      </c>
      <c r="AD21" t="n">
        <v>100.494186046512</v>
      </c>
      <c r="AE21" t="n">
        <v>100</v>
      </c>
      <c r="AF21" t="n">
        <v>104.600160470714</v>
      </c>
    </row>
    <row r="22">
      <c r="A22" t="s">
        <v>92</v>
      </c>
      <c r="B22" t="s">
        <v>314</v>
      </c>
      <c r="C22" t="s">
        <v>236</v>
      </c>
      <c r="D22" t="s">
        <v>315</v>
      </c>
      <c r="E22" t="s">
        <v>237</v>
      </c>
      <c r="F22" t="n">
        <v>60.2405011384276</v>
      </c>
      <c r="G22" t="n">
        <v>60.2405011384276</v>
      </c>
      <c r="H22" t="n">
        <v>61.6368041449474</v>
      </c>
      <c r="I22" t="n">
        <v>62.4346915772445</v>
      </c>
      <c r="J22" t="n">
        <v>63.7471325413307</v>
      </c>
      <c r="K22" t="n">
        <v>66.7382003438565</v>
      </c>
      <c r="L22" t="n">
        <v>68.962807021985</v>
      </c>
      <c r="M22" t="n">
        <v>69.6868259933444</v>
      </c>
      <c r="N22" t="n">
        <v>71.0532343461551</v>
      </c>
      <c r="O22" t="n">
        <v>73.1542708456382</v>
      </c>
      <c r="P22" t="n">
        <v>75.7857194372079</v>
      </c>
      <c r="Q22" t="n">
        <v>79.0938262380384</v>
      </c>
      <c r="R22" t="n">
        <v>83.0339245930699</v>
      </c>
      <c r="S22" t="n">
        <v>88.7901758646865</v>
      </c>
      <c r="T22" t="n">
        <v>88.0694763852653</v>
      </c>
      <c r="U22" t="n">
        <v>88.198990321126</v>
      </c>
      <c r="V22" t="n">
        <v>91.8675791733046</v>
      </c>
      <c r="W22" t="n">
        <v>95.334280274184</v>
      </c>
      <c r="X22" t="n">
        <v>96.158971280016</v>
      </c>
      <c r="Y22" t="n">
        <v>96.6554892040092</v>
      </c>
      <c r="Z22" t="n">
        <v>95.9460911181083</v>
      </c>
      <c r="AA22" t="n">
        <v>95.6601117109008</v>
      </c>
      <c r="AB22" t="n">
        <v>97.3655594075295</v>
      </c>
      <c r="AC22" t="n">
        <v>99.8288691661754</v>
      </c>
      <c r="AD22" t="n">
        <v>101.237113402062</v>
      </c>
      <c r="AE22" t="n">
        <v>100</v>
      </c>
      <c r="AF22" t="n">
        <v>104.43587270974</v>
      </c>
    </row>
    <row r="23">
      <c r="A23" t="s">
        <v>92</v>
      </c>
      <c r="B23" t="s">
        <v>316</v>
      </c>
      <c r="C23" t="s">
        <v>236</v>
      </c>
      <c r="D23" t="s">
        <v>317</v>
      </c>
      <c r="E23" t="s">
        <v>237</v>
      </c>
      <c r="F23" t="n">
        <v>75.5966405333497</v>
      </c>
      <c r="G23" t="n">
        <v>76.904540888598</v>
      </c>
      <c r="H23" t="n">
        <v>78.20800768332</v>
      </c>
      <c r="I23" t="n">
        <v>78.20800768332</v>
      </c>
      <c r="J23" t="n">
        <v>78.20800768332</v>
      </c>
      <c r="K23" t="n">
        <v>80.2393845062633</v>
      </c>
      <c r="L23" t="n">
        <v>81.5361826396979</v>
      </c>
      <c r="M23" t="n">
        <v>81.8497833421582</v>
      </c>
      <c r="N23" t="n">
        <v>81.8497833421582</v>
      </c>
      <c r="O23" t="n">
        <v>82.5239990204297</v>
      </c>
      <c r="P23" t="n">
        <v>83.374761896929</v>
      </c>
      <c r="Q23" t="n">
        <v>84.5014478685091</v>
      </c>
      <c r="R23" t="n">
        <v>86.4475418194202</v>
      </c>
      <c r="S23" t="n">
        <v>88.5717869709658</v>
      </c>
      <c r="T23" t="n">
        <v>89.0672934715027</v>
      </c>
      <c r="U23" t="n">
        <v>88.481324435506</v>
      </c>
      <c r="V23" t="n">
        <v>90.144507225647</v>
      </c>
      <c r="W23" t="n">
        <v>92.6514228379478</v>
      </c>
      <c r="X23" t="n">
        <v>93.5896650945346</v>
      </c>
      <c r="Y23" t="n">
        <v>94.0541299337134</v>
      </c>
      <c r="Z23" t="n">
        <v>95.5507072765999</v>
      </c>
      <c r="AA23" t="n">
        <v>95.7525039128757</v>
      </c>
      <c r="AB23" t="n">
        <v>96.3708318901729</v>
      </c>
      <c r="AC23" t="n">
        <v>97.5122799836267</v>
      </c>
      <c r="AD23" t="n">
        <v>98.9255014326648</v>
      </c>
      <c r="AE23" t="n">
        <v>100</v>
      </c>
      <c r="AF23" t="n">
        <v>102.059025394647</v>
      </c>
    </row>
    <row r="24">
      <c r="A24" t="s">
        <v>92</v>
      </c>
      <c r="B24" t="s">
        <v>318</v>
      </c>
      <c r="C24" t="s">
        <v>236</v>
      </c>
      <c r="D24" t="s">
        <v>319</v>
      </c>
      <c r="E24" t="s">
        <v>237</v>
      </c>
      <c r="F24" t="n">
        <v>75.8402849501246</v>
      </c>
      <c r="G24" t="n">
        <v>76.2716858884074</v>
      </c>
      <c r="H24" t="n">
        <v>76.8366613394327</v>
      </c>
      <c r="I24" t="n">
        <v>77.3707128517832</v>
      </c>
      <c r="J24" t="n">
        <v>77.99974303757</v>
      </c>
      <c r="K24" t="n">
        <v>80.2212547063616</v>
      </c>
      <c r="L24" t="n">
        <v>82.2381718968703</v>
      </c>
      <c r="M24" t="n">
        <v>81.8793666093621</v>
      </c>
      <c r="N24" t="n">
        <v>81.2728527826261</v>
      </c>
      <c r="O24" t="n">
        <v>82.240386744324</v>
      </c>
      <c r="P24" t="n">
        <v>83.2062973268916</v>
      </c>
      <c r="Q24" t="n">
        <v>84.2963361565015</v>
      </c>
      <c r="R24" t="n">
        <v>86.1314389801332</v>
      </c>
      <c r="S24" t="n">
        <v>87.8472046968689</v>
      </c>
      <c r="T24" t="n">
        <v>87.6556773610473</v>
      </c>
      <c r="U24" t="n">
        <v>86.3265541258532</v>
      </c>
      <c r="V24" t="n">
        <v>87.9807890168383</v>
      </c>
      <c r="W24" t="n">
        <v>90.6998420990364</v>
      </c>
      <c r="X24" t="n">
        <v>91.8567278400956</v>
      </c>
      <c r="Y24" t="n">
        <v>92.3667281797383</v>
      </c>
      <c r="Z24" t="n">
        <v>93.9383198425026</v>
      </c>
      <c r="AA24" t="n">
        <v>94.5070163302668</v>
      </c>
      <c r="AB24" t="n">
        <v>95.6170827260308</v>
      </c>
      <c r="AC24" t="n">
        <v>97.2107007714646</v>
      </c>
      <c r="AD24" t="n">
        <v>98.958904109589</v>
      </c>
      <c r="AE24" t="n">
        <v>100</v>
      </c>
      <c r="AF24" t="n">
        <v>101.774273040907</v>
      </c>
    </row>
    <row r="25">
      <c r="A25" t="s">
        <v>92</v>
      </c>
      <c r="B25" t="s">
        <v>320</v>
      </c>
      <c r="C25" t="s">
        <v>236</v>
      </c>
      <c r="D25" t="s">
        <v>321</v>
      </c>
      <c r="E25" t="s">
        <v>237</v>
      </c>
      <c r="F25" t="n">
        <v>74.726948337825</v>
      </c>
      <c r="G25" t="n">
        <v>74.726948337825</v>
      </c>
      <c r="H25" t="n">
        <v>75.3394643078071</v>
      </c>
      <c r="I25" t="n">
        <v>75.3394643078071</v>
      </c>
      <c r="J25" t="n">
        <v>75.8417274031925</v>
      </c>
      <c r="K25" t="n">
        <v>78.1226816108073</v>
      </c>
      <c r="L25" t="n">
        <v>79.8459760581046</v>
      </c>
      <c r="M25" t="n">
        <v>80.4601758739361</v>
      </c>
      <c r="N25" t="n">
        <v>80.4601758739362</v>
      </c>
      <c r="O25" t="n">
        <v>81.472253557885</v>
      </c>
      <c r="P25" t="n">
        <v>83.2180875626969</v>
      </c>
      <c r="Q25" t="n">
        <v>84.6695658341393</v>
      </c>
      <c r="R25" t="n">
        <v>87.1416699460849</v>
      </c>
      <c r="S25" t="n">
        <v>88.5248710563402</v>
      </c>
      <c r="T25" t="n">
        <v>87.9883566863018</v>
      </c>
      <c r="U25" t="n">
        <v>86.6880361441397</v>
      </c>
      <c r="V25" t="n">
        <v>88.5130474313848</v>
      </c>
      <c r="W25" t="n">
        <v>91.2365258138889</v>
      </c>
      <c r="X25" t="n">
        <v>92.4694518384009</v>
      </c>
      <c r="Y25" t="n">
        <v>92.4694518384009</v>
      </c>
      <c r="Z25" t="n">
        <v>93.7106525342184</v>
      </c>
      <c r="AA25" t="n">
        <v>94.119869357512</v>
      </c>
      <c r="AB25" t="n">
        <v>95.2271619381886</v>
      </c>
      <c r="AC25" t="n">
        <v>96.8411816320561</v>
      </c>
      <c r="AD25" t="n">
        <v>98.7179487179487</v>
      </c>
      <c r="AE25" t="n">
        <v>100</v>
      </c>
      <c r="AF25" t="n">
        <v>101.520912547529</v>
      </c>
    </row>
    <row r="26">
      <c r="A26" t="s">
        <v>92</v>
      </c>
      <c r="B26" t="s">
        <v>322</v>
      </c>
      <c r="C26" t="s">
        <v>236</v>
      </c>
      <c r="D26" t="s">
        <v>323</v>
      </c>
      <c r="E26" t="s">
        <v>237</v>
      </c>
      <c r="F26" t="n">
        <v>74.6588847273589</v>
      </c>
      <c r="G26" t="n">
        <v>75.2298895818703</v>
      </c>
      <c r="H26" t="n">
        <v>75.8557622073434</v>
      </c>
      <c r="I26" t="n">
        <v>76.4645564465677</v>
      </c>
      <c r="J26" t="n">
        <v>77.0685418845343</v>
      </c>
      <c r="K26" t="n">
        <v>79.5916191486113</v>
      </c>
      <c r="L26" t="n">
        <v>81.6111079926805</v>
      </c>
      <c r="M26" t="n">
        <v>81.1830777060056</v>
      </c>
      <c r="N26" t="n">
        <v>80.399961200803</v>
      </c>
      <c r="O26" t="n">
        <v>81.2818620549251</v>
      </c>
      <c r="P26" t="n">
        <v>81.8273779076428</v>
      </c>
      <c r="Q26" t="n">
        <v>82.9670349815654</v>
      </c>
      <c r="R26" t="n">
        <v>84.593839589047</v>
      </c>
      <c r="S26" t="n">
        <v>86.3224493379931</v>
      </c>
      <c r="T26" t="n">
        <v>86.6022627880352</v>
      </c>
      <c r="U26" t="n">
        <v>86.130744115868</v>
      </c>
      <c r="V26" t="n">
        <v>88.015958761359</v>
      </c>
      <c r="W26" t="n">
        <v>90.665901605787</v>
      </c>
      <c r="X26" t="n">
        <v>91.8208812440773</v>
      </c>
      <c r="Y26" t="n">
        <v>92.4548574091688</v>
      </c>
      <c r="Z26" t="n">
        <v>94.1237176512115</v>
      </c>
      <c r="AA26" t="n">
        <v>94.7349106229726</v>
      </c>
      <c r="AB26" t="n">
        <v>95.7378788778838</v>
      </c>
      <c r="AC26" t="n">
        <v>97.1923417384057</v>
      </c>
      <c r="AD26" t="n">
        <v>98.8249118683901</v>
      </c>
      <c r="AE26" t="n">
        <v>100</v>
      </c>
      <c r="AF26" t="n">
        <v>101.672640382318</v>
      </c>
    </row>
    <row r="27">
      <c r="A27" t="s">
        <v>92</v>
      </c>
      <c r="B27" t="s">
        <v>324</v>
      </c>
      <c r="C27" t="s">
        <v>236</v>
      </c>
      <c r="D27" t="s">
        <v>325</v>
      </c>
      <c r="E27" t="s">
        <v>237</v>
      </c>
      <c r="F27" t="n">
        <v>77.5683595384178</v>
      </c>
      <c r="G27" t="n">
        <v>77.8524927235402</v>
      </c>
      <c r="H27" t="n">
        <v>78.2886411421595</v>
      </c>
      <c r="I27" t="n">
        <v>78.8908614586376</v>
      </c>
      <c r="J27" t="n">
        <v>79.5968199504375</v>
      </c>
      <c r="K27" t="n">
        <v>81.3309554613403</v>
      </c>
      <c r="L27" t="n">
        <v>83.4261322999228</v>
      </c>
      <c r="M27" t="n">
        <v>82.8624422168153</v>
      </c>
      <c r="N27" t="n">
        <v>82.2958614153328</v>
      </c>
      <c r="O27" t="n">
        <v>83.3357008194976</v>
      </c>
      <c r="P27" t="n">
        <v>84.6149769285688</v>
      </c>
      <c r="Q27" t="n">
        <v>85.4940935719825</v>
      </c>
      <c r="R27" t="n">
        <v>87.4594750334074</v>
      </c>
      <c r="S27" t="n">
        <v>89.2610747063802</v>
      </c>
      <c r="T27" t="n">
        <v>88.6599900282228</v>
      </c>
      <c r="U27" t="n">
        <v>86.4631053195588</v>
      </c>
      <c r="V27" t="n">
        <v>87.7033547811099</v>
      </c>
      <c r="W27" t="n">
        <v>90.5119047158762</v>
      </c>
      <c r="X27" t="n">
        <v>91.6522121768636</v>
      </c>
      <c r="Y27" t="n">
        <v>92.1230283353064</v>
      </c>
      <c r="Z27" t="n">
        <v>93.6844355952268</v>
      </c>
      <c r="AA27" t="n">
        <v>94.2487996650776</v>
      </c>
      <c r="AB27" t="n">
        <v>95.5262683352368</v>
      </c>
      <c r="AC27" t="n">
        <v>97.3391756175113</v>
      </c>
      <c r="AD27" t="n">
        <v>99.1891891891892</v>
      </c>
      <c r="AE27" t="n">
        <v>100</v>
      </c>
      <c r="AF27" t="n">
        <v>101.937567276642</v>
      </c>
    </row>
    <row r="28">
      <c r="A28" t="s">
        <v>92</v>
      </c>
      <c r="B28" t="s">
        <v>326</v>
      </c>
      <c r="C28" t="s">
        <v>236</v>
      </c>
      <c r="D28" t="s">
        <v>327</v>
      </c>
      <c r="E28" t="s">
        <v>237</v>
      </c>
      <c r="F28" t="n">
        <v>68.815095925922</v>
      </c>
      <c r="G28" t="n">
        <v>69.9644085927432</v>
      </c>
      <c r="H28" t="n">
        <v>72.49935093306</v>
      </c>
      <c r="I28" t="n">
        <v>73.809862118422</v>
      </c>
      <c r="J28" t="n">
        <v>75.4873589847497</v>
      </c>
      <c r="K28" t="n">
        <v>79.4365261357529</v>
      </c>
      <c r="L28" t="n">
        <v>82.6623749128394</v>
      </c>
      <c r="M28" t="n">
        <v>83.4684796327341</v>
      </c>
      <c r="N28" t="n">
        <v>83.6877488436782</v>
      </c>
      <c r="O28" t="n">
        <v>84.4195592645473</v>
      </c>
      <c r="P28" t="n">
        <v>84.8446937356638</v>
      </c>
      <c r="Q28" t="n">
        <v>85.6512022312499</v>
      </c>
      <c r="R28" t="n">
        <v>86.6775797295273</v>
      </c>
      <c r="S28" t="n">
        <v>88.3252187196338</v>
      </c>
      <c r="T28" t="n">
        <v>88.4814543659539</v>
      </c>
      <c r="U28" t="n">
        <v>88.342877303517</v>
      </c>
      <c r="V28" t="n">
        <v>90.0052432742821</v>
      </c>
      <c r="W28" t="n">
        <v>92.7150785556583</v>
      </c>
      <c r="X28" t="n">
        <v>92.462964134025</v>
      </c>
      <c r="Y28" t="n">
        <v>93.5905612576107</v>
      </c>
      <c r="Z28" t="n">
        <v>95.6688616866837</v>
      </c>
      <c r="AA28" t="n">
        <v>95.8596271137758</v>
      </c>
      <c r="AB28" t="n">
        <v>96.5685731146172</v>
      </c>
      <c r="AC28" t="n">
        <v>97.6991320193737</v>
      </c>
      <c r="AD28" t="n">
        <v>99.328165374677</v>
      </c>
      <c r="AE28" t="n">
        <v>100</v>
      </c>
      <c r="AF28" t="n">
        <v>103.128760529483</v>
      </c>
    </row>
    <row r="29">
      <c r="A29" t="s">
        <v>92</v>
      </c>
      <c r="B29" t="s">
        <v>328</v>
      </c>
      <c r="C29" t="s">
        <v>236</v>
      </c>
      <c r="D29" t="s">
        <v>329</v>
      </c>
      <c r="E29" t="s">
        <v>237</v>
      </c>
      <c r="F29" t="n">
        <v>70.9515559884307</v>
      </c>
      <c r="G29" t="n">
        <v>72.7285180346526</v>
      </c>
      <c r="H29" t="n">
        <v>75.7741008669245</v>
      </c>
      <c r="I29" t="n">
        <v>77.1935004508871</v>
      </c>
      <c r="J29" t="n">
        <v>79.2428854186097</v>
      </c>
      <c r="K29" t="n">
        <v>84.3342734438581</v>
      </c>
      <c r="L29" t="n">
        <v>87.826643663159</v>
      </c>
      <c r="M29" t="n">
        <v>88.7872475782248</v>
      </c>
      <c r="N29" t="n">
        <v>89.2967870191328</v>
      </c>
      <c r="O29" t="n">
        <v>89.6520792751771</v>
      </c>
      <c r="P29" t="n">
        <v>90.1172003090302</v>
      </c>
      <c r="Q29" t="n">
        <v>90.9633712039507</v>
      </c>
      <c r="R29" t="n">
        <v>91.5832238186283</v>
      </c>
      <c r="S29" t="n">
        <v>92.3149140222392</v>
      </c>
      <c r="T29" t="n">
        <v>92.594656185943</v>
      </c>
      <c r="U29" t="n">
        <v>92.594656185943</v>
      </c>
      <c r="V29" t="n">
        <v>94.3826909260853</v>
      </c>
      <c r="W29" t="n">
        <v>95.997603888699</v>
      </c>
      <c r="X29" t="n">
        <v>94.8186859462062</v>
      </c>
      <c r="Y29" t="n">
        <v>95.4255255362619</v>
      </c>
      <c r="Z29" t="n">
        <v>96.2493430229059</v>
      </c>
      <c r="AA29" t="n">
        <v>96.9303525254264</v>
      </c>
      <c r="AB29" t="n">
        <v>97.7419703097302</v>
      </c>
      <c r="AC29" t="n">
        <v>98.5274970515995</v>
      </c>
      <c r="AD29" t="n">
        <v>99.0312163616792</v>
      </c>
      <c r="AE29" t="n">
        <v>100</v>
      </c>
      <c r="AF29" t="n">
        <v>102.185223725286</v>
      </c>
    </row>
    <row r="30">
      <c r="A30" t="s">
        <v>92</v>
      </c>
      <c r="B30" t="s">
        <v>330</v>
      </c>
      <c r="C30" t="s">
        <v>236</v>
      </c>
      <c r="D30" t="s">
        <v>331</v>
      </c>
      <c r="E30" t="s">
        <v>237</v>
      </c>
      <c r="F30" t="n">
        <v>70.308669708363</v>
      </c>
      <c r="G30" t="n">
        <v>70.308669708363</v>
      </c>
      <c r="H30" t="n">
        <v>74.4258440606546</v>
      </c>
      <c r="I30" t="n">
        <v>76.6586193824742</v>
      </c>
      <c r="J30" t="n">
        <v>78.7304739603789</v>
      </c>
      <c r="K30" t="n">
        <v>84.562360920407</v>
      </c>
      <c r="L30" t="n">
        <v>88.7211655558368</v>
      </c>
      <c r="M30" t="n">
        <v>89.7180325845541</v>
      </c>
      <c r="N30" t="n">
        <v>89.7180325845541</v>
      </c>
      <c r="O30" t="n">
        <v>90.2520684927955</v>
      </c>
      <c r="P30" t="n">
        <v>91.0578905329097</v>
      </c>
      <c r="Q30" t="n">
        <v>90.6784826556892</v>
      </c>
      <c r="R30" t="n">
        <v>90.9202919427711</v>
      </c>
      <c r="S30" t="n">
        <v>90.9202919427711</v>
      </c>
      <c r="T30" t="n">
        <v>91.7700142973764</v>
      </c>
      <c r="U30" t="n">
        <v>90.265587833485</v>
      </c>
      <c r="V30" t="n">
        <v>91.7637718639163</v>
      </c>
      <c r="W30" t="n">
        <v>94.6811172121911</v>
      </c>
      <c r="X30" t="n">
        <v>98.8304888828449</v>
      </c>
      <c r="Y30" t="n">
        <v>98.8304888828449</v>
      </c>
      <c r="Z30" t="n">
        <v>98.8304888828449</v>
      </c>
      <c r="AA30" t="n">
        <v>98.8304888828449</v>
      </c>
      <c r="AB30" t="n">
        <v>98.8304888828449</v>
      </c>
      <c r="AC30" t="n">
        <v>99.3506493506494</v>
      </c>
      <c r="AD30" t="n">
        <v>100</v>
      </c>
      <c r="AE30" t="n">
        <v>100</v>
      </c>
      <c r="AF30" t="n">
        <v>102.564102564103</v>
      </c>
    </row>
    <row r="31">
      <c r="A31" t="s">
        <v>92</v>
      </c>
      <c r="B31" t="s">
        <v>332</v>
      </c>
      <c r="C31" t="s">
        <v>236</v>
      </c>
      <c r="D31" t="s">
        <v>333</v>
      </c>
      <c r="E31" t="s">
        <v>237</v>
      </c>
      <c r="F31" t="n">
        <v>56.9990809589245</v>
      </c>
      <c r="G31" t="n">
        <v>58.5258420560385</v>
      </c>
      <c r="H31" t="n">
        <v>59.9889881074395</v>
      </c>
      <c r="I31" t="n">
        <v>61.6908033728987</v>
      </c>
      <c r="J31" t="n">
        <v>63.4104076481015</v>
      </c>
      <c r="K31" t="n">
        <v>67.4492871161334</v>
      </c>
      <c r="L31" t="n">
        <v>70.4739188253771</v>
      </c>
      <c r="M31" t="n">
        <v>71.4262690797741</v>
      </c>
      <c r="N31" t="n">
        <v>71.4262690797741</v>
      </c>
      <c r="O31" t="n">
        <v>73.0018485447691</v>
      </c>
      <c r="P31" t="n">
        <v>72.7263698710153</v>
      </c>
      <c r="Q31" t="n">
        <v>72.7263698710153</v>
      </c>
      <c r="R31" t="n">
        <v>72.9754327815324</v>
      </c>
      <c r="S31" t="n">
        <v>72.9754327815324</v>
      </c>
      <c r="T31" t="n">
        <v>73.8763640504402</v>
      </c>
      <c r="U31" t="n">
        <v>74.4235963767398</v>
      </c>
      <c r="V31" t="n">
        <v>75.1830208295637</v>
      </c>
      <c r="W31" t="n">
        <v>79.5324517866459</v>
      </c>
      <c r="X31" t="n">
        <v>76.361722811763</v>
      </c>
      <c r="Y31" t="n">
        <v>82.9070133384855</v>
      </c>
      <c r="Z31" t="n">
        <v>96.5430352691575</v>
      </c>
      <c r="AA31" t="n">
        <v>96.5430352691574</v>
      </c>
      <c r="AB31" t="n">
        <v>95.5751852915218</v>
      </c>
      <c r="AC31" t="n">
        <v>95.2225093310365</v>
      </c>
      <c r="AD31" t="n">
        <v>99.3827160493827</v>
      </c>
      <c r="AE31" t="n">
        <v>100</v>
      </c>
      <c r="AF31" t="n">
        <v>95.7627118644068</v>
      </c>
    </row>
    <row r="32">
      <c r="A32" t="s">
        <v>92</v>
      </c>
      <c r="B32" t="s">
        <v>334</v>
      </c>
      <c r="C32" t="s">
        <v>236</v>
      </c>
      <c r="D32" t="s">
        <v>335</v>
      </c>
      <c r="E32" t="s">
        <v>237</v>
      </c>
      <c r="F32" t="n">
        <v>69.1096930833434</v>
      </c>
      <c r="G32" t="n">
        <v>69.1096930833434</v>
      </c>
      <c r="H32" t="n">
        <v>70.7486581367033</v>
      </c>
      <c r="I32" t="n">
        <v>71.6442107713451</v>
      </c>
      <c r="J32" t="n">
        <v>73.0011087026206</v>
      </c>
      <c r="K32" t="n">
        <v>75.2735167556204</v>
      </c>
      <c r="L32" t="n">
        <v>77.5545324148817</v>
      </c>
      <c r="M32" t="n">
        <v>77.8635146157378</v>
      </c>
      <c r="N32" t="n">
        <v>77.6404099893316</v>
      </c>
      <c r="O32" t="n">
        <v>78.617018920015</v>
      </c>
      <c r="P32" t="n">
        <v>79.4031891092152</v>
      </c>
      <c r="Q32" t="n">
        <v>81.4723275876312</v>
      </c>
      <c r="R32" t="n">
        <v>84.3504261165421</v>
      </c>
      <c r="S32" t="n">
        <v>88.325053525175</v>
      </c>
      <c r="T32" t="n">
        <v>87.2660001255926</v>
      </c>
      <c r="U32" t="n">
        <v>86.8196267234156</v>
      </c>
      <c r="V32" t="n">
        <v>89.0083568088799</v>
      </c>
      <c r="W32" t="n">
        <v>92.4875108209533</v>
      </c>
      <c r="X32" t="n">
        <v>93.464491569062</v>
      </c>
      <c r="Y32" t="n">
        <v>93.7053794339307</v>
      </c>
      <c r="Z32" t="n">
        <v>93.7053794339307</v>
      </c>
      <c r="AA32" t="n">
        <v>93.5587356476491</v>
      </c>
      <c r="AB32" t="n">
        <v>95.1347633538117</v>
      </c>
      <c r="AC32" t="n">
        <v>97.5852042280765</v>
      </c>
      <c r="AD32" t="n">
        <v>99.5594713656388</v>
      </c>
      <c r="AE32" t="n">
        <v>100</v>
      </c>
      <c r="AF32" t="n">
        <v>102.424242424242</v>
      </c>
    </row>
    <row r="33">
      <c r="A33" t="s">
        <v>92</v>
      </c>
      <c r="B33" t="s">
        <v>336</v>
      </c>
      <c r="C33" t="s">
        <v>236</v>
      </c>
      <c r="D33" t="s">
        <v>337</v>
      </c>
      <c r="E33" t="s">
        <v>237</v>
      </c>
      <c r="F33" t="n">
        <v>82.0403713204135</v>
      </c>
      <c r="G33" t="n">
        <v>80.8158881663775</v>
      </c>
      <c r="H33" t="n">
        <v>79.9179338534178</v>
      </c>
      <c r="I33" t="n">
        <v>79.9179338534178</v>
      </c>
      <c r="J33" t="n">
        <v>79.2043808725837</v>
      </c>
      <c r="K33" t="n">
        <v>80.5468280060173</v>
      </c>
      <c r="L33" t="n">
        <v>83.2317222728845</v>
      </c>
      <c r="M33" t="n">
        <v>84.3564752765722</v>
      </c>
      <c r="N33" t="n">
        <v>84.3564752765721</v>
      </c>
      <c r="O33" t="n">
        <v>87.3163516020659</v>
      </c>
      <c r="P33" t="n">
        <v>89.395312354496</v>
      </c>
      <c r="Q33" t="n">
        <v>91.8785154754543</v>
      </c>
      <c r="R33" t="n">
        <v>93.8333775068469</v>
      </c>
      <c r="S33" t="n">
        <v>98.1475557830238</v>
      </c>
      <c r="T33" t="n">
        <v>98.1475557830238</v>
      </c>
      <c r="U33" t="n">
        <v>98.1475557830238</v>
      </c>
      <c r="V33" t="n">
        <v>98.1475557830238</v>
      </c>
      <c r="W33" t="n">
        <v>101.246952281435</v>
      </c>
      <c r="X33" t="n">
        <v>102.804597701149</v>
      </c>
      <c r="Y33" t="n">
        <v>104</v>
      </c>
      <c r="Z33" t="n">
        <v>104</v>
      </c>
      <c r="AA33" t="n">
        <v>100</v>
      </c>
      <c r="AB33" t="n">
        <v>100</v>
      </c>
      <c r="AC33" t="n">
        <v>100</v>
      </c>
      <c r="AD33" t="n">
        <v>100</v>
      </c>
      <c r="AE33" t="n">
        <v>100</v>
      </c>
      <c r="AF33" t="n">
        <v>100</v>
      </c>
    </row>
    <row r="34">
      <c r="A34" t="s">
        <v>92</v>
      </c>
      <c r="B34" t="s">
        <v>338</v>
      </c>
      <c r="C34" t="s">
        <v>236</v>
      </c>
      <c r="D34" t="s">
        <v>339</v>
      </c>
      <c r="E34" t="s">
        <v>237</v>
      </c>
      <c r="F34" t="n">
        <v>83.2492358025882</v>
      </c>
      <c r="G34" t="n">
        <v>83.2492358025882</v>
      </c>
      <c r="H34" t="n">
        <v>83.8704987563389</v>
      </c>
      <c r="I34" t="n">
        <v>83.3362917578909</v>
      </c>
      <c r="J34" t="n">
        <v>82.7769877863614</v>
      </c>
      <c r="K34" t="n">
        <v>82.7769877863614</v>
      </c>
      <c r="L34" t="n">
        <v>84.9177719532501</v>
      </c>
      <c r="M34" t="n">
        <v>84.91777195325</v>
      </c>
      <c r="N34" t="n">
        <v>84.9177719532501</v>
      </c>
      <c r="O34" t="n">
        <v>84.9177719532501</v>
      </c>
      <c r="P34" t="n">
        <v>86.5099801773735</v>
      </c>
      <c r="Q34" t="n">
        <v>87.3458253964786</v>
      </c>
      <c r="R34" t="n">
        <v>89.0754457013593</v>
      </c>
      <c r="S34" t="n">
        <v>91.1566477037275</v>
      </c>
      <c r="T34" t="n">
        <v>90.2629550791812</v>
      </c>
      <c r="U34" t="n">
        <v>87.2965668840907</v>
      </c>
      <c r="V34" t="n">
        <v>88.6822266759017</v>
      </c>
      <c r="W34" t="n">
        <v>91.529821110449</v>
      </c>
      <c r="X34" t="n">
        <v>92.6325900394905</v>
      </c>
      <c r="Y34" t="n">
        <v>92.6325900394905</v>
      </c>
      <c r="Z34" t="n">
        <v>94.0504358054011</v>
      </c>
      <c r="AA34" t="n">
        <v>94.7880862823062</v>
      </c>
      <c r="AB34" t="n">
        <v>96.2519949507588</v>
      </c>
      <c r="AC34" t="n">
        <v>97.789566755084</v>
      </c>
      <c r="AD34" t="n">
        <v>99.0595611285266</v>
      </c>
      <c r="AE34" t="n">
        <v>100</v>
      </c>
      <c r="AF34" t="n">
        <v>101.567398119122</v>
      </c>
    </row>
    <row r="35">
      <c r="A35" t="s">
        <v>92</v>
      </c>
      <c r="B35" t="s">
        <v>340</v>
      </c>
      <c r="C35" t="s">
        <v>236</v>
      </c>
      <c r="D35" t="s">
        <v>341</v>
      </c>
      <c r="E35" t="s">
        <v>237</v>
      </c>
      <c r="F35" t="n">
        <v>82.3095587074926</v>
      </c>
      <c r="G35" t="n">
        <v>81.2265381981835</v>
      </c>
      <c r="H35" t="n">
        <v>81.3561894961854</v>
      </c>
      <c r="I35" t="n">
        <v>80.1615317943324</v>
      </c>
      <c r="J35" t="n">
        <v>79.3892627019015</v>
      </c>
      <c r="K35" t="n">
        <v>80.8463776478807</v>
      </c>
      <c r="L35" t="n">
        <v>82.1391809455053</v>
      </c>
      <c r="M35" t="n">
        <v>82.4796038387075</v>
      </c>
      <c r="N35" t="n">
        <v>82.4241739974181</v>
      </c>
      <c r="O35" t="n">
        <v>83.7232153527753</v>
      </c>
      <c r="P35" t="n">
        <v>83.8977599296053</v>
      </c>
      <c r="Q35" t="n">
        <v>85.1932400461654</v>
      </c>
      <c r="R35" t="n">
        <v>86.2502281360682</v>
      </c>
      <c r="S35" t="n">
        <v>88.1693368358536</v>
      </c>
      <c r="T35" t="n">
        <v>88.5923562723518</v>
      </c>
      <c r="U35" t="n">
        <v>88.8541540154734</v>
      </c>
      <c r="V35" t="n">
        <v>90.418487712929</v>
      </c>
      <c r="W35" t="n">
        <v>91.968804703582</v>
      </c>
      <c r="X35" t="n">
        <v>93.1710113010145</v>
      </c>
      <c r="Y35" t="n">
        <v>93.8371132584838</v>
      </c>
      <c r="Z35" t="n">
        <v>94.0824390447805</v>
      </c>
      <c r="AA35" t="n">
        <v>94.7093766661362</v>
      </c>
      <c r="AB35" t="n">
        <v>95.9881530599406</v>
      </c>
      <c r="AC35" t="n">
        <v>97.2364589518905</v>
      </c>
      <c r="AD35" t="n">
        <v>98.8975817923186</v>
      </c>
      <c r="AE35" t="n">
        <v>100</v>
      </c>
      <c r="AF35" t="n">
        <v>101.771117166213</v>
      </c>
    </row>
    <row r="36">
      <c r="A36" t="s">
        <v>92</v>
      </c>
      <c r="B36" t="s">
        <v>342</v>
      </c>
      <c r="C36" t="s">
        <v>236</v>
      </c>
      <c r="D36" t="s">
        <v>343</v>
      </c>
      <c r="E36" t="s">
        <v>237</v>
      </c>
      <c r="F36" t="n">
        <v>66.5912444655704</v>
      </c>
      <c r="G36" t="n">
        <v>65.9275443546179</v>
      </c>
      <c r="H36" t="n">
        <v>66.1052466305064</v>
      </c>
      <c r="I36" t="n">
        <v>66.8377147372156</v>
      </c>
      <c r="J36" t="n">
        <v>67.060507119673</v>
      </c>
      <c r="K36" t="n">
        <v>68.4617714475467</v>
      </c>
      <c r="L36" t="n">
        <v>70.7312224347582</v>
      </c>
      <c r="M36" t="n">
        <v>71.6322571154558</v>
      </c>
      <c r="N36" t="n">
        <v>71.6322571154558</v>
      </c>
      <c r="O36" t="n">
        <v>73.8991006950588</v>
      </c>
      <c r="P36" t="n">
        <v>75.1551760609805</v>
      </c>
      <c r="Q36" t="n">
        <v>76.4362301983836</v>
      </c>
      <c r="R36" t="n">
        <v>77.3989031227964</v>
      </c>
      <c r="S36" t="n">
        <v>79.1284875501215</v>
      </c>
      <c r="T36" t="n">
        <v>80.8782575450873</v>
      </c>
      <c r="U36" t="n">
        <v>82.5793298835117</v>
      </c>
      <c r="V36" t="n">
        <v>85.562233434437</v>
      </c>
      <c r="W36" t="n">
        <v>87.686118661533</v>
      </c>
      <c r="X36" t="n">
        <v>89.5718416435014</v>
      </c>
      <c r="Y36" t="n">
        <v>91.4731307349908</v>
      </c>
      <c r="Z36" t="n">
        <v>92.4326390993439</v>
      </c>
      <c r="AA36" t="n">
        <v>93.9068438696684</v>
      </c>
      <c r="AB36" t="n">
        <v>95.0790513520914</v>
      </c>
      <c r="AC36" t="n">
        <v>96.3656420334458</v>
      </c>
      <c r="AD36" t="n">
        <v>98.4806629834254</v>
      </c>
      <c r="AE36" t="n">
        <v>100</v>
      </c>
      <c r="AF36" t="n">
        <v>101.58371040724</v>
      </c>
    </row>
    <row r="37">
      <c r="A37" t="s">
        <v>92</v>
      </c>
      <c r="B37" t="s">
        <v>344</v>
      </c>
      <c r="C37" t="s">
        <v>236</v>
      </c>
      <c r="D37" t="s">
        <v>345</v>
      </c>
      <c r="E37" t="s">
        <v>237</v>
      </c>
      <c r="F37" t="n">
        <v>89.9935514742292</v>
      </c>
      <c r="G37" t="n">
        <v>88.7971822522675</v>
      </c>
      <c r="H37" t="n">
        <v>89.1777416047773</v>
      </c>
      <c r="I37" t="n">
        <v>87.2903819940941</v>
      </c>
      <c r="J37" t="n">
        <v>86.7296300755025</v>
      </c>
      <c r="K37" t="n">
        <v>88.8342924838059</v>
      </c>
      <c r="L37" t="n">
        <v>90.3879786692223</v>
      </c>
      <c r="M37" t="n">
        <v>90.5849023700267</v>
      </c>
      <c r="N37" t="n">
        <v>90.7150530918227</v>
      </c>
      <c r="O37" t="n">
        <v>91.1763160736456</v>
      </c>
      <c r="P37" t="n">
        <v>89.8784325708178</v>
      </c>
      <c r="Q37" t="n">
        <v>91.6868517372327</v>
      </c>
      <c r="R37" t="n">
        <v>93.261625908292</v>
      </c>
      <c r="S37" t="n">
        <v>95.1878557032998</v>
      </c>
      <c r="T37" t="n">
        <v>95.0147868747483</v>
      </c>
      <c r="U37" t="n">
        <v>94.7037728424251</v>
      </c>
      <c r="V37" t="n">
        <v>95.6652324651908</v>
      </c>
      <c r="W37" t="n">
        <v>96.8718209827698</v>
      </c>
      <c r="X37" t="n">
        <v>97.5122958322427</v>
      </c>
      <c r="Y37" t="n">
        <v>97.5122958322427</v>
      </c>
      <c r="Z37" t="n">
        <v>97.1941480481244</v>
      </c>
      <c r="AA37" t="n">
        <v>96.9168466271597</v>
      </c>
      <c r="AB37" t="n">
        <v>98.4892438438246</v>
      </c>
      <c r="AC37" t="n">
        <v>99.5958645611709</v>
      </c>
      <c r="AD37" t="n">
        <v>100.25873221216</v>
      </c>
      <c r="AE37" t="n">
        <v>100</v>
      </c>
      <c r="AF37" t="n">
        <v>102.19298245614</v>
      </c>
    </row>
    <row r="38">
      <c r="A38" t="s">
        <v>92</v>
      </c>
      <c r="B38" t="s">
        <v>346</v>
      </c>
      <c r="C38" t="s">
        <v>236</v>
      </c>
      <c r="D38" t="s">
        <v>347</v>
      </c>
      <c r="E38" t="s">
        <v>237</v>
      </c>
      <c r="F38" t="n">
        <v>92.8378478873546</v>
      </c>
      <c r="G38" t="n">
        <v>91.1186284820332</v>
      </c>
      <c r="H38" t="n">
        <v>90.1173248723405</v>
      </c>
      <c r="I38" t="n">
        <v>87.1747183458967</v>
      </c>
      <c r="J38" t="n">
        <v>84.4758106571693</v>
      </c>
      <c r="K38" t="n">
        <v>84.4758106571693</v>
      </c>
      <c r="L38" t="n">
        <v>84.2732307754974</v>
      </c>
      <c r="M38" t="n">
        <v>84.457636094481</v>
      </c>
      <c r="N38" t="n">
        <v>84.0997647550976</v>
      </c>
      <c r="O38" t="n">
        <v>85.721523304094</v>
      </c>
      <c r="P38" t="n">
        <v>86.5394767707361</v>
      </c>
      <c r="Q38" t="n">
        <v>87.386242688258</v>
      </c>
      <c r="R38" t="n">
        <v>88.1450233773022</v>
      </c>
      <c r="S38" t="n">
        <v>90.2304734572068</v>
      </c>
      <c r="T38" t="n">
        <v>90.0507314782084</v>
      </c>
      <c r="U38" t="n">
        <v>89.4052065213754</v>
      </c>
      <c r="V38" t="n">
        <v>90.1667500181503</v>
      </c>
      <c r="W38" t="n">
        <v>91.4754111214616</v>
      </c>
      <c r="X38" t="n">
        <v>92.5828616193002</v>
      </c>
      <c r="Y38" t="n">
        <v>93.1042453935038</v>
      </c>
      <c r="Z38" t="n">
        <v>93.2720007906092</v>
      </c>
      <c r="AA38" t="n">
        <v>93.9793724109063</v>
      </c>
      <c r="AB38" t="n">
        <v>95.1408064674778</v>
      </c>
      <c r="AC38" t="n">
        <v>96.434359240659</v>
      </c>
      <c r="AD38" t="n">
        <v>98.3269961977186</v>
      </c>
      <c r="AE38" t="n">
        <v>100</v>
      </c>
      <c r="AF38" t="n">
        <v>101.578947368421</v>
      </c>
    </row>
    <row r="39">
      <c r="A39" t="s">
        <v>92</v>
      </c>
      <c r="B39" t="s">
        <v>348</v>
      </c>
      <c r="C39" t="s">
        <v>236</v>
      </c>
      <c r="D39" t="s">
        <v>349</v>
      </c>
      <c r="E39" t="s">
        <v>237</v>
      </c>
      <c r="F39" t="n">
        <v>97.712003749943</v>
      </c>
      <c r="G39" t="n">
        <v>92.5692667104723</v>
      </c>
      <c r="H39" t="n">
        <v>100.283372269678</v>
      </c>
      <c r="I39" t="n">
        <v>95.4504386663204</v>
      </c>
      <c r="J39" t="n">
        <v>91.0223255323158</v>
      </c>
      <c r="K39" t="n">
        <v>88.8842172144426</v>
      </c>
      <c r="L39" t="n">
        <v>86.440664851159</v>
      </c>
      <c r="M39" t="n">
        <v>83.9205288496675</v>
      </c>
      <c r="N39" t="n">
        <v>79.9677503168933</v>
      </c>
      <c r="O39" t="n">
        <v>82.8494710490336</v>
      </c>
      <c r="P39" t="n">
        <v>82.6093276546885</v>
      </c>
      <c r="Q39" t="n">
        <v>84.1074242701881</v>
      </c>
      <c r="R39" t="n">
        <v>85.3969759199865</v>
      </c>
      <c r="S39" t="n">
        <v>87.6547497779022</v>
      </c>
      <c r="T39" t="n">
        <v>87.9398058747409</v>
      </c>
      <c r="U39" t="n">
        <v>88.9436849372379</v>
      </c>
      <c r="V39" t="n">
        <v>90.6578030623667</v>
      </c>
      <c r="W39" t="n">
        <v>92.1302035761406</v>
      </c>
      <c r="X39" t="n">
        <v>93.4463493415141</v>
      </c>
      <c r="Y39" t="n">
        <v>94.3329370961774</v>
      </c>
      <c r="Z39" t="n">
        <v>95.0599732202327</v>
      </c>
      <c r="AA39" t="n">
        <v>96.2905230353814</v>
      </c>
      <c r="AB39" t="n">
        <v>97.135176746218</v>
      </c>
      <c r="AC39" t="n">
        <v>97.8097265847334</v>
      </c>
      <c r="AD39" t="n">
        <v>99.06191369606</v>
      </c>
      <c r="AE39" t="n">
        <v>100</v>
      </c>
      <c r="AF39" t="n">
        <v>101.659751037344</v>
      </c>
    </row>
    <row r="40">
      <c r="A40" t="s">
        <v>92</v>
      </c>
      <c r="B40" t="s">
        <v>350</v>
      </c>
      <c r="C40" t="s">
        <v>236</v>
      </c>
      <c r="D40" t="s">
        <v>351</v>
      </c>
      <c r="E40" t="s">
        <v>237</v>
      </c>
      <c r="F40" t="n">
        <v>52.3190273336979</v>
      </c>
      <c r="G40" t="n">
        <v>51.8750052526788</v>
      </c>
      <c r="H40" t="n">
        <v>53.7853173680876</v>
      </c>
      <c r="I40" t="n">
        <v>56.9392130967522</v>
      </c>
      <c r="J40" t="n">
        <v>59.3682135857104</v>
      </c>
      <c r="K40" t="n">
        <v>63.0733080174542</v>
      </c>
      <c r="L40" t="n">
        <v>66.1751774953563</v>
      </c>
      <c r="M40" t="n">
        <v>64.965067965366</v>
      </c>
      <c r="N40" t="n">
        <v>64.9239916871836</v>
      </c>
      <c r="O40" t="n">
        <v>66.503138558122</v>
      </c>
      <c r="P40" t="n">
        <v>69.9282965733559</v>
      </c>
      <c r="Q40" t="n">
        <v>72.6461423156695</v>
      </c>
      <c r="R40" t="n">
        <v>77.366258654865</v>
      </c>
      <c r="S40" t="n">
        <v>81.4192831979316</v>
      </c>
      <c r="T40" t="n">
        <v>79.3600300559886</v>
      </c>
      <c r="U40" t="n">
        <v>76.0702724777096</v>
      </c>
      <c r="V40" t="n">
        <v>78.4316851294637</v>
      </c>
      <c r="W40" t="n">
        <v>82.6522443098497</v>
      </c>
      <c r="X40" t="n">
        <v>84.1972801864677</v>
      </c>
      <c r="Y40" t="n">
        <v>84.7542231253866</v>
      </c>
      <c r="Z40" t="n">
        <v>85.0203583843719</v>
      </c>
      <c r="AA40" t="n">
        <v>87.0637425434186</v>
      </c>
      <c r="AB40" t="n">
        <v>89.8806933492411</v>
      </c>
      <c r="AC40" t="n">
        <v>93.6893024394021</v>
      </c>
      <c r="AD40" t="n">
        <v>98.0322396451004</v>
      </c>
      <c r="AE40" t="n">
        <v>100</v>
      </c>
      <c r="AF40" t="n">
        <v>102.381379495919</v>
      </c>
    </row>
    <row r="41">
      <c r="A41" t="s">
        <v>92</v>
      </c>
      <c r="B41" t="s">
        <v>352</v>
      </c>
      <c r="C41" t="s">
        <v>236</v>
      </c>
      <c r="D41" t="s">
        <v>353</v>
      </c>
      <c r="E41" t="s">
        <v>237</v>
      </c>
      <c r="F41" t="n">
        <v>52.0779911338721</v>
      </c>
      <c r="G41" t="n">
        <v>51.6117170545629</v>
      </c>
      <c r="H41" t="n">
        <v>53.8073536364421</v>
      </c>
      <c r="I41" t="n">
        <v>57.1633983115047</v>
      </c>
      <c r="J41" t="n">
        <v>59.3929448590424</v>
      </c>
      <c r="K41" t="n">
        <v>63.663570497802</v>
      </c>
      <c r="L41" t="n">
        <v>66.3069596090464</v>
      </c>
      <c r="M41" t="n">
        <v>64.9720746186526</v>
      </c>
      <c r="N41" t="n">
        <v>65.0426416508218</v>
      </c>
      <c r="O41" t="n">
        <v>66.6381785640049</v>
      </c>
      <c r="P41" t="n">
        <v>70.1142264991304</v>
      </c>
      <c r="Q41" t="n">
        <v>72.8417277900612</v>
      </c>
      <c r="R41" t="n">
        <v>77.6040632135995</v>
      </c>
      <c r="S41" t="n">
        <v>81.6052633657811</v>
      </c>
      <c r="T41" t="n">
        <v>79.1054290478803</v>
      </c>
      <c r="U41" t="n">
        <v>76.3527765649016</v>
      </c>
      <c r="V41" t="n">
        <v>78.9675470886489</v>
      </c>
      <c r="W41" t="n">
        <v>82.8426524699839</v>
      </c>
      <c r="X41" t="n">
        <v>84.5585648284663</v>
      </c>
      <c r="Y41" t="n">
        <v>85.1251638727214</v>
      </c>
      <c r="Z41" t="n">
        <v>85.4380929401124</v>
      </c>
      <c r="AA41" t="n">
        <v>87.4150074882</v>
      </c>
      <c r="AB41" t="n">
        <v>90.3199458094389</v>
      </c>
      <c r="AC41" t="n">
        <v>94.1246589212369</v>
      </c>
      <c r="AD41" t="n">
        <v>98.260123273777</v>
      </c>
      <c r="AE41" t="n">
        <v>100</v>
      </c>
      <c r="AF41" t="n">
        <v>102.277113083751</v>
      </c>
    </row>
    <row r="42">
      <c r="A42" t="s">
        <v>92</v>
      </c>
      <c r="B42" t="s">
        <v>354</v>
      </c>
      <c r="C42" t="s">
        <v>236</v>
      </c>
      <c r="D42" t="s">
        <v>355</v>
      </c>
      <c r="E42" t="s">
        <v>237</v>
      </c>
      <c r="F42" t="n">
        <v>59.7067915781537</v>
      </c>
      <c r="G42" t="n">
        <v>61.0996405263222</v>
      </c>
      <c r="H42" t="n">
        <v>62.2730218258674</v>
      </c>
      <c r="I42" t="n">
        <v>63.4690465728431</v>
      </c>
      <c r="J42" t="n">
        <v>64.0567229299991</v>
      </c>
      <c r="K42" t="n">
        <v>66.4739577575462</v>
      </c>
      <c r="L42" t="n">
        <v>69.0278419743564</v>
      </c>
      <c r="M42" t="n">
        <v>70.9870049443003</v>
      </c>
      <c r="N42" t="n">
        <v>71.987828780373</v>
      </c>
      <c r="O42" t="n">
        <v>74.2135394286551</v>
      </c>
      <c r="P42" t="n">
        <v>76.5045093081178</v>
      </c>
      <c r="Q42" t="n">
        <v>78.0318225610929</v>
      </c>
      <c r="R42" t="n">
        <v>79.6706168959785</v>
      </c>
      <c r="S42" t="n">
        <v>83.1431026652934</v>
      </c>
      <c r="T42" t="n">
        <v>85.7389387448342</v>
      </c>
      <c r="U42" t="n">
        <v>86.4082513033419</v>
      </c>
      <c r="V42" t="n">
        <v>88.1136773159079</v>
      </c>
      <c r="W42" t="n">
        <v>90.3942666111431</v>
      </c>
      <c r="X42" t="n">
        <v>92.3528090543846</v>
      </c>
      <c r="Y42" t="n">
        <v>93.1129144787005</v>
      </c>
      <c r="Z42" t="n">
        <v>94.0906752930972</v>
      </c>
      <c r="AA42" t="n">
        <v>95.3751896315695</v>
      </c>
      <c r="AB42" t="n">
        <v>95.7762627586997</v>
      </c>
      <c r="AC42" t="n">
        <v>96.1307270916335</v>
      </c>
      <c r="AD42" t="n">
        <v>98.406374501992</v>
      </c>
      <c r="AE42" t="n">
        <v>100</v>
      </c>
      <c r="AF42" t="n">
        <v>101.633802816901</v>
      </c>
    </row>
    <row r="43">
      <c r="A43" t="s">
        <v>92</v>
      </c>
      <c r="B43" t="s">
        <v>356</v>
      </c>
      <c r="C43" t="s">
        <v>236</v>
      </c>
      <c r="D43" t="s">
        <v>357</v>
      </c>
      <c r="E43" t="s">
        <v>237</v>
      </c>
      <c r="F43" t="n">
        <v>67.6388618547051</v>
      </c>
      <c r="G43" t="n">
        <v>69.1173069225676</v>
      </c>
      <c r="H43" t="n">
        <v>70.5801070690769</v>
      </c>
      <c r="I43" t="n">
        <v>71.706737886142</v>
      </c>
      <c r="J43" t="n">
        <v>72.3914376402632</v>
      </c>
      <c r="K43" t="n">
        <v>74.8367100821573</v>
      </c>
      <c r="L43" t="n">
        <v>77.4879300850679</v>
      </c>
      <c r="M43" t="n">
        <v>79.110988080093</v>
      </c>
      <c r="N43" t="n">
        <v>79.9656645212013</v>
      </c>
      <c r="O43" t="n">
        <v>81.727257931882</v>
      </c>
      <c r="P43" t="n">
        <v>83.5774869277526</v>
      </c>
      <c r="Q43" t="n">
        <v>84.6521243984776</v>
      </c>
      <c r="R43" t="n">
        <v>85.7526937297687</v>
      </c>
      <c r="S43" t="n">
        <v>87.864612302898</v>
      </c>
      <c r="T43" t="n">
        <v>89.2272768857593</v>
      </c>
      <c r="U43" t="n">
        <v>89.276008331355</v>
      </c>
      <c r="V43" t="n">
        <v>90.5928975692031</v>
      </c>
      <c r="W43" t="n">
        <v>92.5142739757609</v>
      </c>
      <c r="X43" t="n">
        <v>93.8610663180732</v>
      </c>
      <c r="Y43" t="n">
        <v>94.3722921694788</v>
      </c>
      <c r="Z43" t="n">
        <v>95.3673385353058</v>
      </c>
      <c r="AA43" t="n">
        <v>96.0367636978106</v>
      </c>
      <c r="AB43" t="n">
        <v>96.3327167446452</v>
      </c>
      <c r="AC43" t="n">
        <v>96.9111579999248</v>
      </c>
      <c r="AD43" t="n">
        <v>98.4729493891798</v>
      </c>
      <c r="AE43" t="n">
        <v>100</v>
      </c>
      <c r="AF43" t="n">
        <v>101.428096977748</v>
      </c>
    </row>
    <row r="44">
      <c r="A44" t="s">
        <v>92</v>
      </c>
      <c r="B44" t="s">
        <v>358</v>
      </c>
      <c r="C44" t="s">
        <v>236</v>
      </c>
      <c r="D44" t="s">
        <v>359</v>
      </c>
      <c r="E44" t="s">
        <v>237</v>
      </c>
      <c r="F44" t="n">
        <v>70.0153686676064</v>
      </c>
      <c r="G44" t="n">
        <v>70.3117676544306</v>
      </c>
      <c r="H44" t="n">
        <v>71.2988428567428</v>
      </c>
      <c r="I44" t="n">
        <v>71.6590609472322</v>
      </c>
      <c r="J44" t="n">
        <v>71.9825996328714</v>
      </c>
      <c r="K44" t="n">
        <v>73.8970790822921</v>
      </c>
      <c r="L44" t="n">
        <v>75.6533167935714</v>
      </c>
      <c r="M44" t="n">
        <v>76.4294377767981</v>
      </c>
      <c r="N44" t="n">
        <v>76.7733014740542</v>
      </c>
      <c r="O44" t="n">
        <v>78.1361411451912</v>
      </c>
      <c r="P44" t="n">
        <v>79.7692406310203</v>
      </c>
      <c r="Q44" t="n">
        <v>81.2588086529992</v>
      </c>
      <c r="R44" t="n">
        <v>83.154937813434</v>
      </c>
      <c r="S44" t="n">
        <v>86.1142286191752</v>
      </c>
      <c r="T44" t="n">
        <v>87.1076276784247</v>
      </c>
      <c r="U44" t="n">
        <v>87.1971612392512</v>
      </c>
      <c r="V44" t="n">
        <v>89.2458025988995</v>
      </c>
      <c r="W44" t="n">
        <v>91.734659902146</v>
      </c>
      <c r="X44" t="n">
        <v>92.9276686325156</v>
      </c>
      <c r="Y44" t="n">
        <v>93.4542602550275</v>
      </c>
      <c r="Z44" t="n">
        <v>94.2911097725925</v>
      </c>
      <c r="AA44" t="n">
        <v>94.6815917005959</v>
      </c>
      <c r="AB44" t="n">
        <v>95.6443509101114</v>
      </c>
      <c r="AC44" t="n">
        <v>97.0709234797663</v>
      </c>
      <c r="AD44" t="n">
        <v>99.0777080062794</v>
      </c>
      <c r="AE44" t="n">
        <v>100</v>
      </c>
      <c r="AF44" t="n">
        <v>102.293906810036</v>
      </c>
    </row>
    <row r="45">
      <c r="A45" t="s">
        <v>92</v>
      </c>
      <c r="B45" t="s">
        <v>360</v>
      </c>
      <c r="C45" t="s">
        <v>236</v>
      </c>
      <c r="D45" t="s">
        <v>361</v>
      </c>
      <c r="E45" t="s">
        <v>237</v>
      </c>
      <c r="F45" t="n">
        <v>69.6775751701674</v>
      </c>
      <c r="G45" t="n">
        <v>70.2237383838767</v>
      </c>
      <c r="H45" t="n">
        <v>71.2423221183544</v>
      </c>
      <c r="I45" t="n">
        <v>71.79723535235</v>
      </c>
      <c r="J45" t="n">
        <v>72.2422703559925</v>
      </c>
      <c r="K45" t="n">
        <v>74.214874862464</v>
      </c>
      <c r="L45" t="n">
        <v>76.0341703894782</v>
      </c>
      <c r="M45" t="n">
        <v>76.7723167945715</v>
      </c>
      <c r="N45" t="n">
        <v>77.109899338723</v>
      </c>
      <c r="O45" t="n">
        <v>78.5796050827193</v>
      </c>
      <c r="P45" t="n">
        <v>80.1904301633309</v>
      </c>
      <c r="Q45" t="n">
        <v>81.6112694611083</v>
      </c>
      <c r="R45" t="n">
        <v>83.348307381136</v>
      </c>
      <c r="S45" t="n">
        <v>86.4363435349061</v>
      </c>
      <c r="T45" t="n">
        <v>87.3720797947831</v>
      </c>
      <c r="U45" t="n">
        <v>87.5525719348327</v>
      </c>
      <c r="V45" t="n">
        <v>89.6342868680428</v>
      </c>
      <c r="W45" t="n">
        <v>92.0118795888594</v>
      </c>
      <c r="X45" t="n">
        <v>93.1891223511571</v>
      </c>
      <c r="Y45" t="n">
        <v>93.7976518717131</v>
      </c>
      <c r="Z45" t="n">
        <v>94.6523113050959</v>
      </c>
      <c r="AA45" t="n">
        <v>95.0093235153735</v>
      </c>
      <c r="AB45" t="n">
        <v>95.9713073663679</v>
      </c>
      <c r="AC45" t="n">
        <v>97.2239449123144</v>
      </c>
      <c r="AD45" t="n">
        <v>99.1739002809578</v>
      </c>
      <c r="AE45" t="n">
        <v>100</v>
      </c>
      <c r="AF45" t="n">
        <v>102.30617508724</v>
      </c>
    </row>
    <row r="46">
      <c r="A46" t="s">
        <v>92</v>
      </c>
      <c r="B46" t="s">
        <v>362</v>
      </c>
      <c r="C46" t="s">
        <v>236</v>
      </c>
      <c r="D46" t="s">
        <v>363</v>
      </c>
      <c r="E46" t="s">
        <v>237</v>
      </c>
      <c r="F46" t="n">
        <v>87.7272315981434</v>
      </c>
      <c r="G46" t="n">
        <v>89.3398645319328</v>
      </c>
      <c r="H46" t="n">
        <v>91.8215274355976</v>
      </c>
      <c r="I46" t="n">
        <v>92.4681579104962</v>
      </c>
      <c r="J46" t="n">
        <v>93.4313678887305</v>
      </c>
      <c r="K46" t="n">
        <v>95.6918042086192</v>
      </c>
      <c r="L46" t="n">
        <v>98.2936961659532</v>
      </c>
      <c r="M46" t="n">
        <v>98.5260689701281</v>
      </c>
      <c r="N46" t="n">
        <v>98.9298643347597</v>
      </c>
      <c r="O46" t="n">
        <v>99.1435357480098</v>
      </c>
      <c r="P46" t="n">
        <v>99.5592319146681</v>
      </c>
      <c r="Q46" t="n">
        <v>99.5592319146681</v>
      </c>
      <c r="R46" t="n">
        <v>99.2317344412646</v>
      </c>
      <c r="S46" t="n">
        <v>98.5548467574906</v>
      </c>
      <c r="T46" t="n">
        <v>96.8588742511475</v>
      </c>
      <c r="U46" t="n">
        <v>95.2739108543106</v>
      </c>
      <c r="V46" t="n">
        <v>95.5925526966327</v>
      </c>
      <c r="W46" t="n">
        <v>96.6877210581326</v>
      </c>
      <c r="X46" t="n">
        <v>96.6877210581326</v>
      </c>
      <c r="Y46" t="n">
        <v>96.6877210581326</v>
      </c>
      <c r="Z46" t="n">
        <v>97.7163138353467</v>
      </c>
      <c r="AA46" t="n">
        <v>97.285212450779</v>
      </c>
      <c r="AB46" t="n">
        <v>97.4135570582339</v>
      </c>
      <c r="AC46" t="n">
        <v>98.3709384543836</v>
      </c>
      <c r="AD46" t="n">
        <v>98.6005089058524</v>
      </c>
      <c r="AE46" t="n">
        <v>100</v>
      </c>
      <c r="AF46" t="n">
        <v>101.132686084142</v>
      </c>
    </row>
    <row r="47">
      <c r="A47" t="s">
        <v>92</v>
      </c>
      <c r="B47" t="s">
        <v>364</v>
      </c>
      <c r="C47" t="s">
        <v>236</v>
      </c>
      <c r="D47" t="s">
        <v>365</v>
      </c>
      <c r="E47" t="s">
        <v>237</v>
      </c>
      <c r="F47" t="n">
        <v>65.9110682258289</v>
      </c>
      <c r="G47" t="n">
        <v>66.2806002087464</v>
      </c>
      <c r="H47" t="n">
        <v>67.6472105223288</v>
      </c>
      <c r="I47" t="n">
        <v>68.0498724897236</v>
      </c>
      <c r="J47" t="n">
        <v>68.9735034935761</v>
      </c>
      <c r="K47" t="n">
        <v>71.3688176316375</v>
      </c>
      <c r="L47" t="n">
        <v>72.6722125193423</v>
      </c>
      <c r="M47" t="n">
        <v>71.9765072538998</v>
      </c>
      <c r="N47" t="n">
        <v>71.9765072538998</v>
      </c>
      <c r="O47" t="n">
        <v>73.9453140242552</v>
      </c>
      <c r="P47" t="n">
        <v>76.241287325042</v>
      </c>
      <c r="Q47" t="n">
        <v>79.4738247173566</v>
      </c>
      <c r="R47" t="n">
        <v>83.7923789142732</v>
      </c>
      <c r="S47" t="n">
        <v>88.5758556216725</v>
      </c>
      <c r="T47" t="n">
        <v>87.7467524489268</v>
      </c>
      <c r="U47" t="n">
        <v>88.4342074195389</v>
      </c>
      <c r="V47" t="n">
        <v>92.2356112039842</v>
      </c>
      <c r="W47" t="n">
        <v>95.4234172467383</v>
      </c>
      <c r="X47" t="n">
        <v>96.7614965097528</v>
      </c>
      <c r="Y47" t="n">
        <v>97.5552334716375</v>
      </c>
      <c r="Z47" t="n">
        <v>96.8690301881324</v>
      </c>
      <c r="AA47" t="n">
        <v>95.6714734962461</v>
      </c>
      <c r="AB47" t="n">
        <v>97.6807289977828</v>
      </c>
      <c r="AC47" t="n">
        <v>99.636758428888</v>
      </c>
      <c r="AD47" t="n">
        <v>101.307053941909</v>
      </c>
      <c r="AE47" t="n">
        <v>100</v>
      </c>
      <c r="AF47" t="n">
        <v>104.620462046205</v>
      </c>
    </row>
    <row r="48">
      <c r="A48" t="s">
        <v>92</v>
      </c>
      <c r="B48" t="s">
        <v>366</v>
      </c>
      <c r="C48" t="s">
        <v>236</v>
      </c>
      <c r="D48" t="s">
        <v>367</v>
      </c>
      <c r="E48" t="s">
        <v>237</v>
      </c>
      <c r="F48" t="n">
        <v>62.379081911237</v>
      </c>
      <c r="G48" t="n">
        <v>62.8533807599003</v>
      </c>
      <c r="H48" t="n">
        <v>63.7462281966071</v>
      </c>
      <c r="I48" t="n">
        <v>64.619670491765</v>
      </c>
      <c r="J48" t="n">
        <v>65.8202217317421</v>
      </c>
      <c r="K48" t="n">
        <v>68.0603805427491</v>
      </c>
      <c r="L48" t="n">
        <v>70.2391905140624</v>
      </c>
      <c r="M48" t="n">
        <v>70.2108568349522</v>
      </c>
      <c r="N48" t="n">
        <v>70.4121494290891</v>
      </c>
      <c r="O48" t="n">
        <v>72.2371147042417</v>
      </c>
      <c r="P48" t="n">
        <v>74.7391225667521</v>
      </c>
      <c r="Q48" t="n">
        <v>77.3694871452603</v>
      </c>
      <c r="R48" t="n">
        <v>81.0557816946757</v>
      </c>
      <c r="S48" t="n">
        <v>85.5203799958458</v>
      </c>
      <c r="T48" t="n">
        <v>85.5736969409804</v>
      </c>
      <c r="U48" t="n">
        <v>85.0287241932137</v>
      </c>
      <c r="V48" t="n">
        <v>87.867879596139</v>
      </c>
      <c r="W48" t="n">
        <v>90.9870756668843</v>
      </c>
      <c r="X48" t="n">
        <v>92.649630205648</v>
      </c>
      <c r="Y48" t="n">
        <v>93.4058541488747</v>
      </c>
      <c r="Z48" t="n">
        <v>93.4456747489098</v>
      </c>
      <c r="AA48" t="n">
        <v>93.7382257786481</v>
      </c>
      <c r="AB48" t="n">
        <v>95.3321741039664</v>
      </c>
      <c r="AC48" t="n">
        <v>97.176582932328</v>
      </c>
      <c r="AD48" t="n">
        <v>99.8704792268606</v>
      </c>
      <c r="AE48" t="n">
        <v>100</v>
      </c>
      <c r="AF48" t="n">
        <v>103.029301608284</v>
      </c>
    </row>
    <row r="49">
      <c r="A49" t="s">
        <v>92</v>
      </c>
      <c r="B49" t="s">
        <v>368</v>
      </c>
      <c r="C49" t="s">
        <v>236</v>
      </c>
      <c r="D49" t="s">
        <v>369</v>
      </c>
      <c r="E49" t="s">
        <v>237</v>
      </c>
      <c r="F49" t="n">
        <v>54.4856175087587</v>
      </c>
      <c r="G49" t="n">
        <v>55.3739699681407</v>
      </c>
      <c r="H49" t="n">
        <v>55.9525039827332</v>
      </c>
      <c r="I49" t="n">
        <v>57.6356280862788</v>
      </c>
      <c r="J49" t="n">
        <v>59.0238988482638</v>
      </c>
      <c r="K49" t="n">
        <v>61.34134359471</v>
      </c>
      <c r="L49" t="n">
        <v>64.3461679835342</v>
      </c>
      <c r="M49" t="n">
        <v>65.4669120505147</v>
      </c>
      <c r="N49" t="n">
        <v>66.1724544946212</v>
      </c>
      <c r="O49" t="n">
        <v>68.1099362703646</v>
      </c>
      <c r="P49" t="n">
        <v>71.0425047817023</v>
      </c>
      <c r="Q49" t="n">
        <v>73.0546913333228</v>
      </c>
      <c r="R49" t="n">
        <v>75.9895703553998</v>
      </c>
      <c r="S49" t="n">
        <v>80.4099049609492</v>
      </c>
      <c r="T49" t="n">
        <v>82.2808486272131</v>
      </c>
      <c r="U49" t="n">
        <v>81.8005383298831</v>
      </c>
      <c r="V49" t="n">
        <v>84.0737778158923</v>
      </c>
      <c r="W49" t="n">
        <v>87.0355125909941</v>
      </c>
      <c r="X49" t="n">
        <v>89.1661741001501</v>
      </c>
      <c r="Y49" t="n">
        <v>90.0246668048343</v>
      </c>
      <c r="Z49" t="n">
        <v>90.8176693228299</v>
      </c>
      <c r="AA49" t="n">
        <v>92.5041294011282</v>
      </c>
      <c r="AB49" t="n">
        <v>93.5034024039182</v>
      </c>
      <c r="AC49" t="n">
        <v>94.693191206962</v>
      </c>
      <c r="AD49" t="n">
        <v>98.4500929944203</v>
      </c>
      <c r="AE49" t="n">
        <v>100</v>
      </c>
      <c r="AF49" t="n">
        <v>102.034329307057</v>
      </c>
    </row>
    <row r="50">
      <c r="A50" t="s">
        <v>92</v>
      </c>
      <c r="B50" t="s">
        <v>370</v>
      </c>
      <c r="C50" t="s">
        <v>236</v>
      </c>
      <c r="D50" t="s">
        <v>371</v>
      </c>
      <c r="E50" t="s">
        <v>237</v>
      </c>
      <c r="F50" t="n">
        <v>68.8857944386659</v>
      </c>
      <c r="G50" t="n">
        <v>68.60172930696</v>
      </c>
      <c r="H50" t="n">
        <v>68.3337538018547</v>
      </c>
      <c r="I50" t="n">
        <v>69.18262030871</v>
      </c>
      <c r="J50" t="n">
        <v>71.2015683721938</v>
      </c>
      <c r="K50" t="n">
        <v>72.6424095534186</v>
      </c>
      <c r="L50" t="n">
        <v>75.6873009718254</v>
      </c>
      <c r="M50" t="n">
        <v>75.0132410395064</v>
      </c>
      <c r="N50" t="n">
        <v>74.6324631662094</v>
      </c>
      <c r="O50" t="n">
        <v>75.599204917067</v>
      </c>
      <c r="P50" t="n">
        <v>77.9046444571046</v>
      </c>
      <c r="Q50" t="n">
        <v>80.0663528411865</v>
      </c>
      <c r="R50" t="n">
        <v>83.6214225619342</v>
      </c>
      <c r="S50" t="n">
        <v>87.3194818629583</v>
      </c>
      <c r="T50" t="n">
        <v>86.4703458967059</v>
      </c>
      <c r="U50" t="n">
        <v>82.5031422616829</v>
      </c>
      <c r="V50" t="n">
        <v>84.0939127522675</v>
      </c>
      <c r="W50" t="n">
        <v>87.323422955856</v>
      </c>
      <c r="X50" t="n">
        <v>89.0428715091359</v>
      </c>
      <c r="Y50" t="n">
        <v>89.548079290748</v>
      </c>
      <c r="Z50" t="n">
        <v>89.9810272969886</v>
      </c>
      <c r="AA50" t="n">
        <v>91.3051628157402</v>
      </c>
      <c r="AB50" t="n">
        <v>92.9240486812675</v>
      </c>
      <c r="AC50" t="n">
        <v>95.5354973561509</v>
      </c>
      <c r="AD50" t="n">
        <v>98.694123556002</v>
      </c>
      <c r="AE50" t="n">
        <v>100</v>
      </c>
      <c r="AF50" t="n">
        <v>101.455092824887</v>
      </c>
    </row>
    <row r="51">
      <c r="A51" t="s">
        <v>92</v>
      </c>
      <c r="B51" t="s">
        <v>372</v>
      </c>
      <c r="C51" t="s">
        <v>236</v>
      </c>
      <c r="D51" t="s">
        <v>373</v>
      </c>
      <c r="E51" t="s">
        <v>237</v>
      </c>
      <c r="F51" t="n">
        <v>72.2328571577816</v>
      </c>
      <c r="G51" t="n">
        <v>71.9767122742433</v>
      </c>
      <c r="H51" t="n">
        <v>71.9767122742433</v>
      </c>
      <c r="I51" t="n">
        <v>72.2127014948146</v>
      </c>
      <c r="J51" t="n">
        <v>73.5795034158521</v>
      </c>
      <c r="K51" t="n">
        <v>74.7857247833251</v>
      </c>
      <c r="L51" t="n">
        <v>77.1284101379835</v>
      </c>
      <c r="M51" t="n">
        <v>76.5396436483806</v>
      </c>
      <c r="N51" t="n">
        <v>76.086746348686</v>
      </c>
      <c r="O51" t="n">
        <v>76.8552993421071</v>
      </c>
      <c r="P51" t="n">
        <v>78.8854393247288</v>
      </c>
      <c r="Q51" t="n">
        <v>80.9549647391121</v>
      </c>
      <c r="R51" t="n">
        <v>84.0543125468882</v>
      </c>
      <c r="S51" t="n">
        <v>87.4365278058539</v>
      </c>
      <c r="T51" t="n">
        <v>86.6656768050466</v>
      </c>
      <c r="U51" t="n">
        <v>83.0882653790061</v>
      </c>
      <c r="V51" t="n">
        <v>84.6475625845102</v>
      </c>
      <c r="W51" t="n">
        <v>87.6979252001682</v>
      </c>
      <c r="X51" t="n">
        <v>89.4336133030882</v>
      </c>
      <c r="Y51" t="n">
        <v>90.0075188430011</v>
      </c>
      <c r="Z51" t="n">
        <v>90.5631208111678</v>
      </c>
      <c r="AA51" t="n">
        <v>91.7451695767754</v>
      </c>
      <c r="AB51" t="n">
        <v>93.2628729610066</v>
      </c>
      <c r="AC51" t="n">
        <v>95.7488784599672</v>
      </c>
      <c r="AD51" t="n">
        <v>98.8070175438596</v>
      </c>
      <c r="AE51" t="n">
        <v>100</v>
      </c>
      <c r="AF51" t="n">
        <v>101.523545706371</v>
      </c>
    </row>
    <row r="52">
      <c r="A52" t="s">
        <v>92</v>
      </c>
      <c r="B52" t="s">
        <v>374</v>
      </c>
      <c r="C52" t="s">
        <v>236</v>
      </c>
      <c r="D52" t="s">
        <v>375</v>
      </c>
      <c r="E52" t="s">
        <v>237</v>
      </c>
      <c r="F52" t="n">
        <v>63.326256231222</v>
      </c>
      <c r="G52" t="n">
        <v>63.014304230083</v>
      </c>
      <c r="H52" t="n">
        <v>62.3474861959022</v>
      </c>
      <c r="I52" t="n">
        <v>64.0988200778095</v>
      </c>
      <c r="J52" t="n">
        <v>67.0271925686739</v>
      </c>
      <c r="K52" t="n">
        <v>68.7988364251147</v>
      </c>
      <c r="L52" t="n">
        <v>72.8778188218606</v>
      </c>
      <c r="M52" t="n">
        <v>72.0433399803889</v>
      </c>
      <c r="N52" t="n">
        <v>71.7869579875761</v>
      </c>
      <c r="O52" t="n">
        <v>73.0827514530558</v>
      </c>
      <c r="P52" t="n">
        <v>75.926438280023</v>
      </c>
      <c r="Q52" t="n">
        <v>78.2909294375324</v>
      </c>
      <c r="R52" t="n">
        <v>82.5836435842378</v>
      </c>
      <c r="S52" t="n">
        <v>86.7411725518653</v>
      </c>
      <c r="T52" t="n">
        <v>85.7554774092305</v>
      </c>
      <c r="U52" t="n">
        <v>81.1254868448823</v>
      </c>
      <c r="V52" t="n">
        <v>82.7685346797154</v>
      </c>
      <c r="W52" t="n">
        <v>86.3426304954304</v>
      </c>
      <c r="X52" t="n">
        <v>88.0246297907959</v>
      </c>
      <c r="Y52" t="n">
        <v>88.3952598109677</v>
      </c>
      <c r="Z52" t="n">
        <v>88.6003532212019</v>
      </c>
      <c r="AA52" t="n">
        <v>90.198355583909</v>
      </c>
      <c r="AB52" t="n">
        <v>92.0658163620437</v>
      </c>
      <c r="AC52" t="n">
        <v>95.0040870970026</v>
      </c>
      <c r="AD52" t="n">
        <v>98.4098939929329</v>
      </c>
      <c r="AE52" t="n">
        <v>100</v>
      </c>
      <c r="AF52" t="n">
        <v>101.275045537341</v>
      </c>
    </row>
    <row r="53">
      <c r="A53" t="s">
        <v>92</v>
      </c>
      <c r="B53" t="s">
        <v>376</v>
      </c>
      <c r="C53" t="s">
        <v>236</v>
      </c>
      <c r="D53" t="s">
        <v>377</v>
      </c>
      <c r="E53" t="s">
        <v>237</v>
      </c>
      <c r="F53" t="n">
        <v>68.7502365114059</v>
      </c>
      <c r="G53" t="n">
        <v>68.1471642613058</v>
      </c>
      <c r="H53" t="n">
        <v>68.6634306572248</v>
      </c>
      <c r="I53" t="n">
        <v>69.5888138197211</v>
      </c>
      <c r="J53" t="n">
        <v>71.9170640962174</v>
      </c>
      <c r="K53" t="n">
        <v>74.0785059133168</v>
      </c>
      <c r="L53" t="n">
        <v>76.554667670865</v>
      </c>
      <c r="M53" t="n">
        <v>76.7540287845912</v>
      </c>
      <c r="N53" t="n">
        <v>77.0906692617166</v>
      </c>
      <c r="O53" t="n">
        <v>78.3755137494119</v>
      </c>
      <c r="P53" t="n">
        <v>81.1050092531227</v>
      </c>
      <c r="Q53" t="n">
        <v>83.3675953481669</v>
      </c>
      <c r="R53" t="n">
        <v>86.2150653980094</v>
      </c>
      <c r="S53" t="n">
        <v>90.1031957983118</v>
      </c>
      <c r="T53" t="n">
        <v>89.584367415596</v>
      </c>
      <c r="U53" t="n">
        <v>88.2008250616872</v>
      </c>
      <c r="V53" t="n">
        <v>90.5663644311577</v>
      </c>
      <c r="W53" t="n">
        <v>93.2653620466558</v>
      </c>
      <c r="X53" t="n">
        <v>94.6643424773556</v>
      </c>
      <c r="Y53" t="n">
        <v>95.1634514886598</v>
      </c>
      <c r="Z53" t="n">
        <v>94.8674531947604</v>
      </c>
      <c r="AA53" t="n">
        <v>92.8327625096181</v>
      </c>
      <c r="AB53" t="n">
        <v>94.6870998381498</v>
      </c>
      <c r="AC53" t="n">
        <v>97.1503438505886</v>
      </c>
      <c r="AD53" t="n">
        <v>99.7787610619469</v>
      </c>
      <c r="AE53" t="n">
        <v>100</v>
      </c>
      <c r="AF53" t="n">
        <v>102.909090909091</v>
      </c>
    </row>
    <row r="54">
      <c r="A54" t="s">
        <v>92</v>
      </c>
      <c r="B54" t="s">
        <v>378</v>
      </c>
      <c r="C54" t="s">
        <v>236</v>
      </c>
      <c r="D54" t="s">
        <v>379</v>
      </c>
      <c r="E54" t="s">
        <v>237</v>
      </c>
      <c r="F54" t="n">
        <v>72.3504297773256</v>
      </c>
      <c r="G54" t="n">
        <v>71.8866449710607</v>
      </c>
      <c r="H54" t="n">
        <v>72.1456959439294</v>
      </c>
      <c r="I54" t="n">
        <v>73.1893949810929</v>
      </c>
      <c r="J54" t="n">
        <v>75.3465560963251</v>
      </c>
      <c r="K54" t="n">
        <v>77.278519073154</v>
      </c>
      <c r="L54" t="n">
        <v>79.5556025080903</v>
      </c>
      <c r="M54" t="n">
        <v>79.5556025080903</v>
      </c>
      <c r="N54" t="n">
        <v>79.5556025080903</v>
      </c>
      <c r="O54" t="n">
        <v>80.7776547739596</v>
      </c>
      <c r="P54" t="n">
        <v>83.2530990331616</v>
      </c>
      <c r="Q54" t="n">
        <v>85.2561811151625</v>
      </c>
      <c r="R54" t="n">
        <v>88.0680604395412</v>
      </c>
      <c r="S54" t="n">
        <v>91.4466305331298</v>
      </c>
      <c r="T54" t="n">
        <v>90.990537612765</v>
      </c>
      <c r="U54" t="n">
        <v>88.8666798552189</v>
      </c>
      <c r="V54" t="n">
        <v>90.8185319967418</v>
      </c>
      <c r="W54" t="n">
        <v>93.2905157078957</v>
      </c>
      <c r="X54" t="n">
        <v>94.5313810921604</v>
      </c>
      <c r="Y54" t="n">
        <v>95.0070106825612</v>
      </c>
      <c r="Z54" t="n">
        <v>94.7932716259075</v>
      </c>
      <c r="AA54" t="n">
        <v>93.4432148580919</v>
      </c>
      <c r="AB54" t="n">
        <v>95.0793800987978</v>
      </c>
      <c r="AC54" t="n">
        <v>97.3184235325794</v>
      </c>
      <c r="AD54" t="n">
        <v>99.6527777777778</v>
      </c>
      <c r="AE54" t="n">
        <v>100</v>
      </c>
      <c r="AF54" t="n">
        <v>102.426343154246</v>
      </c>
    </row>
    <row r="55">
      <c r="A55" t="s">
        <v>92</v>
      </c>
      <c r="B55" t="s">
        <v>380</v>
      </c>
      <c r="C55" t="s">
        <v>236</v>
      </c>
      <c r="D55" t="s">
        <v>381</v>
      </c>
      <c r="E55" t="s">
        <v>237</v>
      </c>
      <c r="F55" t="n">
        <v>80.4639671018673</v>
      </c>
      <c r="G55" t="n">
        <v>80.4639671018673</v>
      </c>
      <c r="H55" t="n">
        <v>79.957904415692</v>
      </c>
      <c r="I55" t="n">
        <v>81.2758918511155</v>
      </c>
      <c r="J55" t="n">
        <v>83.2486076727446</v>
      </c>
      <c r="K55" t="n">
        <v>84.6360844672903</v>
      </c>
      <c r="L55" t="n">
        <v>86.475999347014</v>
      </c>
      <c r="M55" t="n">
        <v>85.9928932054106</v>
      </c>
      <c r="N55" t="n">
        <v>85.1892213062946</v>
      </c>
      <c r="O55" t="n">
        <v>86.295574829753</v>
      </c>
      <c r="P55" t="n">
        <v>88.2748311331876</v>
      </c>
      <c r="Q55" t="n">
        <v>89.6056074819292</v>
      </c>
      <c r="R55" t="n">
        <v>92.3209289207755</v>
      </c>
      <c r="S55" t="n">
        <v>94.6968351797661</v>
      </c>
      <c r="T55" t="n">
        <v>94.359835766315</v>
      </c>
      <c r="U55" t="n">
        <v>90.8532202479722</v>
      </c>
      <c r="V55" t="n">
        <v>91.9348062033052</v>
      </c>
      <c r="W55" t="n">
        <v>93.8421673278551</v>
      </c>
      <c r="X55" t="n">
        <v>94.6689705642238</v>
      </c>
      <c r="Y55" t="n">
        <v>95.087859814508</v>
      </c>
      <c r="Z55" t="n">
        <v>95.087859814508</v>
      </c>
      <c r="AA55" t="n">
        <v>95.8902890112549</v>
      </c>
      <c r="AB55" t="n">
        <v>96.7351373725876</v>
      </c>
      <c r="AC55" t="n">
        <v>98.0079681274901</v>
      </c>
      <c r="AD55" t="n">
        <v>99.1935483870968</v>
      </c>
      <c r="AE55" t="n">
        <v>100</v>
      </c>
      <c r="AF55" t="n">
        <v>101.215805471125</v>
      </c>
    </row>
    <row r="56">
      <c r="A56" t="s">
        <v>92</v>
      </c>
      <c r="B56" t="s">
        <v>382</v>
      </c>
      <c r="C56" t="s">
        <v>236</v>
      </c>
      <c r="D56" t="s">
        <v>383</v>
      </c>
      <c r="E56" t="s">
        <v>237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92</v>
      </c>
      <c r="B57" t="s">
        <v>384</v>
      </c>
      <c r="C57" t="s">
        <v>236</v>
      </c>
      <c r="D57" t="s">
        <v>385</v>
      </c>
      <c r="E57" t="s">
        <v>237</v>
      </c>
      <c r="F57" t="n">
        <v>62.0565368873523</v>
      </c>
      <c r="G57" t="n">
        <v>62.1456132560901</v>
      </c>
      <c r="H57" t="n">
        <v>63.3827415447972</v>
      </c>
      <c r="I57" t="n">
        <v>64.7401135865834</v>
      </c>
      <c r="J57" t="n">
        <v>65.9321464252352</v>
      </c>
      <c r="K57" t="n">
        <v>68.5558344307872</v>
      </c>
      <c r="L57" t="n">
        <v>70.8449547495913</v>
      </c>
      <c r="M57" t="n">
        <v>70.7765524199673</v>
      </c>
      <c r="N57" t="n">
        <v>70.9547119399035</v>
      </c>
      <c r="O57" t="n">
        <v>72.4703211581476</v>
      </c>
      <c r="P57" t="n">
        <v>74.9690922700278</v>
      </c>
      <c r="Q57" t="n">
        <v>77.1306635358451</v>
      </c>
      <c r="R57" t="n">
        <v>80.4212117579174</v>
      </c>
      <c r="S57" t="n">
        <v>84.0105931740282</v>
      </c>
      <c r="T57" t="n">
        <v>83.7316215681325</v>
      </c>
      <c r="U57" t="n">
        <v>82.3695703088621</v>
      </c>
      <c r="V57" t="n">
        <v>84.6657165074293</v>
      </c>
      <c r="W57" t="n">
        <v>87.9821372376734</v>
      </c>
      <c r="X57" t="n">
        <v>89.3945410863665</v>
      </c>
      <c r="Y57" t="n">
        <v>89.97012447975</v>
      </c>
      <c r="Z57" t="n">
        <v>90.4543100900314</v>
      </c>
      <c r="AA57" t="n">
        <v>91.4938456188003</v>
      </c>
      <c r="AB57" t="n">
        <v>93.2830663883233</v>
      </c>
      <c r="AC57" t="n">
        <v>95.7389441303805</v>
      </c>
      <c r="AD57" t="n">
        <v>98.8058472308009</v>
      </c>
      <c r="AE57" t="n">
        <v>100</v>
      </c>
      <c r="AF57" t="n">
        <v>102.43943585937</v>
      </c>
    </row>
    <row r="58">
      <c r="A58" t="s">
        <v>92</v>
      </c>
      <c r="B58" t="s">
        <v>386</v>
      </c>
      <c r="C58" t="s">
        <v>236</v>
      </c>
      <c r="D58" t="s">
        <v>387</v>
      </c>
      <c r="E58" t="s">
        <v>237</v>
      </c>
      <c r="F58" t="n">
        <v>62.0565368873523</v>
      </c>
      <c r="G58" t="n">
        <v>62.1456132560901</v>
      </c>
      <c r="H58" t="n">
        <v>63.3827415447972</v>
      </c>
      <c r="I58" t="n">
        <v>64.7401135865834</v>
      </c>
      <c r="J58" t="n">
        <v>65.9321464252352</v>
      </c>
      <c r="K58" t="n">
        <v>68.5558344307872</v>
      </c>
      <c r="L58" t="n">
        <v>70.8449547495913</v>
      </c>
      <c r="M58" t="n">
        <v>70.7765524199673</v>
      </c>
      <c r="N58" t="n">
        <v>70.9547119399035</v>
      </c>
      <c r="O58" t="n">
        <v>72.4703211581476</v>
      </c>
      <c r="P58" t="n">
        <v>74.9690922700278</v>
      </c>
      <c r="Q58" t="n">
        <v>77.1306635358451</v>
      </c>
      <c r="R58" t="n">
        <v>80.4212117579174</v>
      </c>
      <c r="S58" t="n">
        <v>84.0105931740282</v>
      </c>
      <c r="T58" t="n">
        <v>83.7316215681325</v>
      </c>
      <c r="U58" t="n">
        <v>82.3695703088621</v>
      </c>
      <c r="V58" t="n">
        <v>84.6657165074293</v>
      </c>
      <c r="W58" t="n">
        <v>87.9821372376734</v>
      </c>
      <c r="X58" t="n">
        <v>89.3945410863665</v>
      </c>
      <c r="Y58" t="n">
        <v>89.97012447975</v>
      </c>
      <c r="Z58" t="n">
        <v>90.4543100900314</v>
      </c>
      <c r="AA58" t="n">
        <v>91.4938456188003</v>
      </c>
      <c r="AB58" t="n">
        <v>93.2830663883233</v>
      </c>
      <c r="AC58" t="n">
        <v>95.7389441303805</v>
      </c>
      <c r="AD58" t="n">
        <v>98.8058472308009</v>
      </c>
      <c r="AE58" t="n">
        <v>100</v>
      </c>
      <c r="AF58" t="n">
        <v>102.43943585937</v>
      </c>
    </row>
    <row r="59">
      <c r="A59" t="s">
        <v>92</v>
      </c>
      <c r="B59" t="s">
        <v>388</v>
      </c>
      <c r="C59" t="s">
        <v>236</v>
      </c>
      <c r="D59" t="s">
        <v>389</v>
      </c>
      <c r="E59" t="s">
        <v>237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95</v>
      </c>
      <c r="B2" t="s">
        <v>197</v>
      </c>
      <c r="C2" t="s">
        <v>236</v>
      </c>
      <c r="D2" t="s">
        <v>199</v>
      </c>
      <c r="E2" t="s">
        <v>237</v>
      </c>
      <c r="F2" t="n">
        <v>61</v>
      </c>
      <c r="G2" t="n">
        <v>56</v>
      </c>
      <c r="H2" t="n">
        <v>53</v>
      </c>
      <c r="I2" t="n">
        <v>56</v>
      </c>
      <c r="J2" t="n">
        <v>57</v>
      </c>
      <c r="K2" t="n">
        <v>51</v>
      </c>
      <c r="L2" t="n">
        <v>38</v>
      </c>
      <c r="M2" t="n">
        <v>32</v>
      </c>
      <c r="N2" t="n">
        <v>29</v>
      </c>
      <c r="O2" t="n">
        <v>33</v>
      </c>
      <c r="P2" t="n">
        <v>36</v>
      </c>
      <c r="Q2" t="n">
        <v>36</v>
      </c>
      <c r="R2" t="n">
        <v>35</v>
      </c>
      <c r="S2" t="n">
        <v>35</v>
      </c>
      <c r="T2" t="n">
        <v>34</v>
      </c>
      <c r="U2" t="n">
        <v>37</v>
      </c>
      <c r="V2" t="n">
        <v>37</v>
      </c>
      <c r="W2" t="n">
        <v>38</v>
      </c>
      <c r="X2" t="n">
        <v>38</v>
      </c>
      <c r="Y2" t="n">
        <v>38</v>
      </c>
      <c r="Z2" t="n">
        <v>37</v>
      </c>
      <c r="AA2" t="n">
        <v>40</v>
      </c>
      <c r="AB2" t="n">
        <v>40</v>
      </c>
      <c r="AC2" t="n">
        <v>39</v>
      </c>
      <c r="AD2" t="n">
        <v>37</v>
      </c>
      <c r="AE2" t="n">
        <v>33</v>
      </c>
      <c r="AF2" t="n">
        <v>31</v>
      </c>
    </row>
    <row r="3">
      <c r="A3" t="s">
        <v>95</v>
      </c>
      <c r="B3" t="s">
        <v>276</v>
      </c>
      <c r="C3" t="s">
        <v>236</v>
      </c>
      <c r="D3" t="s">
        <v>277</v>
      </c>
      <c r="E3" t="s">
        <v>237</v>
      </c>
      <c r="F3" t="n">
        <v>3</v>
      </c>
      <c r="G3" t="n">
        <v>4</v>
      </c>
      <c r="H3" t="n">
        <v>2</v>
      </c>
      <c r="I3" t="n">
        <v>4</v>
      </c>
      <c r="J3" t="n">
        <v>4</v>
      </c>
      <c r="K3" t="n">
        <v>3</v>
      </c>
      <c r="L3" t="n">
        <v>3</v>
      </c>
      <c r="M3" t="n">
        <v>3</v>
      </c>
      <c r="N3" t="n">
        <v>4</v>
      </c>
      <c r="O3" t="n">
        <v>3</v>
      </c>
      <c r="P3" t="n">
        <v>3</v>
      </c>
      <c r="Q3" t="n">
        <v>3</v>
      </c>
      <c r="R3" t="n">
        <v>1</v>
      </c>
      <c r="S3" t="n">
        <v>3</v>
      </c>
      <c r="T3" t="n">
        <v>2</v>
      </c>
      <c r="U3" t="n">
        <v>2</v>
      </c>
      <c r="V3" t="n">
        <v>2</v>
      </c>
      <c r="W3" t="n">
        <v>5</v>
      </c>
      <c r="X3" t="n">
        <v>9</v>
      </c>
      <c r="Y3" t="n">
        <v>9</v>
      </c>
      <c r="Z3" t="n">
        <v>9</v>
      </c>
      <c r="AA3" t="n">
        <v>8</v>
      </c>
      <c r="AB3" t="n">
        <v>8</v>
      </c>
      <c r="AC3" t="n">
        <v>8</v>
      </c>
      <c r="AD3" t="n">
        <v>8</v>
      </c>
      <c r="AE3" t="n">
        <v>11</v>
      </c>
      <c r="AF3" t="n">
        <v>15</v>
      </c>
    </row>
    <row r="4">
      <c r="A4" t="s">
        <v>95</v>
      </c>
      <c r="B4" t="s">
        <v>278</v>
      </c>
      <c r="C4" t="s">
        <v>236</v>
      </c>
      <c r="D4" t="s">
        <v>279</v>
      </c>
      <c r="E4" t="s">
        <v>237</v>
      </c>
      <c r="F4" t="n">
        <v>372</v>
      </c>
      <c r="G4" t="n">
        <v>400</v>
      </c>
      <c r="H4" t="n">
        <v>376</v>
      </c>
      <c r="I4" t="n">
        <v>402</v>
      </c>
      <c r="J4" t="n">
        <v>390</v>
      </c>
      <c r="K4" t="n">
        <v>346</v>
      </c>
      <c r="L4" t="n">
        <v>279</v>
      </c>
      <c r="M4" t="n">
        <v>222</v>
      </c>
      <c r="N4" t="n">
        <v>199</v>
      </c>
      <c r="O4" t="n">
        <v>202</v>
      </c>
      <c r="P4" t="n">
        <v>194</v>
      </c>
      <c r="Q4" t="n">
        <v>248</v>
      </c>
      <c r="R4" t="n">
        <v>311</v>
      </c>
      <c r="S4" t="n">
        <v>309</v>
      </c>
      <c r="T4" t="n">
        <v>285</v>
      </c>
      <c r="U4" t="n">
        <v>264</v>
      </c>
      <c r="V4" t="n">
        <v>253</v>
      </c>
      <c r="W4" t="n">
        <v>259</v>
      </c>
      <c r="X4" t="n">
        <v>237</v>
      </c>
      <c r="Y4" t="n">
        <v>237</v>
      </c>
      <c r="Z4" t="n">
        <v>262</v>
      </c>
      <c r="AA4" t="n">
        <v>268</v>
      </c>
      <c r="AB4" t="n">
        <v>293</v>
      </c>
      <c r="AC4" t="n">
        <v>298</v>
      </c>
      <c r="AD4" t="n">
        <v>298</v>
      </c>
      <c r="AE4" t="n">
        <v>286</v>
      </c>
      <c r="AF4" t="n">
        <v>297</v>
      </c>
    </row>
    <row r="5">
      <c r="A5" t="s">
        <v>95</v>
      </c>
      <c r="B5" t="s">
        <v>280</v>
      </c>
      <c r="C5" t="s">
        <v>236</v>
      </c>
      <c r="D5" t="s">
        <v>281</v>
      </c>
      <c r="E5" t="s">
        <v>237</v>
      </c>
      <c r="F5" t="n">
        <v>45</v>
      </c>
      <c r="G5" t="n">
        <v>46</v>
      </c>
      <c r="H5" t="n">
        <v>41</v>
      </c>
      <c r="I5" t="n">
        <v>45</v>
      </c>
      <c r="J5" t="n">
        <v>44</v>
      </c>
      <c r="K5" t="n">
        <v>37</v>
      </c>
      <c r="L5" t="n">
        <v>31</v>
      </c>
      <c r="M5" t="n">
        <v>26</v>
      </c>
      <c r="N5" t="n">
        <v>25</v>
      </c>
      <c r="O5" t="n">
        <v>25</v>
      </c>
      <c r="P5" t="n">
        <v>25</v>
      </c>
      <c r="Q5" t="n">
        <v>27</v>
      </c>
      <c r="R5" t="n">
        <v>32</v>
      </c>
      <c r="S5" t="n">
        <v>31</v>
      </c>
      <c r="T5" t="n">
        <v>34</v>
      </c>
      <c r="U5" t="n">
        <v>30</v>
      </c>
      <c r="V5" t="n">
        <v>30</v>
      </c>
      <c r="W5" t="n">
        <v>29</v>
      </c>
      <c r="X5" t="n">
        <v>29</v>
      </c>
      <c r="Y5" t="n">
        <v>30</v>
      </c>
      <c r="Z5" t="n">
        <v>33</v>
      </c>
      <c r="AA5" t="n">
        <v>35</v>
      </c>
      <c r="AB5" t="n">
        <v>46</v>
      </c>
      <c r="AC5" t="n">
        <v>44</v>
      </c>
      <c r="AD5" t="n">
        <v>40</v>
      </c>
      <c r="AE5" t="n">
        <v>38</v>
      </c>
      <c r="AF5" t="n">
        <v>37</v>
      </c>
    </row>
    <row r="6">
      <c r="A6" t="s">
        <v>95</v>
      </c>
      <c r="B6" t="s">
        <v>282</v>
      </c>
      <c r="C6" t="s">
        <v>236</v>
      </c>
      <c r="D6" t="s">
        <v>283</v>
      </c>
      <c r="E6" t="s">
        <v>237</v>
      </c>
      <c r="F6" t="n">
        <v>9</v>
      </c>
      <c r="G6" t="n">
        <v>10</v>
      </c>
      <c r="H6" t="n">
        <v>8</v>
      </c>
      <c r="I6" t="n">
        <v>9</v>
      </c>
      <c r="J6" t="n">
        <v>7</v>
      </c>
      <c r="K6" t="n">
        <v>6</v>
      </c>
      <c r="L6" t="n">
        <v>5</v>
      </c>
      <c r="M6" t="n">
        <v>3</v>
      </c>
      <c r="N6" t="n">
        <v>3</v>
      </c>
      <c r="O6" t="n">
        <v>3</v>
      </c>
      <c r="P6" t="n">
        <v>2</v>
      </c>
      <c r="Q6" t="n">
        <v>3</v>
      </c>
      <c r="R6" t="n">
        <v>4</v>
      </c>
      <c r="S6" t="n">
        <v>4</v>
      </c>
      <c r="T6" t="n">
        <v>3</v>
      </c>
      <c r="U6" t="n">
        <v>2</v>
      </c>
      <c r="V6" t="n">
        <v>1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95</v>
      </c>
      <c r="B7" t="s">
        <v>284</v>
      </c>
      <c r="C7" t="s">
        <v>236</v>
      </c>
      <c r="D7" t="s">
        <v>285</v>
      </c>
      <c r="E7" t="s">
        <v>237</v>
      </c>
      <c r="F7" t="n">
        <v>107</v>
      </c>
      <c r="G7" t="n">
        <v>141</v>
      </c>
      <c r="H7" t="n">
        <v>128</v>
      </c>
      <c r="I7" t="n">
        <v>140</v>
      </c>
      <c r="J7" t="n">
        <v>131</v>
      </c>
      <c r="K7" t="n">
        <v>113</v>
      </c>
      <c r="L7" t="n">
        <v>93</v>
      </c>
      <c r="M7" t="n">
        <v>71</v>
      </c>
      <c r="N7" t="n">
        <v>66</v>
      </c>
      <c r="O7" t="n">
        <v>60</v>
      </c>
      <c r="P7" t="n">
        <v>54</v>
      </c>
      <c r="Q7" t="n">
        <v>62</v>
      </c>
      <c r="R7" t="n">
        <v>63</v>
      </c>
      <c r="S7" t="n">
        <v>66</v>
      </c>
      <c r="T7" t="n">
        <v>50</v>
      </c>
      <c r="U7" t="n">
        <v>45</v>
      </c>
      <c r="V7" t="n">
        <v>44</v>
      </c>
      <c r="W7" t="n">
        <v>42</v>
      </c>
      <c r="X7" t="n">
        <v>40</v>
      </c>
      <c r="Y7" t="n">
        <v>39</v>
      </c>
      <c r="Z7" t="n">
        <v>41</v>
      </c>
      <c r="AA7" t="n">
        <v>47</v>
      </c>
      <c r="AB7" t="n">
        <v>67</v>
      </c>
      <c r="AC7" t="n">
        <v>65</v>
      </c>
      <c r="AD7" t="n">
        <v>64</v>
      </c>
      <c r="AE7" t="n">
        <v>59</v>
      </c>
      <c r="AF7" t="n">
        <v>61</v>
      </c>
    </row>
    <row r="8">
      <c r="A8" t="s">
        <v>95</v>
      </c>
      <c r="B8" t="s">
        <v>286</v>
      </c>
      <c r="C8" t="s">
        <v>236</v>
      </c>
      <c r="D8" t="s">
        <v>287</v>
      </c>
      <c r="E8" t="s">
        <v>237</v>
      </c>
      <c r="F8" t="n">
        <v>5</v>
      </c>
      <c r="G8" t="n">
        <v>5</v>
      </c>
      <c r="H8" t="n">
        <v>10</v>
      </c>
      <c r="I8" t="n">
        <v>7</v>
      </c>
      <c r="J8" t="n">
        <v>8</v>
      </c>
      <c r="K8" t="n">
        <v>6</v>
      </c>
      <c r="L8" t="n">
        <v>6</v>
      </c>
      <c r="M8" t="n">
        <v>4</v>
      </c>
      <c r="N8" t="n">
        <v>4</v>
      </c>
      <c r="O8" t="n">
        <v>3</v>
      </c>
      <c r="P8" t="n">
        <v>7</v>
      </c>
      <c r="Q8" t="n">
        <v>13</v>
      </c>
      <c r="R8" t="n">
        <v>34</v>
      </c>
      <c r="S8" t="n">
        <v>29</v>
      </c>
      <c r="T8" t="n">
        <v>21</v>
      </c>
      <c r="U8" t="n">
        <v>22</v>
      </c>
      <c r="V8" t="n">
        <v>17</v>
      </c>
      <c r="W8" t="n">
        <v>17</v>
      </c>
      <c r="X8" t="n">
        <v>17</v>
      </c>
      <c r="Y8" t="n">
        <v>18</v>
      </c>
      <c r="Z8" t="n">
        <v>27</v>
      </c>
      <c r="AA8" t="n">
        <v>15</v>
      </c>
      <c r="AB8" t="n">
        <v>0</v>
      </c>
      <c r="AC8" t="n">
        <v>0</v>
      </c>
      <c r="AD8" t="n">
        <v>0</v>
      </c>
      <c r="AE8" t="n">
        <v>0</v>
      </c>
      <c r="AF8" t="n">
        <v>2</v>
      </c>
    </row>
    <row r="9">
      <c r="A9" t="s">
        <v>95</v>
      </c>
      <c r="B9" t="s">
        <v>288</v>
      </c>
      <c r="C9" t="s">
        <v>236</v>
      </c>
      <c r="D9" t="s">
        <v>289</v>
      </c>
      <c r="E9" t="s">
        <v>237</v>
      </c>
      <c r="F9" t="n">
        <v>32</v>
      </c>
      <c r="G9" t="n">
        <v>28</v>
      </c>
      <c r="H9" t="n">
        <v>24</v>
      </c>
      <c r="I9" t="n">
        <v>23</v>
      </c>
      <c r="J9" t="n">
        <v>25</v>
      </c>
      <c r="K9" t="n">
        <v>20</v>
      </c>
      <c r="L9" t="n">
        <v>15</v>
      </c>
      <c r="M9" t="n">
        <v>13</v>
      </c>
      <c r="N9" t="n">
        <v>12</v>
      </c>
      <c r="O9" t="n">
        <v>13</v>
      </c>
      <c r="P9" t="n">
        <v>12</v>
      </c>
      <c r="Q9" t="n">
        <v>14</v>
      </c>
      <c r="R9" t="n">
        <v>21</v>
      </c>
      <c r="S9" t="n">
        <v>19</v>
      </c>
      <c r="T9" t="n">
        <v>19</v>
      </c>
      <c r="U9" t="n">
        <v>15</v>
      </c>
      <c r="V9" t="n">
        <v>15</v>
      </c>
      <c r="W9" t="n">
        <v>16</v>
      </c>
      <c r="X9" t="n">
        <v>18</v>
      </c>
      <c r="Y9" t="n">
        <v>18</v>
      </c>
      <c r="Z9" t="n">
        <v>23</v>
      </c>
      <c r="AA9" t="n">
        <v>30</v>
      </c>
      <c r="AB9" t="n">
        <v>39</v>
      </c>
      <c r="AC9" t="n">
        <v>41</v>
      </c>
      <c r="AD9" t="n">
        <v>40</v>
      </c>
      <c r="AE9" t="n">
        <v>39</v>
      </c>
      <c r="AF9" t="n">
        <v>44</v>
      </c>
    </row>
    <row r="10">
      <c r="A10" t="s">
        <v>95</v>
      </c>
      <c r="B10" t="s">
        <v>290</v>
      </c>
      <c r="C10" t="s">
        <v>236</v>
      </c>
      <c r="D10" t="s">
        <v>291</v>
      </c>
      <c r="E10" t="s">
        <v>237</v>
      </c>
      <c r="F10" t="n">
        <v>35</v>
      </c>
      <c r="G10" t="n">
        <v>31</v>
      </c>
      <c r="H10" t="n">
        <v>27</v>
      </c>
      <c r="I10" t="n">
        <v>25</v>
      </c>
      <c r="J10" t="n">
        <v>27</v>
      </c>
      <c r="K10" t="n">
        <v>22</v>
      </c>
      <c r="L10" t="n">
        <v>16</v>
      </c>
      <c r="M10" t="n">
        <v>15</v>
      </c>
      <c r="N10" t="n">
        <v>13</v>
      </c>
      <c r="O10" t="n">
        <v>14</v>
      </c>
      <c r="P10" t="n">
        <v>12</v>
      </c>
      <c r="Q10" t="n">
        <v>15</v>
      </c>
      <c r="R10" t="n">
        <v>23</v>
      </c>
      <c r="S10" t="n">
        <v>21</v>
      </c>
      <c r="T10" t="n">
        <v>21</v>
      </c>
      <c r="U10" t="n">
        <v>17</v>
      </c>
      <c r="V10" t="n">
        <v>17</v>
      </c>
      <c r="W10" t="n">
        <v>18</v>
      </c>
      <c r="X10" t="n">
        <v>20</v>
      </c>
      <c r="Y10" t="n">
        <v>21</v>
      </c>
      <c r="Z10" t="n">
        <v>26</v>
      </c>
      <c r="AA10" t="n">
        <v>33</v>
      </c>
      <c r="AB10" t="n">
        <v>42</v>
      </c>
      <c r="AC10" t="n">
        <v>45</v>
      </c>
      <c r="AD10" t="n">
        <v>44</v>
      </c>
      <c r="AE10" t="n">
        <v>43</v>
      </c>
      <c r="AF10" t="n">
        <v>49</v>
      </c>
    </row>
    <row r="11">
      <c r="A11" t="s">
        <v>95</v>
      </c>
      <c r="B11" t="s">
        <v>292</v>
      </c>
      <c r="C11" t="s">
        <v>236</v>
      </c>
      <c r="D11" t="s">
        <v>293</v>
      </c>
      <c r="E11" t="s">
        <v>237</v>
      </c>
      <c r="F11" t="n">
        <v>3</v>
      </c>
      <c r="G11" t="n">
        <v>3</v>
      </c>
      <c r="H11" t="n">
        <v>3</v>
      </c>
      <c r="I11" t="n">
        <v>2</v>
      </c>
      <c r="J11" t="n">
        <v>2</v>
      </c>
      <c r="K11" t="n">
        <v>2</v>
      </c>
      <c r="L11" t="n">
        <v>1</v>
      </c>
      <c r="M11" t="n">
        <v>2</v>
      </c>
      <c r="N11" t="n">
        <v>1</v>
      </c>
      <c r="O11" t="n">
        <v>1</v>
      </c>
      <c r="P11" t="n">
        <v>0</v>
      </c>
      <c r="Q11" t="n">
        <v>1</v>
      </c>
      <c r="R11" t="n">
        <v>2</v>
      </c>
      <c r="S11" t="n">
        <v>2</v>
      </c>
      <c r="T11" t="n">
        <v>2</v>
      </c>
      <c r="U11" t="n">
        <v>2</v>
      </c>
      <c r="V11" t="n">
        <v>2</v>
      </c>
      <c r="W11" t="n">
        <v>2</v>
      </c>
      <c r="X11" t="n">
        <v>2</v>
      </c>
      <c r="Y11" t="n">
        <v>3</v>
      </c>
      <c r="Z11" t="n">
        <v>3</v>
      </c>
      <c r="AA11" t="n">
        <v>3</v>
      </c>
      <c r="AB11" t="n">
        <v>3</v>
      </c>
      <c r="AC11" t="n">
        <v>4</v>
      </c>
      <c r="AD11" t="n">
        <v>4</v>
      </c>
      <c r="AE11" t="n">
        <v>4</v>
      </c>
      <c r="AF11" t="n">
        <v>5</v>
      </c>
    </row>
    <row r="12">
      <c r="A12" t="s">
        <v>95</v>
      </c>
      <c r="B12" t="s">
        <v>294</v>
      </c>
      <c r="C12" t="s">
        <v>236</v>
      </c>
      <c r="D12" t="s">
        <v>295</v>
      </c>
      <c r="E12" t="s">
        <v>237</v>
      </c>
      <c r="F12" t="n">
        <v>26</v>
      </c>
      <c r="G12" t="n">
        <v>24</v>
      </c>
      <c r="H12" t="n">
        <v>22</v>
      </c>
      <c r="I12" t="n">
        <v>27</v>
      </c>
      <c r="J12" t="n">
        <v>29</v>
      </c>
      <c r="K12" t="n">
        <v>30</v>
      </c>
      <c r="L12" t="n">
        <v>22</v>
      </c>
      <c r="M12" t="n">
        <v>16</v>
      </c>
      <c r="N12" t="n">
        <v>16</v>
      </c>
      <c r="O12" t="n">
        <v>17</v>
      </c>
      <c r="P12" t="n">
        <v>16</v>
      </c>
      <c r="Q12" t="n">
        <v>22</v>
      </c>
      <c r="R12" t="n">
        <v>27</v>
      </c>
      <c r="S12" t="n">
        <v>26</v>
      </c>
      <c r="T12" t="n">
        <v>25</v>
      </c>
      <c r="U12" t="n">
        <v>23</v>
      </c>
      <c r="V12" t="n">
        <v>22</v>
      </c>
      <c r="W12" t="n">
        <v>23</v>
      </c>
      <c r="X12" t="n">
        <v>19</v>
      </c>
      <c r="Y12" t="n">
        <v>20</v>
      </c>
      <c r="Z12" t="n">
        <v>19</v>
      </c>
      <c r="AA12" t="n">
        <v>19</v>
      </c>
      <c r="AB12" t="n">
        <v>16</v>
      </c>
      <c r="AC12" t="n">
        <v>15</v>
      </c>
      <c r="AD12" t="n">
        <v>15</v>
      </c>
      <c r="AE12" t="n">
        <v>15</v>
      </c>
      <c r="AF12" t="n">
        <v>16</v>
      </c>
    </row>
    <row r="13">
      <c r="A13" t="s">
        <v>95</v>
      </c>
      <c r="B13" t="s">
        <v>296</v>
      </c>
      <c r="C13" t="s">
        <v>236</v>
      </c>
      <c r="D13" t="s">
        <v>297</v>
      </c>
      <c r="E13" t="s">
        <v>237</v>
      </c>
      <c r="F13" t="n">
        <v>68</v>
      </c>
      <c r="G13" t="n">
        <v>65</v>
      </c>
      <c r="H13" t="n">
        <v>65</v>
      </c>
      <c r="I13" t="n">
        <v>69</v>
      </c>
      <c r="J13" t="n">
        <v>60</v>
      </c>
      <c r="K13" t="n">
        <v>54</v>
      </c>
      <c r="L13" t="n">
        <v>42</v>
      </c>
      <c r="M13" t="n">
        <v>40</v>
      </c>
      <c r="N13" t="n">
        <v>31</v>
      </c>
      <c r="O13" t="n">
        <v>41</v>
      </c>
      <c r="P13" t="n">
        <v>36</v>
      </c>
      <c r="Q13" t="n">
        <v>37</v>
      </c>
      <c r="R13" t="n">
        <v>44</v>
      </c>
      <c r="S13" t="n">
        <v>43</v>
      </c>
      <c r="T13" t="n">
        <v>47</v>
      </c>
      <c r="U13" t="n">
        <v>45</v>
      </c>
      <c r="V13" t="n">
        <v>40</v>
      </c>
      <c r="W13" t="n">
        <v>49</v>
      </c>
      <c r="X13" t="n">
        <v>40</v>
      </c>
      <c r="Y13" t="n">
        <v>37</v>
      </c>
      <c r="Z13" t="n">
        <v>37</v>
      </c>
      <c r="AA13" t="n">
        <v>39</v>
      </c>
      <c r="AB13" t="n">
        <v>40</v>
      </c>
      <c r="AC13" t="n">
        <v>43</v>
      </c>
      <c r="AD13" t="n">
        <v>49</v>
      </c>
      <c r="AE13" t="n">
        <v>45</v>
      </c>
      <c r="AF13" t="n">
        <v>42</v>
      </c>
    </row>
    <row r="14">
      <c r="A14" t="s">
        <v>95</v>
      </c>
      <c r="B14" t="s">
        <v>298</v>
      </c>
      <c r="C14" t="s">
        <v>236</v>
      </c>
      <c r="D14" t="s">
        <v>299</v>
      </c>
      <c r="E14" t="s">
        <v>237</v>
      </c>
      <c r="F14" t="n">
        <v>32</v>
      </c>
      <c r="G14" t="n">
        <v>28</v>
      </c>
      <c r="H14" t="n">
        <v>25</v>
      </c>
      <c r="I14" t="n">
        <v>30</v>
      </c>
      <c r="J14" t="n">
        <v>36</v>
      </c>
      <c r="K14" t="n">
        <v>35</v>
      </c>
      <c r="L14" t="n">
        <v>30</v>
      </c>
      <c r="M14" t="n">
        <v>23</v>
      </c>
      <c r="N14" t="n">
        <v>18</v>
      </c>
      <c r="O14" t="n">
        <v>17</v>
      </c>
      <c r="P14" t="n">
        <v>18</v>
      </c>
      <c r="Q14" t="n">
        <v>41</v>
      </c>
      <c r="R14" t="n">
        <v>53</v>
      </c>
      <c r="S14" t="n">
        <v>53</v>
      </c>
      <c r="T14" t="n">
        <v>47</v>
      </c>
      <c r="U14" t="n">
        <v>48</v>
      </c>
      <c r="V14" t="n">
        <v>50</v>
      </c>
      <c r="W14" t="n">
        <v>49</v>
      </c>
      <c r="X14" t="n">
        <v>42</v>
      </c>
      <c r="Y14" t="n">
        <v>44</v>
      </c>
      <c r="Z14" t="n">
        <v>49</v>
      </c>
      <c r="AA14" t="n">
        <v>51</v>
      </c>
      <c r="AB14" t="n">
        <v>55</v>
      </c>
      <c r="AC14" t="n">
        <v>56</v>
      </c>
      <c r="AD14" t="n">
        <v>56</v>
      </c>
      <c r="AE14" t="n">
        <v>59</v>
      </c>
      <c r="AF14" t="n">
        <v>62</v>
      </c>
    </row>
    <row r="15">
      <c r="A15" t="s">
        <v>95</v>
      </c>
      <c r="B15" t="s">
        <v>300</v>
      </c>
      <c r="C15" t="s">
        <v>236</v>
      </c>
      <c r="D15" t="s">
        <v>301</v>
      </c>
      <c r="E15" t="s">
        <v>237</v>
      </c>
      <c r="F15" t="n">
        <v>40</v>
      </c>
      <c r="G15" t="n">
        <v>37</v>
      </c>
      <c r="H15" t="n">
        <v>34</v>
      </c>
      <c r="I15" t="n">
        <v>40</v>
      </c>
      <c r="J15" t="n">
        <v>45</v>
      </c>
      <c r="K15" t="n">
        <v>43</v>
      </c>
      <c r="L15" t="n">
        <v>36</v>
      </c>
      <c r="M15" t="n">
        <v>27</v>
      </c>
      <c r="N15" t="n">
        <v>22</v>
      </c>
      <c r="O15" t="n">
        <v>20</v>
      </c>
      <c r="P15" t="n">
        <v>22</v>
      </c>
      <c r="Q15" t="n">
        <v>46</v>
      </c>
      <c r="R15" t="n">
        <v>60</v>
      </c>
      <c r="S15" t="n">
        <v>60</v>
      </c>
      <c r="T15" t="n">
        <v>55</v>
      </c>
      <c r="U15" t="n">
        <v>56</v>
      </c>
      <c r="V15" t="n">
        <v>59</v>
      </c>
      <c r="W15" t="n">
        <v>57</v>
      </c>
      <c r="X15" t="n">
        <v>51</v>
      </c>
      <c r="Y15" t="n">
        <v>51</v>
      </c>
      <c r="Z15" t="n">
        <v>56</v>
      </c>
      <c r="AA15" t="n">
        <v>57</v>
      </c>
      <c r="AB15" t="n">
        <v>61</v>
      </c>
      <c r="AC15" t="n">
        <v>63</v>
      </c>
      <c r="AD15" t="n">
        <v>62</v>
      </c>
      <c r="AE15" t="n">
        <v>65</v>
      </c>
      <c r="AF15" t="n">
        <v>68</v>
      </c>
    </row>
    <row r="16">
      <c r="A16" t="s">
        <v>95</v>
      </c>
      <c r="B16" t="s">
        <v>302</v>
      </c>
      <c r="C16" t="s">
        <v>236</v>
      </c>
      <c r="D16" t="s">
        <v>303</v>
      </c>
      <c r="E16" t="s">
        <v>237</v>
      </c>
      <c r="F16" t="n">
        <v>8</v>
      </c>
      <c r="G16" t="n">
        <v>9</v>
      </c>
      <c r="H16" t="n">
        <v>9</v>
      </c>
      <c r="I16" t="n">
        <v>10</v>
      </c>
      <c r="J16" t="n">
        <v>9</v>
      </c>
      <c r="K16" t="n">
        <v>8</v>
      </c>
      <c r="L16" t="n">
        <v>6</v>
      </c>
      <c r="M16" t="n">
        <v>4</v>
      </c>
      <c r="N16" t="n">
        <v>4</v>
      </c>
      <c r="O16" t="n">
        <v>3</v>
      </c>
      <c r="P16" t="n">
        <v>4</v>
      </c>
      <c r="Q16" t="n">
        <v>5</v>
      </c>
      <c r="R16" t="n">
        <v>7</v>
      </c>
      <c r="S16" t="n">
        <v>7</v>
      </c>
      <c r="T16" t="n">
        <v>8</v>
      </c>
      <c r="U16" t="n">
        <v>8</v>
      </c>
      <c r="V16" t="n">
        <v>9</v>
      </c>
      <c r="W16" t="n">
        <v>8</v>
      </c>
      <c r="X16" t="n">
        <v>9</v>
      </c>
      <c r="Y16" t="n">
        <v>7</v>
      </c>
      <c r="Z16" t="n">
        <v>7</v>
      </c>
      <c r="AA16" t="n">
        <v>6</v>
      </c>
      <c r="AB16" t="n">
        <v>6</v>
      </c>
      <c r="AC16" t="n">
        <v>7</v>
      </c>
      <c r="AD16" t="n">
        <v>6</v>
      </c>
      <c r="AE16" t="n">
        <v>6</v>
      </c>
      <c r="AF16" t="n">
        <v>6</v>
      </c>
    </row>
    <row r="17">
      <c r="A17" t="s">
        <v>95</v>
      </c>
      <c r="B17" t="s">
        <v>304</v>
      </c>
      <c r="C17" t="s">
        <v>236</v>
      </c>
      <c r="D17" t="s">
        <v>305</v>
      </c>
      <c r="E17" t="s">
        <v>237</v>
      </c>
      <c r="F17" t="n">
        <v>21</v>
      </c>
      <c r="G17" t="n">
        <v>23</v>
      </c>
      <c r="H17" t="n">
        <v>23</v>
      </c>
      <c r="I17" t="n">
        <v>21</v>
      </c>
      <c r="J17" t="n">
        <v>21</v>
      </c>
      <c r="K17" t="n">
        <v>18</v>
      </c>
      <c r="L17" t="n">
        <v>14</v>
      </c>
      <c r="M17" t="n">
        <v>10</v>
      </c>
      <c r="N17" t="n">
        <v>10</v>
      </c>
      <c r="O17" t="n">
        <v>10</v>
      </c>
      <c r="P17" t="n">
        <v>11</v>
      </c>
      <c r="Q17" t="n">
        <v>13</v>
      </c>
      <c r="R17" t="n">
        <v>13</v>
      </c>
      <c r="S17" t="n">
        <v>17</v>
      </c>
      <c r="T17" t="n">
        <v>18</v>
      </c>
      <c r="U17" t="n">
        <v>14</v>
      </c>
      <c r="V17" t="n">
        <v>13</v>
      </c>
      <c r="W17" t="n">
        <v>13</v>
      </c>
      <c r="X17" t="n">
        <v>12</v>
      </c>
      <c r="Y17" t="n">
        <v>12</v>
      </c>
      <c r="Z17" t="n">
        <v>12</v>
      </c>
      <c r="AA17" t="n">
        <v>12</v>
      </c>
      <c r="AB17" t="n">
        <v>11</v>
      </c>
      <c r="AC17" t="n">
        <v>13</v>
      </c>
      <c r="AD17" t="n">
        <v>15</v>
      </c>
      <c r="AE17" t="n">
        <v>14</v>
      </c>
      <c r="AF17" t="n">
        <v>15</v>
      </c>
    </row>
    <row r="18">
      <c r="A18" t="s">
        <v>95</v>
      </c>
      <c r="B18" t="s">
        <v>306</v>
      </c>
      <c r="C18" t="s">
        <v>236</v>
      </c>
      <c r="D18" t="s">
        <v>307</v>
      </c>
      <c r="E18" t="s">
        <v>237</v>
      </c>
      <c r="F18" t="n">
        <v>7</v>
      </c>
      <c r="G18" t="n">
        <v>7</v>
      </c>
      <c r="H18" t="n">
        <v>6</v>
      </c>
      <c r="I18" t="n">
        <v>6</v>
      </c>
      <c r="J18" t="n">
        <v>5</v>
      </c>
      <c r="K18" t="n">
        <v>5</v>
      </c>
      <c r="L18" t="n">
        <v>5</v>
      </c>
      <c r="M18" t="n">
        <v>3</v>
      </c>
      <c r="N18" t="n">
        <v>3</v>
      </c>
      <c r="O18" t="n">
        <v>3</v>
      </c>
      <c r="P18" t="n">
        <v>4</v>
      </c>
      <c r="Q18" t="n">
        <v>4</v>
      </c>
      <c r="R18" t="n">
        <v>4</v>
      </c>
      <c r="S18" t="n">
        <v>4</v>
      </c>
      <c r="T18" t="n">
        <v>5</v>
      </c>
      <c r="U18" t="n">
        <v>5</v>
      </c>
      <c r="V18" t="n">
        <v>5</v>
      </c>
      <c r="W18" t="n">
        <v>5</v>
      </c>
      <c r="X18" t="n">
        <v>4</v>
      </c>
      <c r="Y18" t="n">
        <v>3</v>
      </c>
      <c r="Z18" t="n">
        <v>3</v>
      </c>
      <c r="AA18" t="n">
        <v>1</v>
      </c>
      <c r="AB18" t="n">
        <v>1</v>
      </c>
      <c r="AC18" t="n">
        <v>1</v>
      </c>
      <c r="AD18" t="n">
        <v>0</v>
      </c>
      <c r="AE18" t="n">
        <v>0</v>
      </c>
      <c r="AF18" t="n">
        <v>0</v>
      </c>
    </row>
    <row r="19">
      <c r="A19" t="s">
        <v>95</v>
      </c>
      <c r="B19" t="s">
        <v>308</v>
      </c>
      <c r="C19" t="s">
        <v>236</v>
      </c>
      <c r="D19" t="s">
        <v>309</v>
      </c>
      <c r="E19" t="s">
        <v>237</v>
      </c>
      <c r="F19" t="n">
        <v>9</v>
      </c>
      <c r="G19" t="n">
        <v>11</v>
      </c>
      <c r="H19" t="n">
        <v>12</v>
      </c>
      <c r="I19" t="n">
        <v>13</v>
      </c>
      <c r="J19" t="n">
        <v>13</v>
      </c>
      <c r="K19" t="n">
        <v>12</v>
      </c>
      <c r="L19" t="n">
        <v>9</v>
      </c>
      <c r="M19" t="n">
        <v>7</v>
      </c>
      <c r="N19" t="n">
        <v>6</v>
      </c>
      <c r="O19" t="n">
        <v>6</v>
      </c>
      <c r="P19" t="n">
        <v>5</v>
      </c>
      <c r="Q19" t="n">
        <v>6</v>
      </c>
      <c r="R19" t="n">
        <v>7</v>
      </c>
      <c r="S19" t="n">
        <v>8</v>
      </c>
      <c r="T19" t="n">
        <v>6</v>
      </c>
      <c r="U19" t="n">
        <v>5</v>
      </c>
      <c r="V19" t="n">
        <v>5</v>
      </c>
      <c r="W19" t="n">
        <v>5</v>
      </c>
      <c r="X19" t="n">
        <v>5</v>
      </c>
      <c r="Y19" t="n">
        <v>6</v>
      </c>
      <c r="Z19" t="n">
        <v>8</v>
      </c>
      <c r="AA19" t="n">
        <v>10</v>
      </c>
      <c r="AB19" t="n">
        <v>9</v>
      </c>
      <c r="AC19" t="n">
        <v>9</v>
      </c>
      <c r="AD19" t="n">
        <v>9</v>
      </c>
      <c r="AE19" t="n">
        <v>7</v>
      </c>
      <c r="AF19" t="n">
        <v>7</v>
      </c>
    </row>
    <row r="20">
      <c r="A20" t="s">
        <v>95</v>
      </c>
      <c r="B20" t="s">
        <v>310</v>
      </c>
      <c r="C20" t="s">
        <v>236</v>
      </c>
      <c r="D20" t="s">
        <v>311</v>
      </c>
      <c r="E20" t="s">
        <v>237</v>
      </c>
      <c r="F20" t="n">
        <v>73</v>
      </c>
      <c r="G20" t="n">
        <v>66</v>
      </c>
      <c r="H20" t="n">
        <v>64</v>
      </c>
      <c r="I20" t="n">
        <v>57</v>
      </c>
      <c r="J20" t="n">
        <v>51</v>
      </c>
      <c r="K20" t="n">
        <v>50</v>
      </c>
      <c r="L20" t="n">
        <v>38</v>
      </c>
      <c r="M20" t="n">
        <v>35</v>
      </c>
      <c r="N20" t="n">
        <v>32</v>
      </c>
      <c r="O20" t="n">
        <v>38</v>
      </c>
      <c r="P20" t="n">
        <v>39</v>
      </c>
      <c r="Q20" t="n">
        <v>38</v>
      </c>
      <c r="R20" t="n">
        <v>38</v>
      </c>
      <c r="S20" t="n">
        <v>33</v>
      </c>
      <c r="T20" t="n">
        <v>37</v>
      </c>
      <c r="U20" t="n">
        <v>33</v>
      </c>
      <c r="V20" t="n">
        <v>30</v>
      </c>
      <c r="W20" t="n">
        <v>27</v>
      </c>
      <c r="X20" t="n">
        <v>26</v>
      </c>
      <c r="Y20" t="n">
        <v>25</v>
      </c>
      <c r="Z20" t="n">
        <v>26</v>
      </c>
      <c r="AA20" t="n">
        <v>29</v>
      </c>
      <c r="AB20" t="n">
        <v>30</v>
      </c>
      <c r="AC20" t="n">
        <v>30</v>
      </c>
      <c r="AD20" t="n">
        <v>29</v>
      </c>
      <c r="AE20" t="n">
        <v>28</v>
      </c>
      <c r="AF20" t="n">
        <v>28</v>
      </c>
    </row>
    <row r="21">
      <c r="A21" t="s">
        <v>95</v>
      </c>
      <c r="B21" t="s">
        <v>312</v>
      </c>
      <c r="C21" t="s">
        <v>236</v>
      </c>
      <c r="D21" t="s">
        <v>313</v>
      </c>
      <c r="E21" t="s">
        <v>237</v>
      </c>
      <c r="F21" t="n">
        <v>78</v>
      </c>
      <c r="G21" t="n">
        <v>71</v>
      </c>
      <c r="H21" t="n">
        <v>67</v>
      </c>
      <c r="I21" t="n">
        <v>60</v>
      </c>
      <c r="J21" t="n">
        <v>53</v>
      </c>
      <c r="K21" t="n">
        <v>53</v>
      </c>
      <c r="L21" t="n">
        <v>40</v>
      </c>
      <c r="M21" t="n">
        <v>36</v>
      </c>
      <c r="N21" t="n">
        <v>33</v>
      </c>
      <c r="O21" t="n">
        <v>39</v>
      </c>
      <c r="P21" t="n">
        <v>41</v>
      </c>
      <c r="Q21" t="n">
        <v>40</v>
      </c>
      <c r="R21" t="n">
        <v>42</v>
      </c>
      <c r="S21" t="n">
        <v>36</v>
      </c>
      <c r="T21" t="n">
        <v>40</v>
      </c>
      <c r="U21" t="n">
        <v>37</v>
      </c>
      <c r="V21" t="n">
        <v>36</v>
      </c>
      <c r="W21" t="n">
        <v>34</v>
      </c>
      <c r="X21" t="n">
        <v>34</v>
      </c>
      <c r="Y21" t="n">
        <v>33</v>
      </c>
      <c r="Z21" t="n">
        <v>35</v>
      </c>
      <c r="AA21" t="n">
        <v>40</v>
      </c>
      <c r="AB21" t="n">
        <v>42</v>
      </c>
      <c r="AC21" t="n">
        <v>43</v>
      </c>
      <c r="AD21" t="n">
        <v>43</v>
      </c>
      <c r="AE21" t="n">
        <v>41</v>
      </c>
      <c r="AF21" t="n">
        <v>41</v>
      </c>
    </row>
    <row r="22">
      <c r="A22" t="s">
        <v>95</v>
      </c>
      <c r="B22" t="s">
        <v>314</v>
      </c>
      <c r="C22" t="s">
        <v>236</v>
      </c>
      <c r="D22" t="s">
        <v>315</v>
      </c>
      <c r="E22" t="s">
        <v>237</v>
      </c>
      <c r="F22" t="n">
        <v>5</v>
      </c>
      <c r="G22" t="n">
        <v>5</v>
      </c>
      <c r="H22" t="n">
        <v>3</v>
      </c>
      <c r="I22" t="n">
        <v>3</v>
      </c>
      <c r="J22" t="n">
        <v>2</v>
      </c>
      <c r="K22" t="n">
        <v>3</v>
      </c>
      <c r="L22" t="n">
        <v>2</v>
      </c>
      <c r="M22" t="n">
        <v>1</v>
      </c>
      <c r="N22" t="n">
        <v>1</v>
      </c>
      <c r="O22" t="n">
        <v>1</v>
      </c>
      <c r="P22" t="n">
        <v>2</v>
      </c>
      <c r="Q22" t="n">
        <v>2</v>
      </c>
      <c r="R22" t="n">
        <v>4</v>
      </c>
      <c r="S22" t="n">
        <v>3</v>
      </c>
      <c r="T22" t="n">
        <v>3</v>
      </c>
      <c r="U22" t="n">
        <v>4</v>
      </c>
      <c r="V22" t="n">
        <v>6</v>
      </c>
      <c r="W22" t="n">
        <v>7</v>
      </c>
      <c r="X22" t="n">
        <v>8</v>
      </c>
      <c r="Y22" t="n">
        <v>8</v>
      </c>
      <c r="Z22" t="n">
        <v>9</v>
      </c>
      <c r="AA22" t="n">
        <v>11</v>
      </c>
      <c r="AB22" t="n">
        <v>12</v>
      </c>
      <c r="AC22" t="n">
        <v>13</v>
      </c>
      <c r="AD22" t="n">
        <v>14</v>
      </c>
      <c r="AE22" t="n">
        <v>13</v>
      </c>
      <c r="AF22" t="n">
        <v>13</v>
      </c>
    </row>
    <row r="23">
      <c r="A23" t="s">
        <v>95</v>
      </c>
      <c r="B23" t="s">
        <v>316</v>
      </c>
      <c r="C23" t="s">
        <v>236</v>
      </c>
      <c r="D23" t="s">
        <v>317</v>
      </c>
      <c r="E23" t="s">
        <v>237</v>
      </c>
      <c r="F23" t="n">
        <v>24</v>
      </c>
      <c r="G23" t="n">
        <v>27</v>
      </c>
      <c r="H23" t="n">
        <v>26</v>
      </c>
      <c r="I23" t="n">
        <v>27</v>
      </c>
      <c r="J23" t="n">
        <v>33</v>
      </c>
      <c r="K23" t="n">
        <v>35</v>
      </c>
      <c r="L23" t="n">
        <v>26</v>
      </c>
      <c r="M23" t="n">
        <v>22</v>
      </c>
      <c r="N23" t="n">
        <v>23</v>
      </c>
      <c r="O23" t="n">
        <v>27</v>
      </c>
      <c r="P23" t="n">
        <v>31</v>
      </c>
      <c r="Q23" t="n">
        <v>31</v>
      </c>
      <c r="R23" t="n">
        <v>31</v>
      </c>
      <c r="S23" t="n">
        <v>31</v>
      </c>
      <c r="T23" t="n">
        <v>26</v>
      </c>
      <c r="U23" t="n">
        <v>24</v>
      </c>
      <c r="V23" t="n">
        <v>23</v>
      </c>
      <c r="W23" t="n">
        <v>21</v>
      </c>
      <c r="X23" t="n">
        <v>21</v>
      </c>
      <c r="Y23" t="n">
        <v>20</v>
      </c>
      <c r="Z23" t="n">
        <v>18</v>
      </c>
      <c r="AA23" t="n">
        <v>15</v>
      </c>
      <c r="AB23" t="n">
        <v>13</v>
      </c>
      <c r="AC23" t="n">
        <v>13</v>
      </c>
      <c r="AD23" t="n">
        <v>11</v>
      </c>
      <c r="AE23" t="n">
        <v>10</v>
      </c>
      <c r="AF23" t="n">
        <v>8</v>
      </c>
    </row>
    <row r="24">
      <c r="A24" t="s">
        <v>95</v>
      </c>
      <c r="B24" t="s">
        <v>318</v>
      </c>
      <c r="C24" t="s">
        <v>236</v>
      </c>
      <c r="D24" t="s">
        <v>319</v>
      </c>
      <c r="E24" t="s">
        <v>237</v>
      </c>
      <c r="F24" t="n">
        <v>88</v>
      </c>
      <c r="G24" t="n">
        <v>89</v>
      </c>
      <c r="H24" t="n">
        <v>98</v>
      </c>
      <c r="I24" t="n">
        <v>111</v>
      </c>
      <c r="J24" t="n">
        <v>119</v>
      </c>
      <c r="K24" t="n">
        <v>109</v>
      </c>
      <c r="L24" t="n">
        <v>83</v>
      </c>
      <c r="M24" t="n">
        <v>68</v>
      </c>
      <c r="N24" t="n">
        <v>64</v>
      </c>
      <c r="O24" t="n">
        <v>63</v>
      </c>
      <c r="P24" t="n">
        <v>63</v>
      </c>
      <c r="Q24" t="n">
        <v>60</v>
      </c>
      <c r="R24" t="n">
        <v>65</v>
      </c>
      <c r="S24" t="n">
        <v>83</v>
      </c>
      <c r="T24" t="n">
        <v>75</v>
      </c>
      <c r="U24" t="n">
        <v>76</v>
      </c>
      <c r="V24" t="n">
        <v>77</v>
      </c>
      <c r="W24" t="n">
        <v>85</v>
      </c>
      <c r="X24" t="n">
        <v>83</v>
      </c>
      <c r="Y24" t="n">
        <v>90</v>
      </c>
      <c r="Z24" t="n">
        <v>92</v>
      </c>
      <c r="AA24" t="n">
        <v>102</v>
      </c>
      <c r="AB24" t="n">
        <v>99</v>
      </c>
      <c r="AC24" t="n">
        <v>99</v>
      </c>
      <c r="AD24" t="n">
        <v>90</v>
      </c>
      <c r="AE24" t="n">
        <v>76</v>
      </c>
      <c r="AF24" t="n">
        <v>65</v>
      </c>
    </row>
    <row r="25">
      <c r="A25" t="s">
        <v>95</v>
      </c>
      <c r="B25" t="s">
        <v>320</v>
      </c>
      <c r="C25" t="s">
        <v>236</v>
      </c>
      <c r="D25" t="s">
        <v>321</v>
      </c>
      <c r="E25" t="s">
        <v>237</v>
      </c>
      <c r="F25" t="n">
        <v>10</v>
      </c>
      <c r="G25" t="n">
        <v>9</v>
      </c>
      <c r="H25" t="n">
        <v>11</v>
      </c>
      <c r="I25" t="n">
        <v>13</v>
      </c>
      <c r="J25" t="n">
        <v>14</v>
      </c>
      <c r="K25" t="n">
        <v>12</v>
      </c>
      <c r="L25" t="n">
        <v>9</v>
      </c>
      <c r="M25" t="n">
        <v>7</v>
      </c>
      <c r="N25" t="n">
        <v>6</v>
      </c>
      <c r="O25" t="n">
        <v>6</v>
      </c>
      <c r="P25" t="n">
        <v>6</v>
      </c>
      <c r="Q25" t="n">
        <v>6</v>
      </c>
      <c r="R25" t="n">
        <v>6</v>
      </c>
      <c r="S25" t="n">
        <v>11</v>
      </c>
      <c r="T25" t="n">
        <v>9</v>
      </c>
      <c r="U25" t="n">
        <v>10</v>
      </c>
      <c r="V25" t="n">
        <v>11</v>
      </c>
      <c r="W25" t="n">
        <v>10</v>
      </c>
      <c r="X25" t="n">
        <v>9</v>
      </c>
      <c r="Y25" t="n">
        <v>11</v>
      </c>
      <c r="Z25" t="n">
        <v>11</v>
      </c>
      <c r="AA25" t="n">
        <v>14</v>
      </c>
      <c r="AB25" t="n">
        <v>13</v>
      </c>
      <c r="AC25" t="n">
        <v>13</v>
      </c>
      <c r="AD25" t="n">
        <v>12</v>
      </c>
      <c r="AE25" t="n">
        <v>10</v>
      </c>
      <c r="AF25" t="n">
        <v>9</v>
      </c>
    </row>
    <row r="26">
      <c r="A26" t="s">
        <v>95</v>
      </c>
      <c r="B26" t="s">
        <v>322</v>
      </c>
      <c r="C26" t="s">
        <v>236</v>
      </c>
      <c r="D26" t="s">
        <v>323</v>
      </c>
      <c r="E26" t="s">
        <v>237</v>
      </c>
      <c r="F26" t="n">
        <v>47</v>
      </c>
      <c r="G26" t="n">
        <v>50</v>
      </c>
      <c r="H26" t="n">
        <v>58</v>
      </c>
      <c r="I26" t="n">
        <v>65</v>
      </c>
      <c r="J26" t="n">
        <v>67</v>
      </c>
      <c r="K26" t="n">
        <v>62</v>
      </c>
      <c r="L26" t="n">
        <v>47</v>
      </c>
      <c r="M26" t="n">
        <v>39</v>
      </c>
      <c r="N26" t="n">
        <v>35</v>
      </c>
      <c r="O26" t="n">
        <v>35</v>
      </c>
      <c r="P26" t="n">
        <v>35</v>
      </c>
      <c r="Q26" t="n">
        <v>32</v>
      </c>
      <c r="R26" t="n">
        <v>36</v>
      </c>
      <c r="S26" t="n">
        <v>45</v>
      </c>
      <c r="T26" t="n">
        <v>40</v>
      </c>
      <c r="U26" t="n">
        <v>40</v>
      </c>
      <c r="V26" t="n">
        <v>40</v>
      </c>
      <c r="W26" t="n">
        <v>44</v>
      </c>
      <c r="X26" t="n">
        <v>42</v>
      </c>
      <c r="Y26" t="n">
        <v>45</v>
      </c>
      <c r="Z26" t="n">
        <v>45</v>
      </c>
      <c r="AA26" t="n">
        <v>50</v>
      </c>
      <c r="AB26" t="n">
        <v>49</v>
      </c>
      <c r="AC26" t="n">
        <v>50</v>
      </c>
      <c r="AD26" t="n">
        <v>45</v>
      </c>
      <c r="AE26" t="n">
        <v>37</v>
      </c>
      <c r="AF26" t="n">
        <v>30</v>
      </c>
    </row>
    <row r="27">
      <c r="A27" t="s">
        <v>95</v>
      </c>
      <c r="B27" t="s">
        <v>324</v>
      </c>
      <c r="C27" t="s">
        <v>236</v>
      </c>
      <c r="D27" t="s">
        <v>325</v>
      </c>
      <c r="E27" t="s">
        <v>237</v>
      </c>
      <c r="F27" t="n">
        <v>31</v>
      </c>
      <c r="G27" t="n">
        <v>30</v>
      </c>
      <c r="H27" t="n">
        <v>29</v>
      </c>
      <c r="I27" t="n">
        <v>33</v>
      </c>
      <c r="J27" t="n">
        <v>38</v>
      </c>
      <c r="K27" t="n">
        <v>35</v>
      </c>
      <c r="L27" t="n">
        <v>27</v>
      </c>
      <c r="M27" t="n">
        <v>22</v>
      </c>
      <c r="N27" t="n">
        <v>23</v>
      </c>
      <c r="O27" t="n">
        <v>22</v>
      </c>
      <c r="P27" t="n">
        <v>22</v>
      </c>
      <c r="Q27" t="n">
        <v>22</v>
      </c>
      <c r="R27" t="n">
        <v>23</v>
      </c>
      <c r="S27" t="n">
        <v>27</v>
      </c>
      <c r="T27" t="n">
        <v>26</v>
      </c>
      <c r="U27" t="n">
        <v>26</v>
      </c>
      <c r="V27" t="n">
        <v>26</v>
      </c>
      <c r="W27" t="n">
        <v>31</v>
      </c>
      <c r="X27" t="n">
        <v>32</v>
      </c>
      <c r="Y27" t="n">
        <v>34</v>
      </c>
      <c r="Z27" t="n">
        <v>36</v>
      </c>
      <c r="AA27" t="n">
        <v>38</v>
      </c>
      <c r="AB27" t="n">
        <v>37</v>
      </c>
      <c r="AC27" t="n">
        <v>36</v>
      </c>
      <c r="AD27" t="n">
        <v>33</v>
      </c>
      <c r="AE27" t="n">
        <v>29</v>
      </c>
      <c r="AF27" t="n">
        <v>26</v>
      </c>
    </row>
    <row r="28">
      <c r="A28" t="s">
        <v>95</v>
      </c>
      <c r="B28" t="s">
        <v>326</v>
      </c>
      <c r="C28" t="s">
        <v>236</v>
      </c>
      <c r="D28" t="s">
        <v>327</v>
      </c>
      <c r="E28" t="s">
        <v>237</v>
      </c>
      <c r="F28" t="n">
        <v>57</v>
      </c>
      <c r="G28" t="n">
        <v>48</v>
      </c>
      <c r="H28" t="n">
        <v>36</v>
      </c>
      <c r="I28" t="n">
        <v>39</v>
      </c>
      <c r="J28" t="n">
        <v>38</v>
      </c>
      <c r="K28" t="n">
        <v>32</v>
      </c>
      <c r="L28" t="n">
        <v>21</v>
      </c>
      <c r="M28" t="n">
        <v>13</v>
      </c>
      <c r="N28" t="n">
        <v>12</v>
      </c>
      <c r="O28" t="n">
        <v>13</v>
      </c>
      <c r="P28" t="n">
        <v>13</v>
      </c>
      <c r="Q28" t="n">
        <v>15</v>
      </c>
      <c r="R28" t="n">
        <v>20</v>
      </c>
      <c r="S28" t="n">
        <v>22</v>
      </c>
      <c r="T28" t="n">
        <v>23</v>
      </c>
      <c r="U28" t="n">
        <v>23</v>
      </c>
      <c r="V28" t="n">
        <v>25</v>
      </c>
      <c r="W28" t="n">
        <v>24</v>
      </c>
      <c r="X28" t="n">
        <v>27</v>
      </c>
      <c r="Y28" t="n">
        <v>30</v>
      </c>
      <c r="Z28" t="n">
        <v>30</v>
      </c>
      <c r="AA28" t="n">
        <v>35</v>
      </c>
      <c r="AB28" t="n">
        <v>34</v>
      </c>
      <c r="AC28" t="n">
        <v>32</v>
      </c>
      <c r="AD28" t="n">
        <v>34</v>
      </c>
      <c r="AE28" t="n">
        <v>30</v>
      </c>
      <c r="AF28" t="n">
        <v>29</v>
      </c>
    </row>
    <row r="29">
      <c r="A29" t="s">
        <v>95</v>
      </c>
      <c r="B29" t="s">
        <v>328</v>
      </c>
      <c r="C29" t="s">
        <v>236</v>
      </c>
      <c r="D29" t="s">
        <v>329</v>
      </c>
      <c r="E29" t="s">
        <v>237</v>
      </c>
      <c r="F29" t="n">
        <v>6</v>
      </c>
      <c r="G29" t="n">
        <v>6</v>
      </c>
      <c r="H29" t="n">
        <v>2</v>
      </c>
      <c r="I29" t="n">
        <v>4</v>
      </c>
      <c r="J29" t="n">
        <v>3</v>
      </c>
      <c r="K29" t="n">
        <v>2</v>
      </c>
      <c r="L29" t="n">
        <v>1</v>
      </c>
      <c r="M29" t="n">
        <v>0</v>
      </c>
      <c r="N29" t="n">
        <v>0</v>
      </c>
      <c r="O29" t="n">
        <v>0</v>
      </c>
      <c r="P29" t="n">
        <v>1</v>
      </c>
      <c r="Q29" t="n">
        <v>1</v>
      </c>
      <c r="R29" t="n">
        <v>2</v>
      </c>
      <c r="S29" t="n">
        <v>2</v>
      </c>
      <c r="T29" t="n">
        <v>2</v>
      </c>
      <c r="U29" t="n">
        <v>2</v>
      </c>
      <c r="V29" t="n">
        <v>2</v>
      </c>
      <c r="W29" t="n">
        <v>2</v>
      </c>
      <c r="X29" t="n">
        <v>3</v>
      </c>
      <c r="Y29" t="n">
        <v>3</v>
      </c>
      <c r="Z29" t="n">
        <v>3</v>
      </c>
      <c r="AA29" t="n">
        <v>7</v>
      </c>
      <c r="AB29" t="n">
        <v>7</v>
      </c>
      <c r="AC29" t="n">
        <v>8</v>
      </c>
      <c r="AD29" t="n">
        <v>11</v>
      </c>
      <c r="AE29" t="n">
        <v>9</v>
      </c>
      <c r="AF29" t="n">
        <v>10</v>
      </c>
    </row>
    <row r="30">
      <c r="A30" t="s">
        <v>95</v>
      </c>
      <c r="B30" t="s">
        <v>330</v>
      </c>
      <c r="C30" t="s">
        <v>236</v>
      </c>
      <c r="D30" t="s">
        <v>331</v>
      </c>
      <c r="E30" t="s">
        <v>237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  <c r="Q30" t="n">
        <v>2</v>
      </c>
      <c r="R30" t="n">
        <v>2</v>
      </c>
      <c r="S30" t="n">
        <v>2</v>
      </c>
      <c r="T30" t="n">
        <v>2</v>
      </c>
      <c r="U30" t="n">
        <v>2</v>
      </c>
      <c r="V30" t="n">
        <v>6</v>
      </c>
      <c r="W30" t="n">
        <v>6</v>
      </c>
      <c r="X30" t="n">
        <v>7</v>
      </c>
      <c r="Y30" t="n">
        <v>7</v>
      </c>
      <c r="Z30" t="n">
        <v>6</v>
      </c>
      <c r="AA30" t="n">
        <v>6</v>
      </c>
      <c r="AB30" t="n">
        <v>5</v>
      </c>
      <c r="AC30" t="n">
        <v>5</v>
      </c>
      <c r="AD30" t="n">
        <v>4</v>
      </c>
      <c r="AE30" t="n">
        <v>5</v>
      </c>
      <c r="AF30" t="n">
        <v>3</v>
      </c>
    </row>
    <row r="31">
      <c r="A31" t="s">
        <v>95</v>
      </c>
      <c r="B31" t="s">
        <v>332</v>
      </c>
      <c r="C31" t="s">
        <v>236</v>
      </c>
      <c r="D31" t="s">
        <v>333</v>
      </c>
      <c r="E31" t="s">
        <v>237</v>
      </c>
      <c r="F31" t="n">
        <v>1</v>
      </c>
      <c r="G31" t="n">
        <v>1</v>
      </c>
      <c r="H31" t="n">
        <v>0</v>
      </c>
      <c r="I31" t="n">
        <v>1</v>
      </c>
      <c r="J31" t="n">
        <v>2</v>
      </c>
      <c r="K31" t="n">
        <v>1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</v>
      </c>
      <c r="T31" t="n">
        <v>1</v>
      </c>
      <c r="U31" t="n">
        <v>1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95</v>
      </c>
      <c r="B32" t="s">
        <v>334</v>
      </c>
      <c r="C32" t="s">
        <v>236</v>
      </c>
      <c r="D32" t="s">
        <v>335</v>
      </c>
      <c r="E32" t="s">
        <v>237</v>
      </c>
      <c r="F32" t="n">
        <v>34</v>
      </c>
      <c r="G32" t="n">
        <v>29</v>
      </c>
      <c r="H32" t="n">
        <v>24</v>
      </c>
      <c r="I32" t="n">
        <v>23</v>
      </c>
      <c r="J32" t="n">
        <v>20</v>
      </c>
      <c r="K32" t="n">
        <v>18</v>
      </c>
      <c r="L32" t="n">
        <v>11</v>
      </c>
      <c r="M32" t="n">
        <v>8</v>
      </c>
      <c r="N32" t="n">
        <v>8</v>
      </c>
      <c r="O32" t="n">
        <v>10</v>
      </c>
      <c r="P32" t="n">
        <v>9</v>
      </c>
      <c r="Q32" t="n">
        <v>11</v>
      </c>
      <c r="R32" t="n">
        <v>14</v>
      </c>
      <c r="S32" t="n">
        <v>14</v>
      </c>
      <c r="T32" t="n">
        <v>15</v>
      </c>
      <c r="U32" t="n">
        <v>14</v>
      </c>
      <c r="V32" t="n">
        <v>13</v>
      </c>
      <c r="W32" t="n">
        <v>13</v>
      </c>
      <c r="X32" t="n">
        <v>14</v>
      </c>
      <c r="Y32" t="n">
        <v>16</v>
      </c>
      <c r="Z32" t="n">
        <v>17</v>
      </c>
      <c r="AA32" t="n">
        <v>18</v>
      </c>
      <c r="AB32" t="n">
        <v>16</v>
      </c>
      <c r="AC32" t="n">
        <v>13</v>
      </c>
      <c r="AD32" t="n">
        <v>14</v>
      </c>
      <c r="AE32" t="n">
        <v>12</v>
      </c>
      <c r="AF32" t="n">
        <v>12</v>
      </c>
    </row>
    <row r="33">
      <c r="A33" t="s">
        <v>95</v>
      </c>
      <c r="B33" t="s">
        <v>336</v>
      </c>
      <c r="C33" t="s">
        <v>236</v>
      </c>
      <c r="D33" t="s">
        <v>337</v>
      </c>
      <c r="E33" t="s">
        <v>237</v>
      </c>
      <c r="F33" t="n">
        <v>16</v>
      </c>
      <c r="G33" t="n">
        <v>12</v>
      </c>
      <c r="H33" t="n">
        <v>10</v>
      </c>
      <c r="I33" t="n">
        <v>11</v>
      </c>
      <c r="J33" t="n">
        <v>13</v>
      </c>
      <c r="K33" t="n">
        <v>11</v>
      </c>
      <c r="L33" t="n">
        <v>8</v>
      </c>
      <c r="M33" t="n">
        <v>5</v>
      </c>
      <c r="N33" t="n">
        <v>4</v>
      </c>
      <c r="O33" t="n">
        <v>3</v>
      </c>
      <c r="P33" t="n">
        <v>2</v>
      </c>
      <c r="Q33" t="n">
        <v>1</v>
      </c>
      <c r="R33" t="n">
        <v>2</v>
      </c>
      <c r="S33" t="n">
        <v>2</v>
      </c>
      <c r="T33" t="n">
        <v>3</v>
      </c>
      <c r="U33" t="n">
        <v>4</v>
      </c>
      <c r="V33" t="n">
        <v>4</v>
      </c>
      <c r="W33" t="n">
        <v>3</v>
      </c>
      <c r="X33" t="n">
        <v>3</v>
      </c>
      <c r="Y33" t="n">
        <v>4</v>
      </c>
      <c r="Z33" t="n">
        <v>4</v>
      </c>
      <c r="AA33" t="n">
        <v>4</v>
      </c>
      <c r="AB33" t="n">
        <v>6</v>
      </c>
      <c r="AC33" t="n">
        <v>6</v>
      </c>
      <c r="AD33" t="n">
        <v>5</v>
      </c>
      <c r="AE33" t="n">
        <v>4</v>
      </c>
      <c r="AF33" t="n">
        <v>4</v>
      </c>
    </row>
    <row r="34">
      <c r="A34" t="s">
        <v>95</v>
      </c>
      <c r="B34" t="s">
        <v>338</v>
      </c>
      <c r="C34" t="s">
        <v>236</v>
      </c>
      <c r="D34" t="s">
        <v>339</v>
      </c>
      <c r="E34" t="s">
        <v>237</v>
      </c>
      <c r="F34" t="n">
        <v>10</v>
      </c>
      <c r="G34" t="n">
        <v>10</v>
      </c>
      <c r="H34" t="n">
        <v>12</v>
      </c>
      <c r="I34" t="n">
        <v>15</v>
      </c>
      <c r="J34" t="n">
        <v>17</v>
      </c>
      <c r="K34" t="n">
        <v>14</v>
      </c>
      <c r="L34" t="n">
        <v>11</v>
      </c>
      <c r="M34" t="n">
        <v>8</v>
      </c>
      <c r="N34" t="n">
        <v>8</v>
      </c>
      <c r="O34" t="n">
        <v>9</v>
      </c>
      <c r="P34" t="n">
        <v>9</v>
      </c>
      <c r="Q34" t="n">
        <v>9</v>
      </c>
      <c r="R34" t="n">
        <v>10</v>
      </c>
      <c r="S34" t="n">
        <v>13</v>
      </c>
      <c r="T34" t="n">
        <v>13</v>
      </c>
      <c r="U34" t="n">
        <v>12</v>
      </c>
      <c r="V34" t="n">
        <v>12</v>
      </c>
      <c r="W34" t="n">
        <v>12</v>
      </c>
      <c r="X34" t="n">
        <v>11</v>
      </c>
      <c r="Y34" t="n">
        <v>11</v>
      </c>
      <c r="Z34" t="n">
        <v>10</v>
      </c>
      <c r="AA34" t="n">
        <v>11</v>
      </c>
      <c r="AB34" t="n">
        <v>10</v>
      </c>
      <c r="AC34" t="n">
        <v>10</v>
      </c>
      <c r="AD34" t="n">
        <v>10</v>
      </c>
      <c r="AE34" t="n">
        <v>8</v>
      </c>
      <c r="AF34" t="n">
        <v>8</v>
      </c>
    </row>
    <row r="35">
      <c r="A35" t="s">
        <v>95</v>
      </c>
      <c r="B35" t="s">
        <v>340</v>
      </c>
      <c r="C35" t="s">
        <v>236</v>
      </c>
      <c r="D35" t="s">
        <v>341</v>
      </c>
      <c r="E35" t="s">
        <v>237</v>
      </c>
      <c r="F35" t="n">
        <v>160</v>
      </c>
      <c r="G35" t="n">
        <v>180</v>
      </c>
      <c r="H35" t="n">
        <v>191</v>
      </c>
      <c r="I35" t="n">
        <v>221</v>
      </c>
      <c r="J35" t="n">
        <v>240</v>
      </c>
      <c r="K35" t="n">
        <v>243</v>
      </c>
      <c r="L35" t="n">
        <v>193</v>
      </c>
      <c r="M35" t="n">
        <v>172</v>
      </c>
      <c r="N35" t="n">
        <v>152</v>
      </c>
      <c r="O35" t="n">
        <v>164</v>
      </c>
      <c r="P35" t="n">
        <v>205</v>
      </c>
      <c r="Q35" t="n">
        <v>225</v>
      </c>
      <c r="R35" t="n">
        <v>229</v>
      </c>
      <c r="S35" t="n">
        <v>248</v>
      </c>
      <c r="T35" t="n">
        <v>210</v>
      </c>
      <c r="U35" t="n">
        <v>249</v>
      </c>
      <c r="V35" t="n">
        <v>284</v>
      </c>
      <c r="W35" t="n">
        <v>319</v>
      </c>
      <c r="X35" t="n">
        <v>343</v>
      </c>
      <c r="Y35" t="n">
        <v>423</v>
      </c>
      <c r="Z35" t="n">
        <v>591</v>
      </c>
      <c r="AA35" t="n">
        <v>716</v>
      </c>
      <c r="AB35" t="n">
        <v>847</v>
      </c>
      <c r="AC35" t="n">
        <v>1224</v>
      </c>
      <c r="AD35" t="n">
        <v>1117</v>
      </c>
      <c r="AE35" t="n">
        <v>983</v>
      </c>
      <c r="AF35" t="n">
        <v>931</v>
      </c>
    </row>
    <row r="36">
      <c r="A36" t="s">
        <v>95</v>
      </c>
      <c r="B36" t="s">
        <v>342</v>
      </c>
      <c r="C36" t="s">
        <v>236</v>
      </c>
      <c r="D36" t="s">
        <v>343</v>
      </c>
      <c r="E36" t="s">
        <v>237</v>
      </c>
      <c r="F36" t="n">
        <v>18</v>
      </c>
      <c r="G36" t="n">
        <v>19</v>
      </c>
      <c r="H36" t="n">
        <v>21</v>
      </c>
      <c r="I36" t="n">
        <v>22</v>
      </c>
      <c r="J36" t="n">
        <v>19</v>
      </c>
      <c r="K36" t="n">
        <v>19</v>
      </c>
      <c r="L36" t="n">
        <v>14</v>
      </c>
      <c r="M36" t="n">
        <v>11</v>
      </c>
      <c r="N36" t="n">
        <v>10</v>
      </c>
      <c r="O36" t="n">
        <v>9</v>
      </c>
      <c r="P36" t="n">
        <v>10</v>
      </c>
      <c r="Q36" t="n">
        <v>10</v>
      </c>
      <c r="R36" t="n">
        <v>10</v>
      </c>
      <c r="S36" t="n">
        <v>19</v>
      </c>
      <c r="T36" t="n">
        <v>15</v>
      </c>
      <c r="U36" t="n">
        <v>16</v>
      </c>
      <c r="V36" t="n">
        <v>14</v>
      </c>
      <c r="W36" t="n">
        <v>14</v>
      </c>
      <c r="X36" t="n">
        <v>14</v>
      </c>
      <c r="Y36" t="n">
        <v>11</v>
      </c>
      <c r="Z36" t="n">
        <v>34</v>
      </c>
      <c r="AA36" t="n">
        <v>54</v>
      </c>
      <c r="AB36" t="n">
        <v>71</v>
      </c>
      <c r="AC36" t="n">
        <v>71</v>
      </c>
      <c r="AD36" t="n">
        <v>60</v>
      </c>
      <c r="AE36" t="n">
        <v>47</v>
      </c>
      <c r="AF36" t="n">
        <v>47</v>
      </c>
    </row>
    <row r="37">
      <c r="A37" t="s">
        <v>95</v>
      </c>
      <c r="B37" t="s">
        <v>344</v>
      </c>
      <c r="C37" t="s">
        <v>236</v>
      </c>
      <c r="D37" t="s">
        <v>345</v>
      </c>
      <c r="E37" t="s">
        <v>237</v>
      </c>
      <c r="F37" t="n">
        <v>111</v>
      </c>
      <c r="G37" t="n">
        <v>124</v>
      </c>
      <c r="H37" t="n">
        <v>128</v>
      </c>
      <c r="I37" t="n">
        <v>148</v>
      </c>
      <c r="J37" t="n">
        <v>157</v>
      </c>
      <c r="K37" t="n">
        <v>151</v>
      </c>
      <c r="L37" t="n">
        <v>118</v>
      </c>
      <c r="M37" t="n">
        <v>104</v>
      </c>
      <c r="N37" t="n">
        <v>86</v>
      </c>
      <c r="O37" t="n">
        <v>92</v>
      </c>
      <c r="P37" t="n">
        <v>129</v>
      </c>
      <c r="Q37" t="n">
        <v>118</v>
      </c>
      <c r="R37" t="n">
        <v>103</v>
      </c>
      <c r="S37" t="n">
        <v>101</v>
      </c>
      <c r="T37" t="n">
        <v>80</v>
      </c>
      <c r="U37" t="n">
        <v>84</v>
      </c>
      <c r="V37" t="n">
        <v>99</v>
      </c>
      <c r="W37" t="n">
        <v>111</v>
      </c>
      <c r="X37" t="n">
        <v>122</v>
      </c>
      <c r="Y37" t="n">
        <v>131</v>
      </c>
      <c r="Z37" t="n">
        <v>136</v>
      </c>
      <c r="AA37" t="n">
        <v>150</v>
      </c>
      <c r="AB37" t="n">
        <v>150</v>
      </c>
      <c r="AC37" t="n">
        <v>158</v>
      </c>
      <c r="AD37" t="n">
        <v>155</v>
      </c>
      <c r="AE37" t="n">
        <v>157</v>
      </c>
      <c r="AF37" t="n">
        <v>164</v>
      </c>
    </row>
    <row r="38">
      <c r="A38" t="s">
        <v>95</v>
      </c>
      <c r="B38" t="s">
        <v>346</v>
      </c>
      <c r="C38" t="s">
        <v>236</v>
      </c>
      <c r="D38" t="s">
        <v>347</v>
      </c>
      <c r="E38" t="s">
        <v>237</v>
      </c>
      <c r="F38" t="n">
        <v>31</v>
      </c>
      <c r="G38" t="n">
        <v>37</v>
      </c>
      <c r="H38" t="n">
        <v>42</v>
      </c>
      <c r="I38" t="n">
        <v>51</v>
      </c>
      <c r="J38" t="n">
        <v>64</v>
      </c>
      <c r="K38" t="n">
        <v>73</v>
      </c>
      <c r="L38" t="n">
        <v>61</v>
      </c>
      <c r="M38" t="n">
        <v>57</v>
      </c>
      <c r="N38" t="n">
        <v>56</v>
      </c>
      <c r="O38" t="n">
        <v>63</v>
      </c>
      <c r="P38" t="n">
        <v>66</v>
      </c>
      <c r="Q38" t="n">
        <v>97</v>
      </c>
      <c r="R38" t="n">
        <v>116</v>
      </c>
      <c r="S38" t="n">
        <v>128</v>
      </c>
      <c r="T38" t="n">
        <v>115</v>
      </c>
      <c r="U38" t="n">
        <v>149</v>
      </c>
      <c r="V38" t="n">
        <v>171</v>
      </c>
      <c r="W38" t="n">
        <v>194</v>
      </c>
      <c r="X38" t="n">
        <v>207</v>
      </c>
      <c r="Y38" t="n">
        <v>281</v>
      </c>
      <c r="Z38" t="n">
        <v>421</v>
      </c>
      <c r="AA38" t="n">
        <v>512</v>
      </c>
      <c r="AB38" t="n">
        <v>626</v>
      </c>
      <c r="AC38" t="n">
        <v>995</v>
      </c>
      <c r="AD38" t="n">
        <v>902</v>
      </c>
      <c r="AE38" t="n">
        <v>779</v>
      </c>
      <c r="AF38" t="n">
        <v>720</v>
      </c>
    </row>
    <row r="39">
      <c r="A39" t="s">
        <v>95</v>
      </c>
      <c r="B39" t="s">
        <v>348</v>
      </c>
      <c r="C39" t="s">
        <v>236</v>
      </c>
      <c r="D39" t="s">
        <v>349</v>
      </c>
      <c r="E39" t="s">
        <v>237</v>
      </c>
      <c r="F39" t="n">
        <v>14</v>
      </c>
      <c r="G39" t="n">
        <v>29</v>
      </c>
      <c r="H39" t="n">
        <v>39</v>
      </c>
      <c r="I39" t="n">
        <v>45</v>
      </c>
      <c r="J39" t="n">
        <v>44</v>
      </c>
      <c r="K39" t="n">
        <v>67</v>
      </c>
      <c r="L39" t="n">
        <v>67</v>
      </c>
      <c r="M39" t="n">
        <v>76</v>
      </c>
      <c r="N39" t="n">
        <v>86</v>
      </c>
      <c r="O39" t="n">
        <v>80</v>
      </c>
      <c r="P39" t="n">
        <v>95</v>
      </c>
      <c r="Q39" t="n">
        <v>71</v>
      </c>
      <c r="R39" t="n">
        <v>83</v>
      </c>
      <c r="S39" t="n">
        <v>98</v>
      </c>
      <c r="T39" t="n">
        <v>95</v>
      </c>
      <c r="U39" t="n">
        <v>97</v>
      </c>
      <c r="V39" t="n">
        <v>99</v>
      </c>
      <c r="W39" t="n">
        <v>96</v>
      </c>
      <c r="X39" t="n">
        <v>103</v>
      </c>
      <c r="Y39" t="n">
        <v>112</v>
      </c>
      <c r="Z39" t="n">
        <v>109</v>
      </c>
      <c r="AA39" t="n">
        <v>112</v>
      </c>
      <c r="AB39" t="n">
        <v>178</v>
      </c>
      <c r="AC39" t="n">
        <v>183</v>
      </c>
      <c r="AD39" t="n">
        <v>220</v>
      </c>
      <c r="AE39" t="n">
        <v>222</v>
      </c>
      <c r="AF39" t="n">
        <v>226</v>
      </c>
    </row>
    <row r="40">
      <c r="A40" t="s">
        <v>95</v>
      </c>
      <c r="B40" t="s">
        <v>350</v>
      </c>
      <c r="C40" t="s">
        <v>236</v>
      </c>
      <c r="D40" t="s">
        <v>351</v>
      </c>
      <c r="E40" t="s">
        <v>237</v>
      </c>
      <c r="F40" t="n">
        <v>2</v>
      </c>
      <c r="G40" t="n">
        <v>2</v>
      </c>
      <c r="H40" t="n">
        <v>3</v>
      </c>
      <c r="I40" t="n">
        <v>2</v>
      </c>
      <c r="J40" t="n">
        <v>2</v>
      </c>
      <c r="K40" t="n">
        <v>2</v>
      </c>
      <c r="L40" t="n">
        <v>1</v>
      </c>
      <c r="M40" t="n">
        <v>1</v>
      </c>
      <c r="N40" t="n">
        <v>2</v>
      </c>
      <c r="O40" t="n">
        <v>1</v>
      </c>
      <c r="P40" t="n">
        <v>3</v>
      </c>
      <c r="Q40" t="n">
        <v>4</v>
      </c>
      <c r="R40" t="n">
        <v>4</v>
      </c>
      <c r="S40" t="n">
        <v>12</v>
      </c>
      <c r="T40" t="n">
        <v>12</v>
      </c>
      <c r="U40" t="n">
        <v>10</v>
      </c>
      <c r="V40" t="n">
        <v>9</v>
      </c>
      <c r="W40" t="n">
        <v>10</v>
      </c>
      <c r="X40" t="n">
        <v>11</v>
      </c>
      <c r="Y40" t="n">
        <v>12</v>
      </c>
      <c r="Z40" t="n">
        <v>13</v>
      </c>
      <c r="AA40" t="n">
        <v>14</v>
      </c>
      <c r="AB40" t="n">
        <v>15</v>
      </c>
      <c r="AC40" t="n">
        <v>16</v>
      </c>
      <c r="AD40" t="n">
        <v>16</v>
      </c>
      <c r="AE40" t="n">
        <v>16</v>
      </c>
      <c r="AF40" t="n">
        <v>16</v>
      </c>
    </row>
    <row r="41">
      <c r="A41" t="s">
        <v>95</v>
      </c>
      <c r="B41" t="s">
        <v>352</v>
      </c>
      <c r="C41" t="s">
        <v>236</v>
      </c>
      <c r="D41" t="s">
        <v>353</v>
      </c>
      <c r="E41" t="s">
        <v>237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95</v>
      </c>
      <c r="B42" t="s">
        <v>354</v>
      </c>
      <c r="C42" t="s">
        <v>236</v>
      </c>
      <c r="D42" t="s">
        <v>355</v>
      </c>
      <c r="E42" t="s">
        <v>237</v>
      </c>
      <c r="F42" t="n">
        <v>45</v>
      </c>
      <c r="G42" t="n">
        <v>49</v>
      </c>
      <c r="H42" t="n">
        <v>40</v>
      </c>
      <c r="I42" t="n">
        <v>39</v>
      </c>
      <c r="J42" t="n">
        <v>38</v>
      </c>
      <c r="K42" t="n">
        <v>32</v>
      </c>
      <c r="L42" t="n">
        <v>21</v>
      </c>
      <c r="M42" t="n">
        <v>15</v>
      </c>
      <c r="N42" t="n">
        <v>14</v>
      </c>
      <c r="O42" t="n">
        <v>19</v>
      </c>
      <c r="P42" t="n">
        <v>19</v>
      </c>
      <c r="Q42" t="n">
        <v>25</v>
      </c>
      <c r="R42" t="n">
        <v>33</v>
      </c>
      <c r="S42" t="n">
        <v>61</v>
      </c>
      <c r="T42" t="n">
        <v>47</v>
      </c>
      <c r="U42" t="n">
        <v>46</v>
      </c>
      <c r="V42" t="n">
        <v>110</v>
      </c>
      <c r="W42" t="n">
        <v>110</v>
      </c>
      <c r="X42" t="n">
        <v>103</v>
      </c>
      <c r="Y42" t="n">
        <v>100</v>
      </c>
      <c r="Z42" t="n">
        <v>95</v>
      </c>
      <c r="AA42" t="n">
        <v>102</v>
      </c>
      <c r="AB42" t="n">
        <v>112</v>
      </c>
      <c r="AC42" t="n">
        <v>105</v>
      </c>
      <c r="AD42" t="n">
        <v>102</v>
      </c>
      <c r="AE42" t="n">
        <v>91</v>
      </c>
      <c r="AF42" t="n">
        <v>82</v>
      </c>
    </row>
    <row r="43">
      <c r="A43" t="s">
        <v>95</v>
      </c>
      <c r="B43" t="s">
        <v>356</v>
      </c>
      <c r="C43" t="s">
        <v>236</v>
      </c>
      <c r="D43" t="s">
        <v>357</v>
      </c>
      <c r="E43" t="s">
        <v>237</v>
      </c>
      <c r="F43" t="n">
        <v>51</v>
      </c>
      <c r="G43" t="n">
        <v>56</v>
      </c>
      <c r="H43" t="n">
        <v>44</v>
      </c>
      <c r="I43" t="n">
        <v>43</v>
      </c>
      <c r="J43" t="n">
        <v>43</v>
      </c>
      <c r="K43" t="n">
        <v>36</v>
      </c>
      <c r="L43" t="n">
        <v>24</v>
      </c>
      <c r="M43" t="n">
        <v>17</v>
      </c>
      <c r="N43" t="n">
        <v>14</v>
      </c>
      <c r="O43" t="n">
        <v>19</v>
      </c>
      <c r="P43" t="n">
        <v>20</v>
      </c>
      <c r="Q43" t="n">
        <v>29</v>
      </c>
      <c r="R43" t="n">
        <v>99</v>
      </c>
      <c r="S43" t="n">
        <v>198</v>
      </c>
      <c r="T43" t="n">
        <v>179</v>
      </c>
      <c r="U43" t="n">
        <v>172</v>
      </c>
      <c r="V43" t="n">
        <v>246</v>
      </c>
      <c r="W43" t="n">
        <v>258</v>
      </c>
      <c r="X43" t="n">
        <v>251</v>
      </c>
      <c r="Y43" t="n">
        <v>244</v>
      </c>
      <c r="Z43" t="n">
        <v>215</v>
      </c>
      <c r="AA43" t="n">
        <v>217</v>
      </c>
      <c r="AB43" t="n">
        <v>217</v>
      </c>
      <c r="AC43" t="n">
        <v>204</v>
      </c>
      <c r="AD43" t="n">
        <v>195</v>
      </c>
      <c r="AE43" t="n">
        <v>174</v>
      </c>
      <c r="AF43" t="n">
        <v>160</v>
      </c>
    </row>
    <row r="44">
      <c r="A44" t="s">
        <v>95</v>
      </c>
      <c r="B44" t="s">
        <v>358</v>
      </c>
      <c r="C44" t="s">
        <v>236</v>
      </c>
      <c r="D44" t="s">
        <v>359</v>
      </c>
      <c r="E44" t="s">
        <v>237</v>
      </c>
      <c r="F44" t="n">
        <v>941</v>
      </c>
      <c r="G44" t="n">
        <v>993</v>
      </c>
      <c r="H44" t="n">
        <v>970</v>
      </c>
      <c r="I44" t="n">
        <v>1053</v>
      </c>
      <c r="J44" t="n">
        <v>1061</v>
      </c>
      <c r="K44" t="n">
        <v>1012</v>
      </c>
      <c r="L44" t="n">
        <v>805</v>
      </c>
      <c r="M44" t="n">
        <v>684</v>
      </c>
      <c r="N44" t="n">
        <v>642</v>
      </c>
      <c r="O44" t="n">
        <v>673</v>
      </c>
      <c r="P44" t="n">
        <v>731</v>
      </c>
      <c r="Q44" t="n">
        <v>792</v>
      </c>
      <c r="R44" t="n">
        <v>951</v>
      </c>
      <c r="S44" t="n">
        <v>1102</v>
      </c>
      <c r="T44" t="n">
        <v>1006</v>
      </c>
      <c r="U44" t="n">
        <v>1016</v>
      </c>
      <c r="V44" t="n">
        <v>1117</v>
      </c>
      <c r="W44" t="n">
        <v>1177</v>
      </c>
      <c r="X44" t="n">
        <v>1186</v>
      </c>
      <c r="Y44" t="n">
        <v>1276</v>
      </c>
      <c r="Z44" t="n">
        <v>1438</v>
      </c>
      <c r="AA44" t="n">
        <v>1595</v>
      </c>
      <c r="AB44" t="n">
        <v>1813</v>
      </c>
      <c r="AC44" t="n">
        <v>2183</v>
      </c>
      <c r="AD44" t="n">
        <v>2091</v>
      </c>
      <c r="AE44" t="n">
        <v>1896</v>
      </c>
      <c r="AF44" t="n">
        <v>1830</v>
      </c>
    </row>
    <row r="45">
      <c r="A45" t="s">
        <v>95</v>
      </c>
      <c r="B45" t="s">
        <v>360</v>
      </c>
      <c r="C45" t="s">
        <v>236</v>
      </c>
      <c r="D45" t="s">
        <v>361</v>
      </c>
      <c r="E45" t="s">
        <v>237</v>
      </c>
      <c r="F45" t="n">
        <v>880</v>
      </c>
      <c r="G45" t="n">
        <v>937</v>
      </c>
      <c r="H45" t="n">
        <v>917</v>
      </c>
      <c r="I45" t="n">
        <v>997</v>
      </c>
      <c r="J45" t="n">
        <v>1004</v>
      </c>
      <c r="K45" t="n">
        <v>961</v>
      </c>
      <c r="L45" t="n">
        <v>767</v>
      </c>
      <c r="M45" t="n">
        <v>652</v>
      </c>
      <c r="N45" t="n">
        <v>613</v>
      </c>
      <c r="O45" t="n">
        <v>640</v>
      </c>
      <c r="P45" t="n">
        <v>695</v>
      </c>
      <c r="Q45" t="n">
        <v>756</v>
      </c>
      <c r="R45" t="n">
        <v>916</v>
      </c>
      <c r="S45" t="n">
        <v>1067</v>
      </c>
      <c r="T45" t="n">
        <v>972</v>
      </c>
      <c r="U45" t="n">
        <v>979</v>
      </c>
      <c r="V45" t="n">
        <v>1080</v>
      </c>
      <c r="W45" t="n">
        <v>1139</v>
      </c>
      <c r="X45" t="n">
        <v>1148</v>
      </c>
      <c r="Y45" t="n">
        <v>1238</v>
      </c>
      <c r="Z45" t="n">
        <v>1401</v>
      </c>
      <c r="AA45" t="n">
        <v>1555</v>
      </c>
      <c r="AB45" t="n">
        <v>1773</v>
      </c>
      <c r="AC45" t="n">
        <v>2144</v>
      </c>
      <c r="AD45" t="n">
        <v>2054</v>
      </c>
      <c r="AE45" t="n">
        <v>1863</v>
      </c>
      <c r="AF45" t="n">
        <v>1799</v>
      </c>
    </row>
    <row r="46">
      <c r="A46" t="s">
        <v>95</v>
      </c>
      <c r="B46" t="s">
        <v>362</v>
      </c>
      <c r="C46" t="s">
        <v>236</v>
      </c>
      <c r="D46" t="s">
        <v>363</v>
      </c>
      <c r="E46" t="s">
        <v>237</v>
      </c>
      <c r="F46" t="n">
        <v>6</v>
      </c>
      <c r="G46" t="n">
        <v>7</v>
      </c>
      <c r="H46" t="n">
        <v>4</v>
      </c>
      <c r="I46" t="n">
        <v>4</v>
      </c>
      <c r="J46" t="n">
        <v>5</v>
      </c>
      <c r="K46" t="n">
        <v>4</v>
      </c>
      <c r="L46" t="n">
        <v>3</v>
      </c>
      <c r="M46" t="n">
        <v>2</v>
      </c>
      <c r="N46" t="n">
        <v>0</v>
      </c>
      <c r="O46" t="n">
        <v>0</v>
      </c>
      <c r="P46" t="n">
        <v>1</v>
      </c>
      <c r="Q46" t="n">
        <v>4</v>
      </c>
      <c r="R46" t="n">
        <v>66</v>
      </c>
      <c r="S46" t="n">
        <v>137</v>
      </c>
      <c r="T46" t="n">
        <v>132</v>
      </c>
      <c r="U46" t="n">
        <v>126</v>
      </c>
      <c r="V46" t="n">
        <v>136</v>
      </c>
      <c r="W46" t="n">
        <v>148</v>
      </c>
      <c r="X46" t="n">
        <v>148</v>
      </c>
      <c r="Y46" t="n">
        <v>144</v>
      </c>
      <c r="Z46" t="n">
        <v>120</v>
      </c>
      <c r="AA46" t="n">
        <v>115</v>
      </c>
      <c r="AB46" t="n">
        <v>105</v>
      </c>
      <c r="AC46" t="n">
        <v>99</v>
      </c>
      <c r="AD46" t="n">
        <v>93</v>
      </c>
      <c r="AE46" t="n">
        <v>83</v>
      </c>
      <c r="AF46" t="n">
        <v>78</v>
      </c>
    </row>
    <row r="47">
      <c r="A47" t="s">
        <v>95</v>
      </c>
      <c r="B47" t="s">
        <v>364</v>
      </c>
      <c r="C47" t="s">
        <v>236</v>
      </c>
      <c r="D47" t="s">
        <v>365</v>
      </c>
      <c r="E47" t="s">
        <v>237</v>
      </c>
      <c r="F47" t="n">
        <v>110</v>
      </c>
      <c r="G47" t="n">
        <v>118</v>
      </c>
      <c r="H47" t="n">
        <v>109</v>
      </c>
      <c r="I47" t="n">
        <v>119</v>
      </c>
      <c r="J47" t="n">
        <v>136</v>
      </c>
      <c r="K47" t="n">
        <v>132</v>
      </c>
      <c r="L47" t="n">
        <v>104</v>
      </c>
      <c r="M47" t="n">
        <v>88</v>
      </c>
      <c r="N47" t="n">
        <v>84</v>
      </c>
      <c r="O47" t="n">
        <v>96</v>
      </c>
      <c r="P47" t="n">
        <v>100</v>
      </c>
      <c r="Q47" t="n">
        <v>85</v>
      </c>
      <c r="R47" t="n">
        <v>76</v>
      </c>
      <c r="S47" t="n">
        <v>71</v>
      </c>
      <c r="T47" t="n">
        <v>72</v>
      </c>
      <c r="U47" t="n">
        <v>82</v>
      </c>
      <c r="V47" t="n">
        <v>83</v>
      </c>
      <c r="W47" t="n">
        <v>82</v>
      </c>
      <c r="X47" t="n">
        <v>76</v>
      </c>
      <c r="Y47" t="n">
        <v>76</v>
      </c>
      <c r="Z47" t="n">
        <v>79</v>
      </c>
      <c r="AA47" t="n">
        <v>87</v>
      </c>
      <c r="AB47" t="n">
        <v>94</v>
      </c>
      <c r="AC47" t="n">
        <v>104</v>
      </c>
      <c r="AD47" t="n">
        <v>122</v>
      </c>
      <c r="AE47" t="n">
        <v>161</v>
      </c>
      <c r="AF47" t="n">
        <v>167</v>
      </c>
    </row>
    <row r="48">
      <c r="A48" t="s">
        <v>95</v>
      </c>
      <c r="B48" t="s">
        <v>366</v>
      </c>
      <c r="C48" t="s">
        <v>236</v>
      </c>
      <c r="D48" t="s">
        <v>367</v>
      </c>
      <c r="E48" t="s">
        <v>237</v>
      </c>
      <c r="F48" t="n">
        <v>157</v>
      </c>
      <c r="G48" t="n">
        <v>167</v>
      </c>
      <c r="H48" t="n">
        <v>158</v>
      </c>
      <c r="I48" t="n">
        <v>171</v>
      </c>
      <c r="J48" t="n">
        <v>191</v>
      </c>
      <c r="K48" t="n">
        <v>185</v>
      </c>
      <c r="L48" t="n">
        <v>148</v>
      </c>
      <c r="M48" t="n">
        <v>124</v>
      </c>
      <c r="N48" t="n">
        <v>121</v>
      </c>
      <c r="O48" t="n">
        <v>138</v>
      </c>
      <c r="P48" t="n">
        <v>144</v>
      </c>
      <c r="Q48" t="n">
        <v>143</v>
      </c>
      <c r="R48" t="n">
        <v>153</v>
      </c>
      <c r="S48" t="n">
        <v>160</v>
      </c>
      <c r="T48" t="n">
        <v>174</v>
      </c>
      <c r="U48" t="n">
        <v>182</v>
      </c>
      <c r="V48" t="n">
        <v>181</v>
      </c>
      <c r="W48" t="n">
        <v>181</v>
      </c>
      <c r="X48" t="n">
        <v>182</v>
      </c>
      <c r="Y48" t="n">
        <v>181</v>
      </c>
      <c r="Z48" t="n">
        <v>182</v>
      </c>
      <c r="AA48" t="n">
        <v>192</v>
      </c>
      <c r="AB48" t="n">
        <v>203</v>
      </c>
      <c r="AC48" t="n">
        <v>220</v>
      </c>
      <c r="AD48" t="n">
        <v>237</v>
      </c>
      <c r="AE48" t="n">
        <v>274</v>
      </c>
      <c r="AF48" t="n">
        <v>274</v>
      </c>
    </row>
    <row r="49">
      <c r="A49" t="s">
        <v>95</v>
      </c>
      <c r="B49" t="s">
        <v>368</v>
      </c>
      <c r="C49" t="s">
        <v>236</v>
      </c>
      <c r="D49" t="s">
        <v>369</v>
      </c>
      <c r="E49" t="s">
        <v>237</v>
      </c>
      <c r="F49" t="n">
        <v>24</v>
      </c>
      <c r="G49" t="n">
        <v>24</v>
      </c>
      <c r="H49" t="n">
        <v>23</v>
      </c>
      <c r="I49" t="n">
        <v>23</v>
      </c>
      <c r="J49" t="n">
        <v>23</v>
      </c>
      <c r="K49" t="n">
        <v>22</v>
      </c>
      <c r="L49" t="n">
        <v>18</v>
      </c>
      <c r="M49" t="n">
        <v>15</v>
      </c>
      <c r="N49" t="n">
        <v>15</v>
      </c>
      <c r="O49" t="n">
        <v>16</v>
      </c>
      <c r="P49" t="n">
        <v>16</v>
      </c>
      <c r="Q49" t="n">
        <v>31</v>
      </c>
      <c r="R49" t="n">
        <v>45</v>
      </c>
      <c r="S49" t="n">
        <v>55</v>
      </c>
      <c r="T49" t="n">
        <v>66</v>
      </c>
      <c r="U49" t="n">
        <v>63</v>
      </c>
      <c r="V49" t="n">
        <v>61</v>
      </c>
      <c r="W49" t="n">
        <v>62</v>
      </c>
      <c r="X49" t="n">
        <v>67</v>
      </c>
      <c r="Y49" t="n">
        <v>67</v>
      </c>
      <c r="Z49" t="n">
        <v>65</v>
      </c>
      <c r="AA49" t="n">
        <v>65</v>
      </c>
      <c r="AB49" t="n">
        <v>66</v>
      </c>
      <c r="AC49" t="n">
        <v>66</v>
      </c>
      <c r="AD49" t="n">
        <v>64</v>
      </c>
      <c r="AE49" t="n">
        <v>62</v>
      </c>
      <c r="AF49" t="n">
        <v>58</v>
      </c>
    </row>
    <row r="50">
      <c r="A50" t="s">
        <v>95</v>
      </c>
      <c r="B50" t="s">
        <v>370</v>
      </c>
      <c r="C50" t="s">
        <v>236</v>
      </c>
      <c r="D50" t="s">
        <v>371</v>
      </c>
      <c r="E50" t="s">
        <v>237</v>
      </c>
      <c r="F50" t="n">
        <v>23</v>
      </c>
      <c r="G50" t="n">
        <v>25</v>
      </c>
      <c r="H50" t="n">
        <v>26</v>
      </c>
      <c r="I50" t="n">
        <v>29</v>
      </c>
      <c r="J50" t="n">
        <v>32</v>
      </c>
      <c r="K50" t="n">
        <v>31</v>
      </c>
      <c r="L50" t="n">
        <v>26</v>
      </c>
      <c r="M50" t="n">
        <v>21</v>
      </c>
      <c r="N50" t="n">
        <v>22</v>
      </c>
      <c r="O50" t="n">
        <v>26</v>
      </c>
      <c r="P50" t="n">
        <v>28</v>
      </c>
      <c r="Q50" t="n">
        <v>27</v>
      </c>
      <c r="R50" t="n">
        <v>32</v>
      </c>
      <c r="S50" t="n">
        <v>34</v>
      </c>
      <c r="T50" t="n">
        <v>36</v>
      </c>
      <c r="U50" t="n">
        <v>37</v>
      </c>
      <c r="V50" t="n">
        <v>37</v>
      </c>
      <c r="W50" t="n">
        <v>37</v>
      </c>
      <c r="X50" t="n">
        <v>39</v>
      </c>
      <c r="Y50" t="n">
        <v>38</v>
      </c>
      <c r="Z50" t="n">
        <v>38</v>
      </c>
      <c r="AA50" t="n">
        <v>40</v>
      </c>
      <c r="AB50" t="n">
        <v>43</v>
      </c>
      <c r="AC50" t="n">
        <v>50</v>
      </c>
      <c r="AD50" t="n">
        <v>51</v>
      </c>
      <c r="AE50" t="n">
        <v>51</v>
      </c>
      <c r="AF50" t="n">
        <v>49</v>
      </c>
    </row>
    <row r="51">
      <c r="A51" t="s">
        <v>95</v>
      </c>
      <c r="B51" t="s">
        <v>372</v>
      </c>
      <c r="C51" t="s">
        <v>236</v>
      </c>
      <c r="D51" t="s">
        <v>373</v>
      </c>
      <c r="E51" t="s">
        <v>237</v>
      </c>
      <c r="F51" t="n">
        <v>22</v>
      </c>
      <c r="G51" t="n">
        <v>23</v>
      </c>
      <c r="H51" t="n">
        <v>24</v>
      </c>
      <c r="I51" t="n">
        <v>27</v>
      </c>
      <c r="J51" t="n">
        <v>30</v>
      </c>
      <c r="K51" t="n">
        <v>29</v>
      </c>
      <c r="L51" t="n">
        <v>24</v>
      </c>
      <c r="M51" t="n">
        <v>21</v>
      </c>
      <c r="N51" t="n">
        <v>22</v>
      </c>
      <c r="O51" t="n">
        <v>25</v>
      </c>
      <c r="P51" t="n">
        <v>27</v>
      </c>
      <c r="Q51" t="n">
        <v>25</v>
      </c>
      <c r="R51" t="n">
        <v>28</v>
      </c>
      <c r="S51" t="n">
        <v>29</v>
      </c>
      <c r="T51" t="n">
        <v>30</v>
      </c>
      <c r="U51" t="n">
        <v>30</v>
      </c>
      <c r="V51" t="n">
        <v>30</v>
      </c>
      <c r="W51" t="n">
        <v>29</v>
      </c>
      <c r="X51" t="n">
        <v>31</v>
      </c>
      <c r="Y51" t="n">
        <v>32</v>
      </c>
      <c r="Z51" t="n">
        <v>32</v>
      </c>
      <c r="AA51" t="n">
        <v>34</v>
      </c>
      <c r="AB51" t="n">
        <v>35</v>
      </c>
      <c r="AC51" t="n">
        <v>38</v>
      </c>
      <c r="AD51" t="n">
        <v>38</v>
      </c>
      <c r="AE51" t="n">
        <v>36</v>
      </c>
      <c r="AF51" t="n">
        <v>33</v>
      </c>
    </row>
    <row r="52">
      <c r="A52" t="s">
        <v>95</v>
      </c>
      <c r="B52" t="s">
        <v>374</v>
      </c>
      <c r="C52" t="s">
        <v>236</v>
      </c>
      <c r="D52" t="s">
        <v>375</v>
      </c>
      <c r="E52" t="s">
        <v>237</v>
      </c>
      <c r="F52" t="n">
        <v>1</v>
      </c>
      <c r="G52" t="n">
        <v>2</v>
      </c>
      <c r="H52" t="n">
        <v>2</v>
      </c>
      <c r="I52" t="n">
        <v>2</v>
      </c>
      <c r="J52" t="n">
        <v>2</v>
      </c>
      <c r="K52" t="n">
        <v>2</v>
      </c>
      <c r="L52" t="n">
        <v>2</v>
      </c>
      <c r="M52" t="n">
        <v>0</v>
      </c>
      <c r="N52" t="n">
        <v>0</v>
      </c>
      <c r="O52" t="n">
        <v>1</v>
      </c>
      <c r="P52" t="n">
        <v>1</v>
      </c>
      <c r="Q52" t="n">
        <v>2</v>
      </c>
      <c r="R52" t="n">
        <v>4</v>
      </c>
      <c r="S52" t="n">
        <v>5</v>
      </c>
      <c r="T52" t="n">
        <v>6</v>
      </c>
      <c r="U52" t="n">
        <v>7</v>
      </c>
      <c r="V52" t="n">
        <v>7</v>
      </c>
      <c r="W52" t="n">
        <v>8</v>
      </c>
      <c r="X52" t="n">
        <v>8</v>
      </c>
      <c r="Y52" t="n">
        <v>6</v>
      </c>
      <c r="Z52" t="n">
        <v>6</v>
      </c>
      <c r="AA52" t="n">
        <v>6</v>
      </c>
      <c r="AB52" t="n">
        <v>8</v>
      </c>
      <c r="AC52" t="n">
        <v>12</v>
      </c>
      <c r="AD52" t="n">
        <v>13</v>
      </c>
      <c r="AE52" t="n">
        <v>15</v>
      </c>
      <c r="AF52" t="n">
        <v>16</v>
      </c>
    </row>
    <row r="53">
      <c r="A53" t="s">
        <v>95</v>
      </c>
      <c r="B53" t="s">
        <v>376</v>
      </c>
      <c r="C53" t="s">
        <v>236</v>
      </c>
      <c r="D53" t="s">
        <v>377</v>
      </c>
      <c r="E53" t="s">
        <v>237</v>
      </c>
      <c r="F53" t="n">
        <v>14</v>
      </c>
      <c r="G53" t="n">
        <v>14</v>
      </c>
      <c r="H53" t="n">
        <v>20</v>
      </c>
      <c r="I53" t="n">
        <v>20</v>
      </c>
      <c r="J53" t="n">
        <v>13</v>
      </c>
      <c r="K53" t="n">
        <v>14</v>
      </c>
      <c r="L53" t="n">
        <v>12</v>
      </c>
      <c r="M53" t="n">
        <v>9</v>
      </c>
      <c r="N53" t="n">
        <v>11</v>
      </c>
      <c r="O53" t="n">
        <v>14</v>
      </c>
      <c r="P53" t="n">
        <v>13</v>
      </c>
      <c r="Q53" t="n">
        <v>14</v>
      </c>
      <c r="R53" t="n">
        <v>14</v>
      </c>
      <c r="S53" t="n">
        <v>14</v>
      </c>
      <c r="T53" t="n">
        <v>13</v>
      </c>
      <c r="U53" t="n">
        <v>11</v>
      </c>
      <c r="V53" t="n">
        <v>12</v>
      </c>
      <c r="W53" t="n">
        <v>14</v>
      </c>
      <c r="X53" t="n">
        <v>16</v>
      </c>
      <c r="Y53" t="n">
        <v>16</v>
      </c>
      <c r="Z53" t="n">
        <v>17</v>
      </c>
      <c r="AA53" t="n">
        <v>18</v>
      </c>
      <c r="AB53" t="n">
        <v>19</v>
      </c>
      <c r="AC53" t="n">
        <v>19</v>
      </c>
      <c r="AD53" t="n">
        <v>18</v>
      </c>
      <c r="AE53" t="n">
        <v>16</v>
      </c>
      <c r="AF53" t="n">
        <v>14</v>
      </c>
    </row>
    <row r="54">
      <c r="A54" t="s">
        <v>95</v>
      </c>
      <c r="B54" t="s">
        <v>378</v>
      </c>
      <c r="C54" t="s">
        <v>236</v>
      </c>
      <c r="D54" t="s">
        <v>379</v>
      </c>
      <c r="E54" t="s">
        <v>237</v>
      </c>
      <c r="F54" t="n">
        <v>23</v>
      </c>
      <c r="G54" t="n">
        <v>23</v>
      </c>
      <c r="H54" t="n">
        <v>26</v>
      </c>
      <c r="I54" t="n">
        <v>30</v>
      </c>
      <c r="J54" t="n">
        <v>23</v>
      </c>
      <c r="K54" t="n">
        <v>23</v>
      </c>
      <c r="L54" t="n">
        <v>20</v>
      </c>
      <c r="M54" t="n">
        <v>15</v>
      </c>
      <c r="N54" t="n">
        <v>18</v>
      </c>
      <c r="O54" t="n">
        <v>21</v>
      </c>
      <c r="P54" t="n">
        <v>21</v>
      </c>
      <c r="Q54" t="n">
        <v>25</v>
      </c>
      <c r="R54" t="n">
        <v>25</v>
      </c>
      <c r="S54" t="n">
        <v>26</v>
      </c>
      <c r="T54" t="n">
        <v>24</v>
      </c>
      <c r="U54" t="n">
        <v>23</v>
      </c>
      <c r="V54" t="n">
        <v>23</v>
      </c>
      <c r="W54" t="n">
        <v>26</v>
      </c>
      <c r="X54" t="n">
        <v>29</v>
      </c>
      <c r="Y54" t="n">
        <v>29</v>
      </c>
      <c r="Z54" t="n">
        <v>30</v>
      </c>
      <c r="AA54" t="n">
        <v>31</v>
      </c>
      <c r="AB54" t="n">
        <v>32</v>
      </c>
      <c r="AC54" t="n">
        <v>30</v>
      </c>
      <c r="AD54" t="n">
        <v>28</v>
      </c>
      <c r="AE54" t="n">
        <v>22</v>
      </c>
      <c r="AF54" t="n">
        <v>19</v>
      </c>
    </row>
    <row r="55">
      <c r="A55" t="s">
        <v>95</v>
      </c>
      <c r="B55" t="s">
        <v>380</v>
      </c>
      <c r="C55" t="s">
        <v>236</v>
      </c>
      <c r="D55" t="s">
        <v>381</v>
      </c>
      <c r="E55" t="s">
        <v>237</v>
      </c>
      <c r="F55" t="n">
        <v>9</v>
      </c>
      <c r="G55" t="n">
        <v>9</v>
      </c>
      <c r="H55" t="n">
        <v>6</v>
      </c>
      <c r="I55" t="n">
        <v>10</v>
      </c>
      <c r="J55" t="n">
        <v>10</v>
      </c>
      <c r="K55" t="n">
        <v>9</v>
      </c>
      <c r="L55" t="n">
        <v>8</v>
      </c>
      <c r="M55" t="n">
        <v>6</v>
      </c>
      <c r="N55" t="n">
        <v>7</v>
      </c>
      <c r="O55" t="n">
        <v>7</v>
      </c>
      <c r="P55" t="n">
        <v>8</v>
      </c>
      <c r="Q55" t="n">
        <v>11</v>
      </c>
      <c r="R55" t="n">
        <v>11</v>
      </c>
      <c r="S55" t="n">
        <v>12</v>
      </c>
      <c r="T55" t="n">
        <v>11</v>
      </c>
      <c r="U55" t="n">
        <v>12</v>
      </c>
      <c r="V55" t="n">
        <v>11</v>
      </c>
      <c r="W55" t="n">
        <v>12</v>
      </c>
      <c r="X55" t="n">
        <v>13</v>
      </c>
      <c r="Y55" t="n">
        <v>13</v>
      </c>
      <c r="Z55" t="n">
        <v>13</v>
      </c>
      <c r="AA55" t="n">
        <v>13</v>
      </c>
      <c r="AB55" t="n">
        <v>13</v>
      </c>
      <c r="AC55" t="n">
        <v>11</v>
      </c>
      <c r="AD55" t="n">
        <v>10</v>
      </c>
      <c r="AE55" t="n">
        <v>6</v>
      </c>
      <c r="AF55" t="n">
        <v>5</v>
      </c>
    </row>
    <row r="56">
      <c r="A56" t="s">
        <v>95</v>
      </c>
      <c r="B56" t="s">
        <v>382</v>
      </c>
      <c r="C56" t="s">
        <v>236</v>
      </c>
      <c r="D56" t="s">
        <v>383</v>
      </c>
      <c r="E56" t="s">
        <v>237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95</v>
      </c>
      <c r="B57" t="s">
        <v>384</v>
      </c>
      <c r="C57" t="s">
        <v>236</v>
      </c>
      <c r="D57" t="s">
        <v>385</v>
      </c>
      <c r="E57" t="s">
        <v>237</v>
      </c>
      <c r="F57" t="n">
        <v>1100</v>
      </c>
      <c r="G57" t="n">
        <v>1162</v>
      </c>
      <c r="H57" t="n">
        <v>1131</v>
      </c>
      <c r="I57" t="n">
        <v>1226</v>
      </c>
      <c r="J57" t="n">
        <v>1254</v>
      </c>
      <c r="K57" t="n">
        <v>1199</v>
      </c>
      <c r="L57" t="n">
        <v>954</v>
      </c>
      <c r="M57" t="n">
        <v>809</v>
      </c>
      <c r="N57" t="n">
        <v>765</v>
      </c>
      <c r="O57" t="n">
        <v>812</v>
      </c>
      <c r="P57" t="n">
        <v>878</v>
      </c>
      <c r="Q57" t="n">
        <v>939</v>
      </c>
      <c r="R57" t="n">
        <v>1108</v>
      </c>
      <c r="S57" t="n">
        <v>1274</v>
      </c>
      <c r="T57" t="n">
        <v>1192</v>
      </c>
      <c r="U57" t="n">
        <v>1208</v>
      </c>
      <c r="V57" t="n">
        <v>1307</v>
      </c>
      <c r="W57" t="n">
        <v>1368</v>
      </c>
      <c r="X57" t="n">
        <v>1379</v>
      </c>
      <c r="Y57" t="n">
        <v>1469</v>
      </c>
      <c r="Z57" t="n">
        <v>1633</v>
      </c>
      <c r="AA57" t="n">
        <v>1801</v>
      </c>
      <c r="AB57" t="n">
        <v>2031</v>
      </c>
      <c r="AC57" t="n">
        <v>2419</v>
      </c>
      <c r="AD57" t="n">
        <v>2344</v>
      </c>
      <c r="AE57" t="n">
        <v>2186</v>
      </c>
      <c r="AF57" t="n">
        <v>2120</v>
      </c>
    </row>
    <row r="58">
      <c r="A58" t="s">
        <v>95</v>
      </c>
      <c r="B58" t="s">
        <v>386</v>
      </c>
      <c r="C58" t="s">
        <v>236</v>
      </c>
      <c r="D58" t="s">
        <v>387</v>
      </c>
      <c r="E58" t="s">
        <v>237</v>
      </c>
      <c r="F58" t="n">
        <v>1100</v>
      </c>
      <c r="G58" t="n">
        <v>1162</v>
      </c>
      <c r="H58" t="n">
        <v>1131</v>
      </c>
      <c r="I58" t="n">
        <v>1226</v>
      </c>
      <c r="J58" t="n">
        <v>1254</v>
      </c>
      <c r="K58" t="n">
        <v>1199</v>
      </c>
      <c r="L58" t="n">
        <v>954</v>
      </c>
      <c r="M58" t="n">
        <v>809</v>
      </c>
      <c r="N58" t="n">
        <v>765</v>
      </c>
      <c r="O58" t="n">
        <v>812</v>
      </c>
      <c r="P58" t="n">
        <v>878</v>
      </c>
      <c r="Q58" t="n">
        <v>939</v>
      </c>
      <c r="R58" t="n">
        <v>1108</v>
      </c>
      <c r="S58" t="n">
        <v>1274</v>
      </c>
      <c r="T58" t="n">
        <v>1192</v>
      </c>
      <c r="U58" t="n">
        <v>1208</v>
      </c>
      <c r="V58" t="n">
        <v>1307</v>
      </c>
      <c r="W58" t="n">
        <v>1368</v>
      </c>
      <c r="X58" t="n">
        <v>1379</v>
      </c>
      <c r="Y58" t="n">
        <v>1469</v>
      </c>
      <c r="Z58" t="n">
        <v>1633</v>
      </c>
      <c r="AA58" t="n">
        <v>1801</v>
      </c>
      <c r="AB58" t="n">
        <v>2031</v>
      </c>
      <c r="AC58" t="n">
        <v>2419</v>
      </c>
      <c r="AD58" t="n">
        <v>2344</v>
      </c>
      <c r="AE58" t="n">
        <v>2186</v>
      </c>
      <c r="AF58" t="n">
        <v>2120</v>
      </c>
    </row>
    <row r="59">
      <c r="A59" t="s">
        <v>95</v>
      </c>
      <c r="B59" t="s">
        <v>388</v>
      </c>
      <c r="C59" t="s">
        <v>236</v>
      </c>
      <c r="D59" t="s">
        <v>389</v>
      </c>
      <c r="E59" t="s">
        <v>237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97</v>
      </c>
      <c r="B2" t="s">
        <v>197</v>
      </c>
      <c r="C2" t="s">
        <v>236</v>
      </c>
      <c r="D2" t="s">
        <v>199</v>
      </c>
      <c r="E2" t="s">
        <v>237</v>
      </c>
      <c r="F2" t="n">
        <v>26</v>
      </c>
      <c r="G2" t="n">
        <v>30</v>
      </c>
      <c r="H2" t="n">
        <v>38</v>
      </c>
      <c r="I2" t="n">
        <v>47</v>
      </c>
      <c r="J2" t="n">
        <v>56</v>
      </c>
      <c r="K2" t="n">
        <v>61</v>
      </c>
      <c r="L2" t="n">
        <v>62</v>
      </c>
      <c r="M2" t="n">
        <v>61</v>
      </c>
      <c r="N2" t="n">
        <v>66</v>
      </c>
      <c r="O2" t="n">
        <v>72</v>
      </c>
      <c r="P2" t="n">
        <v>77</v>
      </c>
      <c r="Q2" t="n">
        <v>73</v>
      </c>
      <c r="R2" t="n">
        <v>66</v>
      </c>
      <c r="S2" t="n">
        <v>59</v>
      </c>
      <c r="T2" t="n">
        <v>59</v>
      </c>
      <c r="U2" t="n">
        <v>52</v>
      </c>
      <c r="V2" t="n">
        <v>51</v>
      </c>
      <c r="W2" t="n">
        <v>52</v>
      </c>
      <c r="X2" t="n">
        <v>53</v>
      </c>
      <c r="Y2" t="n">
        <v>54</v>
      </c>
      <c r="Z2" t="n">
        <v>55</v>
      </c>
      <c r="AA2" t="n">
        <v>56</v>
      </c>
      <c r="AB2" t="n">
        <v>57</v>
      </c>
      <c r="AC2" t="n">
        <v>59</v>
      </c>
      <c r="AD2" t="n">
        <v>54</v>
      </c>
      <c r="AE2" t="n">
        <v>54</v>
      </c>
      <c r="AF2" t="n">
        <v>55</v>
      </c>
    </row>
    <row r="3">
      <c r="A3" t="s">
        <v>97</v>
      </c>
      <c r="B3" t="s">
        <v>276</v>
      </c>
      <c r="C3" t="s">
        <v>236</v>
      </c>
      <c r="D3" t="s">
        <v>277</v>
      </c>
      <c r="E3" t="s">
        <v>237</v>
      </c>
      <c r="F3" t="n">
        <v>1</v>
      </c>
      <c r="G3" t="n">
        <v>2</v>
      </c>
      <c r="H3" t="n">
        <v>2</v>
      </c>
      <c r="I3" t="n">
        <v>3</v>
      </c>
      <c r="J3" t="n">
        <v>3</v>
      </c>
      <c r="K3" t="n">
        <v>4</v>
      </c>
      <c r="L3" t="n">
        <v>4</v>
      </c>
      <c r="M3" t="n">
        <v>4</v>
      </c>
      <c r="N3" t="n">
        <v>5</v>
      </c>
      <c r="O3" t="n">
        <v>7</v>
      </c>
      <c r="P3" t="n">
        <v>8</v>
      </c>
      <c r="Q3" t="n">
        <v>15</v>
      </c>
      <c r="R3" t="n">
        <v>22</v>
      </c>
      <c r="S3" t="n">
        <v>28</v>
      </c>
      <c r="T3" t="n">
        <v>31</v>
      </c>
      <c r="U3" t="n">
        <v>29</v>
      </c>
      <c r="V3" t="n">
        <v>33</v>
      </c>
      <c r="W3" t="n">
        <v>40</v>
      </c>
      <c r="X3" t="n">
        <v>47</v>
      </c>
      <c r="Y3" t="n">
        <v>50</v>
      </c>
      <c r="Z3" t="n">
        <v>51</v>
      </c>
      <c r="AA3" t="n">
        <v>51</v>
      </c>
      <c r="AB3" t="n">
        <v>49</v>
      </c>
      <c r="AC3" t="n">
        <v>46</v>
      </c>
      <c r="AD3" t="n">
        <v>45</v>
      </c>
      <c r="AE3" t="n">
        <v>46</v>
      </c>
      <c r="AF3" t="n">
        <v>50</v>
      </c>
    </row>
    <row r="4">
      <c r="A4" t="s">
        <v>97</v>
      </c>
      <c r="B4" t="s">
        <v>278</v>
      </c>
      <c r="C4" t="s">
        <v>236</v>
      </c>
      <c r="D4" t="s">
        <v>279</v>
      </c>
      <c r="E4" t="s">
        <v>237</v>
      </c>
      <c r="F4" t="n">
        <v>216</v>
      </c>
      <c r="G4" t="n">
        <v>280</v>
      </c>
      <c r="H4" t="n">
        <v>353</v>
      </c>
      <c r="I4" t="n">
        <v>438</v>
      </c>
      <c r="J4" t="n">
        <v>520</v>
      </c>
      <c r="K4" t="n">
        <v>565</v>
      </c>
      <c r="L4" t="n">
        <v>632</v>
      </c>
      <c r="M4" t="n">
        <v>617</v>
      </c>
      <c r="N4" t="n">
        <v>643</v>
      </c>
      <c r="O4" t="n">
        <v>673</v>
      </c>
      <c r="P4" t="n">
        <v>702</v>
      </c>
      <c r="Q4" t="n">
        <v>811</v>
      </c>
      <c r="R4" t="n">
        <v>931</v>
      </c>
      <c r="S4" t="n">
        <v>997</v>
      </c>
      <c r="T4" t="n">
        <v>1015</v>
      </c>
      <c r="U4" t="n">
        <v>945</v>
      </c>
      <c r="V4" t="n">
        <v>943</v>
      </c>
      <c r="W4" t="n">
        <v>990</v>
      </c>
      <c r="X4" t="n">
        <v>1015</v>
      </c>
      <c r="Y4" t="n">
        <v>992</v>
      </c>
      <c r="Z4" t="n">
        <v>1065</v>
      </c>
      <c r="AA4" t="n">
        <v>1120</v>
      </c>
      <c r="AB4" t="n">
        <v>1199</v>
      </c>
      <c r="AC4" t="n">
        <v>1224</v>
      </c>
      <c r="AD4" t="n">
        <v>1211</v>
      </c>
      <c r="AE4" t="n">
        <v>1190</v>
      </c>
      <c r="AF4" t="n">
        <v>1220</v>
      </c>
    </row>
    <row r="5">
      <c r="A5" t="s">
        <v>97</v>
      </c>
      <c r="B5" t="s">
        <v>280</v>
      </c>
      <c r="C5" t="s">
        <v>236</v>
      </c>
      <c r="D5" t="s">
        <v>281</v>
      </c>
      <c r="E5" t="s">
        <v>237</v>
      </c>
      <c r="F5" t="n">
        <v>18</v>
      </c>
      <c r="G5" t="n">
        <v>21</v>
      </c>
      <c r="H5" t="n">
        <v>27</v>
      </c>
      <c r="I5" t="n">
        <v>34</v>
      </c>
      <c r="J5" t="n">
        <v>39</v>
      </c>
      <c r="K5" t="n">
        <v>40</v>
      </c>
      <c r="L5" t="n">
        <v>42</v>
      </c>
      <c r="M5" t="n">
        <v>43</v>
      </c>
      <c r="N5" t="n">
        <v>47</v>
      </c>
      <c r="O5" t="n">
        <v>51</v>
      </c>
      <c r="P5" t="n">
        <v>53</v>
      </c>
      <c r="Q5" t="n">
        <v>62</v>
      </c>
      <c r="R5" t="n">
        <v>69</v>
      </c>
      <c r="S5" t="n">
        <v>77</v>
      </c>
      <c r="T5" t="n">
        <v>85</v>
      </c>
      <c r="U5" t="n">
        <v>81</v>
      </c>
      <c r="V5" t="n">
        <v>83</v>
      </c>
      <c r="W5" t="n">
        <v>85</v>
      </c>
      <c r="X5" t="n">
        <v>87</v>
      </c>
      <c r="Y5" t="n">
        <v>87</v>
      </c>
      <c r="Z5" t="n">
        <v>93</v>
      </c>
      <c r="AA5" t="n">
        <v>95</v>
      </c>
      <c r="AB5" t="n">
        <v>107</v>
      </c>
      <c r="AC5" t="n">
        <v>108</v>
      </c>
      <c r="AD5" t="n">
        <v>105</v>
      </c>
      <c r="AE5" t="n">
        <v>103</v>
      </c>
      <c r="AF5" t="n">
        <v>99</v>
      </c>
    </row>
    <row r="6">
      <c r="A6" t="s">
        <v>97</v>
      </c>
      <c r="B6" t="s">
        <v>282</v>
      </c>
      <c r="C6" t="s">
        <v>236</v>
      </c>
      <c r="D6" t="s">
        <v>283</v>
      </c>
      <c r="E6" t="s">
        <v>237</v>
      </c>
      <c r="F6" t="n">
        <v>1</v>
      </c>
      <c r="G6" t="n">
        <v>1</v>
      </c>
      <c r="H6" t="n">
        <v>3</v>
      </c>
      <c r="I6" t="n">
        <v>3</v>
      </c>
      <c r="J6" t="n">
        <v>3</v>
      </c>
      <c r="K6" t="n">
        <v>4</v>
      </c>
      <c r="L6" t="n">
        <v>4</v>
      </c>
      <c r="M6" t="n">
        <v>3</v>
      </c>
      <c r="N6" t="n">
        <v>2</v>
      </c>
      <c r="O6" t="n">
        <v>3</v>
      </c>
      <c r="P6" t="n">
        <v>4</v>
      </c>
      <c r="Q6" t="n">
        <v>4</v>
      </c>
      <c r="R6" t="n">
        <v>4</v>
      </c>
      <c r="S6" t="n">
        <v>4</v>
      </c>
      <c r="T6" t="n">
        <v>3</v>
      </c>
      <c r="U6" t="n">
        <v>3</v>
      </c>
      <c r="V6" t="n">
        <v>2</v>
      </c>
      <c r="W6" t="n">
        <v>2</v>
      </c>
      <c r="X6" t="n">
        <v>2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0</v>
      </c>
      <c r="AE6" t="n">
        <v>0</v>
      </c>
      <c r="AF6" t="n">
        <v>0</v>
      </c>
    </row>
    <row r="7">
      <c r="A7" t="s">
        <v>97</v>
      </c>
      <c r="B7" t="s">
        <v>284</v>
      </c>
      <c r="C7" t="s">
        <v>236</v>
      </c>
      <c r="D7" t="s">
        <v>285</v>
      </c>
      <c r="E7" t="s">
        <v>237</v>
      </c>
      <c r="F7" t="n">
        <v>59</v>
      </c>
      <c r="G7" t="n">
        <v>91</v>
      </c>
      <c r="H7" t="n">
        <v>111</v>
      </c>
      <c r="I7" t="n">
        <v>142</v>
      </c>
      <c r="J7" t="n">
        <v>163</v>
      </c>
      <c r="K7" t="n">
        <v>172</v>
      </c>
      <c r="L7" t="n">
        <v>198</v>
      </c>
      <c r="M7" t="n">
        <v>191</v>
      </c>
      <c r="N7" t="n">
        <v>204</v>
      </c>
      <c r="O7" t="n">
        <v>207</v>
      </c>
      <c r="P7" t="n">
        <v>209</v>
      </c>
      <c r="Q7" t="n">
        <v>238</v>
      </c>
      <c r="R7" t="n">
        <v>259</v>
      </c>
      <c r="S7" t="n">
        <v>276</v>
      </c>
      <c r="T7" t="n">
        <v>257</v>
      </c>
      <c r="U7" t="n">
        <v>230</v>
      </c>
      <c r="V7" t="n">
        <v>230</v>
      </c>
      <c r="W7" t="n">
        <v>229</v>
      </c>
      <c r="X7" t="n">
        <v>233</v>
      </c>
      <c r="Y7" t="n">
        <v>222</v>
      </c>
      <c r="Z7" t="n">
        <v>230</v>
      </c>
      <c r="AA7" t="n">
        <v>242</v>
      </c>
      <c r="AB7" t="n">
        <v>292</v>
      </c>
      <c r="AC7" t="n">
        <v>283</v>
      </c>
      <c r="AD7" t="n">
        <v>279</v>
      </c>
      <c r="AE7" t="n">
        <v>262</v>
      </c>
      <c r="AF7" t="n">
        <v>256</v>
      </c>
    </row>
    <row r="8">
      <c r="A8" t="s">
        <v>97</v>
      </c>
      <c r="B8" t="s">
        <v>286</v>
      </c>
      <c r="C8" t="s">
        <v>236</v>
      </c>
      <c r="D8" t="s">
        <v>287</v>
      </c>
      <c r="E8" t="s">
        <v>237</v>
      </c>
      <c r="F8" t="n">
        <v>2</v>
      </c>
      <c r="G8" t="n">
        <v>3</v>
      </c>
      <c r="H8" t="n">
        <v>8</v>
      </c>
      <c r="I8" t="n">
        <v>8</v>
      </c>
      <c r="J8" t="n">
        <v>10</v>
      </c>
      <c r="K8" t="n">
        <v>10</v>
      </c>
      <c r="L8" t="n">
        <v>13</v>
      </c>
      <c r="M8" t="n">
        <v>11</v>
      </c>
      <c r="N8" t="n">
        <v>13</v>
      </c>
      <c r="O8" t="n">
        <v>12</v>
      </c>
      <c r="P8" t="n">
        <v>19</v>
      </c>
      <c r="Q8" t="n">
        <v>27</v>
      </c>
      <c r="R8" t="n">
        <v>59</v>
      </c>
      <c r="S8" t="n">
        <v>61</v>
      </c>
      <c r="T8" t="n">
        <v>57</v>
      </c>
      <c r="U8" t="n">
        <v>54</v>
      </c>
      <c r="V8" t="n">
        <v>48</v>
      </c>
      <c r="W8" t="n">
        <v>49</v>
      </c>
      <c r="X8" t="n">
        <v>49</v>
      </c>
      <c r="Y8" t="n">
        <v>49</v>
      </c>
      <c r="Z8" t="n">
        <v>59</v>
      </c>
      <c r="AA8" t="n">
        <v>48</v>
      </c>
      <c r="AB8" t="n">
        <v>9</v>
      </c>
      <c r="AC8" t="n">
        <v>10</v>
      </c>
      <c r="AD8" t="n">
        <v>10</v>
      </c>
      <c r="AE8" t="n">
        <v>9</v>
      </c>
      <c r="AF8" t="n">
        <v>15</v>
      </c>
    </row>
    <row r="9">
      <c r="A9" t="s">
        <v>97</v>
      </c>
      <c r="B9" t="s">
        <v>288</v>
      </c>
      <c r="C9" t="s">
        <v>236</v>
      </c>
      <c r="D9" t="s">
        <v>289</v>
      </c>
      <c r="E9" t="s">
        <v>237</v>
      </c>
      <c r="F9" t="n">
        <v>37</v>
      </c>
      <c r="G9" t="n">
        <v>41</v>
      </c>
      <c r="H9" t="n">
        <v>50</v>
      </c>
      <c r="I9" t="n">
        <v>56</v>
      </c>
      <c r="J9" t="n">
        <v>65</v>
      </c>
      <c r="K9" t="n">
        <v>65</v>
      </c>
      <c r="L9" t="n">
        <v>67</v>
      </c>
      <c r="M9" t="n">
        <v>68</v>
      </c>
      <c r="N9" t="n">
        <v>71</v>
      </c>
      <c r="O9" t="n">
        <v>77</v>
      </c>
      <c r="P9" t="n">
        <v>78</v>
      </c>
      <c r="Q9" t="n">
        <v>89</v>
      </c>
      <c r="R9" t="n">
        <v>119</v>
      </c>
      <c r="S9" t="n">
        <v>127</v>
      </c>
      <c r="T9" t="n">
        <v>128</v>
      </c>
      <c r="U9" t="n">
        <v>114</v>
      </c>
      <c r="V9" t="n">
        <v>115</v>
      </c>
      <c r="W9" t="n">
        <v>126</v>
      </c>
      <c r="X9" t="n">
        <v>143</v>
      </c>
      <c r="Y9" t="n">
        <v>143</v>
      </c>
      <c r="Z9" t="n">
        <v>171</v>
      </c>
      <c r="AA9" t="n">
        <v>213</v>
      </c>
      <c r="AB9" t="n">
        <v>269</v>
      </c>
      <c r="AC9" t="n">
        <v>295</v>
      </c>
      <c r="AD9" t="n">
        <v>303</v>
      </c>
      <c r="AE9" t="n">
        <v>309</v>
      </c>
      <c r="AF9" t="n">
        <v>343</v>
      </c>
    </row>
    <row r="10">
      <c r="A10" t="s">
        <v>97</v>
      </c>
      <c r="B10" t="s">
        <v>290</v>
      </c>
      <c r="C10" t="s">
        <v>236</v>
      </c>
      <c r="D10" t="s">
        <v>291</v>
      </c>
      <c r="E10" t="s">
        <v>237</v>
      </c>
      <c r="F10" t="n">
        <v>41</v>
      </c>
      <c r="G10" t="n">
        <v>45</v>
      </c>
      <c r="H10" t="n">
        <v>55</v>
      </c>
      <c r="I10" t="n">
        <v>62</v>
      </c>
      <c r="J10" t="n">
        <v>71</v>
      </c>
      <c r="K10" t="n">
        <v>71</v>
      </c>
      <c r="L10" t="n">
        <v>74</v>
      </c>
      <c r="M10" t="n">
        <v>76</v>
      </c>
      <c r="N10" t="n">
        <v>78</v>
      </c>
      <c r="O10" t="n">
        <v>85</v>
      </c>
      <c r="P10" t="n">
        <v>86</v>
      </c>
      <c r="Q10" t="n">
        <v>98</v>
      </c>
      <c r="R10" t="n">
        <v>130</v>
      </c>
      <c r="S10" t="n">
        <v>140</v>
      </c>
      <c r="T10" t="n">
        <v>143</v>
      </c>
      <c r="U10" t="n">
        <v>131</v>
      </c>
      <c r="V10" t="n">
        <v>133</v>
      </c>
      <c r="W10" t="n">
        <v>147</v>
      </c>
      <c r="X10" t="n">
        <v>170</v>
      </c>
      <c r="Y10" t="n">
        <v>171</v>
      </c>
      <c r="Z10" t="n">
        <v>202</v>
      </c>
      <c r="AA10" t="n">
        <v>245</v>
      </c>
      <c r="AB10" t="n">
        <v>301</v>
      </c>
      <c r="AC10" t="n">
        <v>329</v>
      </c>
      <c r="AD10" t="n">
        <v>339</v>
      </c>
      <c r="AE10" t="n">
        <v>344</v>
      </c>
      <c r="AF10" t="n">
        <v>379</v>
      </c>
    </row>
    <row r="11">
      <c r="A11" t="s">
        <v>97</v>
      </c>
      <c r="B11" t="s">
        <v>292</v>
      </c>
      <c r="C11" t="s">
        <v>236</v>
      </c>
      <c r="D11" t="s">
        <v>293</v>
      </c>
      <c r="E11" t="s">
        <v>237</v>
      </c>
      <c r="F11" t="n">
        <v>4</v>
      </c>
      <c r="G11" t="n">
        <v>4</v>
      </c>
      <c r="H11" t="n">
        <v>5</v>
      </c>
      <c r="I11" t="n">
        <v>6</v>
      </c>
      <c r="J11" t="n">
        <v>6</v>
      </c>
      <c r="K11" t="n">
        <v>6</v>
      </c>
      <c r="L11" t="n">
        <v>7</v>
      </c>
      <c r="M11" t="n">
        <v>8</v>
      </c>
      <c r="N11" t="n">
        <v>7</v>
      </c>
      <c r="O11" t="n">
        <v>8</v>
      </c>
      <c r="P11" t="n">
        <v>8</v>
      </c>
      <c r="Q11" t="n">
        <v>9</v>
      </c>
      <c r="R11" t="n">
        <v>11</v>
      </c>
      <c r="S11" t="n">
        <v>13</v>
      </c>
      <c r="T11" t="n">
        <v>15</v>
      </c>
      <c r="U11" t="n">
        <v>17</v>
      </c>
      <c r="V11" t="n">
        <v>18</v>
      </c>
      <c r="W11" t="n">
        <v>21</v>
      </c>
      <c r="X11" t="n">
        <v>27</v>
      </c>
      <c r="Y11" t="n">
        <v>28</v>
      </c>
      <c r="Z11" t="n">
        <v>31</v>
      </c>
      <c r="AA11" t="n">
        <v>32</v>
      </c>
      <c r="AB11" t="n">
        <v>32</v>
      </c>
      <c r="AC11" t="n">
        <v>34</v>
      </c>
      <c r="AD11" t="n">
        <v>36</v>
      </c>
      <c r="AE11" t="n">
        <v>35</v>
      </c>
      <c r="AF11" t="n">
        <v>36</v>
      </c>
    </row>
    <row r="12">
      <c r="A12" t="s">
        <v>97</v>
      </c>
      <c r="B12" t="s">
        <v>294</v>
      </c>
      <c r="C12" t="s">
        <v>236</v>
      </c>
      <c r="D12" t="s">
        <v>295</v>
      </c>
      <c r="E12" t="s">
        <v>237</v>
      </c>
      <c r="F12" t="n">
        <v>13</v>
      </c>
      <c r="G12" t="n">
        <v>17</v>
      </c>
      <c r="H12" t="n">
        <v>21</v>
      </c>
      <c r="I12" t="n">
        <v>27</v>
      </c>
      <c r="J12" t="n">
        <v>34</v>
      </c>
      <c r="K12" t="n">
        <v>39</v>
      </c>
      <c r="L12" t="n">
        <v>41</v>
      </c>
      <c r="M12" t="n">
        <v>42</v>
      </c>
      <c r="N12" t="n">
        <v>45</v>
      </c>
      <c r="O12" t="n">
        <v>50</v>
      </c>
      <c r="P12" t="n">
        <v>52</v>
      </c>
      <c r="Q12" t="n">
        <v>63</v>
      </c>
      <c r="R12" t="n">
        <v>66</v>
      </c>
      <c r="S12" t="n">
        <v>70</v>
      </c>
      <c r="T12" t="n">
        <v>73</v>
      </c>
      <c r="U12" t="n">
        <v>67</v>
      </c>
      <c r="V12" t="n">
        <v>64</v>
      </c>
      <c r="W12" t="n">
        <v>67</v>
      </c>
      <c r="X12" t="n">
        <v>68</v>
      </c>
      <c r="Y12" t="n">
        <v>66</v>
      </c>
      <c r="Z12" t="n">
        <v>70</v>
      </c>
      <c r="AA12" t="n">
        <v>70</v>
      </c>
      <c r="AB12" t="n">
        <v>67</v>
      </c>
      <c r="AC12" t="n">
        <v>64</v>
      </c>
      <c r="AD12" t="n">
        <v>58</v>
      </c>
      <c r="AE12" t="n">
        <v>54</v>
      </c>
      <c r="AF12" t="n">
        <v>54</v>
      </c>
    </row>
    <row r="13">
      <c r="A13" t="s">
        <v>97</v>
      </c>
      <c r="B13" t="s">
        <v>296</v>
      </c>
      <c r="C13" t="s">
        <v>236</v>
      </c>
      <c r="D13" t="s">
        <v>297</v>
      </c>
      <c r="E13" t="s">
        <v>237</v>
      </c>
      <c r="F13" t="n">
        <v>13</v>
      </c>
      <c r="G13" t="n">
        <v>16</v>
      </c>
      <c r="H13" t="n">
        <v>19</v>
      </c>
      <c r="I13" t="n">
        <v>24</v>
      </c>
      <c r="J13" t="n">
        <v>26</v>
      </c>
      <c r="K13" t="n">
        <v>30</v>
      </c>
      <c r="L13" t="n">
        <v>33</v>
      </c>
      <c r="M13" t="n">
        <v>35</v>
      </c>
      <c r="N13" t="n">
        <v>35</v>
      </c>
      <c r="O13" t="n">
        <v>39</v>
      </c>
      <c r="P13" t="n">
        <v>41</v>
      </c>
      <c r="Q13" t="n">
        <v>57</v>
      </c>
      <c r="R13" t="n">
        <v>80</v>
      </c>
      <c r="S13" t="n">
        <v>87</v>
      </c>
      <c r="T13" t="n">
        <v>112</v>
      </c>
      <c r="U13" t="n">
        <v>123</v>
      </c>
      <c r="V13" t="n">
        <v>126</v>
      </c>
      <c r="W13" t="n">
        <v>151</v>
      </c>
      <c r="X13" t="n">
        <v>150</v>
      </c>
      <c r="Y13" t="n">
        <v>147</v>
      </c>
      <c r="Z13" t="n">
        <v>151</v>
      </c>
      <c r="AA13" t="n">
        <v>154</v>
      </c>
      <c r="AB13" t="n">
        <v>153</v>
      </c>
      <c r="AC13" t="n">
        <v>159</v>
      </c>
      <c r="AD13" t="n">
        <v>166</v>
      </c>
      <c r="AE13" t="n">
        <v>163</v>
      </c>
      <c r="AF13" t="n">
        <v>163</v>
      </c>
    </row>
    <row r="14">
      <c r="A14" t="s">
        <v>97</v>
      </c>
      <c r="B14" t="s">
        <v>298</v>
      </c>
      <c r="C14" t="s">
        <v>236</v>
      </c>
      <c r="D14" t="s">
        <v>299</v>
      </c>
      <c r="E14" t="s">
        <v>237</v>
      </c>
      <c r="F14" t="n">
        <v>51</v>
      </c>
      <c r="G14" t="n">
        <v>58</v>
      </c>
      <c r="H14" t="n">
        <v>70</v>
      </c>
      <c r="I14" t="n">
        <v>90</v>
      </c>
      <c r="J14" t="n">
        <v>119</v>
      </c>
      <c r="K14" t="n">
        <v>140</v>
      </c>
      <c r="L14" t="n">
        <v>163</v>
      </c>
      <c r="M14" t="n">
        <v>154</v>
      </c>
      <c r="N14" t="n">
        <v>154</v>
      </c>
      <c r="O14" t="n">
        <v>159</v>
      </c>
      <c r="P14" t="n">
        <v>168</v>
      </c>
      <c r="Q14" t="n">
        <v>181</v>
      </c>
      <c r="R14" t="n">
        <v>172</v>
      </c>
      <c r="S14" t="n">
        <v>180</v>
      </c>
      <c r="T14" t="n">
        <v>168</v>
      </c>
      <c r="U14" t="n">
        <v>152</v>
      </c>
      <c r="V14" t="n">
        <v>152</v>
      </c>
      <c r="W14" t="n">
        <v>151</v>
      </c>
      <c r="X14" t="n">
        <v>145</v>
      </c>
      <c r="Y14" t="n">
        <v>139</v>
      </c>
      <c r="Z14" t="n">
        <v>143</v>
      </c>
      <c r="AA14" t="n">
        <v>144</v>
      </c>
      <c r="AB14" t="n">
        <v>148</v>
      </c>
      <c r="AC14" t="n">
        <v>146</v>
      </c>
      <c r="AD14" t="n">
        <v>145</v>
      </c>
      <c r="AE14" t="n">
        <v>149</v>
      </c>
      <c r="AF14" t="n">
        <v>149</v>
      </c>
    </row>
    <row r="15">
      <c r="A15" t="s">
        <v>97</v>
      </c>
      <c r="B15" t="s">
        <v>300</v>
      </c>
      <c r="C15" t="s">
        <v>236</v>
      </c>
      <c r="D15" t="s">
        <v>301</v>
      </c>
      <c r="E15" t="s">
        <v>237</v>
      </c>
      <c r="F15" t="n">
        <v>57</v>
      </c>
      <c r="G15" t="n">
        <v>67</v>
      </c>
      <c r="H15" t="n">
        <v>82</v>
      </c>
      <c r="I15" t="n">
        <v>105</v>
      </c>
      <c r="J15" t="n">
        <v>136</v>
      </c>
      <c r="K15" t="n">
        <v>159</v>
      </c>
      <c r="L15" t="n">
        <v>184</v>
      </c>
      <c r="M15" t="n">
        <v>173</v>
      </c>
      <c r="N15" t="n">
        <v>174</v>
      </c>
      <c r="O15" t="n">
        <v>180</v>
      </c>
      <c r="P15" t="n">
        <v>190</v>
      </c>
      <c r="Q15" t="n">
        <v>203</v>
      </c>
      <c r="R15" t="n">
        <v>196</v>
      </c>
      <c r="S15" t="n">
        <v>206</v>
      </c>
      <c r="T15" t="n">
        <v>195</v>
      </c>
      <c r="U15" t="n">
        <v>177</v>
      </c>
      <c r="V15" t="n">
        <v>177</v>
      </c>
      <c r="W15" t="n">
        <v>177</v>
      </c>
      <c r="X15" t="n">
        <v>173</v>
      </c>
      <c r="Y15" t="n">
        <v>164</v>
      </c>
      <c r="Z15" t="n">
        <v>170</v>
      </c>
      <c r="AA15" t="n">
        <v>172</v>
      </c>
      <c r="AB15" t="n">
        <v>178</v>
      </c>
      <c r="AC15" t="n">
        <v>175</v>
      </c>
      <c r="AD15" t="n">
        <v>171</v>
      </c>
      <c r="AE15" t="n">
        <v>175</v>
      </c>
      <c r="AF15" t="n">
        <v>174</v>
      </c>
    </row>
    <row r="16">
      <c r="A16" t="s">
        <v>97</v>
      </c>
      <c r="B16" t="s">
        <v>302</v>
      </c>
      <c r="C16" t="s">
        <v>236</v>
      </c>
      <c r="D16" t="s">
        <v>303</v>
      </c>
      <c r="E16" t="s">
        <v>237</v>
      </c>
      <c r="F16" t="n">
        <v>6</v>
      </c>
      <c r="G16" t="n">
        <v>9</v>
      </c>
      <c r="H16" t="n">
        <v>12</v>
      </c>
      <c r="I16" t="n">
        <v>15</v>
      </c>
      <c r="J16" t="n">
        <v>17</v>
      </c>
      <c r="K16" t="n">
        <v>19</v>
      </c>
      <c r="L16" t="n">
        <v>21</v>
      </c>
      <c r="M16" t="n">
        <v>19</v>
      </c>
      <c r="N16" t="n">
        <v>20</v>
      </c>
      <c r="O16" t="n">
        <v>21</v>
      </c>
      <c r="P16" t="n">
        <v>22</v>
      </c>
      <c r="Q16" t="n">
        <v>22</v>
      </c>
      <c r="R16" t="n">
        <v>24</v>
      </c>
      <c r="S16" t="n">
        <v>26</v>
      </c>
      <c r="T16" t="n">
        <v>27</v>
      </c>
      <c r="U16" t="n">
        <v>25</v>
      </c>
      <c r="V16" t="n">
        <v>25</v>
      </c>
      <c r="W16" t="n">
        <v>26</v>
      </c>
      <c r="X16" t="n">
        <v>28</v>
      </c>
      <c r="Y16" t="n">
        <v>25</v>
      </c>
      <c r="Z16" t="n">
        <v>27</v>
      </c>
      <c r="AA16" t="n">
        <v>28</v>
      </c>
      <c r="AB16" t="n">
        <v>30</v>
      </c>
      <c r="AC16" t="n">
        <v>29</v>
      </c>
      <c r="AD16" t="n">
        <v>26</v>
      </c>
      <c r="AE16" t="n">
        <v>26</v>
      </c>
      <c r="AF16" t="n">
        <v>25</v>
      </c>
    </row>
    <row r="17">
      <c r="A17" t="s">
        <v>97</v>
      </c>
      <c r="B17" t="s">
        <v>304</v>
      </c>
      <c r="C17" t="s">
        <v>236</v>
      </c>
      <c r="D17" t="s">
        <v>305</v>
      </c>
      <c r="E17" t="s">
        <v>237</v>
      </c>
      <c r="F17" t="n">
        <v>12</v>
      </c>
      <c r="G17" t="n">
        <v>17</v>
      </c>
      <c r="H17" t="n">
        <v>23</v>
      </c>
      <c r="I17" t="n">
        <v>28</v>
      </c>
      <c r="J17" t="n">
        <v>30</v>
      </c>
      <c r="K17" t="n">
        <v>33</v>
      </c>
      <c r="L17" t="n">
        <v>35</v>
      </c>
      <c r="M17" t="n">
        <v>35</v>
      </c>
      <c r="N17" t="n">
        <v>37</v>
      </c>
      <c r="O17" t="n">
        <v>37</v>
      </c>
      <c r="P17" t="n">
        <v>39</v>
      </c>
      <c r="Q17" t="n">
        <v>45</v>
      </c>
      <c r="R17" t="n">
        <v>48</v>
      </c>
      <c r="S17" t="n">
        <v>54</v>
      </c>
      <c r="T17" t="n">
        <v>63</v>
      </c>
      <c r="U17" t="n">
        <v>55</v>
      </c>
      <c r="V17" t="n">
        <v>53</v>
      </c>
      <c r="W17" t="n">
        <v>56</v>
      </c>
      <c r="X17" t="n">
        <v>56</v>
      </c>
      <c r="Y17" t="n">
        <v>58</v>
      </c>
      <c r="Z17" t="n">
        <v>62</v>
      </c>
      <c r="AA17" t="n">
        <v>64</v>
      </c>
      <c r="AB17" t="n">
        <v>64</v>
      </c>
      <c r="AC17" t="n">
        <v>67</v>
      </c>
      <c r="AD17" t="n">
        <v>65</v>
      </c>
      <c r="AE17" t="n">
        <v>63</v>
      </c>
      <c r="AF17" t="n">
        <v>64</v>
      </c>
    </row>
    <row r="18">
      <c r="A18" t="s">
        <v>97</v>
      </c>
      <c r="B18" t="s">
        <v>306</v>
      </c>
      <c r="C18" t="s">
        <v>236</v>
      </c>
      <c r="D18" t="s">
        <v>307</v>
      </c>
      <c r="E18" t="s">
        <v>237</v>
      </c>
      <c r="F18" t="n">
        <v>0</v>
      </c>
      <c r="G18" t="n">
        <v>1</v>
      </c>
      <c r="H18" t="n">
        <v>2</v>
      </c>
      <c r="I18" t="n">
        <v>2</v>
      </c>
      <c r="J18" t="n">
        <v>3</v>
      </c>
      <c r="K18" t="n">
        <v>3</v>
      </c>
      <c r="L18" t="n">
        <v>3</v>
      </c>
      <c r="M18" t="n">
        <v>3</v>
      </c>
      <c r="N18" t="n">
        <v>3</v>
      </c>
      <c r="O18" t="n">
        <v>4</v>
      </c>
      <c r="P18" t="n">
        <v>4</v>
      </c>
      <c r="Q18" t="n">
        <v>7</v>
      </c>
      <c r="R18" t="n">
        <v>10</v>
      </c>
      <c r="S18" t="n">
        <v>10</v>
      </c>
      <c r="T18" t="n">
        <v>15</v>
      </c>
      <c r="U18" t="n">
        <v>14</v>
      </c>
      <c r="V18" t="n">
        <v>15</v>
      </c>
      <c r="W18" t="n">
        <v>16</v>
      </c>
      <c r="X18" t="n">
        <v>14</v>
      </c>
      <c r="Y18" t="n">
        <v>13</v>
      </c>
      <c r="Z18" t="n">
        <v>11</v>
      </c>
      <c r="AA18" t="n">
        <v>11</v>
      </c>
      <c r="AB18" t="n">
        <v>8</v>
      </c>
      <c r="AC18" t="n">
        <v>8</v>
      </c>
      <c r="AD18" t="n">
        <v>0</v>
      </c>
      <c r="AE18" t="n">
        <v>0</v>
      </c>
      <c r="AF18" t="n">
        <v>0</v>
      </c>
    </row>
    <row r="19">
      <c r="A19" t="s">
        <v>97</v>
      </c>
      <c r="B19" t="s">
        <v>308</v>
      </c>
      <c r="C19" t="s">
        <v>236</v>
      </c>
      <c r="D19" t="s">
        <v>309</v>
      </c>
      <c r="E19" t="s">
        <v>237</v>
      </c>
      <c r="F19" t="n">
        <v>0</v>
      </c>
      <c r="G19" t="n">
        <v>1</v>
      </c>
      <c r="H19" t="n">
        <v>2</v>
      </c>
      <c r="I19" t="n">
        <v>3</v>
      </c>
      <c r="J19" t="n">
        <v>5</v>
      </c>
      <c r="K19" t="n">
        <v>4</v>
      </c>
      <c r="L19" t="n">
        <v>5</v>
      </c>
      <c r="M19" t="n">
        <v>5</v>
      </c>
      <c r="N19" t="n">
        <v>5</v>
      </c>
      <c r="O19" t="n">
        <v>5</v>
      </c>
      <c r="P19" t="n">
        <v>5</v>
      </c>
      <c r="Q19" t="n">
        <v>7</v>
      </c>
      <c r="R19" t="n">
        <v>10</v>
      </c>
      <c r="S19" t="n">
        <v>12</v>
      </c>
      <c r="T19" t="n">
        <v>12</v>
      </c>
      <c r="U19" t="n">
        <v>10</v>
      </c>
      <c r="V19" t="n">
        <v>12</v>
      </c>
      <c r="W19" t="n">
        <v>11</v>
      </c>
      <c r="X19" t="n">
        <v>13</v>
      </c>
      <c r="Y19" t="n">
        <v>14</v>
      </c>
      <c r="Z19" t="n">
        <v>16</v>
      </c>
      <c r="AA19" t="n">
        <v>18</v>
      </c>
      <c r="AB19" t="n">
        <v>19</v>
      </c>
      <c r="AC19" t="n">
        <v>20</v>
      </c>
      <c r="AD19" t="n">
        <v>18</v>
      </c>
      <c r="AE19" t="n">
        <v>17</v>
      </c>
      <c r="AF19" t="n">
        <v>16</v>
      </c>
    </row>
    <row r="20">
      <c r="A20" t="s">
        <v>97</v>
      </c>
      <c r="B20" t="s">
        <v>310</v>
      </c>
      <c r="C20" t="s">
        <v>236</v>
      </c>
      <c r="D20" t="s">
        <v>311</v>
      </c>
      <c r="E20" t="s">
        <v>237</v>
      </c>
      <c r="F20" t="n">
        <v>46</v>
      </c>
      <c r="G20" t="n">
        <v>51</v>
      </c>
      <c r="H20" t="n">
        <v>62</v>
      </c>
      <c r="I20" t="n">
        <v>69</v>
      </c>
      <c r="J20" t="n">
        <v>76</v>
      </c>
      <c r="K20" t="n">
        <v>84</v>
      </c>
      <c r="L20" t="n">
        <v>87</v>
      </c>
      <c r="M20" t="n">
        <v>89</v>
      </c>
      <c r="N20" t="n">
        <v>96</v>
      </c>
      <c r="O20" t="n">
        <v>109</v>
      </c>
      <c r="P20" t="n">
        <v>122</v>
      </c>
      <c r="Q20" t="n">
        <v>145</v>
      </c>
      <c r="R20" t="n">
        <v>153</v>
      </c>
      <c r="S20" t="n">
        <v>169</v>
      </c>
      <c r="T20" t="n">
        <v>187</v>
      </c>
      <c r="U20" t="n">
        <v>170</v>
      </c>
      <c r="V20" t="n">
        <v>158</v>
      </c>
      <c r="W20" t="n">
        <v>149</v>
      </c>
      <c r="X20" t="n">
        <v>154</v>
      </c>
      <c r="Y20" t="n">
        <v>157</v>
      </c>
      <c r="Z20" t="n">
        <v>172</v>
      </c>
      <c r="AA20" t="n">
        <v>195</v>
      </c>
      <c r="AB20" t="n">
        <v>204</v>
      </c>
      <c r="AC20" t="n">
        <v>210</v>
      </c>
      <c r="AD20" t="n">
        <v>209</v>
      </c>
      <c r="AE20" t="n">
        <v>220</v>
      </c>
      <c r="AF20" t="n">
        <v>227</v>
      </c>
    </row>
    <row r="21">
      <c r="A21" t="s">
        <v>97</v>
      </c>
      <c r="B21" t="s">
        <v>312</v>
      </c>
      <c r="C21" t="s">
        <v>236</v>
      </c>
      <c r="D21" t="s">
        <v>313</v>
      </c>
      <c r="E21" t="s">
        <v>237</v>
      </c>
      <c r="F21" t="n">
        <v>49</v>
      </c>
      <c r="G21" t="n">
        <v>55</v>
      </c>
      <c r="H21" t="n">
        <v>66</v>
      </c>
      <c r="I21" t="n">
        <v>75</v>
      </c>
      <c r="J21" t="n">
        <v>83</v>
      </c>
      <c r="K21" t="n">
        <v>91</v>
      </c>
      <c r="L21" t="n">
        <v>94</v>
      </c>
      <c r="M21" t="n">
        <v>97</v>
      </c>
      <c r="N21" t="n">
        <v>105</v>
      </c>
      <c r="O21" t="n">
        <v>118</v>
      </c>
      <c r="P21" t="n">
        <v>132</v>
      </c>
      <c r="Q21" t="n">
        <v>157</v>
      </c>
      <c r="R21" t="n">
        <v>167</v>
      </c>
      <c r="S21" t="n">
        <v>186</v>
      </c>
      <c r="T21" t="n">
        <v>206</v>
      </c>
      <c r="U21" t="n">
        <v>188</v>
      </c>
      <c r="V21" t="n">
        <v>177</v>
      </c>
      <c r="W21" t="n">
        <v>173</v>
      </c>
      <c r="X21" t="n">
        <v>180</v>
      </c>
      <c r="Y21" t="n">
        <v>182</v>
      </c>
      <c r="Z21" t="n">
        <v>199</v>
      </c>
      <c r="AA21" t="n">
        <v>225</v>
      </c>
      <c r="AB21" t="n">
        <v>235</v>
      </c>
      <c r="AC21" t="n">
        <v>241</v>
      </c>
      <c r="AD21" t="n">
        <v>238</v>
      </c>
      <c r="AE21" t="n">
        <v>247</v>
      </c>
      <c r="AF21" t="n">
        <v>253</v>
      </c>
    </row>
    <row r="22">
      <c r="A22" t="s">
        <v>97</v>
      </c>
      <c r="B22" t="s">
        <v>314</v>
      </c>
      <c r="C22" t="s">
        <v>236</v>
      </c>
      <c r="D22" t="s">
        <v>315</v>
      </c>
      <c r="E22" t="s">
        <v>237</v>
      </c>
      <c r="F22" t="n">
        <v>3</v>
      </c>
      <c r="G22" t="n">
        <v>4</v>
      </c>
      <c r="H22" t="n">
        <v>4</v>
      </c>
      <c r="I22" t="n">
        <v>6</v>
      </c>
      <c r="J22" t="n">
        <v>7</v>
      </c>
      <c r="K22" t="n">
        <v>7</v>
      </c>
      <c r="L22" t="n">
        <v>7</v>
      </c>
      <c r="M22" t="n">
        <v>8</v>
      </c>
      <c r="N22" t="n">
        <v>9</v>
      </c>
      <c r="O22" t="n">
        <v>9</v>
      </c>
      <c r="P22" t="n">
        <v>10</v>
      </c>
      <c r="Q22" t="n">
        <v>12</v>
      </c>
      <c r="R22" t="n">
        <v>14</v>
      </c>
      <c r="S22" t="n">
        <v>17</v>
      </c>
      <c r="T22" t="n">
        <v>19</v>
      </c>
      <c r="U22" t="n">
        <v>18</v>
      </c>
      <c r="V22" t="n">
        <v>19</v>
      </c>
      <c r="W22" t="n">
        <v>24</v>
      </c>
      <c r="X22" t="n">
        <v>26</v>
      </c>
      <c r="Y22" t="n">
        <v>25</v>
      </c>
      <c r="Z22" t="n">
        <v>27</v>
      </c>
      <c r="AA22" t="n">
        <v>30</v>
      </c>
      <c r="AB22" t="n">
        <v>31</v>
      </c>
      <c r="AC22" t="n">
        <v>31</v>
      </c>
      <c r="AD22" t="n">
        <v>29</v>
      </c>
      <c r="AE22" t="n">
        <v>27</v>
      </c>
      <c r="AF22" t="n">
        <v>26</v>
      </c>
    </row>
    <row r="23">
      <c r="A23" t="s">
        <v>97</v>
      </c>
      <c r="B23" t="s">
        <v>316</v>
      </c>
      <c r="C23" t="s">
        <v>236</v>
      </c>
      <c r="D23" t="s">
        <v>317</v>
      </c>
      <c r="E23" t="s">
        <v>237</v>
      </c>
      <c r="F23" t="n">
        <v>3</v>
      </c>
      <c r="G23" t="n">
        <v>4</v>
      </c>
      <c r="H23" t="n">
        <v>6</v>
      </c>
      <c r="I23" t="n">
        <v>7</v>
      </c>
      <c r="J23" t="n">
        <v>10</v>
      </c>
      <c r="K23" t="n">
        <v>11</v>
      </c>
      <c r="L23" t="n">
        <v>13</v>
      </c>
      <c r="M23" t="n">
        <v>13</v>
      </c>
      <c r="N23" t="n">
        <v>15</v>
      </c>
      <c r="O23" t="n">
        <v>19</v>
      </c>
      <c r="P23" t="n">
        <v>22</v>
      </c>
      <c r="Q23" t="n">
        <v>33</v>
      </c>
      <c r="R23" t="n">
        <v>35</v>
      </c>
      <c r="S23" t="n">
        <v>38</v>
      </c>
      <c r="T23" t="n">
        <v>39</v>
      </c>
      <c r="U23" t="n">
        <v>38</v>
      </c>
      <c r="V23" t="n">
        <v>41</v>
      </c>
      <c r="W23" t="n">
        <v>43</v>
      </c>
      <c r="X23" t="n">
        <v>45</v>
      </c>
      <c r="Y23" t="n">
        <v>43</v>
      </c>
      <c r="Z23" t="n">
        <v>45</v>
      </c>
      <c r="AA23" t="n">
        <v>47</v>
      </c>
      <c r="AB23" t="n">
        <v>48</v>
      </c>
      <c r="AC23" t="n">
        <v>48</v>
      </c>
      <c r="AD23" t="n">
        <v>44</v>
      </c>
      <c r="AE23" t="n">
        <v>42</v>
      </c>
      <c r="AF23" t="n">
        <v>38</v>
      </c>
    </row>
    <row r="24">
      <c r="A24" t="s">
        <v>97</v>
      </c>
      <c r="B24" t="s">
        <v>318</v>
      </c>
      <c r="C24" t="s">
        <v>236</v>
      </c>
      <c r="D24" t="s">
        <v>319</v>
      </c>
      <c r="E24" t="s">
        <v>237</v>
      </c>
      <c r="F24" t="n">
        <v>74</v>
      </c>
      <c r="G24" t="n">
        <v>87</v>
      </c>
      <c r="H24" t="n">
        <v>114</v>
      </c>
      <c r="I24" t="n">
        <v>147</v>
      </c>
      <c r="J24" t="n">
        <v>181</v>
      </c>
      <c r="K24" t="n">
        <v>200</v>
      </c>
      <c r="L24" t="n">
        <v>214</v>
      </c>
      <c r="M24" t="n">
        <v>208</v>
      </c>
      <c r="N24" t="n">
        <v>227</v>
      </c>
      <c r="O24" t="n">
        <v>235</v>
      </c>
      <c r="P24" t="n">
        <v>246</v>
      </c>
      <c r="Q24" t="n">
        <v>245</v>
      </c>
      <c r="R24" t="n">
        <v>244</v>
      </c>
      <c r="S24" t="n">
        <v>263</v>
      </c>
      <c r="T24" t="n">
        <v>263</v>
      </c>
      <c r="U24" t="n">
        <v>248</v>
      </c>
      <c r="V24" t="n">
        <v>240</v>
      </c>
      <c r="W24" t="n">
        <v>249</v>
      </c>
      <c r="X24" t="n">
        <v>252</v>
      </c>
      <c r="Y24" t="n">
        <v>246</v>
      </c>
      <c r="Z24" t="n">
        <v>248</v>
      </c>
      <c r="AA24" t="n">
        <v>254</v>
      </c>
      <c r="AB24" t="n">
        <v>244</v>
      </c>
      <c r="AC24" t="n">
        <v>238</v>
      </c>
      <c r="AD24" t="n">
        <v>229</v>
      </c>
      <c r="AE24" t="n">
        <v>212</v>
      </c>
      <c r="AF24" t="n">
        <v>197</v>
      </c>
    </row>
    <row r="25">
      <c r="A25" t="s">
        <v>97</v>
      </c>
      <c r="B25" t="s">
        <v>320</v>
      </c>
      <c r="C25" t="s">
        <v>236</v>
      </c>
      <c r="D25" t="s">
        <v>321</v>
      </c>
      <c r="E25" t="s">
        <v>237</v>
      </c>
      <c r="F25" t="n">
        <v>5</v>
      </c>
      <c r="G25" t="n">
        <v>5</v>
      </c>
      <c r="H25" t="n">
        <v>6</v>
      </c>
      <c r="I25" t="n">
        <v>8</v>
      </c>
      <c r="J25" t="n">
        <v>9</v>
      </c>
      <c r="K25" t="n">
        <v>10</v>
      </c>
      <c r="L25" t="n">
        <v>11</v>
      </c>
      <c r="M25" t="n">
        <v>10</v>
      </c>
      <c r="N25" t="n">
        <v>11</v>
      </c>
      <c r="O25" t="n">
        <v>11</v>
      </c>
      <c r="P25" t="n">
        <v>11</v>
      </c>
      <c r="Q25" t="n">
        <v>14</v>
      </c>
      <c r="R25" t="n">
        <v>14</v>
      </c>
      <c r="S25" t="n">
        <v>22</v>
      </c>
      <c r="T25" t="n">
        <v>22</v>
      </c>
      <c r="U25" t="n">
        <v>23</v>
      </c>
      <c r="V25" t="n">
        <v>26</v>
      </c>
      <c r="W25" t="n">
        <v>26</v>
      </c>
      <c r="X25" t="n">
        <v>26</v>
      </c>
      <c r="Y25" t="n">
        <v>26</v>
      </c>
      <c r="Z25" t="n">
        <v>26</v>
      </c>
      <c r="AA25" t="n">
        <v>27</v>
      </c>
      <c r="AB25" t="n">
        <v>25</v>
      </c>
      <c r="AC25" t="n">
        <v>24</v>
      </c>
      <c r="AD25" t="n">
        <v>23</v>
      </c>
      <c r="AE25" t="n">
        <v>22</v>
      </c>
      <c r="AF25" t="n">
        <v>20</v>
      </c>
    </row>
    <row r="26">
      <c r="A26" t="s">
        <v>97</v>
      </c>
      <c r="B26" t="s">
        <v>322</v>
      </c>
      <c r="C26" t="s">
        <v>236</v>
      </c>
      <c r="D26" t="s">
        <v>323</v>
      </c>
      <c r="E26" t="s">
        <v>237</v>
      </c>
      <c r="F26" t="n">
        <v>39</v>
      </c>
      <c r="G26" t="n">
        <v>48</v>
      </c>
      <c r="H26" t="n">
        <v>66</v>
      </c>
      <c r="I26" t="n">
        <v>85</v>
      </c>
      <c r="J26" t="n">
        <v>103</v>
      </c>
      <c r="K26" t="n">
        <v>113</v>
      </c>
      <c r="L26" t="n">
        <v>120</v>
      </c>
      <c r="M26" t="n">
        <v>117</v>
      </c>
      <c r="N26" t="n">
        <v>125</v>
      </c>
      <c r="O26" t="n">
        <v>128</v>
      </c>
      <c r="P26" t="n">
        <v>133</v>
      </c>
      <c r="Q26" t="n">
        <v>129</v>
      </c>
      <c r="R26" t="n">
        <v>125</v>
      </c>
      <c r="S26" t="n">
        <v>126</v>
      </c>
      <c r="T26" t="n">
        <v>123</v>
      </c>
      <c r="U26" t="n">
        <v>113</v>
      </c>
      <c r="V26" t="n">
        <v>102</v>
      </c>
      <c r="W26" t="n">
        <v>103</v>
      </c>
      <c r="X26" t="n">
        <v>103</v>
      </c>
      <c r="Y26" t="n">
        <v>99</v>
      </c>
      <c r="Z26" t="n">
        <v>98</v>
      </c>
      <c r="AA26" t="n">
        <v>100</v>
      </c>
      <c r="AB26" t="n">
        <v>96</v>
      </c>
      <c r="AC26" t="n">
        <v>94</v>
      </c>
      <c r="AD26" t="n">
        <v>90</v>
      </c>
      <c r="AE26" t="n">
        <v>82</v>
      </c>
      <c r="AF26" t="n">
        <v>75</v>
      </c>
    </row>
    <row r="27">
      <c r="A27" t="s">
        <v>97</v>
      </c>
      <c r="B27" t="s">
        <v>324</v>
      </c>
      <c r="C27" t="s">
        <v>236</v>
      </c>
      <c r="D27" t="s">
        <v>325</v>
      </c>
      <c r="E27" t="s">
        <v>237</v>
      </c>
      <c r="F27" t="n">
        <v>30</v>
      </c>
      <c r="G27" t="n">
        <v>34</v>
      </c>
      <c r="H27" t="n">
        <v>42</v>
      </c>
      <c r="I27" t="n">
        <v>54</v>
      </c>
      <c r="J27" t="n">
        <v>69</v>
      </c>
      <c r="K27" t="n">
        <v>77</v>
      </c>
      <c r="L27" t="n">
        <v>83</v>
      </c>
      <c r="M27" t="n">
        <v>81</v>
      </c>
      <c r="N27" t="n">
        <v>91</v>
      </c>
      <c r="O27" t="n">
        <v>96</v>
      </c>
      <c r="P27" t="n">
        <v>102</v>
      </c>
      <c r="Q27" t="n">
        <v>102</v>
      </c>
      <c r="R27" t="n">
        <v>105</v>
      </c>
      <c r="S27" t="n">
        <v>115</v>
      </c>
      <c r="T27" t="n">
        <v>118</v>
      </c>
      <c r="U27" t="n">
        <v>112</v>
      </c>
      <c r="V27" t="n">
        <v>112</v>
      </c>
      <c r="W27" t="n">
        <v>120</v>
      </c>
      <c r="X27" t="n">
        <v>123</v>
      </c>
      <c r="Y27" t="n">
        <v>121</v>
      </c>
      <c r="Z27" t="n">
        <v>124</v>
      </c>
      <c r="AA27" t="n">
        <v>127</v>
      </c>
      <c r="AB27" t="n">
        <v>123</v>
      </c>
      <c r="AC27" t="n">
        <v>120</v>
      </c>
      <c r="AD27" t="n">
        <v>116</v>
      </c>
      <c r="AE27" t="n">
        <v>108</v>
      </c>
      <c r="AF27" t="n">
        <v>102</v>
      </c>
    </row>
    <row r="28">
      <c r="A28" t="s">
        <v>97</v>
      </c>
      <c r="B28" t="s">
        <v>326</v>
      </c>
      <c r="C28" t="s">
        <v>236</v>
      </c>
      <c r="D28" t="s">
        <v>327</v>
      </c>
      <c r="E28" t="s">
        <v>237</v>
      </c>
      <c r="F28" t="n">
        <v>68</v>
      </c>
      <c r="G28" t="n">
        <v>84</v>
      </c>
      <c r="H28" t="n">
        <v>104</v>
      </c>
      <c r="I28" t="n">
        <v>137</v>
      </c>
      <c r="J28" t="n">
        <v>167</v>
      </c>
      <c r="K28" t="n">
        <v>184</v>
      </c>
      <c r="L28" t="n">
        <v>194</v>
      </c>
      <c r="M28" t="n">
        <v>194</v>
      </c>
      <c r="N28" t="n">
        <v>223</v>
      </c>
      <c r="O28" t="n">
        <v>242</v>
      </c>
      <c r="P28" t="n">
        <v>241</v>
      </c>
      <c r="Q28" t="n">
        <v>229</v>
      </c>
      <c r="R28" t="n">
        <v>206</v>
      </c>
      <c r="S28" t="n">
        <v>197</v>
      </c>
      <c r="T28" t="n">
        <v>189</v>
      </c>
      <c r="U28" t="n">
        <v>168</v>
      </c>
      <c r="V28" t="n">
        <v>166</v>
      </c>
      <c r="W28" t="n">
        <v>167</v>
      </c>
      <c r="X28" t="n">
        <v>170</v>
      </c>
      <c r="Y28" t="n">
        <v>168</v>
      </c>
      <c r="Z28" t="n">
        <v>168</v>
      </c>
      <c r="AA28" t="n">
        <v>175</v>
      </c>
      <c r="AB28" t="n">
        <v>173</v>
      </c>
      <c r="AC28" t="n">
        <v>168</v>
      </c>
      <c r="AD28" t="n">
        <v>162</v>
      </c>
      <c r="AE28" t="n">
        <v>153</v>
      </c>
      <c r="AF28" t="n">
        <v>149</v>
      </c>
    </row>
    <row r="29">
      <c r="A29" t="s">
        <v>97</v>
      </c>
      <c r="B29" t="s">
        <v>328</v>
      </c>
      <c r="C29" t="s">
        <v>236</v>
      </c>
      <c r="D29" t="s">
        <v>329</v>
      </c>
      <c r="E29" t="s">
        <v>237</v>
      </c>
      <c r="F29" t="n">
        <v>30</v>
      </c>
      <c r="G29" t="n">
        <v>39</v>
      </c>
      <c r="H29" t="n">
        <v>48</v>
      </c>
      <c r="I29" t="n">
        <v>65</v>
      </c>
      <c r="J29" t="n">
        <v>75</v>
      </c>
      <c r="K29" t="n">
        <v>80</v>
      </c>
      <c r="L29" t="n">
        <v>84</v>
      </c>
      <c r="M29" t="n">
        <v>85</v>
      </c>
      <c r="N29" t="n">
        <v>99</v>
      </c>
      <c r="O29" t="n">
        <v>114</v>
      </c>
      <c r="P29" t="n">
        <v>108</v>
      </c>
      <c r="Q29" t="n">
        <v>103</v>
      </c>
      <c r="R29" t="n">
        <v>93</v>
      </c>
      <c r="S29" t="n">
        <v>87</v>
      </c>
      <c r="T29" t="n">
        <v>82</v>
      </c>
      <c r="U29" t="n">
        <v>71</v>
      </c>
      <c r="V29" t="n">
        <v>69</v>
      </c>
      <c r="W29" t="n">
        <v>69</v>
      </c>
      <c r="X29" t="n">
        <v>68</v>
      </c>
      <c r="Y29" t="n">
        <v>66</v>
      </c>
      <c r="Z29" t="n">
        <v>66</v>
      </c>
      <c r="AA29" t="n">
        <v>71</v>
      </c>
      <c r="AB29" t="n">
        <v>74</v>
      </c>
      <c r="AC29" t="n">
        <v>75</v>
      </c>
      <c r="AD29" t="n">
        <v>76</v>
      </c>
      <c r="AE29" t="n">
        <v>72</v>
      </c>
      <c r="AF29" t="n">
        <v>72</v>
      </c>
    </row>
    <row r="30">
      <c r="A30" t="s">
        <v>97</v>
      </c>
      <c r="B30" t="s">
        <v>330</v>
      </c>
      <c r="C30" t="s">
        <v>236</v>
      </c>
      <c r="D30" t="s">
        <v>331</v>
      </c>
      <c r="E30" t="s">
        <v>237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2</v>
      </c>
      <c r="N30" t="n">
        <v>3</v>
      </c>
      <c r="O30" t="n">
        <v>5</v>
      </c>
      <c r="P30" t="n">
        <v>7</v>
      </c>
      <c r="Q30" t="n">
        <v>9</v>
      </c>
      <c r="R30" t="n">
        <v>8</v>
      </c>
      <c r="S30" t="n">
        <v>7</v>
      </c>
      <c r="T30" t="n">
        <v>7</v>
      </c>
      <c r="U30" t="n">
        <v>6</v>
      </c>
      <c r="V30" t="n">
        <v>10</v>
      </c>
      <c r="W30" t="n">
        <v>12</v>
      </c>
      <c r="X30" t="n">
        <v>13</v>
      </c>
      <c r="Y30" t="n">
        <v>13</v>
      </c>
      <c r="Z30" t="n">
        <v>14</v>
      </c>
      <c r="AA30" t="n">
        <v>14</v>
      </c>
      <c r="AB30" t="n">
        <v>13</v>
      </c>
      <c r="AC30" t="n">
        <v>13</v>
      </c>
      <c r="AD30" t="n">
        <v>12</v>
      </c>
      <c r="AE30" t="n">
        <v>12</v>
      </c>
      <c r="AF30" t="n">
        <v>11</v>
      </c>
    </row>
    <row r="31">
      <c r="A31" t="s">
        <v>97</v>
      </c>
      <c r="B31" t="s">
        <v>332</v>
      </c>
      <c r="C31" t="s">
        <v>236</v>
      </c>
      <c r="D31" t="s">
        <v>333</v>
      </c>
      <c r="E31" t="s">
        <v>237</v>
      </c>
      <c r="F31" t="n">
        <v>3</v>
      </c>
      <c r="G31" t="n">
        <v>4</v>
      </c>
      <c r="H31" t="n">
        <v>7</v>
      </c>
      <c r="I31" t="n">
        <v>11</v>
      </c>
      <c r="J31" t="n">
        <v>14</v>
      </c>
      <c r="K31" t="n">
        <v>14</v>
      </c>
      <c r="L31" t="n">
        <v>16</v>
      </c>
      <c r="M31" t="n">
        <v>15</v>
      </c>
      <c r="N31" t="n">
        <v>14</v>
      </c>
      <c r="O31" t="n">
        <v>13</v>
      </c>
      <c r="P31" t="n">
        <v>13</v>
      </c>
      <c r="Q31" t="n">
        <v>12</v>
      </c>
      <c r="R31" t="n">
        <v>10</v>
      </c>
      <c r="S31" t="n">
        <v>13</v>
      </c>
      <c r="T31" t="n">
        <v>12</v>
      </c>
      <c r="U31" t="n">
        <v>9</v>
      </c>
      <c r="V31" t="n">
        <v>8</v>
      </c>
      <c r="W31" t="n">
        <v>7</v>
      </c>
      <c r="X31" t="n">
        <v>6</v>
      </c>
      <c r="Y31" t="n">
        <v>5</v>
      </c>
      <c r="Z31" t="n">
        <v>4</v>
      </c>
      <c r="AA31" t="n">
        <v>4</v>
      </c>
      <c r="AB31" t="n">
        <v>3</v>
      </c>
      <c r="AC31" t="n">
        <v>3</v>
      </c>
      <c r="AD31" t="n">
        <v>0</v>
      </c>
      <c r="AE31" t="n">
        <v>0</v>
      </c>
      <c r="AF31" t="n">
        <v>0</v>
      </c>
    </row>
    <row r="32">
      <c r="A32" t="s">
        <v>97</v>
      </c>
      <c r="B32" t="s">
        <v>334</v>
      </c>
      <c r="C32" t="s">
        <v>236</v>
      </c>
      <c r="D32" t="s">
        <v>335</v>
      </c>
      <c r="E32" t="s">
        <v>237</v>
      </c>
      <c r="F32" t="n">
        <v>27</v>
      </c>
      <c r="G32" t="n">
        <v>32</v>
      </c>
      <c r="H32" t="n">
        <v>37</v>
      </c>
      <c r="I32" t="n">
        <v>45</v>
      </c>
      <c r="J32" t="n">
        <v>56</v>
      </c>
      <c r="K32" t="n">
        <v>65</v>
      </c>
      <c r="L32" t="n">
        <v>66</v>
      </c>
      <c r="M32" t="n">
        <v>65</v>
      </c>
      <c r="N32" t="n">
        <v>79</v>
      </c>
      <c r="O32" t="n">
        <v>86</v>
      </c>
      <c r="P32" t="n">
        <v>92</v>
      </c>
      <c r="Q32" t="n">
        <v>88</v>
      </c>
      <c r="R32" t="n">
        <v>80</v>
      </c>
      <c r="S32" t="n">
        <v>77</v>
      </c>
      <c r="T32" t="n">
        <v>76</v>
      </c>
      <c r="U32" t="n">
        <v>70</v>
      </c>
      <c r="V32" t="n">
        <v>68</v>
      </c>
      <c r="W32" t="n">
        <v>68</v>
      </c>
      <c r="X32" t="n">
        <v>72</v>
      </c>
      <c r="Y32" t="n">
        <v>73</v>
      </c>
      <c r="Z32" t="n">
        <v>73</v>
      </c>
      <c r="AA32" t="n">
        <v>75</v>
      </c>
      <c r="AB32" t="n">
        <v>70</v>
      </c>
      <c r="AC32" t="n">
        <v>64</v>
      </c>
      <c r="AD32" t="n">
        <v>62</v>
      </c>
      <c r="AE32" t="n">
        <v>57</v>
      </c>
      <c r="AF32" t="n">
        <v>55</v>
      </c>
    </row>
    <row r="33">
      <c r="A33" t="s">
        <v>97</v>
      </c>
      <c r="B33" t="s">
        <v>336</v>
      </c>
      <c r="C33" t="s">
        <v>236</v>
      </c>
      <c r="D33" t="s">
        <v>337</v>
      </c>
      <c r="E33" t="s">
        <v>237</v>
      </c>
      <c r="F33" t="n">
        <v>8</v>
      </c>
      <c r="G33" t="n">
        <v>9</v>
      </c>
      <c r="H33" t="n">
        <v>12</v>
      </c>
      <c r="I33" t="n">
        <v>16</v>
      </c>
      <c r="J33" t="n">
        <v>22</v>
      </c>
      <c r="K33" t="n">
        <v>25</v>
      </c>
      <c r="L33" t="n">
        <v>27</v>
      </c>
      <c r="M33" t="n">
        <v>27</v>
      </c>
      <c r="N33" t="n">
        <v>28</v>
      </c>
      <c r="O33" t="n">
        <v>24</v>
      </c>
      <c r="P33" t="n">
        <v>21</v>
      </c>
      <c r="Q33" t="n">
        <v>17</v>
      </c>
      <c r="R33" t="n">
        <v>15</v>
      </c>
      <c r="S33" t="n">
        <v>13</v>
      </c>
      <c r="T33" t="n">
        <v>12</v>
      </c>
      <c r="U33" t="n">
        <v>12</v>
      </c>
      <c r="V33" t="n">
        <v>11</v>
      </c>
      <c r="W33" t="n">
        <v>11</v>
      </c>
      <c r="X33" t="n">
        <v>11</v>
      </c>
      <c r="Y33" t="n">
        <v>11</v>
      </c>
      <c r="Z33" t="n">
        <v>11</v>
      </c>
      <c r="AA33" t="n">
        <v>11</v>
      </c>
      <c r="AB33" t="n">
        <v>13</v>
      </c>
      <c r="AC33" t="n">
        <v>13</v>
      </c>
      <c r="AD33" t="n">
        <v>12</v>
      </c>
      <c r="AE33" t="n">
        <v>12</v>
      </c>
      <c r="AF33" t="n">
        <v>11</v>
      </c>
    </row>
    <row r="34">
      <c r="A34" t="s">
        <v>97</v>
      </c>
      <c r="B34" t="s">
        <v>338</v>
      </c>
      <c r="C34" t="s">
        <v>236</v>
      </c>
      <c r="D34" t="s">
        <v>339</v>
      </c>
      <c r="E34" t="s">
        <v>237</v>
      </c>
      <c r="F34" t="n">
        <v>13</v>
      </c>
      <c r="G34" t="n">
        <v>16</v>
      </c>
      <c r="H34" t="n">
        <v>23</v>
      </c>
      <c r="I34" t="n">
        <v>34</v>
      </c>
      <c r="J34" t="n">
        <v>40</v>
      </c>
      <c r="K34" t="n">
        <v>45</v>
      </c>
      <c r="L34" t="n">
        <v>49</v>
      </c>
      <c r="M34" t="n">
        <v>48</v>
      </c>
      <c r="N34" t="n">
        <v>54</v>
      </c>
      <c r="O34" t="n">
        <v>58</v>
      </c>
      <c r="P34" t="n">
        <v>63</v>
      </c>
      <c r="Q34" t="n">
        <v>61</v>
      </c>
      <c r="R34" t="n">
        <v>58</v>
      </c>
      <c r="S34" t="n">
        <v>56</v>
      </c>
      <c r="T34" t="n">
        <v>54</v>
      </c>
      <c r="U34" t="n">
        <v>50</v>
      </c>
      <c r="V34" t="n">
        <v>52</v>
      </c>
      <c r="W34" t="n">
        <v>54</v>
      </c>
      <c r="X34" t="n">
        <v>53</v>
      </c>
      <c r="Y34" t="n">
        <v>50</v>
      </c>
      <c r="Z34" t="n">
        <v>49</v>
      </c>
      <c r="AA34" t="n">
        <v>50</v>
      </c>
      <c r="AB34" t="n">
        <v>46</v>
      </c>
      <c r="AC34" t="n">
        <v>46</v>
      </c>
      <c r="AD34" t="n">
        <v>45</v>
      </c>
      <c r="AE34" t="n">
        <v>42</v>
      </c>
      <c r="AF34" t="n">
        <v>39</v>
      </c>
    </row>
    <row r="35">
      <c r="A35" t="s">
        <v>97</v>
      </c>
      <c r="B35" t="s">
        <v>340</v>
      </c>
      <c r="C35" t="s">
        <v>236</v>
      </c>
      <c r="D35" t="s">
        <v>341</v>
      </c>
      <c r="E35" t="s">
        <v>237</v>
      </c>
      <c r="F35" t="n">
        <v>73</v>
      </c>
      <c r="G35" t="n">
        <v>91</v>
      </c>
      <c r="H35" t="n">
        <v>115</v>
      </c>
      <c r="I35" t="n">
        <v>143</v>
      </c>
      <c r="J35" t="n">
        <v>175</v>
      </c>
      <c r="K35" t="n">
        <v>198</v>
      </c>
      <c r="L35" t="n">
        <v>216</v>
      </c>
      <c r="M35" t="n">
        <v>216</v>
      </c>
      <c r="N35" t="n">
        <v>213</v>
      </c>
      <c r="O35" t="n">
        <v>253</v>
      </c>
      <c r="P35" t="n">
        <v>276</v>
      </c>
      <c r="Q35" t="n">
        <v>295</v>
      </c>
      <c r="R35" t="n">
        <v>287</v>
      </c>
      <c r="S35" t="n">
        <v>294</v>
      </c>
      <c r="T35" t="n">
        <v>280</v>
      </c>
      <c r="U35" t="n">
        <v>270</v>
      </c>
      <c r="V35" t="n">
        <v>329</v>
      </c>
      <c r="W35" t="n">
        <v>394</v>
      </c>
      <c r="X35" t="n">
        <v>442</v>
      </c>
      <c r="Y35" t="n">
        <v>469</v>
      </c>
      <c r="Z35" t="n">
        <v>520</v>
      </c>
      <c r="AA35" t="n">
        <v>574</v>
      </c>
      <c r="AB35" t="n">
        <v>604</v>
      </c>
      <c r="AC35" t="n">
        <v>671</v>
      </c>
      <c r="AD35" t="n">
        <v>689</v>
      </c>
      <c r="AE35" t="n">
        <v>706</v>
      </c>
      <c r="AF35" t="n">
        <v>737</v>
      </c>
    </row>
    <row r="36">
      <c r="A36" t="s">
        <v>97</v>
      </c>
      <c r="B36" t="s">
        <v>342</v>
      </c>
      <c r="C36" t="s">
        <v>236</v>
      </c>
      <c r="D36" t="s">
        <v>343</v>
      </c>
      <c r="E36" t="s">
        <v>237</v>
      </c>
      <c r="F36" t="n">
        <v>14</v>
      </c>
      <c r="G36" t="n">
        <v>16</v>
      </c>
      <c r="H36" t="n">
        <v>22</v>
      </c>
      <c r="I36" t="n">
        <v>26</v>
      </c>
      <c r="J36" t="n">
        <v>26</v>
      </c>
      <c r="K36" t="n">
        <v>27</v>
      </c>
      <c r="L36" t="n">
        <v>28</v>
      </c>
      <c r="M36" t="n">
        <v>28</v>
      </c>
      <c r="N36" t="n">
        <v>29</v>
      </c>
      <c r="O36" t="n">
        <v>27</v>
      </c>
      <c r="P36" t="n">
        <v>28</v>
      </c>
      <c r="Q36" t="n">
        <v>31</v>
      </c>
      <c r="R36" t="n">
        <v>31</v>
      </c>
      <c r="S36" t="n">
        <v>31</v>
      </c>
      <c r="T36" t="n">
        <v>34</v>
      </c>
      <c r="U36" t="n">
        <v>35</v>
      </c>
      <c r="V36" t="n">
        <v>38</v>
      </c>
      <c r="W36" t="n">
        <v>42</v>
      </c>
      <c r="X36" t="n">
        <v>41</v>
      </c>
      <c r="Y36" t="n">
        <v>38</v>
      </c>
      <c r="Z36" t="n">
        <v>36</v>
      </c>
      <c r="AA36" t="n">
        <v>36</v>
      </c>
      <c r="AB36" t="n">
        <v>36</v>
      </c>
      <c r="AC36" t="n">
        <v>35</v>
      </c>
      <c r="AD36" t="n">
        <v>35</v>
      </c>
      <c r="AE36" t="n">
        <v>32</v>
      </c>
      <c r="AF36" t="n">
        <v>30</v>
      </c>
    </row>
    <row r="37">
      <c r="A37" t="s">
        <v>97</v>
      </c>
      <c r="B37" t="s">
        <v>344</v>
      </c>
      <c r="C37" t="s">
        <v>236</v>
      </c>
      <c r="D37" t="s">
        <v>345</v>
      </c>
      <c r="E37" t="s">
        <v>237</v>
      </c>
      <c r="F37" t="n">
        <v>46</v>
      </c>
      <c r="G37" t="n">
        <v>60</v>
      </c>
      <c r="H37" t="n">
        <v>77</v>
      </c>
      <c r="I37" t="n">
        <v>99</v>
      </c>
      <c r="J37" t="n">
        <v>127</v>
      </c>
      <c r="K37" t="n">
        <v>146</v>
      </c>
      <c r="L37" t="n">
        <v>160</v>
      </c>
      <c r="M37" t="n">
        <v>160</v>
      </c>
      <c r="N37" t="n">
        <v>154</v>
      </c>
      <c r="O37" t="n">
        <v>187</v>
      </c>
      <c r="P37" t="n">
        <v>207</v>
      </c>
      <c r="Q37" t="n">
        <v>209</v>
      </c>
      <c r="R37" t="n">
        <v>191</v>
      </c>
      <c r="S37" t="n">
        <v>193</v>
      </c>
      <c r="T37" t="n">
        <v>179</v>
      </c>
      <c r="U37" t="n">
        <v>171</v>
      </c>
      <c r="V37" t="n">
        <v>225</v>
      </c>
      <c r="W37" t="n">
        <v>281</v>
      </c>
      <c r="X37" t="n">
        <v>322</v>
      </c>
      <c r="Y37" t="n">
        <v>345</v>
      </c>
      <c r="Z37" t="n">
        <v>378</v>
      </c>
      <c r="AA37" t="n">
        <v>419</v>
      </c>
      <c r="AB37" t="n">
        <v>432</v>
      </c>
      <c r="AC37" t="n">
        <v>481</v>
      </c>
      <c r="AD37" t="n">
        <v>505</v>
      </c>
      <c r="AE37" t="n">
        <v>536</v>
      </c>
      <c r="AF37" t="n">
        <v>574</v>
      </c>
    </row>
    <row r="38">
      <c r="A38" t="s">
        <v>97</v>
      </c>
      <c r="B38" t="s">
        <v>346</v>
      </c>
      <c r="C38" t="s">
        <v>236</v>
      </c>
      <c r="D38" t="s">
        <v>347</v>
      </c>
      <c r="E38" t="s">
        <v>237</v>
      </c>
      <c r="F38" t="n">
        <v>13</v>
      </c>
      <c r="G38" t="n">
        <v>15</v>
      </c>
      <c r="H38" t="n">
        <v>16</v>
      </c>
      <c r="I38" t="n">
        <v>18</v>
      </c>
      <c r="J38" t="n">
        <v>22</v>
      </c>
      <c r="K38" t="n">
        <v>25</v>
      </c>
      <c r="L38" t="n">
        <v>28</v>
      </c>
      <c r="M38" t="n">
        <v>28</v>
      </c>
      <c r="N38" t="n">
        <v>30</v>
      </c>
      <c r="O38" t="n">
        <v>39</v>
      </c>
      <c r="P38" t="n">
        <v>41</v>
      </c>
      <c r="Q38" t="n">
        <v>55</v>
      </c>
      <c r="R38" t="n">
        <v>65</v>
      </c>
      <c r="S38" t="n">
        <v>70</v>
      </c>
      <c r="T38" t="n">
        <v>67</v>
      </c>
      <c r="U38" t="n">
        <v>64</v>
      </c>
      <c r="V38" t="n">
        <v>66</v>
      </c>
      <c r="W38" t="n">
        <v>71</v>
      </c>
      <c r="X38" t="n">
        <v>79</v>
      </c>
      <c r="Y38" t="n">
        <v>86</v>
      </c>
      <c r="Z38" t="n">
        <v>106</v>
      </c>
      <c r="AA38" t="n">
        <v>119</v>
      </c>
      <c r="AB38" t="n">
        <v>136</v>
      </c>
      <c r="AC38" t="n">
        <v>155</v>
      </c>
      <c r="AD38" t="n">
        <v>149</v>
      </c>
      <c r="AE38" t="n">
        <v>138</v>
      </c>
      <c r="AF38" t="n">
        <v>133</v>
      </c>
    </row>
    <row r="39">
      <c r="A39" t="s">
        <v>97</v>
      </c>
      <c r="B39" t="s">
        <v>348</v>
      </c>
      <c r="C39" t="s">
        <v>236</v>
      </c>
      <c r="D39" t="s">
        <v>349</v>
      </c>
      <c r="E39" t="s">
        <v>237</v>
      </c>
      <c r="F39" t="n">
        <v>29</v>
      </c>
      <c r="G39" t="n">
        <v>30</v>
      </c>
      <c r="H39" t="n">
        <v>30</v>
      </c>
      <c r="I39" t="n">
        <v>29</v>
      </c>
      <c r="J39" t="n">
        <v>29</v>
      </c>
      <c r="K39" t="n">
        <v>32</v>
      </c>
      <c r="L39" t="n">
        <v>31</v>
      </c>
      <c r="M39" t="n">
        <v>31</v>
      </c>
      <c r="N39" t="n">
        <v>32</v>
      </c>
      <c r="O39" t="n">
        <v>31</v>
      </c>
      <c r="P39" t="n">
        <v>33</v>
      </c>
      <c r="Q39" t="n">
        <v>36</v>
      </c>
      <c r="R39" t="n">
        <v>43</v>
      </c>
      <c r="S39" t="n">
        <v>50</v>
      </c>
      <c r="T39" t="n">
        <v>52</v>
      </c>
      <c r="U39" t="n">
        <v>48</v>
      </c>
      <c r="V39" t="n">
        <v>47</v>
      </c>
      <c r="W39" t="n">
        <v>45</v>
      </c>
      <c r="X39" t="n">
        <v>47</v>
      </c>
      <c r="Y39" t="n">
        <v>44</v>
      </c>
      <c r="Z39" t="n">
        <v>39</v>
      </c>
      <c r="AA39" t="n">
        <v>38</v>
      </c>
      <c r="AB39" t="n">
        <v>82</v>
      </c>
      <c r="AC39" t="n">
        <v>99</v>
      </c>
      <c r="AD39" t="n">
        <v>130</v>
      </c>
      <c r="AE39" t="n">
        <v>147</v>
      </c>
      <c r="AF39" t="n">
        <v>162</v>
      </c>
    </row>
    <row r="40">
      <c r="A40" t="s">
        <v>97</v>
      </c>
      <c r="B40" t="s">
        <v>350</v>
      </c>
      <c r="C40" t="s">
        <v>236</v>
      </c>
      <c r="D40" t="s">
        <v>351</v>
      </c>
      <c r="E40" t="s">
        <v>237</v>
      </c>
      <c r="F40" t="n">
        <v>0</v>
      </c>
      <c r="G40" t="n">
        <v>0</v>
      </c>
      <c r="H40" t="n">
        <v>0</v>
      </c>
      <c r="I40" t="n">
        <v>1</v>
      </c>
      <c r="J40" t="n">
        <v>2</v>
      </c>
      <c r="K40" t="n">
        <v>5</v>
      </c>
      <c r="L40" t="n">
        <v>6</v>
      </c>
      <c r="M40" t="n">
        <v>7</v>
      </c>
      <c r="N40" t="n">
        <v>10</v>
      </c>
      <c r="O40" t="n">
        <v>13</v>
      </c>
      <c r="P40" t="n">
        <v>17</v>
      </c>
      <c r="Q40" t="n">
        <v>20</v>
      </c>
      <c r="R40" t="n">
        <v>21</v>
      </c>
      <c r="S40" t="n">
        <v>31</v>
      </c>
      <c r="T40" t="n">
        <v>32</v>
      </c>
      <c r="U40" t="n">
        <v>28</v>
      </c>
      <c r="V40" t="n">
        <v>26</v>
      </c>
      <c r="W40" t="n">
        <v>23</v>
      </c>
      <c r="X40" t="n">
        <v>24</v>
      </c>
      <c r="Y40" t="n">
        <v>25</v>
      </c>
      <c r="Z40" t="n">
        <v>26</v>
      </c>
      <c r="AA40" t="n">
        <v>27</v>
      </c>
      <c r="AB40" t="n">
        <v>29</v>
      </c>
      <c r="AC40" t="n">
        <v>30</v>
      </c>
      <c r="AD40" t="n">
        <v>27</v>
      </c>
      <c r="AE40" t="n">
        <v>27</v>
      </c>
      <c r="AF40" t="n">
        <v>28</v>
      </c>
    </row>
    <row r="41">
      <c r="A41" t="s">
        <v>97</v>
      </c>
      <c r="B41" t="s">
        <v>352</v>
      </c>
      <c r="C41" t="s">
        <v>236</v>
      </c>
      <c r="D41" t="s">
        <v>353</v>
      </c>
      <c r="E41" t="s">
        <v>237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97</v>
      </c>
      <c r="B42" t="s">
        <v>354</v>
      </c>
      <c r="C42" t="s">
        <v>236</v>
      </c>
      <c r="D42" t="s">
        <v>355</v>
      </c>
      <c r="E42" t="s">
        <v>237</v>
      </c>
      <c r="F42" t="n">
        <v>22</v>
      </c>
      <c r="G42" t="n">
        <v>27</v>
      </c>
      <c r="H42" t="n">
        <v>38</v>
      </c>
      <c r="I42" t="n">
        <v>46</v>
      </c>
      <c r="J42" t="n">
        <v>60</v>
      </c>
      <c r="K42" t="n">
        <v>70</v>
      </c>
      <c r="L42" t="n">
        <v>75</v>
      </c>
      <c r="M42" t="n">
        <v>76</v>
      </c>
      <c r="N42" t="n">
        <v>85</v>
      </c>
      <c r="O42" t="n">
        <v>89</v>
      </c>
      <c r="P42" t="n">
        <v>96</v>
      </c>
      <c r="Q42" t="n">
        <v>106</v>
      </c>
      <c r="R42" t="n">
        <v>105</v>
      </c>
      <c r="S42" t="n">
        <v>117</v>
      </c>
      <c r="T42" t="n">
        <v>106</v>
      </c>
      <c r="U42" t="n">
        <v>99</v>
      </c>
      <c r="V42" t="n">
        <v>100</v>
      </c>
      <c r="W42" t="n">
        <v>100</v>
      </c>
      <c r="X42" t="n">
        <v>102</v>
      </c>
      <c r="Y42" t="n">
        <v>97</v>
      </c>
      <c r="Z42" t="n">
        <v>93</v>
      </c>
      <c r="AA42" t="n">
        <v>95</v>
      </c>
      <c r="AB42" t="n">
        <v>94</v>
      </c>
      <c r="AC42" t="n">
        <v>93</v>
      </c>
      <c r="AD42" t="n">
        <v>90</v>
      </c>
      <c r="AE42" t="n">
        <v>87</v>
      </c>
      <c r="AF42" t="n">
        <v>85</v>
      </c>
    </row>
    <row r="43">
      <c r="A43" t="s">
        <v>97</v>
      </c>
      <c r="B43" t="s">
        <v>356</v>
      </c>
      <c r="C43" t="s">
        <v>236</v>
      </c>
      <c r="D43" t="s">
        <v>357</v>
      </c>
      <c r="E43" t="s">
        <v>237</v>
      </c>
      <c r="F43" t="n">
        <v>30</v>
      </c>
      <c r="G43" t="n">
        <v>40</v>
      </c>
      <c r="H43" t="n">
        <v>55</v>
      </c>
      <c r="I43" t="n">
        <v>71</v>
      </c>
      <c r="J43" t="n">
        <v>91</v>
      </c>
      <c r="K43" t="n">
        <v>109</v>
      </c>
      <c r="L43" t="n">
        <v>119</v>
      </c>
      <c r="M43" t="n">
        <v>119</v>
      </c>
      <c r="N43" t="n">
        <v>138</v>
      </c>
      <c r="O43" t="n">
        <v>150</v>
      </c>
      <c r="P43" t="n">
        <v>165</v>
      </c>
      <c r="Q43" t="n">
        <v>185</v>
      </c>
      <c r="R43" t="n">
        <v>189</v>
      </c>
      <c r="S43" t="n">
        <v>215</v>
      </c>
      <c r="T43" t="n">
        <v>211</v>
      </c>
      <c r="U43" t="n">
        <v>202</v>
      </c>
      <c r="V43" t="n">
        <v>212</v>
      </c>
      <c r="W43" t="n">
        <v>221</v>
      </c>
      <c r="X43" t="n">
        <v>229</v>
      </c>
      <c r="Y43" t="n">
        <v>220</v>
      </c>
      <c r="Z43" t="n">
        <v>215</v>
      </c>
      <c r="AA43" t="n">
        <v>223</v>
      </c>
      <c r="AB43" t="n">
        <v>218</v>
      </c>
      <c r="AC43" t="n">
        <v>217</v>
      </c>
      <c r="AD43" t="n">
        <v>213</v>
      </c>
      <c r="AE43" t="n">
        <v>205</v>
      </c>
      <c r="AF43" t="n">
        <v>202</v>
      </c>
    </row>
    <row r="44">
      <c r="A44" t="s">
        <v>97</v>
      </c>
      <c r="B44" t="s">
        <v>358</v>
      </c>
      <c r="C44" t="s">
        <v>236</v>
      </c>
      <c r="D44" t="s">
        <v>359</v>
      </c>
      <c r="E44" t="s">
        <v>237</v>
      </c>
      <c r="F44" t="n">
        <v>597</v>
      </c>
      <c r="G44" t="n">
        <v>740</v>
      </c>
      <c r="H44" t="n">
        <v>934</v>
      </c>
      <c r="I44" t="n">
        <v>1166</v>
      </c>
      <c r="J44" t="n">
        <v>1390</v>
      </c>
      <c r="K44" t="n">
        <v>1544</v>
      </c>
      <c r="L44" t="n">
        <v>1678</v>
      </c>
      <c r="M44" t="n">
        <v>1656</v>
      </c>
      <c r="N44" t="n">
        <v>1778</v>
      </c>
      <c r="O44" t="n">
        <v>1928</v>
      </c>
      <c r="P44" t="n">
        <v>2040</v>
      </c>
      <c r="Q44" t="n">
        <v>2223</v>
      </c>
      <c r="R44" t="n">
        <v>2335</v>
      </c>
      <c r="S44" t="n">
        <v>2472</v>
      </c>
      <c r="T44" t="n">
        <v>2495</v>
      </c>
      <c r="U44" t="n">
        <v>2328</v>
      </c>
      <c r="V44" t="n">
        <v>2390</v>
      </c>
      <c r="W44" t="n">
        <v>2540</v>
      </c>
      <c r="X44" t="n">
        <v>2659</v>
      </c>
      <c r="Y44" t="n">
        <v>2645</v>
      </c>
      <c r="Z44" t="n">
        <v>2789</v>
      </c>
      <c r="AA44" t="n">
        <v>2956</v>
      </c>
      <c r="AB44" t="n">
        <v>3102</v>
      </c>
      <c r="AC44" t="n">
        <v>3204</v>
      </c>
      <c r="AD44" t="n">
        <v>3206</v>
      </c>
      <c r="AE44" t="n">
        <v>3181</v>
      </c>
      <c r="AF44" t="n">
        <v>3231</v>
      </c>
    </row>
    <row r="45">
      <c r="A45" t="s">
        <v>97</v>
      </c>
      <c r="B45" t="s">
        <v>360</v>
      </c>
      <c r="C45" t="s">
        <v>236</v>
      </c>
      <c r="D45" t="s">
        <v>361</v>
      </c>
      <c r="E45" t="s">
        <v>237</v>
      </c>
      <c r="F45" t="n">
        <v>571</v>
      </c>
      <c r="G45" t="n">
        <v>710</v>
      </c>
      <c r="H45" t="n">
        <v>896</v>
      </c>
      <c r="I45" t="n">
        <v>1119</v>
      </c>
      <c r="J45" t="n">
        <v>1334</v>
      </c>
      <c r="K45" t="n">
        <v>1483</v>
      </c>
      <c r="L45" t="n">
        <v>1616</v>
      </c>
      <c r="M45" t="n">
        <v>1595</v>
      </c>
      <c r="N45" t="n">
        <v>1712</v>
      </c>
      <c r="O45" t="n">
        <v>1856</v>
      </c>
      <c r="P45" t="n">
        <v>1963</v>
      </c>
      <c r="Q45" t="n">
        <v>2150</v>
      </c>
      <c r="R45" t="n">
        <v>2269</v>
      </c>
      <c r="S45" t="n">
        <v>2413</v>
      </c>
      <c r="T45" t="n">
        <v>2436</v>
      </c>
      <c r="U45" t="n">
        <v>2276</v>
      </c>
      <c r="V45" t="n">
        <v>2339</v>
      </c>
      <c r="W45" t="n">
        <v>2488</v>
      </c>
      <c r="X45" t="n">
        <v>2606</v>
      </c>
      <c r="Y45" t="n">
        <v>2591</v>
      </c>
      <c r="Z45" t="n">
        <v>2734</v>
      </c>
      <c r="AA45" t="n">
        <v>2900</v>
      </c>
      <c r="AB45" t="n">
        <v>3045</v>
      </c>
      <c r="AC45" t="n">
        <v>3145</v>
      </c>
      <c r="AD45" t="n">
        <v>3152</v>
      </c>
      <c r="AE45" t="n">
        <v>3127</v>
      </c>
      <c r="AF45" t="n">
        <v>3176</v>
      </c>
    </row>
    <row r="46">
      <c r="A46" t="s">
        <v>97</v>
      </c>
      <c r="B46" t="s">
        <v>362</v>
      </c>
      <c r="C46" t="s">
        <v>236</v>
      </c>
      <c r="D46" t="s">
        <v>363</v>
      </c>
      <c r="E46" t="s">
        <v>237</v>
      </c>
      <c r="F46" t="n">
        <v>8</v>
      </c>
      <c r="G46" t="n">
        <v>13</v>
      </c>
      <c r="H46" t="n">
        <v>17</v>
      </c>
      <c r="I46" t="n">
        <v>25</v>
      </c>
      <c r="J46" t="n">
        <v>31</v>
      </c>
      <c r="K46" t="n">
        <v>39</v>
      </c>
      <c r="L46" t="n">
        <v>44</v>
      </c>
      <c r="M46" t="n">
        <v>43</v>
      </c>
      <c r="N46" t="n">
        <v>53</v>
      </c>
      <c r="O46" t="n">
        <v>61</v>
      </c>
      <c r="P46" t="n">
        <v>69</v>
      </c>
      <c r="Q46" t="n">
        <v>79</v>
      </c>
      <c r="R46" t="n">
        <v>84</v>
      </c>
      <c r="S46" t="n">
        <v>98</v>
      </c>
      <c r="T46" t="n">
        <v>105</v>
      </c>
      <c r="U46" t="n">
        <v>103</v>
      </c>
      <c r="V46" t="n">
        <v>112</v>
      </c>
      <c r="W46" t="n">
        <v>121</v>
      </c>
      <c r="X46" t="n">
        <v>127</v>
      </c>
      <c r="Y46" t="n">
        <v>123</v>
      </c>
      <c r="Z46" t="n">
        <v>122</v>
      </c>
      <c r="AA46" t="n">
        <v>128</v>
      </c>
      <c r="AB46" t="n">
        <v>124</v>
      </c>
      <c r="AC46" t="n">
        <v>124</v>
      </c>
      <c r="AD46" t="n">
        <v>123</v>
      </c>
      <c r="AE46" t="n">
        <v>118</v>
      </c>
      <c r="AF46" t="n">
        <v>117</v>
      </c>
    </row>
    <row r="47">
      <c r="A47" t="s">
        <v>97</v>
      </c>
      <c r="B47" t="s">
        <v>364</v>
      </c>
      <c r="C47" t="s">
        <v>236</v>
      </c>
      <c r="D47" t="s">
        <v>365</v>
      </c>
      <c r="E47" t="s">
        <v>237</v>
      </c>
      <c r="F47" t="n">
        <v>28</v>
      </c>
      <c r="G47" t="n">
        <v>37</v>
      </c>
      <c r="H47" t="n">
        <v>47</v>
      </c>
      <c r="I47" t="n">
        <v>58</v>
      </c>
      <c r="J47" t="n">
        <v>76</v>
      </c>
      <c r="K47" t="n">
        <v>88</v>
      </c>
      <c r="L47" t="n">
        <v>99</v>
      </c>
      <c r="M47" t="n">
        <v>99</v>
      </c>
      <c r="N47" t="n">
        <v>110</v>
      </c>
      <c r="O47" t="n">
        <v>121</v>
      </c>
      <c r="P47" t="n">
        <v>129</v>
      </c>
      <c r="Q47" t="n">
        <v>115</v>
      </c>
      <c r="R47" t="n">
        <v>103</v>
      </c>
      <c r="S47" t="n">
        <v>95</v>
      </c>
      <c r="T47" t="n">
        <v>86</v>
      </c>
      <c r="U47" t="n">
        <v>74</v>
      </c>
      <c r="V47" t="n">
        <v>66</v>
      </c>
      <c r="W47" t="n">
        <v>64</v>
      </c>
      <c r="X47" t="n">
        <v>63</v>
      </c>
      <c r="Y47" t="n">
        <v>57</v>
      </c>
      <c r="Z47" t="n">
        <v>56</v>
      </c>
      <c r="AA47" t="n">
        <v>58</v>
      </c>
      <c r="AB47" t="n">
        <v>59</v>
      </c>
      <c r="AC47" t="n">
        <v>58</v>
      </c>
      <c r="AD47" t="n">
        <v>49</v>
      </c>
      <c r="AE47" t="n">
        <v>49</v>
      </c>
      <c r="AF47" t="n">
        <v>49</v>
      </c>
    </row>
    <row r="48">
      <c r="A48" t="s">
        <v>97</v>
      </c>
      <c r="B48" t="s">
        <v>366</v>
      </c>
      <c r="C48" t="s">
        <v>236</v>
      </c>
      <c r="D48" t="s">
        <v>367</v>
      </c>
      <c r="E48" t="s">
        <v>237</v>
      </c>
      <c r="F48" t="n">
        <v>78</v>
      </c>
      <c r="G48" t="n">
        <v>101</v>
      </c>
      <c r="H48" t="n">
        <v>129</v>
      </c>
      <c r="I48" t="n">
        <v>165</v>
      </c>
      <c r="J48" t="n">
        <v>207</v>
      </c>
      <c r="K48" t="n">
        <v>239</v>
      </c>
      <c r="L48" t="n">
        <v>269</v>
      </c>
      <c r="M48" t="n">
        <v>273</v>
      </c>
      <c r="N48" t="n">
        <v>306</v>
      </c>
      <c r="O48" t="n">
        <v>341</v>
      </c>
      <c r="P48" t="n">
        <v>371</v>
      </c>
      <c r="Q48" t="n">
        <v>348</v>
      </c>
      <c r="R48" t="n">
        <v>312</v>
      </c>
      <c r="S48" t="n">
        <v>290</v>
      </c>
      <c r="T48" t="n">
        <v>280</v>
      </c>
      <c r="U48" t="n">
        <v>244</v>
      </c>
      <c r="V48" t="n">
        <v>231</v>
      </c>
      <c r="W48" t="n">
        <v>231</v>
      </c>
      <c r="X48" t="n">
        <v>235</v>
      </c>
      <c r="Y48" t="n">
        <v>224</v>
      </c>
      <c r="Z48" t="n">
        <v>223</v>
      </c>
      <c r="AA48" t="n">
        <v>226</v>
      </c>
      <c r="AB48" t="n">
        <v>223</v>
      </c>
      <c r="AC48" t="n">
        <v>219</v>
      </c>
      <c r="AD48" t="n">
        <v>199</v>
      </c>
      <c r="AE48" t="n">
        <v>195</v>
      </c>
      <c r="AF48" t="n">
        <v>194</v>
      </c>
    </row>
    <row r="49">
      <c r="A49" t="s">
        <v>97</v>
      </c>
      <c r="B49" t="s">
        <v>368</v>
      </c>
      <c r="C49" t="s">
        <v>236</v>
      </c>
      <c r="D49" t="s">
        <v>369</v>
      </c>
      <c r="E49" t="s">
        <v>237</v>
      </c>
      <c r="F49" t="n">
        <v>21</v>
      </c>
      <c r="G49" t="n">
        <v>25</v>
      </c>
      <c r="H49" t="n">
        <v>33</v>
      </c>
      <c r="I49" t="n">
        <v>43</v>
      </c>
      <c r="J49" t="n">
        <v>52</v>
      </c>
      <c r="K49" t="n">
        <v>58</v>
      </c>
      <c r="L49" t="n">
        <v>65</v>
      </c>
      <c r="M49" t="n">
        <v>65</v>
      </c>
      <c r="N49" t="n">
        <v>72</v>
      </c>
      <c r="O49" t="n">
        <v>78</v>
      </c>
      <c r="P49" t="n">
        <v>81</v>
      </c>
      <c r="Q49" t="n">
        <v>82</v>
      </c>
      <c r="R49" t="n">
        <v>76</v>
      </c>
      <c r="S49" t="n">
        <v>74</v>
      </c>
      <c r="T49" t="n">
        <v>66</v>
      </c>
      <c r="U49" t="n">
        <v>56</v>
      </c>
      <c r="V49" t="n">
        <v>52</v>
      </c>
      <c r="W49" t="n">
        <v>52</v>
      </c>
      <c r="X49" t="n">
        <v>53</v>
      </c>
      <c r="Y49" t="n">
        <v>49</v>
      </c>
      <c r="Z49" t="n">
        <v>51</v>
      </c>
      <c r="AA49" t="n">
        <v>52</v>
      </c>
      <c r="AB49" t="n">
        <v>55</v>
      </c>
      <c r="AC49" t="n">
        <v>58</v>
      </c>
      <c r="AD49" t="n">
        <v>52</v>
      </c>
      <c r="AE49" t="n">
        <v>52</v>
      </c>
      <c r="AF49" t="n">
        <v>54</v>
      </c>
    </row>
    <row r="50">
      <c r="A50" t="s">
        <v>97</v>
      </c>
      <c r="B50" t="s">
        <v>370</v>
      </c>
      <c r="C50" t="s">
        <v>236</v>
      </c>
      <c r="D50" t="s">
        <v>371</v>
      </c>
      <c r="E50" t="s">
        <v>237</v>
      </c>
      <c r="F50" t="n">
        <v>29</v>
      </c>
      <c r="G50" t="n">
        <v>39</v>
      </c>
      <c r="H50" t="n">
        <v>49</v>
      </c>
      <c r="I50" t="n">
        <v>64</v>
      </c>
      <c r="J50" t="n">
        <v>79</v>
      </c>
      <c r="K50" t="n">
        <v>93</v>
      </c>
      <c r="L50" t="n">
        <v>105</v>
      </c>
      <c r="M50" t="n">
        <v>109</v>
      </c>
      <c r="N50" t="n">
        <v>124</v>
      </c>
      <c r="O50" t="n">
        <v>142</v>
      </c>
      <c r="P50" t="n">
        <v>161</v>
      </c>
      <c r="Q50" t="n">
        <v>151</v>
      </c>
      <c r="R50" t="n">
        <v>133</v>
      </c>
      <c r="S50" t="n">
        <v>121</v>
      </c>
      <c r="T50" t="n">
        <v>128</v>
      </c>
      <c r="U50" t="n">
        <v>114</v>
      </c>
      <c r="V50" t="n">
        <v>113</v>
      </c>
      <c r="W50" t="n">
        <v>115</v>
      </c>
      <c r="X50" t="n">
        <v>119</v>
      </c>
      <c r="Y50" t="n">
        <v>118</v>
      </c>
      <c r="Z50" t="n">
        <v>116</v>
      </c>
      <c r="AA50" t="n">
        <v>116</v>
      </c>
      <c r="AB50" t="n">
        <v>109</v>
      </c>
      <c r="AC50" t="n">
        <v>103</v>
      </c>
      <c r="AD50" t="n">
        <v>98</v>
      </c>
      <c r="AE50" t="n">
        <v>94</v>
      </c>
      <c r="AF50" t="n">
        <v>91</v>
      </c>
    </row>
    <row r="51">
      <c r="A51" t="s">
        <v>97</v>
      </c>
      <c r="B51" t="s">
        <v>372</v>
      </c>
      <c r="C51" t="s">
        <v>236</v>
      </c>
      <c r="D51" t="s">
        <v>373</v>
      </c>
      <c r="E51" t="s">
        <v>237</v>
      </c>
      <c r="F51" t="n">
        <v>29</v>
      </c>
      <c r="G51" t="n">
        <v>39</v>
      </c>
      <c r="H51" t="n">
        <v>48</v>
      </c>
      <c r="I51" t="n">
        <v>62</v>
      </c>
      <c r="J51" t="n">
        <v>77</v>
      </c>
      <c r="K51" t="n">
        <v>91</v>
      </c>
      <c r="L51" t="n">
        <v>102</v>
      </c>
      <c r="M51" t="n">
        <v>106</v>
      </c>
      <c r="N51" t="n">
        <v>120</v>
      </c>
      <c r="O51" t="n">
        <v>135</v>
      </c>
      <c r="P51" t="n">
        <v>154</v>
      </c>
      <c r="Q51" t="n">
        <v>144</v>
      </c>
      <c r="R51" t="n">
        <v>128</v>
      </c>
      <c r="S51" t="n">
        <v>117</v>
      </c>
      <c r="T51" t="n">
        <v>123</v>
      </c>
      <c r="U51" t="n">
        <v>110</v>
      </c>
      <c r="V51" t="n">
        <v>109</v>
      </c>
      <c r="W51" t="n">
        <v>110</v>
      </c>
      <c r="X51" t="n">
        <v>113</v>
      </c>
      <c r="Y51" t="n">
        <v>112</v>
      </c>
      <c r="Z51" t="n">
        <v>109</v>
      </c>
      <c r="AA51" t="n">
        <v>106</v>
      </c>
      <c r="AB51" t="n">
        <v>100</v>
      </c>
      <c r="AC51" t="n">
        <v>94</v>
      </c>
      <c r="AD51" t="n">
        <v>88</v>
      </c>
      <c r="AE51" t="n">
        <v>83</v>
      </c>
      <c r="AF51" t="n">
        <v>79</v>
      </c>
    </row>
    <row r="52">
      <c r="A52" t="s">
        <v>97</v>
      </c>
      <c r="B52" t="s">
        <v>374</v>
      </c>
      <c r="C52" t="s">
        <v>236</v>
      </c>
      <c r="D52" t="s">
        <v>375</v>
      </c>
      <c r="E52" t="s">
        <v>237</v>
      </c>
      <c r="F52" t="n">
        <v>0</v>
      </c>
      <c r="G52" t="n">
        <v>0</v>
      </c>
      <c r="H52" t="n">
        <v>1</v>
      </c>
      <c r="I52" t="n">
        <v>2</v>
      </c>
      <c r="J52" t="n">
        <v>2</v>
      </c>
      <c r="K52" t="n">
        <v>2</v>
      </c>
      <c r="L52" t="n">
        <v>3</v>
      </c>
      <c r="M52" t="n">
        <v>3</v>
      </c>
      <c r="N52" t="n">
        <v>4</v>
      </c>
      <c r="O52" t="n">
        <v>7</v>
      </c>
      <c r="P52" t="n">
        <v>7</v>
      </c>
      <c r="Q52" t="n">
        <v>7</v>
      </c>
      <c r="R52" t="n">
        <v>5</v>
      </c>
      <c r="S52" t="n">
        <v>4</v>
      </c>
      <c r="T52" t="n">
        <v>5</v>
      </c>
      <c r="U52" t="n">
        <v>4</v>
      </c>
      <c r="V52" t="n">
        <v>4</v>
      </c>
      <c r="W52" t="n">
        <v>5</v>
      </c>
      <c r="X52" t="n">
        <v>6</v>
      </c>
      <c r="Y52" t="n">
        <v>6</v>
      </c>
      <c r="Z52" t="n">
        <v>7</v>
      </c>
      <c r="AA52" t="n">
        <v>10</v>
      </c>
      <c r="AB52" t="n">
        <v>9</v>
      </c>
      <c r="AC52" t="n">
        <v>9</v>
      </c>
      <c r="AD52" t="n">
        <v>10</v>
      </c>
      <c r="AE52" t="n">
        <v>11</v>
      </c>
      <c r="AF52" t="n">
        <v>12</v>
      </c>
    </row>
    <row r="53">
      <c r="A53" t="s">
        <v>97</v>
      </c>
      <c r="B53" t="s">
        <v>376</v>
      </c>
      <c r="C53" t="s">
        <v>236</v>
      </c>
      <c r="D53" t="s">
        <v>377</v>
      </c>
      <c r="E53" t="s">
        <v>237</v>
      </c>
      <c r="F53" t="n">
        <v>13</v>
      </c>
      <c r="G53" t="n">
        <v>18</v>
      </c>
      <c r="H53" t="n">
        <v>25</v>
      </c>
      <c r="I53" t="n">
        <v>31</v>
      </c>
      <c r="J53" t="n">
        <v>29</v>
      </c>
      <c r="K53" t="n">
        <v>36</v>
      </c>
      <c r="L53" t="n">
        <v>41</v>
      </c>
      <c r="M53" t="n">
        <v>40</v>
      </c>
      <c r="N53" t="n">
        <v>46</v>
      </c>
      <c r="O53" t="n">
        <v>54</v>
      </c>
      <c r="P53" t="n">
        <v>59</v>
      </c>
      <c r="Q53" t="n">
        <v>63</v>
      </c>
      <c r="R53" t="n">
        <v>66</v>
      </c>
      <c r="S53" t="n">
        <v>66</v>
      </c>
      <c r="T53" t="n">
        <v>72</v>
      </c>
      <c r="U53" t="n">
        <v>65</v>
      </c>
      <c r="V53" t="n">
        <v>71</v>
      </c>
      <c r="W53" t="n">
        <v>77</v>
      </c>
      <c r="X53" t="n">
        <v>85</v>
      </c>
      <c r="Y53" t="n">
        <v>85</v>
      </c>
      <c r="Z53" t="n">
        <v>90</v>
      </c>
      <c r="AA53" t="n">
        <v>94</v>
      </c>
      <c r="AB53" t="n">
        <v>96</v>
      </c>
      <c r="AC53" t="n">
        <v>95</v>
      </c>
      <c r="AD53" t="n">
        <v>93</v>
      </c>
      <c r="AE53" t="n">
        <v>86</v>
      </c>
      <c r="AF53" t="n">
        <v>80</v>
      </c>
    </row>
    <row r="54">
      <c r="A54" t="s">
        <v>97</v>
      </c>
      <c r="B54" t="s">
        <v>378</v>
      </c>
      <c r="C54" t="s">
        <v>236</v>
      </c>
      <c r="D54" t="s">
        <v>379</v>
      </c>
      <c r="E54" t="s">
        <v>237</v>
      </c>
      <c r="F54" t="n">
        <v>15</v>
      </c>
      <c r="G54" t="n">
        <v>21</v>
      </c>
      <c r="H54" t="n">
        <v>28</v>
      </c>
      <c r="I54" t="n">
        <v>35</v>
      </c>
      <c r="J54" t="n">
        <v>35</v>
      </c>
      <c r="K54" t="n">
        <v>44</v>
      </c>
      <c r="L54" t="n">
        <v>50</v>
      </c>
      <c r="M54" t="n">
        <v>48</v>
      </c>
      <c r="N54" t="n">
        <v>57</v>
      </c>
      <c r="O54" t="n">
        <v>70</v>
      </c>
      <c r="P54" t="n">
        <v>75</v>
      </c>
      <c r="Q54" t="n">
        <v>83</v>
      </c>
      <c r="R54" t="n">
        <v>87</v>
      </c>
      <c r="S54" t="n">
        <v>89</v>
      </c>
      <c r="T54" t="n">
        <v>96</v>
      </c>
      <c r="U54" t="n">
        <v>90</v>
      </c>
      <c r="V54" t="n">
        <v>99</v>
      </c>
      <c r="W54" t="n">
        <v>112</v>
      </c>
      <c r="X54" t="n">
        <v>126</v>
      </c>
      <c r="Y54" t="n">
        <v>127</v>
      </c>
      <c r="Z54" t="n">
        <v>135</v>
      </c>
      <c r="AA54" t="n">
        <v>143</v>
      </c>
      <c r="AB54" t="n">
        <v>147</v>
      </c>
      <c r="AC54" t="n">
        <v>147</v>
      </c>
      <c r="AD54" t="n">
        <v>146</v>
      </c>
      <c r="AE54" t="n">
        <v>137</v>
      </c>
      <c r="AF54" t="n">
        <v>129</v>
      </c>
    </row>
    <row r="55">
      <c r="A55" t="s">
        <v>97</v>
      </c>
      <c r="B55" t="s">
        <v>380</v>
      </c>
      <c r="C55" t="s">
        <v>236</v>
      </c>
      <c r="D55" t="s">
        <v>381</v>
      </c>
      <c r="E55" t="s">
        <v>237</v>
      </c>
      <c r="F55" t="n">
        <v>2</v>
      </c>
      <c r="G55" t="n">
        <v>3</v>
      </c>
      <c r="H55" t="n">
        <v>3</v>
      </c>
      <c r="I55" t="n">
        <v>4</v>
      </c>
      <c r="J55" t="n">
        <v>6</v>
      </c>
      <c r="K55" t="n">
        <v>8</v>
      </c>
      <c r="L55" t="n">
        <v>9</v>
      </c>
      <c r="M55" t="n">
        <v>8</v>
      </c>
      <c r="N55" t="n">
        <v>11</v>
      </c>
      <c r="O55" t="n">
        <v>16</v>
      </c>
      <c r="P55" t="n">
        <v>16</v>
      </c>
      <c r="Q55" t="n">
        <v>20</v>
      </c>
      <c r="R55" t="n">
        <v>21</v>
      </c>
      <c r="S55" t="n">
        <v>23</v>
      </c>
      <c r="T55" t="n">
        <v>24</v>
      </c>
      <c r="U55" t="n">
        <v>25</v>
      </c>
      <c r="V55" t="n">
        <v>28</v>
      </c>
      <c r="W55" t="n">
        <v>35</v>
      </c>
      <c r="X55" t="n">
        <v>41</v>
      </c>
      <c r="Y55" t="n">
        <v>42</v>
      </c>
      <c r="Z55" t="n">
        <v>45</v>
      </c>
      <c r="AA55" t="n">
        <v>49</v>
      </c>
      <c r="AB55" t="n">
        <v>51</v>
      </c>
      <c r="AC55" t="n">
        <v>52</v>
      </c>
      <c r="AD55" t="n">
        <v>53</v>
      </c>
      <c r="AE55" t="n">
        <v>51</v>
      </c>
      <c r="AF55" t="n">
        <v>49</v>
      </c>
    </row>
    <row r="56">
      <c r="A56" t="s">
        <v>97</v>
      </c>
      <c r="B56" t="s">
        <v>382</v>
      </c>
      <c r="C56" t="s">
        <v>236</v>
      </c>
      <c r="D56" t="s">
        <v>383</v>
      </c>
      <c r="E56" t="s">
        <v>237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97</v>
      </c>
      <c r="B57" t="s">
        <v>384</v>
      </c>
      <c r="C57" t="s">
        <v>236</v>
      </c>
      <c r="D57" t="s">
        <v>385</v>
      </c>
      <c r="E57" t="s">
        <v>237</v>
      </c>
      <c r="F57" t="n">
        <v>675</v>
      </c>
      <c r="G57" t="n">
        <v>841</v>
      </c>
      <c r="H57" t="n">
        <v>1063</v>
      </c>
      <c r="I57" t="n">
        <v>1332</v>
      </c>
      <c r="J57" t="n">
        <v>1599</v>
      </c>
      <c r="K57" t="n">
        <v>1788</v>
      </c>
      <c r="L57" t="n">
        <v>1953</v>
      </c>
      <c r="M57" t="n">
        <v>1936</v>
      </c>
      <c r="N57" t="n">
        <v>2094</v>
      </c>
      <c r="O57" t="n">
        <v>2282</v>
      </c>
      <c r="P57" t="n">
        <v>2428</v>
      </c>
      <c r="Q57" t="n">
        <v>2591</v>
      </c>
      <c r="R57" t="n">
        <v>2668</v>
      </c>
      <c r="S57" t="n">
        <v>2793</v>
      </c>
      <c r="T57" t="n">
        <v>2807</v>
      </c>
      <c r="U57" t="n">
        <v>2600</v>
      </c>
      <c r="V57" t="n">
        <v>2647</v>
      </c>
      <c r="W57" t="n">
        <v>2794</v>
      </c>
      <c r="X57" t="n">
        <v>2918</v>
      </c>
      <c r="Y57" t="n">
        <v>2894</v>
      </c>
      <c r="Z57" t="n">
        <v>3038</v>
      </c>
      <c r="AA57" t="n">
        <v>3209</v>
      </c>
      <c r="AB57" t="n">
        <v>3354</v>
      </c>
      <c r="AC57" t="n">
        <v>3453</v>
      </c>
      <c r="AD57" t="n">
        <v>3432</v>
      </c>
      <c r="AE57" t="n">
        <v>3403</v>
      </c>
      <c r="AF57" t="n">
        <v>3453</v>
      </c>
    </row>
    <row r="58">
      <c r="A58" t="s">
        <v>97</v>
      </c>
      <c r="B58" t="s">
        <v>386</v>
      </c>
      <c r="C58" t="s">
        <v>236</v>
      </c>
      <c r="D58" t="s">
        <v>387</v>
      </c>
      <c r="E58" t="s">
        <v>237</v>
      </c>
      <c r="F58" t="n">
        <v>675</v>
      </c>
      <c r="G58" t="n">
        <v>841</v>
      </c>
      <c r="H58" t="n">
        <v>1063</v>
      </c>
      <c r="I58" t="n">
        <v>1332</v>
      </c>
      <c r="J58" t="n">
        <v>1599</v>
      </c>
      <c r="K58" t="n">
        <v>1788</v>
      </c>
      <c r="L58" t="n">
        <v>1953</v>
      </c>
      <c r="M58" t="n">
        <v>1936</v>
      </c>
      <c r="N58" t="n">
        <v>2094</v>
      </c>
      <c r="O58" t="n">
        <v>2282</v>
      </c>
      <c r="P58" t="n">
        <v>2428</v>
      </c>
      <c r="Q58" t="n">
        <v>2591</v>
      </c>
      <c r="R58" t="n">
        <v>2668</v>
      </c>
      <c r="S58" t="n">
        <v>2793</v>
      </c>
      <c r="T58" t="n">
        <v>2807</v>
      </c>
      <c r="U58" t="n">
        <v>2600</v>
      </c>
      <c r="V58" t="n">
        <v>2647</v>
      </c>
      <c r="W58" t="n">
        <v>2794</v>
      </c>
      <c r="X58" t="n">
        <v>2918</v>
      </c>
      <c r="Y58" t="n">
        <v>2894</v>
      </c>
      <c r="Z58" t="n">
        <v>3038</v>
      </c>
      <c r="AA58" t="n">
        <v>3209</v>
      </c>
      <c r="AB58" t="n">
        <v>3354</v>
      </c>
      <c r="AC58" t="n">
        <v>3453</v>
      </c>
      <c r="AD58" t="n">
        <v>3432</v>
      </c>
      <c r="AE58" t="n">
        <v>3403</v>
      </c>
      <c r="AF58" t="n">
        <v>3453</v>
      </c>
    </row>
    <row r="59">
      <c r="A59" t="s">
        <v>97</v>
      </c>
      <c r="B59" t="s">
        <v>388</v>
      </c>
      <c r="C59" t="s">
        <v>236</v>
      </c>
      <c r="D59" t="s">
        <v>389</v>
      </c>
      <c r="E59" t="s">
        <v>237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99</v>
      </c>
      <c r="B2" t="s">
        <v>197</v>
      </c>
      <c r="C2" t="s">
        <v>236</v>
      </c>
      <c r="D2" t="s">
        <v>199</v>
      </c>
      <c r="E2" t="s">
        <v>237</v>
      </c>
      <c r="F2" t="n">
        <v>3</v>
      </c>
      <c r="G2" t="n">
        <v>3</v>
      </c>
      <c r="H2" t="n">
        <v>3</v>
      </c>
      <c r="I2" t="n">
        <v>3</v>
      </c>
      <c r="J2" t="n">
        <v>4</v>
      </c>
      <c r="K2" t="n">
        <v>5</v>
      </c>
      <c r="L2" t="n">
        <v>5</v>
      </c>
      <c r="M2" t="n">
        <v>5</v>
      </c>
      <c r="N2" t="n">
        <v>6</v>
      </c>
      <c r="O2" t="n">
        <v>6</v>
      </c>
      <c r="P2" t="n">
        <v>7</v>
      </c>
      <c r="Q2" t="n">
        <v>9</v>
      </c>
      <c r="R2" t="n">
        <v>9</v>
      </c>
      <c r="S2" t="n">
        <v>9</v>
      </c>
      <c r="T2" t="n">
        <v>10</v>
      </c>
      <c r="U2" t="n">
        <v>11</v>
      </c>
      <c r="V2" t="n">
        <v>11</v>
      </c>
      <c r="W2" t="n">
        <v>10</v>
      </c>
      <c r="X2" t="n">
        <v>11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</row>
    <row r="3">
      <c r="A3" t="s">
        <v>99</v>
      </c>
      <c r="B3" t="s">
        <v>276</v>
      </c>
      <c r="C3" t="s">
        <v>236</v>
      </c>
      <c r="D3" t="s">
        <v>277</v>
      </c>
      <c r="E3" t="s">
        <v>237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1</v>
      </c>
      <c r="L3" t="n">
        <v>2</v>
      </c>
      <c r="M3" t="n">
        <v>2</v>
      </c>
      <c r="N3" t="n">
        <v>2</v>
      </c>
      <c r="O3" t="n">
        <v>2</v>
      </c>
      <c r="P3" t="n">
        <v>3</v>
      </c>
      <c r="Q3" t="n">
        <v>3</v>
      </c>
      <c r="R3" t="n">
        <v>3</v>
      </c>
      <c r="S3" t="n">
        <v>3</v>
      </c>
      <c r="T3" t="n">
        <v>7</v>
      </c>
      <c r="U3" t="n">
        <v>11</v>
      </c>
      <c r="V3" t="n">
        <v>11</v>
      </c>
      <c r="W3" t="n">
        <v>9</v>
      </c>
      <c r="X3" t="n">
        <v>7</v>
      </c>
      <c r="Y3" t="n">
        <v>4</v>
      </c>
      <c r="Z3" t="n">
        <v>4</v>
      </c>
      <c r="AA3" t="n">
        <v>4</v>
      </c>
      <c r="AB3" t="n">
        <v>6</v>
      </c>
      <c r="AC3" t="n">
        <v>7</v>
      </c>
      <c r="AD3" t="n">
        <v>8</v>
      </c>
      <c r="AE3" t="n">
        <v>11</v>
      </c>
      <c r="AF3" t="n">
        <v>15</v>
      </c>
    </row>
    <row r="4">
      <c r="A4" t="s">
        <v>99</v>
      </c>
      <c r="B4" t="s">
        <v>278</v>
      </c>
      <c r="C4" t="s">
        <v>236</v>
      </c>
      <c r="D4" t="s">
        <v>279</v>
      </c>
      <c r="E4" t="s">
        <v>237</v>
      </c>
      <c r="F4" t="n">
        <v>346</v>
      </c>
      <c r="G4" t="n">
        <v>354</v>
      </c>
      <c r="H4" t="n">
        <v>400</v>
      </c>
      <c r="I4" t="n">
        <v>486</v>
      </c>
      <c r="J4" t="n">
        <v>562</v>
      </c>
      <c r="K4" t="n">
        <v>653</v>
      </c>
      <c r="L4" t="n">
        <v>767</v>
      </c>
      <c r="M4" t="n">
        <v>772</v>
      </c>
      <c r="N4" t="n">
        <v>865</v>
      </c>
      <c r="O4" t="n">
        <v>938</v>
      </c>
      <c r="P4" t="n">
        <v>1047</v>
      </c>
      <c r="Q4" t="n">
        <v>1204</v>
      </c>
      <c r="R4" t="n">
        <v>1281</v>
      </c>
      <c r="S4" t="n">
        <v>1346</v>
      </c>
      <c r="T4" t="n">
        <v>1420</v>
      </c>
      <c r="U4" t="n">
        <v>1489</v>
      </c>
      <c r="V4" t="n">
        <v>1557</v>
      </c>
      <c r="W4" t="n">
        <v>1611</v>
      </c>
      <c r="X4" t="n">
        <v>1551</v>
      </c>
      <c r="Y4" t="n">
        <v>1538</v>
      </c>
      <c r="Z4" t="n">
        <v>1501</v>
      </c>
      <c r="AA4" t="n">
        <v>1447</v>
      </c>
      <c r="AB4" t="n">
        <v>1470</v>
      </c>
      <c r="AC4" t="n">
        <v>1554</v>
      </c>
      <c r="AD4" t="n">
        <v>1625</v>
      </c>
      <c r="AE4" t="n">
        <v>1708</v>
      </c>
      <c r="AF4" t="n">
        <v>1732</v>
      </c>
    </row>
    <row r="5">
      <c r="A5" t="s">
        <v>99</v>
      </c>
      <c r="B5" t="s">
        <v>280</v>
      </c>
      <c r="C5" t="s">
        <v>236</v>
      </c>
      <c r="D5" t="s">
        <v>281</v>
      </c>
      <c r="E5" t="s">
        <v>237</v>
      </c>
      <c r="F5" t="n">
        <v>18</v>
      </c>
      <c r="G5" t="n">
        <v>22</v>
      </c>
      <c r="H5" t="n">
        <v>24</v>
      </c>
      <c r="I5" t="n">
        <v>29</v>
      </c>
      <c r="J5" t="n">
        <v>38</v>
      </c>
      <c r="K5" t="n">
        <v>48</v>
      </c>
      <c r="L5" t="n">
        <v>51</v>
      </c>
      <c r="M5" t="n">
        <v>45</v>
      </c>
      <c r="N5" t="n">
        <v>58</v>
      </c>
      <c r="O5" t="n">
        <v>62</v>
      </c>
      <c r="P5" t="n">
        <v>73</v>
      </c>
      <c r="Q5" t="n">
        <v>74</v>
      </c>
      <c r="R5" t="n">
        <v>72</v>
      </c>
      <c r="S5" t="n">
        <v>73</v>
      </c>
      <c r="T5" t="n">
        <v>72</v>
      </c>
      <c r="U5" t="n">
        <v>78</v>
      </c>
      <c r="V5" t="n">
        <v>88</v>
      </c>
      <c r="W5" t="n">
        <v>94</v>
      </c>
      <c r="X5" t="n">
        <v>101</v>
      </c>
      <c r="Y5" t="n">
        <v>103</v>
      </c>
      <c r="Z5" t="n">
        <v>101</v>
      </c>
      <c r="AA5" t="n">
        <v>106</v>
      </c>
      <c r="AB5" t="n">
        <v>103</v>
      </c>
      <c r="AC5" t="n">
        <v>102</v>
      </c>
      <c r="AD5" t="n">
        <v>94</v>
      </c>
      <c r="AE5" t="n">
        <v>110</v>
      </c>
      <c r="AF5" t="n">
        <v>121</v>
      </c>
    </row>
    <row r="6">
      <c r="A6" t="s">
        <v>99</v>
      </c>
      <c r="B6" t="s">
        <v>282</v>
      </c>
      <c r="C6" t="s">
        <v>236</v>
      </c>
      <c r="D6" t="s">
        <v>283</v>
      </c>
      <c r="E6" t="s">
        <v>237</v>
      </c>
      <c r="F6" t="n">
        <v>2</v>
      </c>
      <c r="G6" t="n">
        <v>3</v>
      </c>
      <c r="H6" t="n">
        <v>3</v>
      </c>
      <c r="I6" t="n">
        <v>4</v>
      </c>
      <c r="J6" t="n">
        <v>3</v>
      </c>
      <c r="K6" t="n">
        <v>3</v>
      </c>
      <c r="L6" t="n">
        <v>3</v>
      </c>
      <c r="M6" t="n">
        <v>2</v>
      </c>
      <c r="N6" t="n">
        <v>4</v>
      </c>
      <c r="O6" t="n">
        <v>4</v>
      </c>
      <c r="P6" t="n">
        <v>6</v>
      </c>
      <c r="Q6" t="n">
        <v>6</v>
      </c>
      <c r="R6" t="n">
        <v>7</v>
      </c>
      <c r="S6" t="n">
        <v>6</v>
      </c>
      <c r="T6" t="n">
        <v>5</v>
      </c>
      <c r="U6" t="n">
        <v>5</v>
      </c>
      <c r="V6" t="n">
        <v>5</v>
      </c>
      <c r="W6" t="n">
        <v>6</v>
      </c>
      <c r="X6" t="n">
        <v>6</v>
      </c>
      <c r="Y6" t="n">
        <v>6</v>
      </c>
      <c r="Z6" t="n">
        <v>7</v>
      </c>
      <c r="AA6" t="n">
        <v>8</v>
      </c>
      <c r="AB6" t="n">
        <v>10</v>
      </c>
      <c r="AC6" t="n">
        <v>21</v>
      </c>
      <c r="AD6" t="n">
        <v>16</v>
      </c>
      <c r="AE6" t="n">
        <v>14</v>
      </c>
      <c r="AF6" t="n">
        <v>13</v>
      </c>
    </row>
    <row r="7">
      <c r="A7" t="s">
        <v>99</v>
      </c>
      <c r="B7" t="s">
        <v>284</v>
      </c>
      <c r="C7" t="s">
        <v>236</v>
      </c>
      <c r="D7" t="s">
        <v>285</v>
      </c>
      <c r="E7" t="s">
        <v>237</v>
      </c>
      <c r="F7" t="n">
        <v>92</v>
      </c>
      <c r="G7" t="n">
        <v>95</v>
      </c>
      <c r="H7" t="n">
        <v>104</v>
      </c>
      <c r="I7" t="n">
        <v>126</v>
      </c>
      <c r="J7" t="n">
        <v>137</v>
      </c>
      <c r="K7" t="n">
        <v>173</v>
      </c>
      <c r="L7" t="n">
        <v>219</v>
      </c>
      <c r="M7" t="n">
        <v>221</v>
      </c>
      <c r="N7" t="n">
        <v>224</v>
      </c>
      <c r="O7" t="n">
        <v>223</v>
      </c>
      <c r="P7" t="n">
        <v>264</v>
      </c>
      <c r="Q7" t="n">
        <v>332</v>
      </c>
      <c r="R7" t="n">
        <v>328</v>
      </c>
      <c r="S7" t="n">
        <v>299</v>
      </c>
      <c r="T7" t="n">
        <v>284</v>
      </c>
      <c r="U7" t="n">
        <v>268</v>
      </c>
      <c r="V7" t="n">
        <v>242</v>
      </c>
      <c r="W7" t="n">
        <v>239</v>
      </c>
      <c r="X7" t="n">
        <v>186</v>
      </c>
      <c r="Y7" t="n">
        <v>161</v>
      </c>
      <c r="Z7" t="n">
        <v>139</v>
      </c>
      <c r="AA7" t="n">
        <v>146</v>
      </c>
      <c r="AB7" t="n">
        <v>145</v>
      </c>
      <c r="AC7" t="n">
        <v>142</v>
      </c>
      <c r="AD7" t="n">
        <v>157</v>
      </c>
      <c r="AE7" t="n">
        <v>184</v>
      </c>
      <c r="AF7" t="n">
        <v>175</v>
      </c>
    </row>
    <row r="8">
      <c r="A8" t="s">
        <v>99</v>
      </c>
      <c r="B8" t="s">
        <v>286</v>
      </c>
      <c r="C8" t="s">
        <v>236</v>
      </c>
      <c r="D8" t="s">
        <v>287</v>
      </c>
      <c r="E8" t="s">
        <v>237</v>
      </c>
      <c r="F8" t="n">
        <v>12</v>
      </c>
      <c r="G8" t="n">
        <v>12</v>
      </c>
      <c r="H8" t="n">
        <v>13</v>
      </c>
      <c r="I8" t="n">
        <v>14</v>
      </c>
      <c r="J8" t="n">
        <v>16</v>
      </c>
      <c r="K8" t="n">
        <v>17</v>
      </c>
      <c r="L8" t="n">
        <v>24</v>
      </c>
      <c r="M8" t="n">
        <v>18</v>
      </c>
      <c r="N8" t="n">
        <v>24</v>
      </c>
      <c r="O8" t="n">
        <v>33</v>
      </c>
      <c r="P8" t="n">
        <v>38</v>
      </c>
      <c r="Q8" t="n">
        <v>29</v>
      </c>
      <c r="R8" t="n">
        <v>26</v>
      </c>
      <c r="S8" t="n">
        <v>27</v>
      </c>
      <c r="T8" t="n">
        <v>24</v>
      </c>
      <c r="U8" t="n">
        <v>23</v>
      </c>
      <c r="V8" t="n">
        <v>21</v>
      </c>
      <c r="W8" t="n">
        <v>18</v>
      </c>
      <c r="X8" t="n">
        <v>23</v>
      </c>
      <c r="Y8" t="n">
        <v>37</v>
      </c>
      <c r="Z8" t="n">
        <v>37</v>
      </c>
      <c r="AA8" t="n">
        <v>37</v>
      </c>
      <c r="AB8" t="n">
        <v>42</v>
      </c>
      <c r="AC8" t="n">
        <v>63</v>
      </c>
      <c r="AD8" t="n">
        <v>81</v>
      </c>
      <c r="AE8" t="n">
        <v>81</v>
      </c>
      <c r="AF8" t="n">
        <v>68</v>
      </c>
    </row>
    <row r="9">
      <c r="A9" t="s">
        <v>99</v>
      </c>
      <c r="B9" t="s">
        <v>288</v>
      </c>
      <c r="C9" t="s">
        <v>236</v>
      </c>
      <c r="D9" t="s">
        <v>289</v>
      </c>
      <c r="E9" t="s">
        <v>237</v>
      </c>
      <c r="F9" t="n">
        <v>14</v>
      </c>
      <c r="G9" t="n">
        <v>15</v>
      </c>
      <c r="H9" t="n">
        <v>16</v>
      </c>
      <c r="I9" t="n">
        <v>21</v>
      </c>
      <c r="J9" t="n">
        <v>22</v>
      </c>
      <c r="K9" t="n">
        <v>19</v>
      </c>
      <c r="L9" t="n">
        <v>22</v>
      </c>
      <c r="M9" t="n">
        <v>27</v>
      </c>
      <c r="N9" t="n">
        <v>29</v>
      </c>
      <c r="O9" t="n">
        <v>29</v>
      </c>
      <c r="P9" t="n">
        <v>31</v>
      </c>
      <c r="Q9" t="n">
        <v>29</v>
      </c>
      <c r="R9" t="n">
        <v>30</v>
      </c>
      <c r="S9" t="n">
        <v>34</v>
      </c>
      <c r="T9" t="n">
        <v>44</v>
      </c>
      <c r="U9" t="n">
        <v>42</v>
      </c>
      <c r="V9" t="n">
        <v>38</v>
      </c>
      <c r="W9" t="n">
        <v>42</v>
      </c>
      <c r="X9" t="n">
        <v>43</v>
      </c>
      <c r="Y9" t="n">
        <v>40</v>
      </c>
      <c r="Z9" t="n">
        <v>42</v>
      </c>
      <c r="AA9" t="n">
        <v>39</v>
      </c>
      <c r="AB9" t="n">
        <v>52</v>
      </c>
      <c r="AC9" t="n">
        <v>62</v>
      </c>
      <c r="AD9" t="n">
        <v>65</v>
      </c>
      <c r="AE9" t="n">
        <v>75</v>
      </c>
      <c r="AF9" t="n">
        <v>80</v>
      </c>
    </row>
    <row r="10">
      <c r="A10" t="s">
        <v>99</v>
      </c>
      <c r="B10" t="s">
        <v>290</v>
      </c>
      <c r="C10" t="s">
        <v>236</v>
      </c>
      <c r="D10" t="s">
        <v>291</v>
      </c>
      <c r="E10" t="s">
        <v>237</v>
      </c>
      <c r="F10" t="n">
        <v>17</v>
      </c>
      <c r="G10" t="n">
        <v>18</v>
      </c>
      <c r="H10" t="n">
        <v>21</v>
      </c>
      <c r="I10" t="n">
        <v>29</v>
      </c>
      <c r="J10" t="n">
        <v>30</v>
      </c>
      <c r="K10" t="n">
        <v>26</v>
      </c>
      <c r="L10" t="n">
        <v>30</v>
      </c>
      <c r="M10" t="n">
        <v>40</v>
      </c>
      <c r="N10" t="n">
        <v>41</v>
      </c>
      <c r="O10" t="n">
        <v>41</v>
      </c>
      <c r="P10" t="n">
        <v>43</v>
      </c>
      <c r="Q10" t="n">
        <v>40</v>
      </c>
      <c r="R10" t="n">
        <v>40</v>
      </c>
      <c r="S10" t="n">
        <v>44</v>
      </c>
      <c r="T10" t="n">
        <v>54</v>
      </c>
      <c r="U10" t="n">
        <v>53</v>
      </c>
      <c r="V10" t="n">
        <v>51</v>
      </c>
      <c r="W10" t="n">
        <v>56</v>
      </c>
      <c r="X10" t="n">
        <v>58</v>
      </c>
      <c r="Y10" t="n">
        <v>55</v>
      </c>
      <c r="Z10" t="n">
        <v>58</v>
      </c>
      <c r="AA10" t="n">
        <v>56</v>
      </c>
      <c r="AB10" t="n">
        <v>68</v>
      </c>
      <c r="AC10" t="n">
        <v>77</v>
      </c>
      <c r="AD10" t="n">
        <v>88</v>
      </c>
      <c r="AE10" t="n">
        <v>96</v>
      </c>
      <c r="AF10" t="n">
        <v>101</v>
      </c>
    </row>
    <row r="11">
      <c r="A11" t="s">
        <v>99</v>
      </c>
      <c r="B11" t="s">
        <v>292</v>
      </c>
      <c r="C11" t="s">
        <v>236</v>
      </c>
      <c r="D11" t="s">
        <v>293</v>
      </c>
      <c r="E11" t="s">
        <v>237</v>
      </c>
      <c r="F11" t="n">
        <v>3</v>
      </c>
      <c r="G11" t="n">
        <v>3</v>
      </c>
      <c r="H11" t="n">
        <v>5</v>
      </c>
      <c r="I11" t="n">
        <v>8</v>
      </c>
      <c r="J11" t="n">
        <v>8</v>
      </c>
      <c r="K11" t="n">
        <v>7</v>
      </c>
      <c r="L11" t="n">
        <v>8</v>
      </c>
      <c r="M11" t="n">
        <v>13</v>
      </c>
      <c r="N11" t="n">
        <v>12</v>
      </c>
      <c r="O11" t="n">
        <v>12</v>
      </c>
      <c r="P11" t="n">
        <v>12</v>
      </c>
      <c r="Q11" t="n">
        <v>11</v>
      </c>
      <c r="R11" t="n">
        <v>10</v>
      </c>
      <c r="S11" t="n">
        <v>10</v>
      </c>
      <c r="T11" t="n">
        <v>10</v>
      </c>
      <c r="U11" t="n">
        <v>11</v>
      </c>
      <c r="V11" t="n">
        <v>13</v>
      </c>
      <c r="W11" t="n">
        <v>14</v>
      </c>
      <c r="X11" t="n">
        <v>15</v>
      </c>
      <c r="Y11" t="n">
        <v>15</v>
      </c>
      <c r="Z11" t="n">
        <v>16</v>
      </c>
      <c r="AA11" t="n">
        <v>17</v>
      </c>
      <c r="AB11" t="n">
        <v>16</v>
      </c>
      <c r="AC11" t="n">
        <v>15</v>
      </c>
      <c r="AD11" t="n">
        <v>23</v>
      </c>
      <c r="AE11" t="n">
        <v>21</v>
      </c>
      <c r="AF11" t="n">
        <v>21</v>
      </c>
    </row>
    <row r="12">
      <c r="A12" t="s">
        <v>99</v>
      </c>
      <c r="B12" t="s">
        <v>294</v>
      </c>
      <c r="C12" t="s">
        <v>236</v>
      </c>
      <c r="D12" t="s">
        <v>295</v>
      </c>
      <c r="E12" t="s">
        <v>237</v>
      </c>
      <c r="F12" t="n">
        <v>34</v>
      </c>
      <c r="G12" t="n">
        <v>33</v>
      </c>
      <c r="H12" t="n">
        <v>41</v>
      </c>
      <c r="I12" t="n">
        <v>45</v>
      </c>
      <c r="J12" t="n">
        <v>51</v>
      </c>
      <c r="K12" t="n">
        <v>57</v>
      </c>
      <c r="L12" t="n">
        <v>55</v>
      </c>
      <c r="M12" t="n">
        <v>46</v>
      </c>
      <c r="N12" t="n">
        <v>41</v>
      </c>
      <c r="O12" t="n">
        <v>46</v>
      </c>
      <c r="P12" t="n">
        <v>45</v>
      </c>
      <c r="Q12" t="n">
        <v>67</v>
      </c>
      <c r="R12" t="n">
        <v>67</v>
      </c>
      <c r="S12" t="n">
        <v>71</v>
      </c>
      <c r="T12" t="n">
        <v>64</v>
      </c>
      <c r="U12" t="n">
        <v>60</v>
      </c>
      <c r="V12" t="n">
        <v>64</v>
      </c>
      <c r="W12" t="n">
        <v>59</v>
      </c>
      <c r="X12" t="n">
        <v>55</v>
      </c>
      <c r="Y12" t="n">
        <v>55</v>
      </c>
      <c r="Z12" t="n">
        <v>55</v>
      </c>
      <c r="AA12" t="n">
        <v>51</v>
      </c>
      <c r="AB12" t="n">
        <v>52</v>
      </c>
      <c r="AC12" t="n">
        <v>62</v>
      </c>
      <c r="AD12" t="n">
        <v>77</v>
      </c>
      <c r="AE12" t="n">
        <v>89</v>
      </c>
      <c r="AF12" t="n">
        <v>96</v>
      </c>
    </row>
    <row r="13">
      <c r="A13" t="s">
        <v>99</v>
      </c>
      <c r="B13" t="s">
        <v>296</v>
      </c>
      <c r="C13" t="s">
        <v>236</v>
      </c>
      <c r="D13" t="s">
        <v>297</v>
      </c>
      <c r="E13" t="s">
        <v>237</v>
      </c>
      <c r="F13" t="n">
        <v>33</v>
      </c>
      <c r="G13" t="n">
        <v>31</v>
      </c>
      <c r="H13" t="n">
        <v>32</v>
      </c>
      <c r="I13" t="n">
        <v>39</v>
      </c>
      <c r="J13" t="n">
        <v>39</v>
      </c>
      <c r="K13" t="n">
        <v>40</v>
      </c>
      <c r="L13" t="n">
        <v>57</v>
      </c>
      <c r="M13" t="n">
        <v>55</v>
      </c>
      <c r="N13" t="n">
        <v>71</v>
      </c>
      <c r="O13" t="n">
        <v>80</v>
      </c>
      <c r="P13" t="n">
        <v>95</v>
      </c>
      <c r="Q13" t="n">
        <v>100</v>
      </c>
      <c r="R13" t="n">
        <v>112</v>
      </c>
      <c r="S13" t="n">
        <v>114</v>
      </c>
      <c r="T13" t="n">
        <v>108</v>
      </c>
      <c r="U13" t="n">
        <v>102</v>
      </c>
      <c r="V13" t="n">
        <v>100</v>
      </c>
      <c r="W13" t="n">
        <v>107</v>
      </c>
      <c r="X13" t="n">
        <v>96</v>
      </c>
      <c r="Y13" t="n">
        <v>112</v>
      </c>
      <c r="Z13" t="n">
        <v>118</v>
      </c>
      <c r="AA13" t="n">
        <v>122</v>
      </c>
      <c r="AB13" t="n">
        <v>132</v>
      </c>
      <c r="AC13" t="n">
        <v>132</v>
      </c>
      <c r="AD13" t="n">
        <v>148</v>
      </c>
      <c r="AE13" t="n">
        <v>162</v>
      </c>
      <c r="AF13" t="n">
        <v>189</v>
      </c>
    </row>
    <row r="14">
      <c r="A14" t="s">
        <v>99</v>
      </c>
      <c r="B14" t="s">
        <v>298</v>
      </c>
      <c r="C14" t="s">
        <v>236</v>
      </c>
      <c r="D14" t="s">
        <v>299</v>
      </c>
      <c r="E14" t="s">
        <v>237</v>
      </c>
      <c r="F14" t="n">
        <v>21</v>
      </c>
      <c r="G14" t="n">
        <v>21</v>
      </c>
      <c r="H14" t="n">
        <v>24</v>
      </c>
      <c r="I14" t="n">
        <v>44</v>
      </c>
      <c r="J14" t="n">
        <v>90</v>
      </c>
      <c r="K14" t="n">
        <v>127</v>
      </c>
      <c r="L14" t="n">
        <v>157</v>
      </c>
      <c r="M14" t="n">
        <v>206</v>
      </c>
      <c r="N14" t="n">
        <v>238</v>
      </c>
      <c r="O14" t="n">
        <v>263</v>
      </c>
      <c r="P14" t="n">
        <v>286</v>
      </c>
      <c r="Q14" t="n">
        <v>356</v>
      </c>
      <c r="R14" t="n">
        <v>404</v>
      </c>
      <c r="S14" t="n">
        <v>466</v>
      </c>
      <c r="T14" t="n">
        <v>509</v>
      </c>
      <c r="U14" t="n">
        <v>566</v>
      </c>
      <c r="V14" t="n">
        <v>641</v>
      </c>
      <c r="W14" t="n">
        <v>669</v>
      </c>
      <c r="X14" t="n">
        <v>648</v>
      </c>
      <c r="Y14" t="n">
        <v>599</v>
      </c>
      <c r="Z14" t="n">
        <v>541</v>
      </c>
      <c r="AA14" t="n">
        <v>481</v>
      </c>
      <c r="AB14" t="n">
        <v>464</v>
      </c>
      <c r="AC14" t="n">
        <v>443</v>
      </c>
      <c r="AD14" t="n">
        <v>429</v>
      </c>
      <c r="AE14" t="n">
        <v>394</v>
      </c>
      <c r="AF14" t="n">
        <v>349</v>
      </c>
    </row>
    <row r="15">
      <c r="A15" t="s">
        <v>99</v>
      </c>
      <c r="B15" t="s">
        <v>300</v>
      </c>
      <c r="C15" t="s">
        <v>236</v>
      </c>
      <c r="D15" t="s">
        <v>301</v>
      </c>
      <c r="E15" t="s">
        <v>237</v>
      </c>
      <c r="F15" t="n">
        <v>49</v>
      </c>
      <c r="G15" t="n">
        <v>52</v>
      </c>
      <c r="H15" t="n">
        <v>55</v>
      </c>
      <c r="I15" t="n">
        <v>77</v>
      </c>
      <c r="J15" t="n">
        <v>125</v>
      </c>
      <c r="K15" t="n">
        <v>160</v>
      </c>
      <c r="L15" t="n">
        <v>188</v>
      </c>
      <c r="M15" t="n">
        <v>229</v>
      </c>
      <c r="N15" t="n">
        <v>267</v>
      </c>
      <c r="O15" t="n">
        <v>293</v>
      </c>
      <c r="P15" t="n">
        <v>317</v>
      </c>
      <c r="Q15" t="n">
        <v>393</v>
      </c>
      <c r="R15" t="n">
        <v>444</v>
      </c>
      <c r="S15" t="n">
        <v>519</v>
      </c>
      <c r="T15" t="n">
        <v>574</v>
      </c>
      <c r="U15" t="n">
        <v>634</v>
      </c>
      <c r="V15" t="n">
        <v>709</v>
      </c>
      <c r="W15" t="n">
        <v>736</v>
      </c>
      <c r="X15" t="n">
        <v>703</v>
      </c>
      <c r="Y15" t="n">
        <v>654</v>
      </c>
      <c r="Z15" t="n">
        <v>589</v>
      </c>
      <c r="AA15" t="n">
        <v>525</v>
      </c>
      <c r="AB15" t="n">
        <v>514</v>
      </c>
      <c r="AC15" t="n">
        <v>499</v>
      </c>
      <c r="AD15" t="n">
        <v>494</v>
      </c>
      <c r="AE15" t="n">
        <v>458</v>
      </c>
      <c r="AF15" t="n">
        <v>415</v>
      </c>
    </row>
    <row r="16">
      <c r="A16" t="s">
        <v>99</v>
      </c>
      <c r="B16" t="s">
        <v>302</v>
      </c>
      <c r="C16" t="s">
        <v>236</v>
      </c>
      <c r="D16" t="s">
        <v>303</v>
      </c>
      <c r="E16" t="s">
        <v>237</v>
      </c>
      <c r="F16" t="n">
        <v>28</v>
      </c>
      <c r="G16" t="n">
        <v>31</v>
      </c>
      <c r="H16" t="n">
        <v>31</v>
      </c>
      <c r="I16" t="n">
        <v>33</v>
      </c>
      <c r="J16" t="n">
        <v>35</v>
      </c>
      <c r="K16" t="n">
        <v>33</v>
      </c>
      <c r="L16" t="n">
        <v>31</v>
      </c>
      <c r="M16" t="n">
        <v>23</v>
      </c>
      <c r="N16" t="n">
        <v>29</v>
      </c>
      <c r="O16" t="n">
        <v>30</v>
      </c>
      <c r="P16" t="n">
        <v>31</v>
      </c>
      <c r="Q16" t="n">
        <v>37</v>
      </c>
      <c r="R16" t="n">
        <v>40</v>
      </c>
      <c r="S16" t="n">
        <v>53</v>
      </c>
      <c r="T16" t="n">
        <v>65</v>
      </c>
      <c r="U16" t="n">
        <v>68</v>
      </c>
      <c r="V16" t="n">
        <v>68</v>
      </c>
      <c r="W16" t="n">
        <v>67</v>
      </c>
      <c r="X16" t="n">
        <v>55</v>
      </c>
      <c r="Y16" t="n">
        <v>55</v>
      </c>
      <c r="Z16" t="n">
        <v>48</v>
      </c>
      <c r="AA16" t="n">
        <v>44</v>
      </c>
      <c r="AB16" t="n">
        <v>50</v>
      </c>
      <c r="AC16" t="n">
        <v>56</v>
      </c>
      <c r="AD16" t="n">
        <v>65</v>
      </c>
      <c r="AE16" t="n">
        <v>64</v>
      </c>
      <c r="AF16" t="n">
        <v>66</v>
      </c>
    </row>
    <row r="17">
      <c r="A17" t="s">
        <v>99</v>
      </c>
      <c r="B17" t="s">
        <v>304</v>
      </c>
      <c r="C17" t="s">
        <v>236</v>
      </c>
      <c r="D17" t="s">
        <v>305</v>
      </c>
      <c r="E17" t="s">
        <v>237</v>
      </c>
      <c r="F17" t="n">
        <v>55</v>
      </c>
      <c r="G17" t="n">
        <v>53</v>
      </c>
      <c r="H17" t="n">
        <v>68</v>
      </c>
      <c r="I17" t="n">
        <v>68</v>
      </c>
      <c r="J17" t="n">
        <v>67</v>
      </c>
      <c r="K17" t="n">
        <v>75</v>
      </c>
      <c r="L17" t="n">
        <v>79</v>
      </c>
      <c r="M17" t="n">
        <v>66</v>
      </c>
      <c r="N17" t="n">
        <v>83</v>
      </c>
      <c r="O17" t="n">
        <v>102</v>
      </c>
      <c r="P17" t="n">
        <v>112</v>
      </c>
      <c r="Q17" t="n">
        <v>114</v>
      </c>
      <c r="R17" t="n">
        <v>133</v>
      </c>
      <c r="S17" t="n">
        <v>146</v>
      </c>
      <c r="T17" t="n">
        <v>185</v>
      </c>
      <c r="U17" t="n">
        <v>210</v>
      </c>
      <c r="V17" t="n">
        <v>217</v>
      </c>
      <c r="W17" t="n">
        <v>225</v>
      </c>
      <c r="X17" t="n">
        <v>247</v>
      </c>
      <c r="Y17" t="n">
        <v>278</v>
      </c>
      <c r="Z17" t="n">
        <v>321</v>
      </c>
      <c r="AA17" t="n">
        <v>315</v>
      </c>
      <c r="AB17" t="n">
        <v>325</v>
      </c>
      <c r="AC17" t="n">
        <v>368</v>
      </c>
      <c r="AD17" t="n">
        <v>364</v>
      </c>
      <c r="AE17" t="n">
        <v>393</v>
      </c>
      <c r="AF17" t="n">
        <v>417</v>
      </c>
    </row>
    <row r="18">
      <c r="A18" t="s">
        <v>99</v>
      </c>
      <c r="B18" t="s">
        <v>306</v>
      </c>
      <c r="C18" t="s">
        <v>236</v>
      </c>
      <c r="D18" t="s">
        <v>307</v>
      </c>
      <c r="E18" t="s">
        <v>237</v>
      </c>
      <c r="F18" t="n">
        <v>12</v>
      </c>
      <c r="G18" t="n">
        <v>12</v>
      </c>
      <c r="H18" t="n">
        <v>13</v>
      </c>
      <c r="I18" t="n">
        <v>27</v>
      </c>
      <c r="J18" t="n">
        <v>24</v>
      </c>
      <c r="K18" t="n">
        <v>22</v>
      </c>
      <c r="L18" t="n">
        <v>23</v>
      </c>
      <c r="M18" t="n">
        <v>17</v>
      </c>
      <c r="N18" t="n">
        <v>18</v>
      </c>
      <c r="O18" t="n">
        <v>18</v>
      </c>
      <c r="P18" t="n">
        <v>17</v>
      </c>
      <c r="Q18" t="n">
        <v>14</v>
      </c>
      <c r="R18" t="n">
        <v>15</v>
      </c>
      <c r="S18" t="n">
        <v>15</v>
      </c>
      <c r="T18" t="n">
        <v>17</v>
      </c>
      <c r="U18" t="n">
        <v>18</v>
      </c>
      <c r="V18" t="n">
        <v>22</v>
      </c>
      <c r="W18" t="n">
        <v>28</v>
      </c>
      <c r="X18" t="n">
        <v>29</v>
      </c>
      <c r="Y18" t="n">
        <v>29</v>
      </c>
      <c r="Z18" t="n">
        <v>26</v>
      </c>
      <c r="AA18" t="n">
        <v>30</v>
      </c>
      <c r="AB18" t="n">
        <v>32</v>
      </c>
      <c r="AC18" t="n">
        <v>33</v>
      </c>
      <c r="AD18" t="n">
        <v>33</v>
      </c>
      <c r="AE18" t="n">
        <v>32</v>
      </c>
      <c r="AF18" t="n">
        <v>35</v>
      </c>
    </row>
    <row r="19">
      <c r="A19" t="s">
        <v>99</v>
      </c>
      <c r="B19" t="s">
        <v>308</v>
      </c>
      <c r="C19" t="s">
        <v>236</v>
      </c>
      <c r="D19" t="s">
        <v>309</v>
      </c>
      <c r="E19" t="s">
        <v>237</v>
      </c>
      <c r="F19" t="n">
        <v>22</v>
      </c>
      <c r="G19" t="n">
        <v>23</v>
      </c>
      <c r="H19" t="n">
        <v>26</v>
      </c>
      <c r="I19" t="n">
        <v>28</v>
      </c>
      <c r="J19" t="n">
        <v>32</v>
      </c>
      <c r="K19" t="n">
        <v>32</v>
      </c>
      <c r="L19" t="n">
        <v>38</v>
      </c>
      <c r="M19" t="n">
        <v>33</v>
      </c>
      <c r="N19" t="n">
        <v>34</v>
      </c>
      <c r="O19" t="n">
        <v>36</v>
      </c>
      <c r="P19" t="n">
        <v>37</v>
      </c>
      <c r="Q19" t="n">
        <v>35</v>
      </c>
      <c r="R19" t="n">
        <v>37</v>
      </c>
      <c r="S19" t="n">
        <v>32</v>
      </c>
      <c r="T19" t="n">
        <v>33</v>
      </c>
      <c r="U19" t="n">
        <v>38</v>
      </c>
      <c r="V19" t="n">
        <v>38</v>
      </c>
      <c r="W19" t="n">
        <v>43</v>
      </c>
      <c r="X19" t="n">
        <v>47</v>
      </c>
      <c r="Y19" t="n">
        <v>48</v>
      </c>
      <c r="Z19" t="n">
        <v>50</v>
      </c>
      <c r="AA19" t="n">
        <v>51</v>
      </c>
      <c r="AB19" t="n">
        <v>47</v>
      </c>
      <c r="AC19" t="n">
        <v>55</v>
      </c>
      <c r="AD19" t="n">
        <v>73</v>
      </c>
      <c r="AE19" t="n">
        <v>89</v>
      </c>
      <c r="AF19" t="n">
        <v>102</v>
      </c>
    </row>
    <row r="20">
      <c r="A20" t="s">
        <v>99</v>
      </c>
      <c r="B20" t="s">
        <v>310</v>
      </c>
      <c r="C20" t="s">
        <v>236</v>
      </c>
      <c r="D20" t="s">
        <v>311</v>
      </c>
      <c r="E20" t="s">
        <v>237</v>
      </c>
      <c r="F20" t="n">
        <v>25</v>
      </c>
      <c r="G20" t="n">
        <v>25</v>
      </c>
      <c r="H20" t="n">
        <v>27</v>
      </c>
      <c r="I20" t="n">
        <v>34</v>
      </c>
      <c r="J20" t="n">
        <v>41</v>
      </c>
      <c r="K20" t="n">
        <v>46</v>
      </c>
      <c r="L20" t="n">
        <v>51</v>
      </c>
      <c r="M20" t="n">
        <v>54</v>
      </c>
      <c r="N20" t="n">
        <v>51</v>
      </c>
      <c r="O20" t="n">
        <v>54</v>
      </c>
      <c r="P20" t="n">
        <v>72</v>
      </c>
      <c r="Q20" t="n">
        <v>78</v>
      </c>
      <c r="R20" t="n">
        <v>84</v>
      </c>
      <c r="S20" t="n">
        <v>90</v>
      </c>
      <c r="T20" t="n">
        <v>101</v>
      </c>
      <c r="U20" t="n">
        <v>105</v>
      </c>
      <c r="V20" t="n">
        <v>121</v>
      </c>
      <c r="W20" t="n">
        <v>133</v>
      </c>
      <c r="X20" t="n">
        <v>156</v>
      </c>
      <c r="Y20" t="n">
        <v>166</v>
      </c>
      <c r="Z20" t="n">
        <v>172</v>
      </c>
      <c r="AA20" t="n">
        <v>183</v>
      </c>
      <c r="AB20" t="n">
        <v>186</v>
      </c>
      <c r="AC20" t="n">
        <v>206</v>
      </c>
      <c r="AD20" t="n">
        <v>219</v>
      </c>
      <c r="AE20" t="n">
        <v>230</v>
      </c>
      <c r="AF20" t="n">
        <v>256</v>
      </c>
    </row>
    <row r="21">
      <c r="A21" t="s">
        <v>99</v>
      </c>
      <c r="B21" t="s">
        <v>312</v>
      </c>
      <c r="C21" t="s">
        <v>236</v>
      </c>
      <c r="D21" t="s">
        <v>313</v>
      </c>
      <c r="E21" t="s">
        <v>237</v>
      </c>
      <c r="F21" t="n">
        <v>26</v>
      </c>
      <c r="G21" t="n">
        <v>25</v>
      </c>
      <c r="H21" t="n">
        <v>27</v>
      </c>
      <c r="I21" t="n">
        <v>34</v>
      </c>
      <c r="J21" t="n">
        <v>42</v>
      </c>
      <c r="K21" t="n">
        <v>47</v>
      </c>
      <c r="L21" t="n">
        <v>54</v>
      </c>
      <c r="M21" t="n">
        <v>56</v>
      </c>
      <c r="N21" t="n">
        <v>55</v>
      </c>
      <c r="O21" t="n">
        <v>57</v>
      </c>
      <c r="P21" t="n">
        <v>77</v>
      </c>
      <c r="Q21" t="n">
        <v>83</v>
      </c>
      <c r="R21" t="n">
        <v>89</v>
      </c>
      <c r="S21" t="n">
        <v>96</v>
      </c>
      <c r="T21" t="n">
        <v>107</v>
      </c>
      <c r="U21" t="n">
        <v>114</v>
      </c>
      <c r="V21" t="n">
        <v>128</v>
      </c>
      <c r="W21" t="n">
        <v>139</v>
      </c>
      <c r="X21" t="n">
        <v>165</v>
      </c>
      <c r="Y21" t="n">
        <v>181</v>
      </c>
      <c r="Z21" t="n">
        <v>189</v>
      </c>
      <c r="AA21" t="n">
        <v>200</v>
      </c>
      <c r="AB21" t="n">
        <v>205</v>
      </c>
      <c r="AC21" t="n">
        <v>224</v>
      </c>
      <c r="AD21" t="n">
        <v>241</v>
      </c>
      <c r="AE21" t="n">
        <v>250</v>
      </c>
      <c r="AF21" t="n">
        <v>276</v>
      </c>
    </row>
    <row r="22">
      <c r="A22" t="s">
        <v>99</v>
      </c>
      <c r="B22" t="s">
        <v>314</v>
      </c>
      <c r="C22" t="s">
        <v>236</v>
      </c>
      <c r="D22" t="s">
        <v>315</v>
      </c>
      <c r="E22" t="s">
        <v>237</v>
      </c>
      <c r="F22" t="n">
        <v>1</v>
      </c>
      <c r="G22" t="n">
        <v>0</v>
      </c>
      <c r="H22" t="n">
        <v>0</v>
      </c>
      <c r="I22" t="n">
        <v>0</v>
      </c>
      <c r="J22" t="n">
        <v>1</v>
      </c>
      <c r="K22" t="n">
        <v>1</v>
      </c>
      <c r="L22" t="n">
        <v>3</v>
      </c>
      <c r="M22" t="n">
        <v>2</v>
      </c>
      <c r="N22" t="n">
        <v>4</v>
      </c>
      <c r="O22" t="n">
        <v>3</v>
      </c>
      <c r="P22" t="n">
        <v>5</v>
      </c>
      <c r="Q22" t="n">
        <v>5</v>
      </c>
      <c r="R22" t="n">
        <v>5</v>
      </c>
      <c r="S22" t="n">
        <v>6</v>
      </c>
      <c r="T22" t="n">
        <v>6</v>
      </c>
      <c r="U22" t="n">
        <v>9</v>
      </c>
      <c r="V22" t="n">
        <v>7</v>
      </c>
      <c r="W22" t="n">
        <v>6</v>
      </c>
      <c r="X22" t="n">
        <v>9</v>
      </c>
      <c r="Y22" t="n">
        <v>15</v>
      </c>
      <c r="Z22" t="n">
        <v>17</v>
      </c>
      <c r="AA22" t="n">
        <v>17</v>
      </c>
      <c r="AB22" t="n">
        <v>19</v>
      </c>
      <c r="AC22" t="n">
        <v>18</v>
      </c>
      <c r="AD22" t="n">
        <v>22</v>
      </c>
      <c r="AE22" t="n">
        <v>20</v>
      </c>
      <c r="AF22" t="n">
        <v>20</v>
      </c>
    </row>
    <row r="23">
      <c r="A23" t="s">
        <v>99</v>
      </c>
      <c r="B23" t="s">
        <v>316</v>
      </c>
      <c r="C23" t="s">
        <v>236</v>
      </c>
      <c r="D23" t="s">
        <v>317</v>
      </c>
      <c r="E23" t="s">
        <v>237</v>
      </c>
      <c r="F23" t="n">
        <v>31</v>
      </c>
      <c r="G23" t="n">
        <v>31</v>
      </c>
      <c r="H23" t="n">
        <v>34</v>
      </c>
      <c r="I23" t="n">
        <v>40</v>
      </c>
      <c r="J23" t="n">
        <v>45</v>
      </c>
      <c r="K23" t="n">
        <v>50</v>
      </c>
      <c r="L23" t="n">
        <v>55</v>
      </c>
      <c r="M23" t="n">
        <v>59</v>
      </c>
      <c r="N23" t="n">
        <v>64</v>
      </c>
      <c r="O23" t="n">
        <v>68</v>
      </c>
      <c r="P23" t="n">
        <v>75</v>
      </c>
      <c r="Q23" t="n">
        <v>80</v>
      </c>
      <c r="R23" t="n">
        <v>70</v>
      </c>
      <c r="S23" t="n">
        <v>91</v>
      </c>
      <c r="T23" t="n">
        <v>83</v>
      </c>
      <c r="U23" t="n">
        <v>85</v>
      </c>
      <c r="V23" t="n">
        <v>76</v>
      </c>
      <c r="W23" t="n">
        <v>92</v>
      </c>
      <c r="X23" t="n">
        <v>96</v>
      </c>
      <c r="Y23" t="n">
        <v>119</v>
      </c>
      <c r="Z23" t="n">
        <v>141</v>
      </c>
      <c r="AA23" t="n">
        <v>159</v>
      </c>
      <c r="AB23" t="n">
        <v>202</v>
      </c>
      <c r="AC23" t="n">
        <v>198</v>
      </c>
      <c r="AD23" t="n">
        <v>212</v>
      </c>
      <c r="AE23" t="n">
        <v>212</v>
      </c>
      <c r="AF23" t="n">
        <v>212</v>
      </c>
    </row>
    <row r="24">
      <c r="A24" t="s">
        <v>99</v>
      </c>
      <c r="B24" t="s">
        <v>318</v>
      </c>
      <c r="C24" t="s">
        <v>236</v>
      </c>
      <c r="D24" t="s">
        <v>319</v>
      </c>
      <c r="E24" t="s">
        <v>237</v>
      </c>
      <c r="F24" t="n">
        <v>56</v>
      </c>
      <c r="G24" t="n">
        <v>64</v>
      </c>
      <c r="H24" t="n">
        <v>77</v>
      </c>
      <c r="I24" t="n">
        <v>103</v>
      </c>
      <c r="J24" t="n">
        <v>134</v>
      </c>
      <c r="K24" t="n">
        <v>175</v>
      </c>
      <c r="L24" t="n">
        <v>220</v>
      </c>
      <c r="M24" t="n">
        <v>267</v>
      </c>
      <c r="N24" t="n">
        <v>358</v>
      </c>
      <c r="O24" t="n">
        <v>409</v>
      </c>
      <c r="P24" t="n">
        <v>433</v>
      </c>
      <c r="Q24" t="n">
        <v>432</v>
      </c>
      <c r="R24" t="n">
        <v>431</v>
      </c>
      <c r="S24" t="n">
        <v>465</v>
      </c>
      <c r="T24" t="n">
        <v>470</v>
      </c>
      <c r="U24" t="n">
        <v>460</v>
      </c>
      <c r="V24" t="n">
        <v>479</v>
      </c>
      <c r="W24" t="n">
        <v>558</v>
      </c>
      <c r="X24" t="n">
        <v>644</v>
      </c>
      <c r="Y24" t="n">
        <v>737</v>
      </c>
      <c r="Z24" t="n">
        <v>750</v>
      </c>
      <c r="AA24" t="n">
        <v>740</v>
      </c>
      <c r="AB24" t="n">
        <v>750</v>
      </c>
      <c r="AC24" t="n">
        <v>790</v>
      </c>
      <c r="AD24" t="n">
        <v>804</v>
      </c>
      <c r="AE24" t="n">
        <v>866</v>
      </c>
      <c r="AF24" t="n">
        <v>904</v>
      </c>
    </row>
    <row r="25">
      <c r="A25" t="s">
        <v>99</v>
      </c>
      <c r="B25" t="s">
        <v>320</v>
      </c>
      <c r="C25" t="s">
        <v>236</v>
      </c>
      <c r="D25" t="s">
        <v>321</v>
      </c>
      <c r="E25" t="s">
        <v>237</v>
      </c>
      <c r="F25" t="n">
        <v>10</v>
      </c>
      <c r="G25" t="n">
        <v>10</v>
      </c>
      <c r="H25" t="n">
        <v>11</v>
      </c>
      <c r="I25" t="n">
        <v>14</v>
      </c>
      <c r="J25" t="n">
        <v>18</v>
      </c>
      <c r="K25" t="n">
        <v>19</v>
      </c>
      <c r="L25" t="n">
        <v>21</v>
      </c>
      <c r="M25" t="n">
        <v>23</v>
      </c>
      <c r="N25" t="n">
        <v>26</v>
      </c>
      <c r="O25" t="n">
        <v>28</v>
      </c>
      <c r="P25" t="n">
        <v>28</v>
      </c>
      <c r="Q25" t="n">
        <v>28</v>
      </c>
      <c r="R25" t="n">
        <v>32</v>
      </c>
      <c r="S25" t="n">
        <v>37</v>
      </c>
      <c r="T25" t="n">
        <v>39</v>
      </c>
      <c r="U25" t="n">
        <v>41</v>
      </c>
      <c r="V25" t="n">
        <v>38</v>
      </c>
      <c r="W25" t="n">
        <v>43</v>
      </c>
      <c r="X25" t="n">
        <v>44</v>
      </c>
      <c r="Y25" t="n">
        <v>49</v>
      </c>
      <c r="Z25" t="n">
        <v>48</v>
      </c>
      <c r="AA25" t="n">
        <v>50</v>
      </c>
      <c r="AB25" t="n">
        <v>52</v>
      </c>
      <c r="AC25" t="n">
        <v>66</v>
      </c>
      <c r="AD25" t="n">
        <v>71</v>
      </c>
      <c r="AE25" t="n">
        <v>79</v>
      </c>
      <c r="AF25" t="n">
        <v>79</v>
      </c>
    </row>
    <row r="26">
      <c r="A26" t="s">
        <v>99</v>
      </c>
      <c r="B26" t="s">
        <v>322</v>
      </c>
      <c r="C26" t="s">
        <v>236</v>
      </c>
      <c r="D26" t="s">
        <v>323</v>
      </c>
      <c r="E26" t="s">
        <v>237</v>
      </c>
      <c r="F26" t="n">
        <v>37</v>
      </c>
      <c r="G26" t="n">
        <v>43</v>
      </c>
      <c r="H26" t="n">
        <v>52</v>
      </c>
      <c r="I26" t="n">
        <v>70</v>
      </c>
      <c r="J26" t="n">
        <v>92</v>
      </c>
      <c r="K26" t="n">
        <v>124</v>
      </c>
      <c r="L26" t="n">
        <v>159</v>
      </c>
      <c r="M26" t="n">
        <v>195</v>
      </c>
      <c r="N26" t="n">
        <v>271</v>
      </c>
      <c r="O26" t="n">
        <v>311</v>
      </c>
      <c r="P26" t="n">
        <v>325</v>
      </c>
      <c r="Q26" t="n">
        <v>318</v>
      </c>
      <c r="R26" t="n">
        <v>303</v>
      </c>
      <c r="S26" t="n">
        <v>320</v>
      </c>
      <c r="T26" t="n">
        <v>327</v>
      </c>
      <c r="U26" t="n">
        <v>310</v>
      </c>
      <c r="V26" t="n">
        <v>330</v>
      </c>
      <c r="W26" t="n">
        <v>381</v>
      </c>
      <c r="X26" t="n">
        <v>429</v>
      </c>
      <c r="Y26" t="n">
        <v>472</v>
      </c>
      <c r="Z26" t="n">
        <v>500</v>
      </c>
      <c r="AA26" t="n">
        <v>487</v>
      </c>
      <c r="AB26" t="n">
        <v>507</v>
      </c>
      <c r="AC26" t="n">
        <v>526</v>
      </c>
      <c r="AD26" t="n">
        <v>516</v>
      </c>
      <c r="AE26" t="n">
        <v>555</v>
      </c>
      <c r="AF26" t="n">
        <v>567</v>
      </c>
    </row>
    <row r="27">
      <c r="A27" t="s">
        <v>99</v>
      </c>
      <c r="B27" t="s">
        <v>324</v>
      </c>
      <c r="C27" t="s">
        <v>236</v>
      </c>
      <c r="D27" t="s">
        <v>325</v>
      </c>
      <c r="E27" t="s">
        <v>237</v>
      </c>
      <c r="F27" t="n">
        <v>9</v>
      </c>
      <c r="G27" t="n">
        <v>11</v>
      </c>
      <c r="H27" t="n">
        <v>14</v>
      </c>
      <c r="I27" t="n">
        <v>19</v>
      </c>
      <c r="J27" t="n">
        <v>24</v>
      </c>
      <c r="K27" t="n">
        <v>32</v>
      </c>
      <c r="L27" t="n">
        <v>40</v>
      </c>
      <c r="M27" t="n">
        <v>49</v>
      </c>
      <c r="N27" t="n">
        <v>61</v>
      </c>
      <c r="O27" t="n">
        <v>70</v>
      </c>
      <c r="P27" t="n">
        <v>80</v>
      </c>
      <c r="Q27" t="n">
        <v>86</v>
      </c>
      <c r="R27" t="n">
        <v>96</v>
      </c>
      <c r="S27" t="n">
        <v>108</v>
      </c>
      <c r="T27" t="n">
        <v>104</v>
      </c>
      <c r="U27" t="n">
        <v>109</v>
      </c>
      <c r="V27" t="n">
        <v>111</v>
      </c>
      <c r="W27" t="n">
        <v>134</v>
      </c>
      <c r="X27" t="n">
        <v>171</v>
      </c>
      <c r="Y27" t="n">
        <v>216</v>
      </c>
      <c r="Z27" t="n">
        <v>202</v>
      </c>
      <c r="AA27" t="n">
        <v>203</v>
      </c>
      <c r="AB27" t="n">
        <v>191</v>
      </c>
      <c r="AC27" t="n">
        <v>198</v>
      </c>
      <c r="AD27" t="n">
        <v>217</v>
      </c>
      <c r="AE27" t="n">
        <v>232</v>
      </c>
      <c r="AF27" t="n">
        <v>258</v>
      </c>
    </row>
    <row r="28">
      <c r="A28" t="s">
        <v>99</v>
      </c>
      <c r="B28" t="s">
        <v>326</v>
      </c>
      <c r="C28" t="s">
        <v>236</v>
      </c>
      <c r="D28" t="s">
        <v>327</v>
      </c>
      <c r="E28" t="s">
        <v>237</v>
      </c>
      <c r="F28" t="n">
        <v>94</v>
      </c>
      <c r="G28" t="n">
        <v>105</v>
      </c>
      <c r="H28" t="n">
        <v>120</v>
      </c>
      <c r="I28" t="n">
        <v>142</v>
      </c>
      <c r="J28" t="n">
        <v>162</v>
      </c>
      <c r="K28" t="n">
        <v>174</v>
      </c>
      <c r="L28" t="n">
        <v>175</v>
      </c>
      <c r="M28" t="n">
        <v>165</v>
      </c>
      <c r="N28" t="n">
        <v>159</v>
      </c>
      <c r="O28" t="n">
        <v>178</v>
      </c>
      <c r="P28" t="n">
        <v>176</v>
      </c>
      <c r="Q28" t="n">
        <v>183</v>
      </c>
      <c r="R28" t="n">
        <v>176</v>
      </c>
      <c r="S28" t="n">
        <v>174</v>
      </c>
      <c r="T28" t="n">
        <v>205</v>
      </c>
      <c r="U28" t="n">
        <v>191</v>
      </c>
      <c r="V28" t="n">
        <v>190</v>
      </c>
      <c r="W28" t="n">
        <v>200</v>
      </c>
      <c r="X28" t="n">
        <v>191</v>
      </c>
      <c r="Y28" t="n">
        <v>198</v>
      </c>
      <c r="Z28" t="n">
        <v>203</v>
      </c>
      <c r="AA28" t="n">
        <v>216</v>
      </c>
      <c r="AB28" t="n">
        <v>245</v>
      </c>
      <c r="AC28" t="n">
        <v>264</v>
      </c>
      <c r="AD28" t="n">
        <v>282</v>
      </c>
      <c r="AE28" t="n">
        <v>304</v>
      </c>
      <c r="AF28" t="n">
        <v>304</v>
      </c>
    </row>
    <row r="29">
      <c r="A29" t="s">
        <v>99</v>
      </c>
      <c r="B29" t="s">
        <v>328</v>
      </c>
      <c r="C29" t="s">
        <v>236</v>
      </c>
      <c r="D29" t="s">
        <v>329</v>
      </c>
      <c r="E29" t="s">
        <v>237</v>
      </c>
      <c r="F29" t="n">
        <v>17</v>
      </c>
      <c r="G29" t="n">
        <v>16</v>
      </c>
      <c r="H29" t="n">
        <v>19</v>
      </c>
      <c r="I29" t="n">
        <v>18</v>
      </c>
      <c r="J29" t="n">
        <v>18</v>
      </c>
      <c r="K29" t="n">
        <v>19</v>
      </c>
      <c r="L29" t="n">
        <v>22</v>
      </c>
      <c r="M29" t="n">
        <v>23</v>
      </c>
      <c r="N29" t="n">
        <v>23</v>
      </c>
      <c r="O29" t="n">
        <v>27</v>
      </c>
      <c r="P29" t="n">
        <v>26</v>
      </c>
      <c r="Q29" t="n">
        <v>31</v>
      </c>
      <c r="R29" t="n">
        <v>33</v>
      </c>
      <c r="S29" t="n">
        <v>30</v>
      </c>
      <c r="T29" t="n">
        <v>53</v>
      </c>
      <c r="U29" t="n">
        <v>48</v>
      </c>
      <c r="V29" t="n">
        <v>37</v>
      </c>
      <c r="W29" t="n">
        <v>31</v>
      </c>
      <c r="X29" t="n">
        <v>28</v>
      </c>
      <c r="Y29" t="n">
        <v>37</v>
      </c>
      <c r="Z29" t="n">
        <v>35</v>
      </c>
      <c r="AA29" t="n">
        <v>37</v>
      </c>
      <c r="AB29" t="n">
        <v>57</v>
      </c>
      <c r="AC29" t="n">
        <v>61</v>
      </c>
      <c r="AD29" t="n">
        <v>64</v>
      </c>
      <c r="AE29" t="n">
        <v>65</v>
      </c>
      <c r="AF29" t="n">
        <v>60</v>
      </c>
    </row>
    <row r="30">
      <c r="A30" t="s">
        <v>99</v>
      </c>
      <c r="B30" t="s">
        <v>330</v>
      </c>
      <c r="C30" t="s">
        <v>236</v>
      </c>
      <c r="D30" t="s">
        <v>331</v>
      </c>
      <c r="E30" t="s">
        <v>237</v>
      </c>
      <c r="F30" t="n">
        <v>4</v>
      </c>
      <c r="G30" t="n">
        <v>4</v>
      </c>
      <c r="H30" t="n">
        <v>5</v>
      </c>
      <c r="I30" t="n">
        <v>5</v>
      </c>
      <c r="J30" t="n">
        <v>6</v>
      </c>
      <c r="K30" t="n">
        <v>7</v>
      </c>
      <c r="L30" t="n">
        <v>8</v>
      </c>
      <c r="M30" t="n">
        <v>9</v>
      </c>
      <c r="N30" t="n">
        <v>9</v>
      </c>
      <c r="O30" t="n">
        <v>10</v>
      </c>
      <c r="P30" t="n">
        <v>11</v>
      </c>
      <c r="Q30" t="n">
        <v>11</v>
      </c>
      <c r="R30" t="n">
        <v>11</v>
      </c>
      <c r="S30" t="n">
        <v>13</v>
      </c>
      <c r="T30" t="n">
        <v>13</v>
      </c>
      <c r="U30" t="n">
        <v>13</v>
      </c>
      <c r="V30" t="n">
        <v>11</v>
      </c>
      <c r="W30" t="n">
        <v>10</v>
      </c>
      <c r="X30" t="n">
        <v>9</v>
      </c>
      <c r="Y30" t="n">
        <v>9</v>
      </c>
      <c r="Z30" t="n">
        <v>10</v>
      </c>
      <c r="AA30" t="n">
        <v>10</v>
      </c>
      <c r="AB30" t="n">
        <v>10</v>
      </c>
      <c r="AC30" t="n">
        <v>11</v>
      </c>
      <c r="AD30" t="n">
        <v>10</v>
      </c>
      <c r="AE30" t="n">
        <v>10</v>
      </c>
      <c r="AF30" t="n">
        <v>9</v>
      </c>
    </row>
    <row r="31">
      <c r="A31" t="s">
        <v>99</v>
      </c>
      <c r="B31" t="s">
        <v>332</v>
      </c>
      <c r="C31" t="s">
        <v>236</v>
      </c>
      <c r="D31" t="s">
        <v>333</v>
      </c>
      <c r="E31" t="s">
        <v>237</v>
      </c>
      <c r="F31" t="n">
        <v>28</v>
      </c>
      <c r="G31" t="n">
        <v>28</v>
      </c>
      <c r="H31" t="n">
        <v>29</v>
      </c>
      <c r="I31" t="n">
        <v>34</v>
      </c>
      <c r="J31" t="n">
        <v>39</v>
      </c>
      <c r="K31" t="n">
        <v>44</v>
      </c>
      <c r="L31" t="n">
        <v>49</v>
      </c>
      <c r="M31" t="n">
        <v>51</v>
      </c>
      <c r="N31" t="n">
        <v>52</v>
      </c>
      <c r="O31" t="n">
        <v>67</v>
      </c>
      <c r="P31" t="n">
        <v>67</v>
      </c>
      <c r="Q31" t="n">
        <v>67</v>
      </c>
      <c r="R31" t="n">
        <v>62</v>
      </c>
      <c r="S31" t="n">
        <v>56</v>
      </c>
      <c r="T31" t="n">
        <v>52</v>
      </c>
      <c r="U31" t="n">
        <v>42</v>
      </c>
      <c r="V31" t="n">
        <v>37</v>
      </c>
      <c r="W31" t="n">
        <v>37</v>
      </c>
      <c r="X31" t="n">
        <v>36</v>
      </c>
      <c r="Y31" t="n">
        <v>34</v>
      </c>
      <c r="Z31" t="n">
        <v>45</v>
      </c>
      <c r="AA31" t="n">
        <v>60</v>
      </c>
      <c r="AB31" t="n">
        <v>63</v>
      </c>
      <c r="AC31" t="n">
        <v>74</v>
      </c>
      <c r="AD31" t="n">
        <v>79</v>
      </c>
      <c r="AE31" t="n">
        <v>70</v>
      </c>
      <c r="AF31" t="n">
        <v>60</v>
      </c>
    </row>
    <row r="32">
      <c r="A32" t="s">
        <v>99</v>
      </c>
      <c r="B32" t="s">
        <v>334</v>
      </c>
      <c r="C32" t="s">
        <v>236</v>
      </c>
      <c r="D32" t="s">
        <v>335</v>
      </c>
      <c r="E32" t="s">
        <v>237</v>
      </c>
      <c r="F32" t="n">
        <v>16</v>
      </c>
      <c r="G32" t="n">
        <v>16</v>
      </c>
      <c r="H32" t="n">
        <v>15</v>
      </c>
      <c r="I32" t="n">
        <v>20</v>
      </c>
      <c r="J32" t="n">
        <v>23</v>
      </c>
      <c r="K32" t="n">
        <v>28</v>
      </c>
      <c r="L32" t="n">
        <v>30</v>
      </c>
      <c r="M32" t="n">
        <v>33</v>
      </c>
      <c r="N32" t="n">
        <v>32</v>
      </c>
      <c r="O32" t="n">
        <v>35</v>
      </c>
      <c r="P32" t="n">
        <v>36</v>
      </c>
      <c r="Q32" t="n">
        <v>38</v>
      </c>
      <c r="R32" t="n">
        <v>37</v>
      </c>
      <c r="S32" t="n">
        <v>41</v>
      </c>
      <c r="T32" t="n">
        <v>49</v>
      </c>
      <c r="U32" t="n">
        <v>48</v>
      </c>
      <c r="V32" t="n">
        <v>61</v>
      </c>
      <c r="W32" t="n">
        <v>66</v>
      </c>
      <c r="X32" t="n">
        <v>59</v>
      </c>
      <c r="Y32" t="n">
        <v>57</v>
      </c>
      <c r="Z32" t="n">
        <v>55</v>
      </c>
      <c r="AA32" t="n">
        <v>62</v>
      </c>
      <c r="AB32" t="n">
        <v>79</v>
      </c>
      <c r="AC32" t="n">
        <v>78</v>
      </c>
      <c r="AD32" t="n">
        <v>92</v>
      </c>
      <c r="AE32" t="n">
        <v>115</v>
      </c>
      <c r="AF32" t="n">
        <v>120</v>
      </c>
    </row>
    <row r="33">
      <c r="A33" t="s">
        <v>99</v>
      </c>
      <c r="B33" t="s">
        <v>336</v>
      </c>
      <c r="C33" t="s">
        <v>236</v>
      </c>
      <c r="D33" t="s">
        <v>337</v>
      </c>
      <c r="E33" t="s">
        <v>237</v>
      </c>
      <c r="F33" t="n">
        <v>29</v>
      </c>
      <c r="G33" t="n">
        <v>41</v>
      </c>
      <c r="H33" t="n">
        <v>52</v>
      </c>
      <c r="I33" t="n">
        <v>65</v>
      </c>
      <c r="J33" t="n">
        <v>76</v>
      </c>
      <c r="K33" t="n">
        <v>76</v>
      </c>
      <c r="L33" t="n">
        <v>66</v>
      </c>
      <c r="M33" t="n">
        <v>49</v>
      </c>
      <c r="N33" t="n">
        <v>43</v>
      </c>
      <c r="O33" t="n">
        <v>39</v>
      </c>
      <c r="P33" t="n">
        <v>36</v>
      </c>
      <c r="Q33" t="n">
        <v>36</v>
      </c>
      <c r="R33" t="n">
        <v>33</v>
      </c>
      <c r="S33" t="n">
        <v>34</v>
      </c>
      <c r="T33" t="n">
        <v>38</v>
      </c>
      <c r="U33" t="n">
        <v>40</v>
      </c>
      <c r="V33" t="n">
        <v>44</v>
      </c>
      <c r="W33" t="n">
        <v>56</v>
      </c>
      <c r="X33" t="n">
        <v>59</v>
      </c>
      <c r="Y33" t="n">
        <v>61</v>
      </c>
      <c r="Z33" t="n">
        <v>58</v>
      </c>
      <c r="AA33" t="n">
        <v>47</v>
      </c>
      <c r="AB33" t="n">
        <v>36</v>
      </c>
      <c r="AC33" t="n">
        <v>40</v>
      </c>
      <c r="AD33" t="n">
        <v>37</v>
      </c>
      <c r="AE33" t="n">
        <v>44</v>
      </c>
      <c r="AF33" t="n">
        <v>55</v>
      </c>
    </row>
    <row r="34">
      <c r="A34" t="s">
        <v>99</v>
      </c>
      <c r="B34" t="s">
        <v>338</v>
      </c>
      <c r="C34" t="s">
        <v>236</v>
      </c>
      <c r="D34" t="s">
        <v>339</v>
      </c>
      <c r="E34" t="s">
        <v>237</v>
      </c>
      <c r="F34" t="n">
        <v>7</v>
      </c>
      <c r="G34" t="n">
        <v>6</v>
      </c>
      <c r="H34" t="n">
        <v>7</v>
      </c>
      <c r="I34" t="n">
        <v>8</v>
      </c>
      <c r="J34" t="n">
        <v>9</v>
      </c>
      <c r="K34" t="n">
        <v>12</v>
      </c>
      <c r="L34" t="n">
        <v>13</v>
      </c>
      <c r="M34" t="n">
        <v>14</v>
      </c>
      <c r="N34" t="n">
        <v>15</v>
      </c>
      <c r="O34" t="n">
        <v>17</v>
      </c>
      <c r="P34" t="n">
        <v>17</v>
      </c>
      <c r="Q34" t="n">
        <v>17</v>
      </c>
      <c r="R34" t="n">
        <v>20</v>
      </c>
      <c r="S34" t="n">
        <v>23</v>
      </c>
      <c r="T34" t="n">
        <v>27</v>
      </c>
      <c r="U34" t="n">
        <v>33</v>
      </c>
      <c r="V34" t="n">
        <v>36</v>
      </c>
      <c r="W34" t="n">
        <v>40</v>
      </c>
      <c r="X34" t="n">
        <v>43</v>
      </c>
      <c r="Y34" t="n">
        <v>42</v>
      </c>
      <c r="Z34" t="n">
        <v>42</v>
      </c>
      <c r="AA34" t="n">
        <v>45</v>
      </c>
      <c r="AB34" t="n">
        <v>47</v>
      </c>
      <c r="AC34" t="n">
        <v>49</v>
      </c>
      <c r="AD34" t="n">
        <v>58</v>
      </c>
      <c r="AE34" t="n">
        <v>57</v>
      </c>
      <c r="AF34" t="n">
        <v>59</v>
      </c>
    </row>
    <row r="35">
      <c r="A35" t="s">
        <v>99</v>
      </c>
      <c r="B35" t="s">
        <v>340</v>
      </c>
      <c r="C35" t="s">
        <v>236</v>
      </c>
      <c r="D35" t="s">
        <v>341</v>
      </c>
      <c r="E35" t="s">
        <v>237</v>
      </c>
      <c r="F35" t="n">
        <v>276</v>
      </c>
      <c r="G35" t="n">
        <v>291</v>
      </c>
      <c r="H35" t="n">
        <v>308</v>
      </c>
      <c r="I35" t="n">
        <v>348</v>
      </c>
      <c r="J35" t="n">
        <v>399</v>
      </c>
      <c r="K35" t="n">
        <v>468</v>
      </c>
      <c r="L35" t="n">
        <v>531</v>
      </c>
      <c r="M35" t="n">
        <v>547</v>
      </c>
      <c r="N35" t="n">
        <v>623</v>
      </c>
      <c r="O35" t="n">
        <v>634</v>
      </c>
      <c r="P35" t="n">
        <v>711</v>
      </c>
      <c r="Q35" t="n">
        <v>774</v>
      </c>
      <c r="R35" t="n">
        <v>859</v>
      </c>
      <c r="S35" t="n">
        <v>879</v>
      </c>
      <c r="T35" t="n">
        <v>884</v>
      </c>
      <c r="U35" t="n">
        <v>865</v>
      </c>
      <c r="V35" t="n">
        <v>839</v>
      </c>
      <c r="W35" t="n">
        <v>804</v>
      </c>
      <c r="X35" t="n">
        <v>855</v>
      </c>
      <c r="Y35" t="n">
        <v>923</v>
      </c>
      <c r="Z35" t="n">
        <v>983</v>
      </c>
      <c r="AA35" t="n">
        <v>1042</v>
      </c>
      <c r="AB35" t="n">
        <v>1075</v>
      </c>
      <c r="AC35" t="n">
        <v>1235</v>
      </c>
      <c r="AD35" t="n">
        <v>1343</v>
      </c>
      <c r="AE35" t="n">
        <v>1374</v>
      </c>
      <c r="AF35" t="n">
        <v>1482</v>
      </c>
    </row>
    <row r="36">
      <c r="A36" t="s">
        <v>99</v>
      </c>
      <c r="B36" t="s">
        <v>342</v>
      </c>
      <c r="C36" t="s">
        <v>236</v>
      </c>
      <c r="D36" t="s">
        <v>343</v>
      </c>
      <c r="E36" t="s">
        <v>237</v>
      </c>
      <c r="F36" t="n">
        <v>48</v>
      </c>
      <c r="G36" t="n">
        <v>54</v>
      </c>
      <c r="H36" t="n">
        <v>55</v>
      </c>
      <c r="I36" t="n">
        <v>59</v>
      </c>
      <c r="J36" t="n">
        <v>70</v>
      </c>
      <c r="K36" t="n">
        <v>76</v>
      </c>
      <c r="L36" t="n">
        <v>87</v>
      </c>
      <c r="M36" t="n">
        <v>78</v>
      </c>
      <c r="N36" t="n">
        <v>81</v>
      </c>
      <c r="O36" t="n">
        <v>97</v>
      </c>
      <c r="P36" t="n">
        <v>105</v>
      </c>
      <c r="Q36" t="n">
        <v>106</v>
      </c>
      <c r="R36" t="n">
        <v>132</v>
      </c>
      <c r="S36" t="n">
        <v>138</v>
      </c>
      <c r="T36" t="n">
        <v>162</v>
      </c>
      <c r="U36" t="n">
        <v>180</v>
      </c>
      <c r="V36" t="n">
        <v>190</v>
      </c>
      <c r="W36" t="n">
        <v>204</v>
      </c>
      <c r="X36" t="n">
        <v>202</v>
      </c>
      <c r="Y36" t="n">
        <v>203</v>
      </c>
      <c r="Z36" t="n">
        <v>210</v>
      </c>
      <c r="AA36" t="n">
        <v>220</v>
      </c>
      <c r="AB36" t="n">
        <v>221</v>
      </c>
      <c r="AC36" t="n">
        <v>244</v>
      </c>
      <c r="AD36" t="n">
        <v>253</v>
      </c>
      <c r="AE36" t="n">
        <v>265</v>
      </c>
      <c r="AF36" t="n">
        <v>285</v>
      </c>
    </row>
    <row r="37">
      <c r="A37" t="s">
        <v>99</v>
      </c>
      <c r="B37" t="s">
        <v>344</v>
      </c>
      <c r="C37" t="s">
        <v>236</v>
      </c>
      <c r="D37" t="s">
        <v>345</v>
      </c>
      <c r="E37" t="s">
        <v>237</v>
      </c>
      <c r="F37" t="n">
        <v>92</v>
      </c>
      <c r="G37" t="n">
        <v>90</v>
      </c>
      <c r="H37" t="n">
        <v>93</v>
      </c>
      <c r="I37" t="n">
        <v>105</v>
      </c>
      <c r="J37" t="n">
        <v>117</v>
      </c>
      <c r="K37" t="n">
        <v>146</v>
      </c>
      <c r="L37" t="n">
        <v>164</v>
      </c>
      <c r="M37" t="n">
        <v>174</v>
      </c>
      <c r="N37" t="n">
        <v>236</v>
      </c>
      <c r="O37" t="n">
        <v>206</v>
      </c>
      <c r="P37" t="n">
        <v>219</v>
      </c>
      <c r="Q37" t="n">
        <v>228</v>
      </c>
      <c r="R37" t="n">
        <v>254</v>
      </c>
      <c r="S37" t="n">
        <v>218</v>
      </c>
      <c r="T37" t="n">
        <v>216</v>
      </c>
      <c r="U37" t="n">
        <v>202</v>
      </c>
      <c r="V37" t="n">
        <v>169</v>
      </c>
      <c r="W37" t="n">
        <v>148</v>
      </c>
      <c r="X37" t="n">
        <v>147</v>
      </c>
      <c r="Y37" t="n">
        <v>153</v>
      </c>
      <c r="Z37" t="n">
        <v>155</v>
      </c>
      <c r="AA37" t="n">
        <v>168</v>
      </c>
      <c r="AB37" t="n">
        <v>197</v>
      </c>
      <c r="AC37" t="n">
        <v>216</v>
      </c>
      <c r="AD37" t="n">
        <v>214</v>
      </c>
      <c r="AE37" t="n">
        <v>202</v>
      </c>
      <c r="AF37" t="n">
        <v>266</v>
      </c>
    </row>
    <row r="38">
      <c r="A38" t="s">
        <v>99</v>
      </c>
      <c r="B38" t="s">
        <v>346</v>
      </c>
      <c r="C38" t="s">
        <v>236</v>
      </c>
      <c r="D38" t="s">
        <v>347</v>
      </c>
      <c r="E38" t="s">
        <v>237</v>
      </c>
      <c r="F38" t="n">
        <v>136</v>
      </c>
      <c r="G38" t="n">
        <v>147</v>
      </c>
      <c r="H38" t="n">
        <v>160</v>
      </c>
      <c r="I38" t="n">
        <v>184</v>
      </c>
      <c r="J38" t="n">
        <v>212</v>
      </c>
      <c r="K38" t="n">
        <v>246</v>
      </c>
      <c r="L38" t="n">
        <v>280</v>
      </c>
      <c r="M38" t="n">
        <v>295</v>
      </c>
      <c r="N38" t="n">
        <v>306</v>
      </c>
      <c r="O38" t="n">
        <v>331</v>
      </c>
      <c r="P38" t="n">
        <v>387</v>
      </c>
      <c r="Q38" t="n">
        <v>440</v>
      </c>
      <c r="R38" t="n">
        <v>473</v>
      </c>
      <c r="S38" t="n">
        <v>523</v>
      </c>
      <c r="T38" t="n">
        <v>506</v>
      </c>
      <c r="U38" t="n">
        <v>483</v>
      </c>
      <c r="V38" t="n">
        <v>480</v>
      </c>
      <c r="W38" t="n">
        <v>452</v>
      </c>
      <c r="X38" t="n">
        <v>506</v>
      </c>
      <c r="Y38" t="n">
        <v>567</v>
      </c>
      <c r="Z38" t="n">
        <v>618</v>
      </c>
      <c r="AA38" t="n">
        <v>654</v>
      </c>
      <c r="AB38" t="n">
        <v>657</v>
      </c>
      <c r="AC38" t="n">
        <v>775</v>
      </c>
      <c r="AD38" t="n">
        <v>876</v>
      </c>
      <c r="AE38" t="n">
        <v>907</v>
      </c>
      <c r="AF38" t="n">
        <v>931</v>
      </c>
    </row>
    <row r="39">
      <c r="A39" t="s">
        <v>99</v>
      </c>
      <c r="B39" t="s">
        <v>348</v>
      </c>
      <c r="C39" t="s">
        <v>236</v>
      </c>
      <c r="D39" t="s">
        <v>349</v>
      </c>
      <c r="E39" t="s">
        <v>237</v>
      </c>
      <c r="F39" t="n">
        <v>352</v>
      </c>
      <c r="G39" t="n">
        <v>329</v>
      </c>
      <c r="H39" t="n">
        <v>315</v>
      </c>
      <c r="I39" t="n">
        <v>318</v>
      </c>
      <c r="J39" t="n">
        <v>338</v>
      </c>
      <c r="K39" t="n">
        <v>363</v>
      </c>
      <c r="L39" t="n">
        <v>402</v>
      </c>
      <c r="M39" t="n">
        <v>403</v>
      </c>
      <c r="N39" t="n">
        <v>444</v>
      </c>
      <c r="O39" t="n">
        <v>518</v>
      </c>
      <c r="P39" t="n">
        <v>552</v>
      </c>
      <c r="Q39" t="n">
        <v>613</v>
      </c>
      <c r="R39" t="n">
        <v>704</v>
      </c>
      <c r="S39" t="n">
        <v>764</v>
      </c>
      <c r="T39" t="n">
        <v>763</v>
      </c>
      <c r="U39" t="n">
        <v>761</v>
      </c>
      <c r="V39" t="n">
        <v>763</v>
      </c>
      <c r="W39" t="n">
        <v>676</v>
      </c>
      <c r="X39" t="n">
        <v>628</v>
      </c>
      <c r="Y39" t="n">
        <v>671</v>
      </c>
      <c r="Z39" t="n">
        <v>689</v>
      </c>
      <c r="AA39" t="n">
        <v>704</v>
      </c>
      <c r="AB39" t="n">
        <v>956</v>
      </c>
      <c r="AC39" t="n">
        <v>848</v>
      </c>
      <c r="AD39" t="n">
        <v>795</v>
      </c>
      <c r="AE39" t="n">
        <v>695</v>
      </c>
      <c r="AF39" t="n">
        <v>613</v>
      </c>
    </row>
    <row r="40">
      <c r="A40" t="s">
        <v>99</v>
      </c>
      <c r="B40" t="s">
        <v>350</v>
      </c>
      <c r="C40" t="s">
        <v>236</v>
      </c>
      <c r="D40" t="s">
        <v>351</v>
      </c>
      <c r="E40" t="s">
        <v>237</v>
      </c>
      <c r="F40" t="n">
        <v>6</v>
      </c>
      <c r="G40" t="n">
        <v>6</v>
      </c>
      <c r="H40" t="n">
        <v>6</v>
      </c>
      <c r="I40" t="n">
        <v>6</v>
      </c>
      <c r="J40" t="n">
        <v>5</v>
      </c>
      <c r="K40" t="n">
        <v>5</v>
      </c>
      <c r="L40" t="n">
        <v>5</v>
      </c>
      <c r="M40" t="n">
        <v>6</v>
      </c>
      <c r="N40" t="n">
        <v>5</v>
      </c>
      <c r="O40" t="n">
        <v>4</v>
      </c>
      <c r="P40" t="n">
        <v>5</v>
      </c>
      <c r="Q40" t="n">
        <v>8</v>
      </c>
      <c r="R40" t="n">
        <v>8</v>
      </c>
      <c r="S40" t="n">
        <v>14</v>
      </c>
      <c r="T40" t="n">
        <v>21</v>
      </c>
      <c r="U40" t="n">
        <v>34</v>
      </c>
      <c r="V40" t="n">
        <v>34</v>
      </c>
      <c r="W40" t="n">
        <v>37</v>
      </c>
      <c r="X40" t="n">
        <v>41</v>
      </c>
      <c r="Y40" t="n">
        <v>51</v>
      </c>
      <c r="Z40" t="n">
        <v>53</v>
      </c>
      <c r="AA40" t="n">
        <v>53</v>
      </c>
      <c r="AB40" t="n">
        <v>55</v>
      </c>
      <c r="AC40" t="n">
        <v>61</v>
      </c>
      <c r="AD40" t="n">
        <v>57</v>
      </c>
      <c r="AE40" t="n">
        <v>60</v>
      </c>
      <c r="AF40" t="n">
        <v>66</v>
      </c>
    </row>
    <row r="41">
      <c r="A41" t="s">
        <v>99</v>
      </c>
      <c r="B41" t="s">
        <v>352</v>
      </c>
      <c r="C41" t="s">
        <v>236</v>
      </c>
      <c r="D41" t="s">
        <v>353</v>
      </c>
      <c r="E41" t="s">
        <v>237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99</v>
      </c>
      <c r="B42" t="s">
        <v>354</v>
      </c>
      <c r="C42" t="s">
        <v>236</v>
      </c>
      <c r="D42" t="s">
        <v>355</v>
      </c>
      <c r="E42" t="s">
        <v>237</v>
      </c>
      <c r="F42" t="n">
        <v>70</v>
      </c>
      <c r="G42" t="n">
        <v>69</v>
      </c>
      <c r="H42" t="n">
        <v>72</v>
      </c>
      <c r="I42" t="n">
        <v>83</v>
      </c>
      <c r="J42" t="n">
        <v>98</v>
      </c>
      <c r="K42" t="n">
        <v>118</v>
      </c>
      <c r="L42" t="n">
        <v>131</v>
      </c>
      <c r="M42" t="n">
        <v>138</v>
      </c>
      <c r="N42" t="n">
        <v>155</v>
      </c>
      <c r="O42" t="n">
        <v>169</v>
      </c>
      <c r="P42" t="n">
        <v>190</v>
      </c>
      <c r="Q42" t="n">
        <v>197</v>
      </c>
      <c r="R42" t="n">
        <v>233</v>
      </c>
      <c r="S42" t="n">
        <v>268</v>
      </c>
      <c r="T42" t="n">
        <v>257</v>
      </c>
      <c r="U42" t="n">
        <v>267</v>
      </c>
      <c r="V42" t="n">
        <v>284</v>
      </c>
      <c r="W42" t="n">
        <v>282</v>
      </c>
      <c r="X42" t="n">
        <v>297</v>
      </c>
      <c r="Y42" t="n">
        <v>317</v>
      </c>
      <c r="Z42" t="n">
        <v>333</v>
      </c>
      <c r="AA42" t="n">
        <v>337</v>
      </c>
      <c r="AB42" t="n">
        <v>341</v>
      </c>
      <c r="AC42" t="n">
        <v>336</v>
      </c>
      <c r="AD42" t="n">
        <v>409</v>
      </c>
      <c r="AE42" t="n">
        <v>446</v>
      </c>
      <c r="AF42" t="n">
        <v>492</v>
      </c>
    </row>
    <row r="43">
      <c r="A43" t="s">
        <v>99</v>
      </c>
      <c r="B43" t="s">
        <v>356</v>
      </c>
      <c r="C43" t="s">
        <v>236</v>
      </c>
      <c r="D43" t="s">
        <v>357</v>
      </c>
      <c r="E43" t="s">
        <v>237</v>
      </c>
      <c r="F43" t="n">
        <v>105</v>
      </c>
      <c r="G43" t="n">
        <v>100</v>
      </c>
      <c r="H43" t="n">
        <v>106</v>
      </c>
      <c r="I43" t="n">
        <v>123</v>
      </c>
      <c r="J43" t="n">
        <v>139</v>
      </c>
      <c r="K43" t="n">
        <v>163</v>
      </c>
      <c r="L43" t="n">
        <v>182</v>
      </c>
      <c r="M43" t="n">
        <v>188</v>
      </c>
      <c r="N43" t="n">
        <v>212</v>
      </c>
      <c r="O43" t="n">
        <v>227</v>
      </c>
      <c r="P43" t="n">
        <v>255</v>
      </c>
      <c r="Q43" t="n">
        <v>269</v>
      </c>
      <c r="R43" t="n">
        <v>308</v>
      </c>
      <c r="S43" t="n">
        <v>350</v>
      </c>
      <c r="T43" t="n">
        <v>346</v>
      </c>
      <c r="U43" t="n">
        <v>363</v>
      </c>
      <c r="V43" t="n">
        <v>386</v>
      </c>
      <c r="W43" t="n">
        <v>399</v>
      </c>
      <c r="X43" t="n">
        <v>421</v>
      </c>
      <c r="Y43" t="n">
        <v>455</v>
      </c>
      <c r="Z43" t="n">
        <v>471</v>
      </c>
      <c r="AA43" t="n">
        <v>497</v>
      </c>
      <c r="AB43" t="n">
        <v>520</v>
      </c>
      <c r="AC43" t="n">
        <v>526</v>
      </c>
      <c r="AD43" t="n">
        <v>624</v>
      </c>
      <c r="AE43" t="n">
        <v>665</v>
      </c>
      <c r="AF43" t="n">
        <v>720</v>
      </c>
    </row>
    <row r="44">
      <c r="A44" t="s">
        <v>99</v>
      </c>
      <c r="B44" t="s">
        <v>358</v>
      </c>
      <c r="C44" t="s">
        <v>236</v>
      </c>
      <c r="D44" t="s">
        <v>359</v>
      </c>
      <c r="E44" t="s">
        <v>237</v>
      </c>
      <c r="F44" t="n">
        <v>1324</v>
      </c>
      <c r="G44" t="n">
        <v>1336</v>
      </c>
      <c r="H44" t="n">
        <v>1429</v>
      </c>
      <c r="I44" t="n">
        <v>1642</v>
      </c>
      <c r="J44" t="n">
        <v>1876</v>
      </c>
      <c r="K44" t="n">
        <v>2159</v>
      </c>
      <c r="L44" t="n">
        <v>2457</v>
      </c>
      <c r="M44" t="n">
        <v>2536</v>
      </c>
      <c r="N44" t="n">
        <v>2857</v>
      </c>
      <c r="O44" t="n">
        <v>3108</v>
      </c>
      <c r="P44" t="n">
        <v>3415</v>
      </c>
      <c r="Q44" t="n">
        <v>3740</v>
      </c>
      <c r="R44" t="n">
        <v>4028</v>
      </c>
      <c r="S44" t="n">
        <v>4300</v>
      </c>
      <c r="T44" t="n">
        <v>4420</v>
      </c>
      <c r="U44" t="n">
        <v>4496</v>
      </c>
      <c r="V44" t="n">
        <v>4580</v>
      </c>
      <c r="W44" t="n">
        <v>4634</v>
      </c>
      <c r="X44" t="n">
        <v>4710</v>
      </c>
      <c r="Y44" t="n">
        <v>4976</v>
      </c>
      <c r="Z44" t="n">
        <v>5068</v>
      </c>
      <c r="AA44" t="n">
        <v>5146</v>
      </c>
      <c r="AB44" t="n">
        <v>5582</v>
      </c>
      <c r="AC44" t="n">
        <v>5804</v>
      </c>
      <c r="AD44" t="n">
        <v>6115</v>
      </c>
      <c r="AE44" t="n">
        <v>6258</v>
      </c>
      <c r="AF44" t="n">
        <v>6457</v>
      </c>
    </row>
    <row r="45">
      <c r="A45" t="s">
        <v>99</v>
      </c>
      <c r="B45" t="s">
        <v>360</v>
      </c>
      <c r="C45" t="s">
        <v>236</v>
      </c>
      <c r="D45" t="s">
        <v>361</v>
      </c>
      <c r="E45" t="s">
        <v>237</v>
      </c>
      <c r="F45" t="n">
        <v>1321</v>
      </c>
      <c r="G45" t="n">
        <v>1333</v>
      </c>
      <c r="H45" t="n">
        <v>1426</v>
      </c>
      <c r="I45" t="n">
        <v>1639</v>
      </c>
      <c r="J45" t="n">
        <v>1872</v>
      </c>
      <c r="K45" t="n">
        <v>2154</v>
      </c>
      <c r="L45" t="n">
        <v>2452</v>
      </c>
      <c r="M45" t="n">
        <v>2531</v>
      </c>
      <c r="N45" t="n">
        <v>2851</v>
      </c>
      <c r="O45" t="n">
        <v>3102</v>
      </c>
      <c r="P45" t="n">
        <v>3408</v>
      </c>
      <c r="Q45" t="n">
        <v>3731</v>
      </c>
      <c r="R45" t="n">
        <v>4019</v>
      </c>
      <c r="S45" t="n">
        <v>4291</v>
      </c>
      <c r="T45" t="n">
        <v>4410</v>
      </c>
      <c r="U45" t="n">
        <v>4485</v>
      </c>
      <c r="V45" t="n">
        <v>4569</v>
      </c>
      <c r="W45" t="n">
        <v>4624</v>
      </c>
      <c r="X45" t="n">
        <v>4699</v>
      </c>
      <c r="Y45" t="n">
        <v>4966</v>
      </c>
      <c r="Z45" t="n">
        <v>5058</v>
      </c>
      <c r="AA45" t="n">
        <v>5136</v>
      </c>
      <c r="AB45" t="n">
        <v>5572</v>
      </c>
      <c r="AC45" t="n">
        <v>5794</v>
      </c>
      <c r="AD45" t="n">
        <v>6105</v>
      </c>
      <c r="AE45" t="n">
        <v>6248</v>
      </c>
      <c r="AF45" t="n">
        <v>6447</v>
      </c>
    </row>
    <row r="46">
      <c r="A46" t="s">
        <v>99</v>
      </c>
      <c r="B46" t="s">
        <v>362</v>
      </c>
      <c r="C46" t="s">
        <v>236</v>
      </c>
      <c r="D46" t="s">
        <v>363</v>
      </c>
      <c r="E46" t="s">
        <v>237</v>
      </c>
      <c r="F46" t="n">
        <v>35</v>
      </c>
      <c r="G46" t="n">
        <v>31</v>
      </c>
      <c r="H46" t="n">
        <v>34</v>
      </c>
      <c r="I46" t="n">
        <v>40</v>
      </c>
      <c r="J46" t="n">
        <v>41</v>
      </c>
      <c r="K46" t="n">
        <v>45</v>
      </c>
      <c r="L46" t="n">
        <v>51</v>
      </c>
      <c r="M46" t="n">
        <v>50</v>
      </c>
      <c r="N46" t="n">
        <v>57</v>
      </c>
      <c r="O46" t="n">
        <v>58</v>
      </c>
      <c r="P46" t="n">
        <v>65</v>
      </c>
      <c r="Q46" t="n">
        <v>72</v>
      </c>
      <c r="R46" t="n">
        <v>75</v>
      </c>
      <c r="S46" t="n">
        <v>82</v>
      </c>
      <c r="T46" t="n">
        <v>89</v>
      </c>
      <c r="U46" t="n">
        <v>96</v>
      </c>
      <c r="V46" t="n">
        <v>102</v>
      </c>
      <c r="W46" t="n">
        <v>117</v>
      </c>
      <c r="X46" t="n">
        <v>124</v>
      </c>
      <c r="Y46" t="n">
        <v>138</v>
      </c>
      <c r="Z46" t="n">
        <v>138</v>
      </c>
      <c r="AA46" t="n">
        <v>160</v>
      </c>
      <c r="AB46" t="n">
        <v>179</v>
      </c>
      <c r="AC46" t="n">
        <v>190</v>
      </c>
      <c r="AD46" t="n">
        <v>215</v>
      </c>
      <c r="AE46" t="n">
        <v>219</v>
      </c>
      <c r="AF46" t="n">
        <v>228</v>
      </c>
    </row>
    <row r="47">
      <c r="A47" t="s">
        <v>99</v>
      </c>
      <c r="B47" t="s">
        <v>364</v>
      </c>
      <c r="C47" t="s">
        <v>236</v>
      </c>
      <c r="D47" t="s">
        <v>365</v>
      </c>
      <c r="E47" t="s">
        <v>237</v>
      </c>
      <c r="F47" t="n">
        <v>91</v>
      </c>
      <c r="G47" t="n">
        <v>97</v>
      </c>
      <c r="H47" t="n">
        <v>101</v>
      </c>
      <c r="I47" t="n">
        <v>111</v>
      </c>
      <c r="J47" t="n">
        <v>121</v>
      </c>
      <c r="K47" t="n">
        <v>139</v>
      </c>
      <c r="L47" t="n">
        <v>171</v>
      </c>
      <c r="M47" t="n">
        <v>189</v>
      </c>
      <c r="N47" t="n">
        <v>220</v>
      </c>
      <c r="O47" t="n">
        <v>253</v>
      </c>
      <c r="P47" t="n">
        <v>266</v>
      </c>
      <c r="Q47" t="n">
        <v>275</v>
      </c>
      <c r="R47" t="n">
        <v>276</v>
      </c>
      <c r="S47" t="n">
        <v>292</v>
      </c>
      <c r="T47" t="n">
        <v>294</v>
      </c>
      <c r="U47" t="n">
        <v>316</v>
      </c>
      <c r="V47" t="n">
        <v>336</v>
      </c>
      <c r="W47" t="n">
        <v>336</v>
      </c>
      <c r="X47" t="n">
        <v>333</v>
      </c>
      <c r="Y47" t="n">
        <v>333</v>
      </c>
      <c r="Z47" t="n">
        <v>359</v>
      </c>
      <c r="AA47" t="n">
        <v>384</v>
      </c>
      <c r="AB47" t="n">
        <v>391</v>
      </c>
      <c r="AC47" t="n">
        <v>418</v>
      </c>
      <c r="AD47" t="n">
        <v>432</v>
      </c>
      <c r="AE47" t="n">
        <v>415</v>
      </c>
      <c r="AF47" t="n">
        <v>387</v>
      </c>
    </row>
    <row r="48">
      <c r="A48" t="s">
        <v>99</v>
      </c>
      <c r="B48" t="s">
        <v>366</v>
      </c>
      <c r="C48" t="s">
        <v>236</v>
      </c>
      <c r="D48" t="s">
        <v>367</v>
      </c>
      <c r="E48" t="s">
        <v>237</v>
      </c>
      <c r="F48" t="n">
        <v>143</v>
      </c>
      <c r="G48" t="n">
        <v>151</v>
      </c>
      <c r="H48" t="n">
        <v>157</v>
      </c>
      <c r="I48" t="n">
        <v>179</v>
      </c>
      <c r="J48" t="n">
        <v>197</v>
      </c>
      <c r="K48" t="n">
        <v>224</v>
      </c>
      <c r="L48" t="n">
        <v>262</v>
      </c>
      <c r="M48" t="n">
        <v>292</v>
      </c>
      <c r="N48" t="n">
        <v>326</v>
      </c>
      <c r="O48" t="n">
        <v>363</v>
      </c>
      <c r="P48" t="n">
        <v>380</v>
      </c>
      <c r="Q48" t="n">
        <v>406</v>
      </c>
      <c r="R48" t="n">
        <v>412</v>
      </c>
      <c r="S48" t="n">
        <v>432</v>
      </c>
      <c r="T48" t="n">
        <v>429</v>
      </c>
      <c r="U48" t="n">
        <v>463</v>
      </c>
      <c r="V48" t="n">
        <v>487</v>
      </c>
      <c r="W48" t="n">
        <v>510</v>
      </c>
      <c r="X48" t="n">
        <v>530</v>
      </c>
      <c r="Y48" t="n">
        <v>559</v>
      </c>
      <c r="Z48" t="n">
        <v>578</v>
      </c>
      <c r="AA48" t="n">
        <v>632</v>
      </c>
      <c r="AB48" t="n">
        <v>675</v>
      </c>
      <c r="AC48" t="n">
        <v>731</v>
      </c>
      <c r="AD48" t="n">
        <v>779</v>
      </c>
      <c r="AE48" t="n">
        <v>807</v>
      </c>
      <c r="AF48" t="n">
        <v>819</v>
      </c>
    </row>
    <row r="49">
      <c r="A49" t="s">
        <v>99</v>
      </c>
      <c r="B49" t="s">
        <v>368</v>
      </c>
      <c r="C49" t="s">
        <v>236</v>
      </c>
      <c r="D49" t="s">
        <v>369</v>
      </c>
      <c r="E49" t="s">
        <v>237</v>
      </c>
      <c r="F49" t="n">
        <v>25</v>
      </c>
      <c r="G49" t="n">
        <v>26</v>
      </c>
      <c r="H49" t="n">
        <v>27</v>
      </c>
      <c r="I49" t="n">
        <v>33</v>
      </c>
      <c r="J49" t="n">
        <v>38</v>
      </c>
      <c r="K49" t="n">
        <v>41</v>
      </c>
      <c r="L49" t="n">
        <v>42</v>
      </c>
      <c r="M49" t="n">
        <v>50</v>
      </c>
      <c r="N49" t="n">
        <v>50</v>
      </c>
      <c r="O49" t="n">
        <v>49</v>
      </c>
      <c r="P49" t="n">
        <v>48</v>
      </c>
      <c r="Q49" t="n">
        <v>48</v>
      </c>
      <c r="R49" t="n">
        <v>44</v>
      </c>
      <c r="S49" t="n">
        <v>47</v>
      </c>
      <c r="T49" t="n">
        <v>44</v>
      </c>
      <c r="U49" t="n">
        <v>48</v>
      </c>
      <c r="V49" t="n">
        <v>51</v>
      </c>
      <c r="W49" t="n">
        <v>56</v>
      </c>
      <c r="X49" t="n">
        <v>58</v>
      </c>
      <c r="Y49" t="n">
        <v>71</v>
      </c>
      <c r="Z49" t="n">
        <v>76</v>
      </c>
      <c r="AA49" t="n">
        <v>92</v>
      </c>
      <c r="AB49" t="n">
        <v>106</v>
      </c>
      <c r="AC49" t="n">
        <v>114</v>
      </c>
      <c r="AD49" t="n">
        <v>121</v>
      </c>
      <c r="AE49" t="n">
        <v>140</v>
      </c>
      <c r="AF49" t="n">
        <v>129</v>
      </c>
    </row>
    <row r="50">
      <c r="A50" t="s">
        <v>99</v>
      </c>
      <c r="B50" t="s">
        <v>370</v>
      </c>
      <c r="C50" t="s">
        <v>236</v>
      </c>
      <c r="D50" t="s">
        <v>371</v>
      </c>
      <c r="E50" t="s">
        <v>237</v>
      </c>
      <c r="F50" t="n">
        <v>27</v>
      </c>
      <c r="G50" t="n">
        <v>28</v>
      </c>
      <c r="H50" t="n">
        <v>29</v>
      </c>
      <c r="I50" t="n">
        <v>35</v>
      </c>
      <c r="J50" t="n">
        <v>38</v>
      </c>
      <c r="K50" t="n">
        <v>44</v>
      </c>
      <c r="L50" t="n">
        <v>49</v>
      </c>
      <c r="M50" t="n">
        <v>53</v>
      </c>
      <c r="N50" t="n">
        <v>56</v>
      </c>
      <c r="O50" t="n">
        <v>61</v>
      </c>
      <c r="P50" t="n">
        <v>66</v>
      </c>
      <c r="Q50" t="n">
        <v>83</v>
      </c>
      <c r="R50" t="n">
        <v>92</v>
      </c>
      <c r="S50" t="n">
        <v>93</v>
      </c>
      <c r="T50" t="n">
        <v>91</v>
      </c>
      <c r="U50" t="n">
        <v>99</v>
      </c>
      <c r="V50" t="n">
        <v>100</v>
      </c>
      <c r="W50" t="n">
        <v>118</v>
      </c>
      <c r="X50" t="n">
        <v>139</v>
      </c>
      <c r="Y50" t="n">
        <v>155</v>
      </c>
      <c r="Z50" t="n">
        <v>143</v>
      </c>
      <c r="AA50" t="n">
        <v>156</v>
      </c>
      <c r="AB50" t="n">
        <v>178</v>
      </c>
      <c r="AC50" t="n">
        <v>199</v>
      </c>
      <c r="AD50" t="n">
        <v>226</v>
      </c>
      <c r="AE50" t="n">
        <v>252</v>
      </c>
      <c r="AF50" t="n">
        <v>303</v>
      </c>
    </row>
    <row r="51">
      <c r="A51" t="s">
        <v>99</v>
      </c>
      <c r="B51" t="s">
        <v>372</v>
      </c>
      <c r="C51" t="s">
        <v>236</v>
      </c>
      <c r="D51" t="s">
        <v>373</v>
      </c>
      <c r="E51" t="s">
        <v>237</v>
      </c>
      <c r="F51" t="n">
        <v>25</v>
      </c>
      <c r="G51" t="n">
        <v>26</v>
      </c>
      <c r="H51" t="n">
        <v>27</v>
      </c>
      <c r="I51" t="n">
        <v>32</v>
      </c>
      <c r="J51" t="n">
        <v>35</v>
      </c>
      <c r="K51" t="n">
        <v>40</v>
      </c>
      <c r="L51" t="n">
        <v>45</v>
      </c>
      <c r="M51" t="n">
        <v>49</v>
      </c>
      <c r="N51" t="n">
        <v>52</v>
      </c>
      <c r="O51" t="n">
        <v>56</v>
      </c>
      <c r="P51" t="n">
        <v>62</v>
      </c>
      <c r="Q51" t="n">
        <v>79</v>
      </c>
      <c r="R51" t="n">
        <v>89</v>
      </c>
      <c r="S51" t="n">
        <v>90</v>
      </c>
      <c r="T51" t="n">
        <v>88</v>
      </c>
      <c r="U51" t="n">
        <v>93</v>
      </c>
      <c r="V51" t="n">
        <v>94</v>
      </c>
      <c r="W51" t="n">
        <v>110</v>
      </c>
      <c r="X51" t="n">
        <v>129</v>
      </c>
      <c r="Y51" t="n">
        <v>145</v>
      </c>
      <c r="Z51" t="n">
        <v>130</v>
      </c>
      <c r="AA51" t="n">
        <v>142</v>
      </c>
      <c r="AB51" t="n">
        <v>159</v>
      </c>
      <c r="AC51" t="n">
        <v>179</v>
      </c>
      <c r="AD51" t="n">
        <v>201</v>
      </c>
      <c r="AE51" t="n">
        <v>221</v>
      </c>
      <c r="AF51" t="n">
        <v>264</v>
      </c>
    </row>
    <row r="52">
      <c r="A52" t="s">
        <v>99</v>
      </c>
      <c r="B52" t="s">
        <v>374</v>
      </c>
      <c r="C52" t="s">
        <v>236</v>
      </c>
      <c r="D52" t="s">
        <v>375</v>
      </c>
      <c r="E52" t="s">
        <v>237</v>
      </c>
      <c r="F52" t="n">
        <v>2</v>
      </c>
      <c r="G52" t="n">
        <v>2</v>
      </c>
      <c r="H52" t="n">
        <v>2</v>
      </c>
      <c r="I52" t="n">
        <v>3</v>
      </c>
      <c r="J52" t="n">
        <v>3</v>
      </c>
      <c r="K52" t="n">
        <v>4</v>
      </c>
      <c r="L52" t="n">
        <v>4</v>
      </c>
      <c r="M52" t="n">
        <v>4</v>
      </c>
      <c r="N52" t="n">
        <v>4</v>
      </c>
      <c r="O52" t="n">
        <v>5</v>
      </c>
      <c r="P52" t="n">
        <v>4</v>
      </c>
      <c r="Q52" t="n">
        <v>4</v>
      </c>
      <c r="R52" t="n">
        <v>3</v>
      </c>
      <c r="S52" t="n">
        <v>3</v>
      </c>
      <c r="T52" t="n">
        <v>3</v>
      </c>
      <c r="U52" t="n">
        <v>6</v>
      </c>
      <c r="V52" t="n">
        <v>6</v>
      </c>
      <c r="W52" t="n">
        <v>8</v>
      </c>
      <c r="X52" t="n">
        <v>10</v>
      </c>
      <c r="Y52" t="n">
        <v>10</v>
      </c>
      <c r="Z52" t="n">
        <v>13</v>
      </c>
      <c r="AA52" t="n">
        <v>14</v>
      </c>
      <c r="AB52" t="n">
        <v>19</v>
      </c>
      <c r="AC52" t="n">
        <v>20</v>
      </c>
      <c r="AD52" t="n">
        <v>25</v>
      </c>
      <c r="AE52" t="n">
        <v>31</v>
      </c>
      <c r="AF52" t="n">
        <v>39</v>
      </c>
    </row>
    <row r="53">
      <c r="A53" t="s">
        <v>99</v>
      </c>
      <c r="B53" t="s">
        <v>376</v>
      </c>
      <c r="C53" t="s">
        <v>236</v>
      </c>
      <c r="D53" t="s">
        <v>377</v>
      </c>
      <c r="E53" t="s">
        <v>237</v>
      </c>
      <c r="F53" t="n">
        <v>16</v>
      </c>
      <c r="G53" t="n">
        <v>16</v>
      </c>
      <c r="H53" t="n">
        <v>18</v>
      </c>
      <c r="I53" t="n">
        <v>20</v>
      </c>
      <c r="J53" t="n">
        <v>22</v>
      </c>
      <c r="K53" t="n">
        <v>26</v>
      </c>
      <c r="L53" t="n">
        <v>27</v>
      </c>
      <c r="M53" t="n">
        <v>28</v>
      </c>
      <c r="N53" t="n">
        <v>27</v>
      </c>
      <c r="O53" t="n">
        <v>30</v>
      </c>
      <c r="P53" t="n">
        <v>37</v>
      </c>
      <c r="Q53" t="n">
        <v>53</v>
      </c>
      <c r="R53" t="n">
        <v>55</v>
      </c>
      <c r="S53" t="n">
        <v>74</v>
      </c>
      <c r="T53" t="n">
        <v>66</v>
      </c>
      <c r="U53" t="n">
        <v>78</v>
      </c>
      <c r="V53" t="n">
        <v>70</v>
      </c>
      <c r="W53" t="n">
        <v>59</v>
      </c>
      <c r="X53" t="n">
        <v>59</v>
      </c>
      <c r="Y53" t="n">
        <v>57</v>
      </c>
      <c r="Z53" t="n">
        <v>44</v>
      </c>
      <c r="AA53" t="n">
        <v>40</v>
      </c>
      <c r="AB53" t="n">
        <v>53</v>
      </c>
      <c r="AC53" t="n">
        <v>49</v>
      </c>
      <c r="AD53" t="n">
        <v>56</v>
      </c>
      <c r="AE53" t="n">
        <v>55</v>
      </c>
      <c r="AF53" t="n">
        <v>62</v>
      </c>
    </row>
    <row r="54">
      <c r="A54" t="s">
        <v>99</v>
      </c>
      <c r="B54" t="s">
        <v>378</v>
      </c>
      <c r="C54" t="s">
        <v>236</v>
      </c>
      <c r="D54" t="s">
        <v>379</v>
      </c>
      <c r="E54" t="s">
        <v>237</v>
      </c>
      <c r="F54" t="n">
        <v>28</v>
      </c>
      <c r="G54" t="n">
        <v>28</v>
      </c>
      <c r="H54" t="n">
        <v>32</v>
      </c>
      <c r="I54" t="n">
        <v>37</v>
      </c>
      <c r="J54" t="n">
        <v>41</v>
      </c>
      <c r="K54" t="n">
        <v>48</v>
      </c>
      <c r="L54" t="n">
        <v>51</v>
      </c>
      <c r="M54" t="n">
        <v>58</v>
      </c>
      <c r="N54" t="n">
        <v>54</v>
      </c>
      <c r="O54" t="n">
        <v>54</v>
      </c>
      <c r="P54" t="n">
        <v>62</v>
      </c>
      <c r="Q54" t="n">
        <v>73</v>
      </c>
      <c r="R54" t="n">
        <v>78</v>
      </c>
      <c r="S54" t="n">
        <v>100</v>
      </c>
      <c r="T54" t="n">
        <v>98</v>
      </c>
      <c r="U54" t="n">
        <v>113</v>
      </c>
      <c r="V54" t="n">
        <v>104</v>
      </c>
      <c r="W54" t="n">
        <v>96</v>
      </c>
      <c r="X54" t="n">
        <v>98</v>
      </c>
      <c r="Y54" t="n">
        <v>98</v>
      </c>
      <c r="Z54" t="n">
        <v>85</v>
      </c>
      <c r="AA54" t="n">
        <v>82</v>
      </c>
      <c r="AB54" t="n">
        <v>96</v>
      </c>
      <c r="AC54" t="n">
        <v>99</v>
      </c>
      <c r="AD54" t="n">
        <v>113</v>
      </c>
      <c r="AE54" t="n">
        <v>106</v>
      </c>
      <c r="AF54" t="n">
        <v>130</v>
      </c>
    </row>
    <row r="55">
      <c r="A55" t="s">
        <v>99</v>
      </c>
      <c r="B55" t="s">
        <v>380</v>
      </c>
      <c r="C55" t="s">
        <v>236</v>
      </c>
      <c r="D55" t="s">
        <v>381</v>
      </c>
      <c r="E55" t="s">
        <v>237</v>
      </c>
      <c r="F55" t="n">
        <v>12</v>
      </c>
      <c r="G55" t="n">
        <v>12</v>
      </c>
      <c r="H55" t="n">
        <v>14</v>
      </c>
      <c r="I55" t="n">
        <v>17</v>
      </c>
      <c r="J55" t="n">
        <v>19</v>
      </c>
      <c r="K55" t="n">
        <v>22</v>
      </c>
      <c r="L55" t="n">
        <v>24</v>
      </c>
      <c r="M55" t="n">
        <v>30</v>
      </c>
      <c r="N55" t="n">
        <v>27</v>
      </c>
      <c r="O55" t="n">
        <v>24</v>
      </c>
      <c r="P55" t="n">
        <v>25</v>
      </c>
      <c r="Q55" t="n">
        <v>20</v>
      </c>
      <c r="R55" t="n">
        <v>23</v>
      </c>
      <c r="S55" t="n">
        <v>26</v>
      </c>
      <c r="T55" t="n">
        <v>32</v>
      </c>
      <c r="U55" t="n">
        <v>35</v>
      </c>
      <c r="V55" t="n">
        <v>34</v>
      </c>
      <c r="W55" t="n">
        <v>37</v>
      </c>
      <c r="X55" t="n">
        <v>39</v>
      </c>
      <c r="Y55" t="n">
        <v>41</v>
      </c>
      <c r="Z55" t="n">
        <v>41</v>
      </c>
      <c r="AA55" t="n">
        <v>42</v>
      </c>
      <c r="AB55" t="n">
        <v>43</v>
      </c>
      <c r="AC55" t="n">
        <v>50</v>
      </c>
      <c r="AD55" t="n">
        <v>57</v>
      </c>
      <c r="AE55" t="n">
        <v>51</v>
      </c>
      <c r="AF55" t="n">
        <v>68</v>
      </c>
    </row>
    <row r="56">
      <c r="A56" t="s">
        <v>99</v>
      </c>
      <c r="B56" t="s">
        <v>382</v>
      </c>
      <c r="C56" t="s">
        <v>236</v>
      </c>
      <c r="D56" t="s">
        <v>383</v>
      </c>
      <c r="E56" t="s">
        <v>237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99</v>
      </c>
      <c r="B57" t="s">
        <v>384</v>
      </c>
      <c r="C57" t="s">
        <v>236</v>
      </c>
      <c r="D57" t="s">
        <v>385</v>
      </c>
      <c r="E57" t="s">
        <v>237</v>
      </c>
      <c r="F57" t="n">
        <v>1473</v>
      </c>
      <c r="G57" t="n">
        <v>1493</v>
      </c>
      <c r="H57" t="n">
        <v>1592</v>
      </c>
      <c r="I57" t="n">
        <v>1827</v>
      </c>
      <c r="J57" t="n">
        <v>2078</v>
      </c>
      <c r="K57" t="n">
        <v>2388</v>
      </c>
      <c r="L57" t="n">
        <v>2724</v>
      </c>
      <c r="M57" t="n">
        <v>2834</v>
      </c>
      <c r="N57" t="n">
        <v>3188</v>
      </c>
      <c r="O57" t="n">
        <v>3475</v>
      </c>
      <c r="P57" t="n">
        <v>3800</v>
      </c>
      <c r="Q57" t="n">
        <v>4154</v>
      </c>
      <c r="R57" t="n">
        <v>4448</v>
      </c>
      <c r="S57" t="n">
        <v>4746</v>
      </c>
      <c r="T57" t="n">
        <v>4870</v>
      </c>
      <c r="U57" t="n">
        <v>4993</v>
      </c>
      <c r="V57" t="n">
        <v>5101</v>
      </c>
      <c r="W57" t="n">
        <v>5181</v>
      </c>
      <c r="X57" t="n">
        <v>5281</v>
      </c>
      <c r="Y57" t="n">
        <v>5586</v>
      </c>
      <c r="Z57" t="n">
        <v>5699</v>
      </c>
      <c r="AA57" t="n">
        <v>5831</v>
      </c>
      <c r="AB57" t="n">
        <v>6312</v>
      </c>
      <c r="AC57" t="n">
        <v>6596</v>
      </c>
      <c r="AD57" t="n">
        <v>6951</v>
      </c>
      <c r="AE57" t="n">
        <v>7125</v>
      </c>
      <c r="AF57" t="n">
        <v>7342</v>
      </c>
    </row>
    <row r="58">
      <c r="A58" t="s">
        <v>99</v>
      </c>
      <c r="B58" t="s">
        <v>386</v>
      </c>
      <c r="C58" t="s">
        <v>236</v>
      </c>
      <c r="D58" t="s">
        <v>387</v>
      </c>
      <c r="E58" t="s">
        <v>237</v>
      </c>
      <c r="F58" t="n">
        <v>1473</v>
      </c>
      <c r="G58" t="n">
        <v>1493</v>
      </c>
      <c r="H58" t="n">
        <v>1592</v>
      </c>
      <c r="I58" t="n">
        <v>1827</v>
      </c>
      <c r="J58" t="n">
        <v>2078</v>
      </c>
      <c r="K58" t="n">
        <v>2388</v>
      </c>
      <c r="L58" t="n">
        <v>2724</v>
      </c>
      <c r="M58" t="n">
        <v>2834</v>
      </c>
      <c r="N58" t="n">
        <v>3188</v>
      </c>
      <c r="O58" t="n">
        <v>3475</v>
      </c>
      <c r="P58" t="n">
        <v>3800</v>
      </c>
      <c r="Q58" t="n">
        <v>4154</v>
      </c>
      <c r="R58" t="n">
        <v>4448</v>
      </c>
      <c r="S58" t="n">
        <v>4746</v>
      </c>
      <c r="T58" t="n">
        <v>4870</v>
      </c>
      <c r="U58" t="n">
        <v>4993</v>
      </c>
      <c r="V58" t="n">
        <v>5101</v>
      </c>
      <c r="W58" t="n">
        <v>5181</v>
      </c>
      <c r="X58" t="n">
        <v>5281</v>
      </c>
      <c r="Y58" t="n">
        <v>5586</v>
      </c>
      <c r="Z58" t="n">
        <v>5699</v>
      </c>
      <c r="AA58" t="n">
        <v>5831</v>
      </c>
      <c r="AB58" t="n">
        <v>6312</v>
      </c>
      <c r="AC58" t="n">
        <v>6596</v>
      </c>
      <c r="AD58" t="n">
        <v>6951</v>
      </c>
      <c r="AE58" t="n">
        <v>7125</v>
      </c>
      <c r="AF58" t="n">
        <v>7342</v>
      </c>
    </row>
    <row r="59">
      <c r="A59" t="s">
        <v>99</v>
      </c>
      <c r="B59" t="s">
        <v>388</v>
      </c>
      <c r="C59" t="s">
        <v>236</v>
      </c>
      <c r="D59" t="s">
        <v>389</v>
      </c>
      <c r="E59" t="s">
        <v>237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101</v>
      </c>
      <c r="B2" t="s">
        <v>197</v>
      </c>
      <c r="C2" t="s">
        <v>236</v>
      </c>
      <c r="D2" t="s">
        <v>199</v>
      </c>
      <c r="E2" t="s">
        <v>237</v>
      </c>
      <c r="F2" t="n">
        <v>1731</v>
      </c>
      <c r="G2" t="n">
        <v>1667</v>
      </c>
      <c r="H2" t="n">
        <v>1652</v>
      </c>
      <c r="I2" t="n">
        <v>1645</v>
      </c>
      <c r="J2" t="n">
        <v>1713</v>
      </c>
      <c r="K2" t="n">
        <v>1793</v>
      </c>
      <c r="L2" t="n">
        <v>1856</v>
      </c>
      <c r="M2" t="n">
        <v>1940</v>
      </c>
      <c r="N2" t="n">
        <v>2007</v>
      </c>
      <c r="O2" t="n">
        <v>2067</v>
      </c>
      <c r="P2" t="n">
        <v>2101</v>
      </c>
      <c r="Q2" t="n">
        <v>2218</v>
      </c>
      <c r="R2" t="n">
        <v>2198</v>
      </c>
      <c r="S2" t="n">
        <v>2194</v>
      </c>
      <c r="T2" t="n">
        <v>2219</v>
      </c>
      <c r="U2" t="n">
        <v>2220</v>
      </c>
      <c r="V2" t="n">
        <v>2245</v>
      </c>
      <c r="W2" t="n">
        <v>2342</v>
      </c>
      <c r="X2" t="n">
        <v>2341</v>
      </c>
      <c r="Y2" t="n">
        <v>2330</v>
      </c>
      <c r="Z2" t="n">
        <v>2370</v>
      </c>
      <c r="AA2" t="n">
        <v>2306</v>
      </c>
      <c r="AB2" t="n">
        <v>2233</v>
      </c>
      <c r="AC2" t="n">
        <v>2200</v>
      </c>
      <c r="AD2" t="n">
        <v>2149</v>
      </c>
      <c r="AE2" t="n">
        <v>2154</v>
      </c>
      <c r="AF2" t="n">
        <v>2154</v>
      </c>
    </row>
    <row r="3">
      <c r="A3" t="s">
        <v>101</v>
      </c>
      <c r="B3" t="s">
        <v>276</v>
      </c>
      <c r="C3" t="s">
        <v>236</v>
      </c>
      <c r="D3" t="s">
        <v>277</v>
      </c>
      <c r="E3" t="s">
        <v>237</v>
      </c>
      <c r="F3" t="n">
        <v>10</v>
      </c>
      <c r="G3" t="n">
        <v>12</v>
      </c>
      <c r="H3" t="n">
        <v>11</v>
      </c>
      <c r="I3" t="n">
        <v>12</v>
      </c>
      <c r="J3" t="n">
        <v>15</v>
      </c>
      <c r="K3" t="n">
        <v>15</v>
      </c>
      <c r="L3" t="n">
        <v>15</v>
      </c>
      <c r="M3" t="n">
        <v>16</v>
      </c>
      <c r="N3" t="n">
        <v>17</v>
      </c>
      <c r="O3" t="n">
        <v>19</v>
      </c>
      <c r="P3" t="n">
        <v>21</v>
      </c>
      <c r="Q3" t="n">
        <v>21</v>
      </c>
      <c r="R3" t="n">
        <v>23</v>
      </c>
      <c r="S3" t="n">
        <v>28</v>
      </c>
      <c r="T3" t="n">
        <v>27</v>
      </c>
      <c r="U3" t="n">
        <v>26</v>
      </c>
      <c r="V3" t="n">
        <v>29</v>
      </c>
      <c r="W3" t="n">
        <v>54</v>
      </c>
      <c r="X3" t="n">
        <v>68</v>
      </c>
      <c r="Y3" t="n">
        <v>72</v>
      </c>
      <c r="Z3" t="n">
        <v>72</v>
      </c>
      <c r="AA3" t="n">
        <v>66</v>
      </c>
      <c r="AB3" t="n">
        <v>61</v>
      </c>
      <c r="AC3" t="n">
        <v>59</v>
      </c>
      <c r="AD3" t="n">
        <v>48</v>
      </c>
      <c r="AE3" t="n">
        <v>46</v>
      </c>
      <c r="AF3" t="n">
        <v>49</v>
      </c>
    </row>
    <row r="4">
      <c r="A4" t="s">
        <v>101</v>
      </c>
      <c r="B4" t="s">
        <v>278</v>
      </c>
      <c r="C4" t="s">
        <v>236</v>
      </c>
      <c r="D4" t="s">
        <v>279</v>
      </c>
      <c r="E4" t="s">
        <v>237</v>
      </c>
      <c r="F4" t="n">
        <v>379</v>
      </c>
      <c r="G4" t="n">
        <v>369</v>
      </c>
      <c r="H4" t="n">
        <v>376</v>
      </c>
      <c r="I4" t="n">
        <v>389</v>
      </c>
      <c r="J4" t="n">
        <v>400</v>
      </c>
      <c r="K4" t="n">
        <v>445</v>
      </c>
      <c r="L4" t="n">
        <v>467</v>
      </c>
      <c r="M4" t="n">
        <v>462</v>
      </c>
      <c r="N4" t="n">
        <v>457</v>
      </c>
      <c r="O4" t="n">
        <v>458</v>
      </c>
      <c r="P4" t="n">
        <v>467</v>
      </c>
      <c r="Q4" t="n">
        <v>539</v>
      </c>
      <c r="R4" t="n">
        <v>577</v>
      </c>
      <c r="S4" t="n">
        <v>660</v>
      </c>
      <c r="T4" t="n">
        <v>659</v>
      </c>
      <c r="U4" t="n">
        <v>618</v>
      </c>
      <c r="V4" t="n">
        <v>590</v>
      </c>
      <c r="W4" t="n">
        <v>586</v>
      </c>
      <c r="X4" t="n">
        <v>539</v>
      </c>
      <c r="Y4" t="n">
        <v>512</v>
      </c>
      <c r="Z4" t="n">
        <v>523</v>
      </c>
      <c r="AA4" t="n">
        <v>510</v>
      </c>
      <c r="AB4" t="n">
        <v>522</v>
      </c>
      <c r="AC4" t="n">
        <v>525</v>
      </c>
      <c r="AD4" t="n">
        <v>501</v>
      </c>
      <c r="AE4" t="n">
        <v>496</v>
      </c>
      <c r="AF4" t="n">
        <v>618</v>
      </c>
    </row>
    <row r="5">
      <c r="A5" t="s">
        <v>101</v>
      </c>
      <c r="B5" t="s">
        <v>280</v>
      </c>
      <c r="C5" t="s">
        <v>236</v>
      </c>
      <c r="D5" t="s">
        <v>281</v>
      </c>
      <c r="E5" t="s">
        <v>237</v>
      </c>
      <c r="F5" t="n">
        <v>48</v>
      </c>
      <c r="G5" t="n">
        <v>44</v>
      </c>
      <c r="H5" t="n">
        <v>45</v>
      </c>
      <c r="I5" t="n">
        <v>41</v>
      </c>
      <c r="J5" t="n">
        <v>40</v>
      </c>
      <c r="K5" t="n">
        <v>42</v>
      </c>
      <c r="L5" t="n">
        <v>44</v>
      </c>
      <c r="M5" t="n">
        <v>42</v>
      </c>
      <c r="N5" t="n">
        <v>39</v>
      </c>
      <c r="O5" t="n">
        <v>38</v>
      </c>
      <c r="P5" t="n">
        <v>38</v>
      </c>
      <c r="Q5" t="n">
        <v>42</v>
      </c>
      <c r="R5" t="n">
        <v>43</v>
      </c>
      <c r="S5" t="n">
        <v>45</v>
      </c>
      <c r="T5" t="n">
        <v>44</v>
      </c>
      <c r="U5" t="n">
        <v>43</v>
      </c>
      <c r="V5" t="n">
        <v>40</v>
      </c>
      <c r="W5" t="n">
        <v>42</v>
      </c>
      <c r="X5" t="n">
        <v>41</v>
      </c>
      <c r="Y5" t="n">
        <v>43</v>
      </c>
      <c r="Z5" t="n">
        <v>43</v>
      </c>
      <c r="AA5" t="n">
        <v>43</v>
      </c>
      <c r="AB5" t="n">
        <v>54</v>
      </c>
      <c r="AC5" t="n">
        <v>52</v>
      </c>
      <c r="AD5" t="n">
        <v>48</v>
      </c>
      <c r="AE5" t="n">
        <v>47</v>
      </c>
      <c r="AF5" t="n">
        <v>46</v>
      </c>
    </row>
    <row r="6">
      <c r="A6" t="s">
        <v>101</v>
      </c>
      <c r="B6" t="s">
        <v>282</v>
      </c>
      <c r="C6" t="s">
        <v>236</v>
      </c>
      <c r="D6" t="s">
        <v>283</v>
      </c>
      <c r="E6" t="s">
        <v>237</v>
      </c>
      <c r="F6" t="n">
        <v>11</v>
      </c>
      <c r="G6" t="n">
        <v>10</v>
      </c>
      <c r="H6" t="n">
        <v>12</v>
      </c>
      <c r="I6" t="n">
        <v>11</v>
      </c>
      <c r="J6" t="n">
        <v>12</v>
      </c>
      <c r="K6" t="n">
        <v>13</v>
      </c>
      <c r="L6" t="n">
        <v>14</v>
      </c>
      <c r="M6" t="n">
        <v>13</v>
      </c>
      <c r="N6" t="n">
        <v>12</v>
      </c>
      <c r="O6" t="n">
        <v>11</v>
      </c>
      <c r="P6" t="n">
        <v>11</v>
      </c>
      <c r="Q6" t="n">
        <v>11</v>
      </c>
      <c r="R6" t="n">
        <v>11</v>
      </c>
      <c r="S6" t="n">
        <v>11</v>
      </c>
      <c r="T6" t="n">
        <v>10</v>
      </c>
      <c r="U6" t="n">
        <v>7</v>
      </c>
      <c r="V6" t="n">
        <v>5</v>
      </c>
      <c r="W6" t="n">
        <v>3</v>
      </c>
      <c r="X6" t="n">
        <v>3</v>
      </c>
      <c r="Y6" t="n">
        <v>3</v>
      </c>
      <c r="Z6" t="n">
        <v>1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101</v>
      </c>
      <c r="B7" t="s">
        <v>284</v>
      </c>
      <c r="C7" t="s">
        <v>236</v>
      </c>
      <c r="D7" t="s">
        <v>285</v>
      </c>
      <c r="E7" t="s">
        <v>237</v>
      </c>
      <c r="F7" t="n">
        <v>92</v>
      </c>
      <c r="G7" t="n">
        <v>92</v>
      </c>
      <c r="H7" t="n">
        <v>96</v>
      </c>
      <c r="I7" t="n">
        <v>100</v>
      </c>
      <c r="J7" t="n">
        <v>105</v>
      </c>
      <c r="K7" t="n">
        <v>116</v>
      </c>
      <c r="L7" t="n">
        <v>121</v>
      </c>
      <c r="M7" t="n">
        <v>121</v>
      </c>
      <c r="N7" t="n">
        <v>118</v>
      </c>
      <c r="O7" t="n">
        <v>118</v>
      </c>
      <c r="P7" t="n">
        <v>117</v>
      </c>
      <c r="Q7" t="n">
        <v>131</v>
      </c>
      <c r="R7" t="n">
        <v>136</v>
      </c>
      <c r="S7" t="n">
        <v>143</v>
      </c>
      <c r="T7" t="n">
        <v>131</v>
      </c>
      <c r="U7" t="n">
        <v>119</v>
      </c>
      <c r="V7" t="n">
        <v>115</v>
      </c>
      <c r="W7" t="n">
        <v>109</v>
      </c>
      <c r="X7" t="n">
        <v>101</v>
      </c>
      <c r="Y7" t="n">
        <v>91</v>
      </c>
      <c r="Z7" t="n">
        <v>89</v>
      </c>
      <c r="AA7" t="n">
        <v>92</v>
      </c>
      <c r="AB7" t="n">
        <v>110</v>
      </c>
      <c r="AC7" t="n">
        <v>106</v>
      </c>
      <c r="AD7" t="n">
        <v>102</v>
      </c>
      <c r="AE7" t="n">
        <v>97</v>
      </c>
      <c r="AF7" t="n">
        <v>94</v>
      </c>
    </row>
    <row r="8">
      <c r="A8" t="s">
        <v>101</v>
      </c>
      <c r="B8" t="s">
        <v>286</v>
      </c>
      <c r="C8" t="s">
        <v>236</v>
      </c>
      <c r="D8" t="s">
        <v>287</v>
      </c>
      <c r="E8" t="s">
        <v>237</v>
      </c>
      <c r="F8" t="n">
        <v>6</v>
      </c>
      <c r="G8" t="n">
        <v>7</v>
      </c>
      <c r="H8" t="n">
        <v>8</v>
      </c>
      <c r="I8" t="n">
        <v>9</v>
      </c>
      <c r="J8" t="n">
        <v>9</v>
      </c>
      <c r="K8" t="n">
        <v>9</v>
      </c>
      <c r="L8" t="n">
        <v>10</v>
      </c>
      <c r="M8" t="n">
        <v>10</v>
      </c>
      <c r="N8" t="n">
        <v>9</v>
      </c>
      <c r="O8" t="n">
        <v>8</v>
      </c>
      <c r="P8" t="n">
        <v>8</v>
      </c>
      <c r="Q8" t="n">
        <v>9</v>
      </c>
      <c r="R8" t="n">
        <v>9</v>
      </c>
      <c r="S8" t="n">
        <v>9</v>
      </c>
      <c r="T8" t="n">
        <v>10</v>
      </c>
      <c r="U8" t="n">
        <v>13</v>
      </c>
      <c r="V8" t="n">
        <v>12</v>
      </c>
      <c r="W8" t="n">
        <v>13</v>
      </c>
      <c r="X8" t="n">
        <v>12</v>
      </c>
      <c r="Y8" t="n">
        <v>12</v>
      </c>
      <c r="Z8" t="n">
        <v>18</v>
      </c>
      <c r="AA8" t="n">
        <v>13</v>
      </c>
      <c r="AB8" t="n">
        <v>0</v>
      </c>
      <c r="AC8" t="n">
        <v>0</v>
      </c>
      <c r="AD8" t="n">
        <v>0</v>
      </c>
      <c r="AE8" t="n">
        <v>1</v>
      </c>
      <c r="AF8" t="n">
        <v>122</v>
      </c>
    </row>
    <row r="9">
      <c r="A9" t="s">
        <v>101</v>
      </c>
      <c r="B9" t="s">
        <v>288</v>
      </c>
      <c r="C9" t="s">
        <v>236</v>
      </c>
      <c r="D9" t="s">
        <v>289</v>
      </c>
      <c r="E9" t="s">
        <v>237</v>
      </c>
      <c r="F9" t="n">
        <v>27</v>
      </c>
      <c r="G9" t="n">
        <v>27</v>
      </c>
      <c r="H9" t="n">
        <v>29</v>
      </c>
      <c r="I9" t="n">
        <v>29</v>
      </c>
      <c r="J9" t="n">
        <v>29</v>
      </c>
      <c r="K9" t="n">
        <v>31</v>
      </c>
      <c r="L9" t="n">
        <v>32</v>
      </c>
      <c r="M9" t="n">
        <v>32</v>
      </c>
      <c r="N9" t="n">
        <v>29</v>
      </c>
      <c r="O9" t="n">
        <v>29</v>
      </c>
      <c r="P9" t="n">
        <v>29</v>
      </c>
      <c r="Q9" t="n">
        <v>28</v>
      </c>
      <c r="R9" t="n">
        <v>30</v>
      </c>
      <c r="S9" t="n">
        <v>30</v>
      </c>
      <c r="T9" t="n">
        <v>28</v>
      </c>
      <c r="U9" t="n">
        <v>25</v>
      </c>
      <c r="V9" t="n">
        <v>23</v>
      </c>
      <c r="W9" t="n">
        <v>23</v>
      </c>
      <c r="X9" t="n">
        <v>25</v>
      </c>
      <c r="Y9" t="n">
        <v>24</v>
      </c>
      <c r="Z9" t="n">
        <v>28</v>
      </c>
      <c r="AA9" t="n">
        <v>35</v>
      </c>
      <c r="AB9" t="n">
        <v>43</v>
      </c>
      <c r="AC9" t="n">
        <v>48</v>
      </c>
      <c r="AD9" t="n">
        <v>48</v>
      </c>
      <c r="AE9" t="n">
        <v>50</v>
      </c>
      <c r="AF9" t="n">
        <v>56</v>
      </c>
    </row>
    <row r="10">
      <c r="A10" t="s">
        <v>101</v>
      </c>
      <c r="B10" t="s">
        <v>290</v>
      </c>
      <c r="C10" t="s">
        <v>236</v>
      </c>
      <c r="D10" t="s">
        <v>291</v>
      </c>
      <c r="E10" t="s">
        <v>237</v>
      </c>
      <c r="F10" t="n">
        <v>32</v>
      </c>
      <c r="G10" t="n">
        <v>32</v>
      </c>
      <c r="H10" t="n">
        <v>33</v>
      </c>
      <c r="I10" t="n">
        <v>34</v>
      </c>
      <c r="J10" t="n">
        <v>34</v>
      </c>
      <c r="K10" t="n">
        <v>36</v>
      </c>
      <c r="L10" t="n">
        <v>36</v>
      </c>
      <c r="M10" t="n">
        <v>37</v>
      </c>
      <c r="N10" t="n">
        <v>34</v>
      </c>
      <c r="O10" t="n">
        <v>33</v>
      </c>
      <c r="P10" t="n">
        <v>33</v>
      </c>
      <c r="Q10" t="n">
        <v>32</v>
      </c>
      <c r="R10" t="n">
        <v>33</v>
      </c>
      <c r="S10" t="n">
        <v>35</v>
      </c>
      <c r="T10" t="n">
        <v>32</v>
      </c>
      <c r="U10" t="n">
        <v>28</v>
      </c>
      <c r="V10" t="n">
        <v>26</v>
      </c>
      <c r="W10" t="n">
        <v>25</v>
      </c>
      <c r="X10" t="n">
        <v>27</v>
      </c>
      <c r="Y10" t="n">
        <v>25</v>
      </c>
      <c r="Z10" t="n">
        <v>29</v>
      </c>
      <c r="AA10" t="n">
        <v>36</v>
      </c>
      <c r="AB10" t="n">
        <v>44</v>
      </c>
      <c r="AC10" t="n">
        <v>49</v>
      </c>
      <c r="AD10" t="n">
        <v>48</v>
      </c>
      <c r="AE10" t="n">
        <v>50</v>
      </c>
      <c r="AF10" t="n">
        <v>56</v>
      </c>
    </row>
    <row r="11">
      <c r="A11" t="s">
        <v>101</v>
      </c>
      <c r="B11" t="s">
        <v>292</v>
      </c>
      <c r="C11" t="s">
        <v>236</v>
      </c>
      <c r="D11" t="s">
        <v>293</v>
      </c>
      <c r="E11" t="s">
        <v>237</v>
      </c>
      <c r="F11" t="n">
        <v>5</v>
      </c>
      <c r="G11" t="n">
        <v>5</v>
      </c>
      <c r="H11" t="n">
        <v>4</v>
      </c>
      <c r="I11" t="n">
        <v>5</v>
      </c>
      <c r="J11" t="n">
        <v>5</v>
      </c>
      <c r="K11" t="n">
        <v>5</v>
      </c>
      <c r="L11" t="n">
        <v>4</v>
      </c>
      <c r="M11" t="n">
        <v>5</v>
      </c>
      <c r="N11" t="n">
        <v>5</v>
      </c>
      <c r="O11" t="n">
        <v>4</v>
      </c>
      <c r="P11" t="n">
        <v>4</v>
      </c>
      <c r="Q11" t="n">
        <v>4</v>
      </c>
      <c r="R11" t="n">
        <v>3</v>
      </c>
      <c r="S11" t="n">
        <v>5</v>
      </c>
      <c r="T11" t="n">
        <v>4</v>
      </c>
      <c r="U11" t="n">
        <v>3</v>
      </c>
      <c r="V11" t="n">
        <v>3</v>
      </c>
      <c r="W11" t="n">
        <v>2</v>
      </c>
      <c r="X11" t="n">
        <v>2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0</v>
      </c>
      <c r="AE11" t="n">
        <v>0</v>
      </c>
      <c r="AF11" t="n">
        <v>0</v>
      </c>
    </row>
    <row r="12">
      <c r="A12" t="s">
        <v>101</v>
      </c>
      <c r="B12" t="s">
        <v>294</v>
      </c>
      <c r="C12" t="s">
        <v>236</v>
      </c>
      <c r="D12" t="s">
        <v>295</v>
      </c>
      <c r="E12" t="s">
        <v>237</v>
      </c>
      <c r="F12" t="n">
        <v>43</v>
      </c>
      <c r="G12" t="n">
        <v>42</v>
      </c>
      <c r="H12" t="n">
        <v>40</v>
      </c>
      <c r="I12" t="n">
        <v>43</v>
      </c>
      <c r="J12" t="n">
        <v>41</v>
      </c>
      <c r="K12" t="n">
        <v>47</v>
      </c>
      <c r="L12" t="n">
        <v>48</v>
      </c>
      <c r="M12" t="n">
        <v>46</v>
      </c>
      <c r="N12" t="n">
        <v>44</v>
      </c>
      <c r="O12" t="n">
        <v>43</v>
      </c>
      <c r="P12" t="n">
        <v>42</v>
      </c>
      <c r="Q12" t="n">
        <v>49</v>
      </c>
      <c r="R12" t="n">
        <v>48</v>
      </c>
      <c r="S12" t="n">
        <v>52</v>
      </c>
      <c r="T12" t="n">
        <v>51</v>
      </c>
      <c r="U12" t="n">
        <v>47</v>
      </c>
      <c r="V12" t="n">
        <v>44</v>
      </c>
      <c r="W12" t="n">
        <v>43</v>
      </c>
      <c r="X12" t="n">
        <v>39</v>
      </c>
      <c r="Y12" t="n">
        <v>37</v>
      </c>
      <c r="Z12" t="n">
        <v>37</v>
      </c>
      <c r="AA12" t="n">
        <v>34</v>
      </c>
      <c r="AB12" t="n">
        <v>30</v>
      </c>
      <c r="AC12" t="n">
        <v>28</v>
      </c>
      <c r="AD12" t="n">
        <v>24</v>
      </c>
      <c r="AE12" t="n">
        <v>22</v>
      </c>
      <c r="AF12" t="n">
        <v>24</v>
      </c>
    </row>
    <row r="13">
      <c r="A13" t="s">
        <v>101</v>
      </c>
      <c r="B13" t="s">
        <v>296</v>
      </c>
      <c r="C13" t="s">
        <v>236</v>
      </c>
      <c r="D13" t="s">
        <v>297</v>
      </c>
      <c r="E13" t="s">
        <v>237</v>
      </c>
      <c r="F13" t="n">
        <v>44</v>
      </c>
      <c r="G13" t="n">
        <v>40</v>
      </c>
      <c r="H13" t="n">
        <v>37</v>
      </c>
      <c r="I13" t="n">
        <v>41</v>
      </c>
      <c r="J13" t="n">
        <v>41</v>
      </c>
      <c r="K13" t="n">
        <v>47</v>
      </c>
      <c r="L13" t="n">
        <v>49</v>
      </c>
      <c r="M13" t="n">
        <v>49</v>
      </c>
      <c r="N13" t="n">
        <v>50</v>
      </c>
      <c r="O13" t="n">
        <v>50</v>
      </c>
      <c r="P13" t="n">
        <v>49</v>
      </c>
      <c r="Q13" t="n">
        <v>64</v>
      </c>
      <c r="R13" t="n">
        <v>81</v>
      </c>
      <c r="S13" t="n">
        <v>100</v>
      </c>
      <c r="T13" t="n">
        <v>114</v>
      </c>
      <c r="U13" t="n">
        <v>111</v>
      </c>
      <c r="V13" t="n">
        <v>107</v>
      </c>
      <c r="W13" t="n">
        <v>118</v>
      </c>
      <c r="X13" t="n">
        <v>106</v>
      </c>
      <c r="Y13" t="n">
        <v>99</v>
      </c>
      <c r="Z13" t="n">
        <v>97</v>
      </c>
      <c r="AA13" t="n">
        <v>92</v>
      </c>
      <c r="AB13" t="n">
        <v>88</v>
      </c>
      <c r="AC13" t="n">
        <v>91</v>
      </c>
      <c r="AD13" t="n">
        <v>93</v>
      </c>
      <c r="AE13" t="n">
        <v>91</v>
      </c>
      <c r="AF13" t="n">
        <v>88</v>
      </c>
    </row>
    <row r="14">
      <c r="A14" t="s">
        <v>101</v>
      </c>
      <c r="B14" t="s">
        <v>298</v>
      </c>
      <c r="C14" t="s">
        <v>236</v>
      </c>
      <c r="D14" t="s">
        <v>299</v>
      </c>
      <c r="E14" t="s">
        <v>237</v>
      </c>
      <c r="F14" t="n">
        <v>9</v>
      </c>
      <c r="G14" t="n">
        <v>12</v>
      </c>
      <c r="H14" t="n">
        <v>16</v>
      </c>
      <c r="I14" t="n">
        <v>21</v>
      </c>
      <c r="J14" t="n">
        <v>26</v>
      </c>
      <c r="K14" t="n">
        <v>33</v>
      </c>
      <c r="L14" t="n">
        <v>41</v>
      </c>
      <c r="M14" t="n">
        <v>43</v>
      </c>
      <c r="N14" t="n">
        <v>49</v>
      </c>
      <c r="O14" t="n">
        <v>55</v>
      </c>
      <c r="P14" t="n">
        <v>61</v>
      </c>
      <c r="Q14" t="n">
        <v>73</v>
      </c>
      <c r="R14" t="n">
        <v>77</v>
      </c>
      <c r="S14" t="n">
        <v>106</v>
      </c>
      <c r="T14" t="n">
        <v>97</v>
      </c>
      <c r="U14" t="n">
        <v>94</v>
      </c>
      <c r="V14" t="n">
        <v>91</v>
      </c>
      <c r="W14" t="n">
        <v>87</v>
      </c>
      <c r="X14" t="n">
        <v>79</v>
      </c>
      <c r="Y14" t="n">
        <v>76</v>
      </c>
      <c r="Z14" t="n">
        <v>78</v>
      </c>
      <c r="AA14" t="n">
        <v>75</v>
      </c>
      <c r="AB14" t="n">
        <v>74</v>
      </c>
      <c r="AC14" t="n">
        <v>73</v>
      </c>
      <c r="AD14" t="n">
        <v>70</v>
      </c>
      <c r="AE14" t="n">
        <v>75</v>
      </c>
      <c r="AF14" t="n">
        <v>75</v>
      </c>
    </row>
    <row r="15">
      <c r="A15" t="s">
        <v>101</v>
      </c>
      <c r="B15" t="s">
        <v>300</v>
      </c>
      <c r="C15" t="s">
        <v>236</v>
      </c>
      <c r="D15" t="s">
        <v>301</v>
      </c>
      <c r="E15" t="s">
        <v>237</v>
      </c>
      <c r="F15" t="n">
        <v>19</v>
      </c>
      <c r="G15" t="n">
        <v>21</v>
      </c>
      <c r="H15" t="n">
        <v>26</v>
      </c>
      <c r="I15" t="n">
        <v>31</v>
      </c>
      <c r="J15" t="n">
        <v>37</v>
      </c>
      <c r="K15" t="n">
        <v>46</v>
      </c>
      <c r="L15" t="n">
        <v>54</v>
      </c>
      <c r="M15" t="n">
        <v>55</v>
      </c>
      <c r="N15" t="n">
        <v>63</v>
      </c>
      <c r="O15" t="n">
        <v>70</v>
      </c>
      <c r="P15" t="n">
        <v>76</v>
      </c>
      <c r="Q15" t="n">
        <v>89</v>
      </c>
      <c r="R15" t="n">
        <v>94</v>
      </c>
      <c r="S15" t="n">
        <v>125</v>
      </c>
      <c r="T15" t="n">
        <v>116</v>
      </c>
      <c r="U15" t="n">
        <v>112</v>
      </c>
      <c r="V15" t="n">
        <v>107</v>
      </c>
      <c r="W15" t="n">
        <v>102</v>
      </c>
      <c r="X15" t="n">
        <v>94</v>
      </c>
      <c r="Y15" t="n">
        <v>88</v>
      </c>
      <c r="Z15" t="n">
        <v>89</v>
      </c>
      <c r="AA15" t="n">
        <v>84</v>
      </c>
      <c r="AB15" t="n">
        <v>83</v>
      </c>
      <c r="AC15" t="n">
        <v>82</v>
      </c>
      <c r="AD15" t="n">
        <v>77</v>
      </c>
      <c r="AE15" t="n">
        <v>82</v>
      </c>
      <c r="AF15" t="n">
        <v>82</v>
      </c>
    </row>
    <row r="16">
      <c r="A16" t="s">
        <v>101</v>
      </c>
      <c r="B16" t="s">
        <v>302</v>
      </c>
      <c r="C16" t="s">
        <v>236</v>
      </c>
      <c r="D16" t="s">
        <v>303</v>
      </c>
      <c r="E16" t="s">
        <v>237</v>
      </c>
      <c r="F16" t="n">
        <v>10</v>
      </c>
      <c r="G16" t="n">
        <v>9</v>
      </c>
      <c r="H16" t="n">
        <v>10</v>
      </c>
      <c r="I16" t="n">
        <v>10</v>
      </c>
      <c r="J16" t="n">
        <v>11</v>
      </c>
      <c r="K16" t="n">
        <v>13</v>
      </c>
      <c r="L16" t="n">
        <v>13</v>
      </c>
      <c r="M16" t="n">
        <v>12</v>
      </c>
      <c r="N16" t="n">
        <v>14</v>
      </c>
      <c r="O16" t="n">
        <v>15</v>
      </c>
      <c r="P16" t="n">
        <v>15</v>
      </c>
      <c r="Q16" t="n">
        <v>16</v>
      </c>
      <c r="R16" t="n">
        <v>17</v>
      </c>
      <c r="S16" t="n">
        <v>19</v>
      </c>
      <c r="T16" t="n">
        <v>19</v>
      </c>
      <c r="U16" t="n">
        <v>18</v>
      </c>
      <c r="V16" t="n">
        <v>16</v>
      </c>
      <c r="W16" t="n">
        <v>15</v>
      </c>
      <c r="X16" t="n">
        <v>15</v>
      </c>
      <c r="Y16" t="n">
        <v>12</v>
      </c>
      <c r="Z16" t="n">
        <v>11</v>
      </c>
      <c r="AA16" t="n">
        <v>9</v>
      </c>
      <c r="AB16" t="n">
        <v>9</v>
      </c>
      <c r="AC16" t="n">
        <v>9</v>
      </c>
      <c r="AD16" t="n">
        <v>7</v>
      </c>
      <c r="AE16" t="n">
        <v>7</v>
      </c>
      <c r="AF16" t="n">
        <v>7</v>
      </c>
    </row>
    <row r="17">
      <c r="A17" t="s">
        <v>101</v>
      </c>
      <c r="B17" t="s">
        <v>304</v>
      </c>
      <c r="C17" t="s">
        <v>236</v>
      </c>
      <c r="D17" t="s">
        <v>305</v>
      </c>
      <c r="E17" t="s">
        <v>237</v>
      </c>
      <c r="F17" t="n">
        <v>38</v>
      </c>
      <c r="G17" t="n">
        <v>38</v>
      </c>
      <c r="H17" t="n">
        <v>37</v>
      </c>
      <c r="I17" t="n">
        <v>38</v>
      </c>
      <c r="J17" t="n">
        <v>40</v>
      </c>
      <c r="K17" t="n">
        <v>43</v>
      </c>
      <c r="L17" t="n">
        <v>45</v>
      </c>
      <c r="M17" t="n">
        <v>43</v>
      </c>
      <c r="N17" t="n">
        <v>44</v>
      </c>
      <c r="O17" t="n">
        <v>44</v>
      </c>
      <c r="P17" t="n">
        <v>48</v>
      </c>
      <c r="Q17" t="n">
        <v>59</v>
      </c>
      <c r="R17" t="n">
        <v>65</v>
      </c>
      <c r="S17" t="n">
        <v>78</v>
      </c>
      <c r="T17" t="n">
        <v>89</v>
      </c>
      <c r="U17" t="n">
        <v>79</v>
      </c>
      <c r="V17" t="n">
        <v>78</v>
      </c>
      <c r="W17" t="n">
        <v>78</v>
      </c>
      <c r="X17" t="n">
        <v>71</v>
      </c>
      <c r="Y17" t="n">
        <v>68</v>
      </c>
      <c r="Z17" t="n">
        <v>67</v>
      </c>
      <c r="AA17" t="n">
        <v>64</v>
      </c>
      <c r="AB17" t="n">
        <v>58</v>
      </c>
      <c r="AC17" t="n">
        <v>60</v>
      </c>
      <c r="AD17" t="n">
        <v>60</v>
      </c>
      <c r="AE17" t="n">
        <v>58</v>
      </c>
      <c r="AF17" t="n">
        <v>55</v>
      </c>
    </row>
    <row r="18">
      <c r="A18" t="s">
        <v>101</v>
      </c>
      <c r="B18" t="s">
        <v>306</v>
      </c>
      <c r="C18" t="s">
        <v>236</v>
      </c>
      <c r="D18" t="s">
        <v>307</v>
      </c>
      <c r="E18" t="s">
        <v>237</v>
      </c>
      <c r="F18" t="n">
        <v>28</v>
      </c>
      <c r="G18" t="n">
        <v>25</v>
      </c>
      <c r="H18" t="n">
        <v>23</v>
      </c>
      <c r="I18" t="n">
        <v>21</v>
      </c>
      <c r="J18" t="n">
        <v>21</v>
      </c>
      <c r="K18" t="n">
        <v>23</v>
      </c>
      <c r="L18" t="n">
        <v>23</v>
      </c>
      <c r="M18" t="n">
        <v>21</v>
      </c>
      <c r="N18" t="n">
        <v>19</v>
      </c>
      <c r="O18" t="n">
        <v>18</v>
      </c>
      <c r="P18" t="n">
        <v>19</v>
      </c>
      <c r="Q18" t="n">
        <v>23</v>
      </c>
      <c r="R18" t="n">
        <v>25</v>
      </c>
      <c r="S18" t="n">
        <v>26</v>
      </c>
      <c r="T18" t="n">
        <v>28</v>
      </c>
      <c r="U18" t="n">
        <v>26</v>
      </c>
      <c r="V18" t="n">
        <v>25</v>
      </c>
      <c r="W18" t="n">
        <v>24</v>
      </c>
      <c r="X18" t="n">
        <v>20</v>
      </c>
      <c r="Y18" t="n">
        <v>17</v>
      </c>
      <c r="Z18" t="n">
        <v>15</v>
      </c>
      <c r="AA18" t="n">
        <v>13</v>
      </c>
      <c r="AB18" t="n">
        <v>11</v>
      </c>
      <c r="AC18" t="n">
        <v>11</v>
      </c>
      <c r="AD18" t="n">
        <v>0</v>
      </c>
      <c r="AE18" t="n">
        <v>0</v>
      </c>
      <c r="AF18" t="n">
        <v>0</v>
      </c>
    </row>
    <row r="19">
      <c r="A19" t="s">
        <v>101</v>
      </c>
      <c r="B19" t="s">
        <v>308</v>
      </c>
      <c r="C19" t="s">
        <v>236</v>
      </c>
      <c r="D19" t="s">
        <v>309</v>
      </c>
      <c r="E19" t="s">
        <v>237</v>
      </c>
      <c r="F19" t="n">
        <v>18</v>
      </c>
      <c r="G19" t="n">
        <v>18</v>
      </c>
      <c r="H19" t="n">
        <v>19</v>
      </c>
      <c r="I19" t="n">
        <v>20</v>
      </c>
      <c r="J19" t="n">
        <v>20</v>
      </c>
      <c r="K19" t="n">
        <v>23</v>
      </c>
      <c r="L19" t="n">
        <v>23</v>
      </c>
      <c r="M19" t="n">
        <v>25</v>
      </c>
      <c r="N19" t="n">
        <v>25</v>
      </c>
      <c r="O19" t="n">
        <v>25</v>
      </c>
      <c r="P19" t="n">
        <v>26</v>
      </c>
      <c r="Q19" t="n">
        <v>30</v>
      </c>
      <c r="R19" t="n">
        <v>32</v>
      </c>
      <c r="S19" t="n">
        <v>36</v>
      </c>
      <c r="T19" t="n">
        <v>34</v>
      </c>
      <c r="U19" t="n">
        <v>33</v>
      </c>
      <c r="V19" t="n">
        <v>31</v>
      </c>
      <c r="W19" t="n">
        <v>29</v>
      </c>
      <c r="X19" t="n">
        <v>25</v>
      </c>
      <c r="Y19" t="n">
        <v>29</v>
      </c>
      <c r="Z19" t="n">
        <v>38</v>
      </c>
      <c r="AA19" t="n">
        <v>39</v>
      </c>
      <c r="AB19" t="n">
        <v>44</v>
      </c>
      <c r="AC19" t="n">
        <v>46</v>
      </c>
      <c r="AD19" t="n">
        <v>49</v>
      </c>
      <c r="AE19" t="n">
        <v>48</v>
      </c>
      <c r="AF19" t="n">
        <v>51</v>
      </c>
    </row>
    <row r="20">
      <c r="A20" t="s">
        <v>101</v>
      </c>
      <c r="B20" t="s">
        <v>310</v>
      </c>
      <c r="C20" t="s">
        <v>236</v>
      </c>
      <c r="D20" t="s">
        <v>311</v>
      </c>
      <c r="E20" t="s">
        <v>237</v>
      </c>
      <c r="F20" t="n">
        <v>74</v>
      </c>
      <c r="G20" t="n">
        <v>70</v>
      </c>
      <c r="H20" t="n">
        <v>70</v>
      </c>
      <c r="I20" t="n">
        <v>69</v>
      </c>
      <c r="J20" t="n">
        <v>69</v>
      </c>
      <c r="K20" t="n">
        <v>72</v>
      </c>
      <c r="L20" t="n">
        <v>74</v>
      </c>
      <c r="M20" t="n">
        <v>71</v>
      </c>
      <c r="N20" t="n">
        <v>69</v>
      </c>
      <c r="O20" t="n">
        <v>68</v>
      </c>
      <c r="P20" t="n">
        <v>66</v>
      </c>
      <c r="Q20" t="n">
        <v>66</v>
      </c>
      <c r="R20" t="n">
        <v>64</v>
      </c>
      <c r="S20" t="n">
        <v>69</v>
      </c>
      <c r="T20" t="n">
        <v>69</v>
      </c>
      <c r="U20" t="n">
        <v>98</v>
      </c>
      <c r="V20" t="n">
        <v>90</v>
      </c>
      <c r="W20" t="n">
        <v>113</v>
      </c>
      <c r="X20" t="n">
        <v>137</v>
      </c>
      <c r="Y20" t="n">
        <v>164</v>
      </c>
      <c r="Z20" t="n">
        <v>196</v>
      </c>
      <c r="AA20" t="n">
        <v>233</v>
      </c>
      <c r="AB20" t="n">
        <v>247</v>
      </c>
      <c r="AC20" t="n">
        <v>259</v>
      </c>
      <c r="AD20" t="n">
        <v>254</v>
      </c>
      <c r="AE20" t="n">
        <v>277</v>
      </c>
      <c r="AF20" t="n">
        <v>287</v>
      </c>
    </row>
    <row r="21">
      <c r="A21" t="s">
        <v>101</v>
      </c>
      <c r="B21" t="s">
        <v>312</v>
      </c>
      <c r="C21" t="s">
        <v>236</v>
      </c>
      <c r="D21" t="s">
        <v>313</v>
      </c>
      <c r="E21" t="s">
        <v>237</v>
      </c>
      <c r="F21" t="n">
        <v>205</v>
      </c>
      <c r="G21" t="n">
        <v>197</v>
      </c>
      <c r="H21" t="n">
        <v>199</v>
      </c>
      <c r="I21" t="n">
        <v>206</v>
      </c>
      <c r="J21" t="n">
        <v>216</v>
      </c>
      <c r="K21" t="n">
        <v>232</v>
      </c>
      <c r="L21" t="n">
        <v>240</v>
      </c>
      <c r="M21" t="n">
        <v>218</v>
      </c>
      <c r="N21" t="n">
        <v>197</v>
      </c>
      <c r="O21" t="n">
        <v>182</v>
      </c>
      <c r="P21" t="n">
        <v>172</v>
      </c>
      <c r="Q21" t="n">
        <v>164</v>
      </c>
      <c r="R21" t="n">
        <v>158</v>
      </c>
      <c r="S21" t="n">
        <v>160</v>
      </c>
      <c r="T21" t="n">
        <v>154</v>
      </c>
      <c r="U21" t="n">
        <v>186</v>
      </c>
      <c r="V21" t="n">
        <v>171</v>
      </c>
      <c r="W21" t="n">
        <v>217</v>
      </c>
      <c r="X21" t="n">
        <v>237</v>
      </c>
      <c r="Y21" t="n">
        <v>262</v>
      </c>
      <c r="Z21" t="n">
        <v>295</v>
      </c>
      <c r="AA21" t="n">
        <v>341</v>
      </c>
      <c r="AB21" t="n">
        <v>358</v>
      </c>
      <c r="AC21" t="n">
        <v>367</v>
      </c>
      <c r="AD21" t="n">
        <v>351</v>
      </c>
      <c r="AE21" t="n">
        <v>366</v>
      </c>
      <c r="AF21" t="n">
        <v>368</v>
      </c>
    </row>
    <row r="22">
      <c r="A22" t="s">
        <v>101</v>
      </c>
      <c r="B22" t="s">
        <v>314</v>
      </c>
      <c r="C22" t="s">
        <v>236</v>
      </c>
      <c r="D22" t="s">
        <v>315</v>
      </c>
      <c r="E22" t="s">
        <v>237</v>
      </c>
      <c r="F22" t="n">
        <v>131</v>
      </c>
      <c r="G22" t="n">
        <v>127</v>
      </c>
      <c r="H22" t="n">
        <v>129</v>
      </c>
      <c r="I22" t="n">
        <v>137</v>
      </c>
      <c r="J22" t="n">
        <v>147</v>
      </c>
      <c r="K22" t="n">
        <v>160</v>
      </c>
      <c r="L22" t="n">
        <v>166</v>
      </c>
      <c r="M22" t="n">
        <v>147</v>
      </c>
      <c r="N22" t="n">
        <v>128</v>
      </c>
      <c r="O22" t="n">
        <v>114</v>
      </c>
      <c r="P22" t="n">
        <v>106</v>
      </c>
      <c r="Q22" t="n">
        <v>98</v>
      </c>
      <c r="R22" t="n">
        <v>94</v>
      </c>
      <c r="S22" t="n">
        <v>91</v>
      </c>
      <c r="T22" t="n">
        <v>85</v>
      </c>
      <c r="U22" t="n">
        <v>88</v>
      </c>
      <c r="V22" t="n">
        <v>81</v>
      </c>
      <c r="W22" t="n">
        <v>104</v>
      </c>
      <c r="X22" t="n">
        <v>100</v>
      </c>
      <c r="Y22" t="n">
        <v>98</v>
      </c>
      <c r="Z22" t="n">
        <v>99</v>
      </c>
      <c r="AA22" t="n">
        <v>108</v>
      </c>
      <c r="AB22" t="n">
        <v>111</v>
      </c>
      <c r="AC22" t="n">
        <v>108</v>
      </c>
      <c r="AD22" t="n">
        <v>97</v>
      </c>
      <c r="AE22" t="n">
        <v>89</v>
      </c>
      <c r="AF22" t="n">
        <v>81</v>
      </c>
    </row>
    <row r="23">
      <c r="A23" t="s">
        <v>101</v>
      </c>
      <c r="B23" t="s">
        <v>316</v>
      </c>
      <c r="C23" t="s">
        <v>236</v>
      </c>
      <c r="D23" t="s">
        <v>317</v>
      </c>
      <c r="E23" t="s">
        <v>237</v>
      </c>
      <c r="F23" t="n">
        <v>207</v>
      </c>
      <c r="G23" t="n">
        <v>240</v>
      </c>
      <c r="H23" t="n">
        <v>279</v>
      </c>
      <c r="I23" t="n">
        <v>320</v>
      </c>
      <c r="J23" t="n">
        <v>372</v>
      </c>
      <c r="K23" t="n">
        <v>446</v>
      </c>
      <c r="L23" t="n">
        <v>495</v>
      </c>
      <c r="M23" t="n">
        <v>525</v>
      </c>
      <c r="N23" t="n">
        <v>550</v>
      </c>
      <c r="O23" t="n">
        <v>582</v>
      </c>
      <c r="P23" t="n">
        <v>613</v>
      </c>
      <c r="Q23" t="n">
        <v>651</v>
      </c>
      <c r="R23" t="n">
        <v>707</v>
      </c>
      <c r="S23" t="n">
        <v>738</v>
      </c>
      <c r="T23" t="n">
        <v>742</v>
      </c>
      <c r="U23" t="n">
        <v>799</v>
      </c>
      <c r="V23" t="n">
        <v>808</v>
      </c>
      <c r="W23" t="n">
        <v>823</v>
      </c>
      <c r="X23" t="n">
        <v>783</v>
      </c>
      <c r="Y23" t="n">
        <v>748</v>
      </c>
      <c r="Z23" t="n">
        <v>754</v>
      </c>
      <c r="AA23" t="n">
        <v>753</v>
      </c>
      <c r="AB23" t="n">
        <v>746</v>
      </c>
      <c r="AC23" t="n">
        <v>739</v>
      </c>
      <c r="AD23" t="n">
        <v>693</v>
      </c>
      <c r="AE23" t="n">
        <v>651</v>
      </c>
      <c r="AF23" t="n">
        <v>626</v>
      </c>
    </row>
    <row r="24">
      <c r="A24" t="s">
        <v>101</v>
      </c>
      <c r="B24" t="s">
        <v>318</v>
      </c>
      <c r="C24" t="s">
        <v>236</v>
      </c>
      <c r="D24" t="s">
        <v>319</v>
      </c>
      <c r="E24" t="s">
        <v>237</v>
      </c>
      <c r="F24" t="n">
        <v>1390</v>
      </c>
      <c r="G24" t="n">
        <v>1332</v>
      </c>
      <c r="H24" t="n">
        <v>1311</v>
      </c>
      <c r="I24" t="n">
        <v>1291</v>
      </c>
      <c r="J24" t="n">
        <v>1283</v>
      </c>
      <c r="K24" t="n">
        <v>1370</v>
      </c>
      <c r="L24" t="n">
        <v>1450</v>
      </c>
      <c r="M24" t="n">
        <v>1423</v>
      </c>
      <c r="N24" t="n">
        <v>1406</v>
      </c>
      <c r="O24" t="n">
        <v>1380</v>
      </c>
      <c r="P24" t="n">
        <v>1360</v>
      </c>
      <c r="Q24" t="n">
        <v>1337</v>
      </c>
      <c r="R24" t="n">
        <v>1358</v>
      </c>
      <c r="S24" t="n">
        <v>1383</v>
      </c>
      <c r="T24" t="n">
        <v>1365</v>
      </c>
      <c r="U24" t="n">
        <v>1421</v>
      </c>
      <c r="V24" t="n">
        <v>1415</v>
      </c>
      <c r="W24" t="n">
        <v>1463</v>
      </c>
      <c r="X24" t="n">
        <v>1371</v>
      </c>
      <c r="Y24" t="n">
        <v>1278</v>
      </c>
      <c r="Z24" t="n">
        <v>1234</v>
      </c>
      <c r="AA24" t="n">
        <v>1152</v>
      </c>
      <c r="AB24" t="n">
        <v>1031</v>
      </c>
      <c r="AC24" t="n">
        <v>941</v>
      </c>
      <c r="AD24" t="n">
        <v>822</v>
      </c>
      <c r="AE24" t="n">
        <v>726</v>
      </c>
      <c r="AF24" t="n">
        <v>640</v>
      </c>
    </row>
    <row r="25">
      <c r="A25" t="s">
        <v>101</v>
      </c>
      <c r="B25" t="s">
        <v>320</v>
      </c>
      <c r="C25" t="s">
        <v>236</v>
      </c>
      <c r="D25" t="s">
        <v>321</v>
      </c>
      <c r="E25" t="s">
        <v>237</v>
      </c>
      <c r="F25" t="n">
        <v>126</v>
      </c>
      <c r="G25" t="n">
        <v>125</v>
      </c>
      <c r="H25" t="n">
        <v>127</v>
      </c>
      <c r="I25" t="n">
        <v>126</v>
      </c>
      <c r="J25" t="n">
        <v>127</v>
      </c>
      <c r="K25" t="n">
        <v>152</v>
      </c>
      <c r="L25" t="n">
        <v>169</v>
      </c>
      <c r="M25" t="n">
        <v>172</v>
      </c>
      <c r="N25" t="n">
        <v>172</v>
      </c>
      <c r="O25" t="n">
        <v>174</v>
      </c>
      <c r="P25" t="n">
        <v>168</v>
      </c>
      <c r="Q25" t="n">
        <v>174</v>
      </c>
      <c r="R25" t="n">
        <v>170</v>
      </c>
      <c r="S25" t="n">
        <v>182</v>
      </c>
      <c r="T25" t="n">
        <v>180</v>
      </c>
      <c r="U25" t="n">
        <v>199</v>
      </c>
      <c r="V25" t="n">
        <v>210</v>
      </c>
      <c r="W25" t="n">
        <v>214</v>
      </c>
      <c r="X25" t="n">
        <v>192</v>
      </c>
      <c r="Y25" t="n">
        <v>176</v>
      </c>
      <c r="Z25" t="n">
        <v>169</v>
      </c>
      <c r="AA25" t="n">
        <v>163</v>
      </c>
      <c r="AB25" t="n">
        <v>146</v>
      </c>
      <c r="AC25" t="n">
        <v>135</v>
      </c>
      <c r="AD25" t="n">
        <v>120</v>
      </c>
      <c r="AE25" t="n">
        <v>110</v>
      </c>
      <c r="AF25" t="n">
        <v>98</v>
      </c>
    </row>
    <row r="26">
      <c r="A26" t="s">
        <v>101</v>
      </c>
      <c r="B26" t="s">
        <v>322</v>
      </c>
      <c r="C26" t="s">
        <v>236</v>
      </c>
      <c r="D26" t="s">
        <v>323</v>
      </c>
      <c r="E26" t="s">
        <v>237</v>
      </c>
      <c r="F26" t="n">
        <v>994</v>
      </c>
      <c r="G26" t="n">
        <v>948</v>
      </c>
      <c r="H26" t="n">
        <v>928</v>
      </c>
      <c r="I26" t="n">
        <v>916</v>
      </c>
      <c r="J26" t="n">
        <v>898</v>
      </c>
      <c r="K26" t="n">
        <v>934</v>
      </c>
      <c r="L26" t="n">
        <v>959</v>
      </c>
      <c r="M26" t="n">
        <v>922</v>
      </c>
      <c r="N26" t="n">
        <v>878</v>
      </c>
      <c r="O26" t="n">
        <v>836</v>
      </c>
      <c r="P26" t="n">
        <v>803</v>
      </c>
      <c r="Q26" t="n">
        <v>764</v>
      </c>
      <c r="R26" t="n">
        <v>767</v>
      </c>
      <c r="S26" t="n">
        <v>770</v>
      </c>
      <c r="T26" t="n">
        <v>744</v>
      </c>
      <c r="U26" t="n">
        <v>742</v>
      </c>
      <c r="V26" t="n">
        <v>724</v>
      </c>
      <c r="W26" t="n">
        <v>741</v>
      </c>
      <c r="X26" t="n">
        <v>691</v>
      </c>
      <c r="Y26" t="n">
        <v>637</v>
      </c>
      <c r="Z26" t="n">
        <v>600</v>
      </c>
      <c r="AA26" t="n">
        <v>549</v>
      </c>
      <c r="AB26" t="n">
        <v>488</v>
      </c>
      <c r="AC26" t="n">
        <v>438</v>
      </c>
      <c r="AD26" t="n">
        <v>374</v>
      </c>
      <c r="AE26" t="n">
        <v>321</v>
      </c>
      <c r="AF26" t="n">
        <v>274</v>
      </c>
    </row>
    <row r="27">
      <c r="A27" t="s">
        <v>101</v>
      </c>
      <c r="B27" t="s">
        <v>324</v>
      </c>
      <c r="C27" t="s">
        <v>236</v>
      </c>
      <c r="D27" t="s">
        <v>325</v>
      </c>
      <c r="E27" t="s">
        <v>237</v>
      </c>
      <c r="F27" t="n">
        <v>270</v>
      </c>
      <c r="G27" t="n">
        <v>259</v>
      </c>
      <c r="H27" t="n">
        <v>256</v>
      </c>
      <c r="I27" t="n">
        <v>249</v>
      </c>
      <c r="J27" t="n">
        <v>258</v>
      </c>
      <c r="K27" t="n">
        <v>284</v>
      </c>
      <c r="L27" t="n">
        <v>322</v>
      </c>
      <c r="M27" t="n">
        <v>329</v>
      </c>
      <c r="N27" t="n">
        <v>356</v>
      </c>
      <c r="O27" t="n">
        <v>370</v>
      </c>
      <c r="P27" t="n">
        <v>389</v>
      </c>
      <c r="Q27" t="n">
        <v>399</v>
      </c>
      <c r="R27" t="n">
        <v>421</v>
      </c>
      <c r="S27" t="n">
        <v>431</v>
      </c>
      <c r="T27" t="n">
        <v>441</v>
      </c>
      <c r="U27" t="n">
        <v>480</v>
      </c>
      <c r="V27" t="n">
        <v>481</v>
      </c>
      <c r="W27" t="n">
        <v>508</v>
      </c>
      <c r="X27" t="n">
        <v>488</v>
      </c>
      <c r="Y27" t="n">
        <v>465</v>
      </c>
      <c r="Z27" t="n">
        <v>465</v>
      </c>
      <c r="AA27" t="n">
        <v>440</v>
      </c>
      <c r="AB27" t="n">
        <v>397</v>
      </c>
      <c r="AC27" t="n">
        <v>368</v>
      </c>
      <c r="AD27" t="n">
        <v>328</v>
      </c>
      <c r="AE27" t="n">
        <v>295</v>
      </c>
      <c r="AF27" t="n">
        <v>268</v>
      </c>
    </row>
    <row r="28">
      <c r="A28" t="s">
        <v>101</v>
      </c>
      <c r="B28" t="s">
        <v>326</v>
      </c>
      <c r="C28" t="s">
        <v>236</v>
      </c>
      <c r="D28" t="s">
        <v>327</v>
      </c>
      <c r="E28" t="s">
        <v>237</v>
      </c>
      <c r="F28" t="n">
        <v>6291</v>
      </c>
      <c r="G28" t="n">
        <v>6169</v>
      </c>
      <c r="H28" t="n">
        <v>6487</v>
      </c>
      <c r="I28" t="n">
        <v>6683</v>
      </c>
      <c r="J28" t="n">
        <v>6887</v>
      </c>
      <c r="K28" t="n">
        <v>7234</v>
      </c>
      <c r="L28" t="n">
        <v>7570</v>
      </c>
      <c r="M28" t="n">
        <v>7328</v>
      </c>
      <c r="N28" t="n">
        <v>6937</v>
      </c>
      <c r="O28" t="n">
        <v>7078</v>
      </c>
      <c r="P28" t="n">
        <v>7113</v>
      </c>
      <c r="Q28" t="n">
        <v>7194</v>
      </c>
      <c r="R28" t="n">
        <v>7332</v>
      </c>
      <c r="S28" t="n">
        <v>7083</v>
      </c>
      <c r="T28" t="n">
        <v>7207</v>
      </c>
      <c r="U28" t="n">
        <v>7006</v>
      </c>
      <c r="V28" t="n">
        <v>7017</v>
      </c>
      <c r="W28" t="n">
        <v>7150</v>
      </c>
      <c r="X28" t="n">
        <v>7089</v>
      </c>
      <c r="Y28" t="n">
        <v>6985</v>
      </c>
      <c r="Z28" t="n">
        <v>7159</v>
      </c>
      <c r="AA28" t="n">
        <v>7368</v>
      </c>
      <c r="AB28" t="n">
        <v>7472</v>
      </c>
      <c r="AC28" t="n">
        <v>7155</v>
      </c>
      <c r="AD28" t="n">
        <v>7671</v>
      </c>
      <c r="AE28" t="n">
        <v>7483</v>
      </c>
      <c r="AF28" t="n">
        <v>7055</v>
      </c>
    </row>
    <row r="29">
      <c r="A29" t="s">
        <v>101</v>
      </c>
      <c r="B29" t="s">
        <v>328</v>
      </c>
      <c r="C29" t="s">
        <v>236</v>
      </c>
      <c r="D29" t="s">
        <v>329</v>
      </c>
      <c r="E29" t="s">
        <v>237</v>
      </c>
      <c r="F29" t="n">
        <v>1977</v>
      </c>
      <c r="G29" t="n">
        <v>2024</v>
      </c>
      <c r="H29" t="n">
        <v>2150</v>
      </c>
      <c r="I29" t="n">
        <v>2255</v>
      </c>
      <c r="J29" t="n">
        <v>2382</v>
      </c>
      <c r="K29" t="n">
        <v>2556</v>
      </c>
      <c r="L29" t="n">
        <v>2675</v>
      </c>
      <c r="M29" t="n">
        <v>2657</v>
      </c>
      <c r="N29" t="n">
        <v>2660</v>
      </c>
      <c r="O29" t="n">
        <v>2722</v>
      </c>
      <c r="P29" t="n">
        <v>2792</v>
      </c>
      <c r="Q29" t="n">
        <v>2755</v>
      </c>
      <c r="R29" t="n">
        <v>2694</v>
      </c>
      <c r="S29" t="n">
        <v>2704</v>
      </c>
      <c r="T29" t="n">
        <v>2652</v>
      </c>
      <c r="U29" t="n">
        <v>2617</v>
      </c>
      <c r="V29" t="n">
        <v>2658</v>
      </c>
      <c r="W29" t="n">
        <v>2596</v>
      </c>
      <c r="X29" t="n">
        <v>2407</v>
      </c>
      <c r="Y29" t="n">
        <v>2431</v>
      </c>
      <c r="Z29" t="n">
        <v>2528</v>
      </c>
      <c r="AA29" t="n">
        <v>2699</v>
      </c>
      <c r="AB29" t="n">
        <v>2892</v>
      </c>
      <c r="AC29" t="n">
        <v>2658</v>
      </c>
      <c r="AD29" t="n">
        <v>3010</v>
      </c>
      <c r="AE29" t="n">
        <v>3028</v>
      </c>
      <c r="AF29" t="n">
        <v>3130</v>
      </c>
    </row>
    <row r="30">
      <c r="A30" t="s">
        <v>101</v>
      </c>
      <c r="B30" t="s">
        <v>330</v>
      </c>
      <c r="C30" t="s">
        <v>236</v>
      </c>
      <c r="D30" t="s">
        <v>331</v>
      </c>
      <c r="E30" t="s">
        <v>237</v>
      </c>
      <c r="F30" t="n">
        <v>3349</v>
      </c>
      <c r="G30" t="n">
        <v>3182</v>
      </c>
      <c r="H30" t="n">
        <v>3370</v>
      </c>
      <c r="I30" t="n">
        <v>3417</v>
      </c>
      <c r="J30" t="n">
        <v>3370</v>
      </c>
      <c r="K30" t="n">
        <v>3444</v>
      </c>
      <c r="L30" t="n">
        <v>3546</v>
      </c>
      <c r="M30" t="n">
        <v>3398</v>
      </c>
      <c r="N30" t="n">
        <v>3115</v>
      </c>
      <c r="O30" t="n">
        <v>3218</v>
      </c>
      <c r="P30" t="n">
        <v>3108</v>
      </c>
      <c r="Q30" t="n">
        <v>3059</v>
      </c>
      <c r="R30" t="n">
        <v>3150</v>
      </c>
      <c r="S30" t="n">
        <v>2884</v>
      </c>
      <c r="T30" t="n">
        <v>2782</v>
      </c>
      <c r="U30" t="n">
        <v>2617</v>
      </c>
      <c r="V30" t="n">
        <v>2652</v>
      </c>
      <c r="W30" t="n">
        <v>2841</v>
      </c>
      <c r="X30" t="n">
        <v>2957</v>
      </c>
      <c r="Y30" t="n">
        <v>2759</v>
      </c>
      <c r="Z30" t="n">
        <v>2591</v>
      </c>
      <c r="AA30" t="n">
        <v>2451</v>
      </c>
      <c r="AB30" t="n">
        <v>2234</v>
      </c>
      <c r="AC30" t="n">
        <v>2198</v>
      </c>
      <c r="AD30" t="n">
        <v>2128</v>
      </c>
      <c r="AE30" t="n">
        <v>2030</v>
      </c>
      <c r="AF30" t="n">
        <v>1945</v>
      </c>
    </row>
    <row r="31">
      <c r="A31" t="s">
        <v>101</v>
      </c>
      <c r="B31" t="s">
        <v>332</v>
      </c>
      <c r="C31" t="s">
        <v>236</v>
      </c>
      <c r="D31" t="s">
        <v>333</v>
      </c>
      <c r="E31" t="s">
        <v>237</v>
      </c>
      <c r="F31" t="n">
        <v>813</v>
      </c>
      <c r="G31" t="n">
        <v>819</v>
      </c>
      <c r="H31" t="n">
        <v>792</v>
      </c>
      <c r="I31" t="n">
        <v>789</v>
      </c>
      <c r="J31" t="n">
        <v>930</v>
      </c>
      <c r="K31" t="n">
        <v>1014</v>
      </c>
      <c r="L31" t="n">
        <v>1127</v>
      </c>
      <c r="M31" t="n">
        <v>1064</v>
      </c>
      <c r="N31" t="n">
        <v>968</v>
      </c>
      <c r="O31" t="n">
        <v>942</v>
      </c>
      <c r="P31" t="n">
        <v>1033</v>
      </c>
      <c r="Q31" t="n">
        <v>1166</v>
      </c>
      <c r="R31" t="n">
        <v>1282</v>
      </c>
      <c r="S31" t="n">
        <v>1296</v>
      </c>
      <c r="T31" t="n">
        <v>1551</v>
      </c>
      <c r="U31" t="n">
        <v>1499</v>
      </c>
      <c r="V31" t="n">
        <v>1423</v>
      </c>
      <c r="W31" t="n">
        <v>1445</v>
      </c>
      <c r="X31" t="n">
        <v>1469</v>
      </c>
      <c r="Y31" t="n">
        <v>1524</v>
      </c>
      <c r="Z31" t="n">
        <v>1760</v>
      </c>
      <c r="AA31" t="n">
        <v>1845</v>
      </c>
      <c r="AB31" t="n">
        <v>1941</v>
      </c>
      <c r="AC31" t="n">
        <v>1903</v>
      </c>
      <c r="AD31" t="n">
        <v>2121</v>
      </c>
      <c r="AE31" t="n">
        <v>2014</v>
      </c>
      <c r="AF31" t="n">
        <v>1499</v>
      </c>
    </row>
    <row r="32">
      <c r="A32" t="s">
        <v>101</v>
      </c>
      <c r="B32" t="s">
        <v>334</v>
      </c>
      <c r="C32" t="s">
        <v>236</v>
      </c>
      <c r="D32" t="s">
        <v>335</v>
      </c>
      <c r="E32" t="s">
        <v>237</v>
      </c>
      <c r="F32" t="n">
        <v>120</v>
      </c>
      <c r="G32" t="n">
        <v>114</v>
      </c>
      <c r="H32" t="n">
        <v>147</v>
      </c>
      <c r="I32" t="n">
        <v>195</v>
      </c>
      <c r="J32" t="n">
        <v>179</v>
      </c>
      <c r="K32" t="n">
        <v>181</v>
      </c>
      <c r="L32" t="n">
        <v>180</v>
      </c>
      <c r="M32" t="n">
        <v>164</v>
      </c>
      <c r="N32" t="n">
        <v>151</v>
      </c>
      <c r="O32" t="n">
        <v>146</v>
      </c>
      <c r="P32" t="n">
        <v>137</v>
      </c>
      <c r="Q32" t="n">
        <v>151</v>
      </c>
      <c r="R32" t="n">
        <v>142</v>
      </c>
      <c r="S32" t="n">
        <v>137</v>
      </c>
      <c r="T32" t="n">
        <v>149</v>
      </c>
      <c r="U32" t="n">
        <v>176</v>
      </c>
      <c r="V32" t="n">
        <v>183</v>
      </c>
      <c r="W32" t="n">
        <v>172</v>
      </c>
      <c r="X32" t="n">
        <v>161</v>
      </c>
      <c r="Y32" t="n">
        <v>174</v>
      </c>
      <c r="Z32" t="n">
        <v>190</v>
      </c>
      <c r="AA32" t="n">
        <v>286</v>
      </c>
      <c r="AB32" t="n">
        <v>313</v>
      </c>
      <c r="AC32" t="n">
        <v>310</v>
      </c>
      <c r="AD32" t="n">
        <v>332</v>
      </c>
      <c r="AE32" t="n">
        <v>337</v>
      </c>
      <c r="AF32" t="n">
        <v>414</v>
      </c>
    </row>
    <row r="33">
      <c r="A33" t="s">
        <v>101</v>
      </c>
      <c r="B33" t="s">
        <v>336</v>
      </c>
      <c r="C33" t="s">
        <v>236</v>
      </c>
      <c r="D33" t="s">
        <v>337</v>
      </c>
      <c r="E33" t="s">
        <v>237</v>
      </c>
      <c r="F33" t="n">
        <v>32</v>
      </c>
      <c r="G33" t="n">
        <v>30</v>
      </c>
      <c r="H33" t="n">
        <v>28</v>
      </c>
      <c r="I33" t="n">
        <v>27</v>
      </c>
      <c r="J33" t="n">
        <v>26</v>
      </c>
      <c r="K33" t="n">
        <v>39</v>
      </c>
      <c r="L33" t="n">
        <v>42</v>
      </c>
      <c r="M33" t="n">
        <v>45</v>
      </c>
      <c r="N33" t="n">
        <v>43</v>
      </c>
      <c r="O33" t="n">
        <v>50</v>
      </c>
      <c r="P33" t="n">
        <v>43</v>
      </c>
      <c r="Q33" t="n">
        <v>63</v>
      </c>
      <c r="R33" t="n">
        <v>64</v>
      </c>
      <c r="S33" t="n">
        <v>62</v>
      </c>
      <c r="T33" t="n">
        <v>73</v>
      </c>
      <c r="U33" t="n">
        <v>97</v>
      </c>
      <c r="V33" t="n">
        <v>101</v>
      </c>
      <c r="W33" t="n">
        <v>96</v>
      </c>
      <c r="X33" t="n">
        <v>95</v>
      </c>
      <c r="Y33" t="n">
        <v>97</v>
      </c>
      <c r="Z33" t="n">
        <v>90</v>
      </c>
      <c r="AA33" t="n">
        <v>87</v>
      </c>
      <c r="AB33" t="n">
        <v>92</v>
      </c>
      <c r="AC33" t="n">
        <v>86</v>
      </c>
      <c r="AD33" t="n">
        <v>80</v>
      </c>
      <c r="AE33" t="n">
        <v>74</v>
      </c>
      <c r="AF33" t="n">
        <v>67</v>
      </c>
    </row>
    <row r="34">
      <c r="A34" t="s">
        <v>101</v>
      </c>
      <c r="B34" t="s">
        <v>338</v>
      </c>
      <c r="C34" t="s">
        <v>236</v>
      </c>
      <c r="D34" t="s">
        <v>339</v>
      </c>
      <c r="E34" t="s">
        <v>237</v>
      </c>
      <c r="F34" t="n">
        <v>50</v>
      </c>
      <c r="G34" t="n">
        <v>54</v>
      </c>
      <c r="H34" t="n">
        <v>54</v>
      </c>
      <c r="I34" t="n">
        <v>57</v>
      </c>
      <c r="J34" t="n">
        <v>63</v>
      </c>
      <c r="K34" t="n">
        <v>71</v>
      </c>
      <c r="L34" t="n">
        <v>76</v>
      </c>
      <c r="M34" t="n">
        <v>79</v>
      </c>
      <c r="N34" t="n">
        <v>82</v>
      </c>
      <c r="O34" t="n">
        <v>85</v>
      </c>
      <c r="P34" t="n">
        <v>89</v>
      </c>
      <c r="Q34" t="n">
        <v>95</v>
      </c>
      <c r="R34" t="n">
        <v>93</v>
      </c>
      <c r="S34" t="n">
        <v>89</v>
      </c>
      <c r="T34" t="n">
        <v>88</v>
      </c>
      <c r="U34" t="n">
        <v>93</v>
      </c>
      <c r="V34" t="n">
        <v>93</v>
      </c>
      <c r="W34" t="n">
        <v>102</v>
      </c>
      <c r="X34" t="n">
        <v>98</v>
      </c>
      <c r="Y34" t="n">
        <v>93</v>
      </c>
      <c r="Z34" t="n">
        <v>90</v>
      </c>
      <c r="AA34" t="n">
        <v>87</v>
      </c>
      <c r="AB34" t="n">
        <v>78</v>
      </c>
      <c r="AC34" t="n">
        <v>75</v>
      </c>
      <c r="AD34" t="n">
        <v>69</v>
      </c>
      <c r="AE34" t="n">
        <v>63</v>
      </c>
      <c r="AF34" t="n">
        <v>56</v>
      </c>
    </row>
    <row r="35">
      <c r="A35" t="s">
        <v>101</v>
      </c>
      <c r="B35" t="s">
        <v>340</v>
      </c>
      <c r="C35" t="s">
        <v>236</v>
      </c>
      <c r="D35" t="s">
        <v>341</v>
      </c>
      <c r="E35" t="s">
        <v>237</v>
      </c>
      <c r="F35" t="n">
        <v>141</v>
      </c>
      <c r="G35" t="n">
        <v>143</v>
      </c>
      <c r="H35" t="n">
        <v>150</v>
      </c>
      <c r="I35" t="n">
        <v>154</v>
      </c>
      <c r="J35" t="n">
        <v>163</v>
      </c>
      <c r="K35" t="n">
        <v>192</v>
      </c>
      <c r="L35" t="n">
        <v>213</v>
      </c>
      <c r="M35" t="n">
        <v>217</v>
      </c>
      <c r="N35" t="n">
        <v>209</v>
      </c>
      <c r="O35" t="n">
        <v>248</v>
      </c>
      <c r="P35" t="n">
        <v>269</v>
      </c>
      <c r="Q35" t="n">
        <v>280</v>
      </c>
      <c r="R35" t="n">
        <v>293</v>
      </c>
      <c r="S35" t="n">
        <v>324</v>
      </c>
      <c r="T35" t="n">
        <v>342</v>
      </c>
      <c r="U35" t="n">
        <v>401</v>
      </c>
      <c r="V35" t="n">
        <v>384</v>
      </c>
      <c r="W35" t="n">
        <v>381</v>
      </c>
      <c r="X35" t="n">
        <v>350</v>
      </c>
      <c r="Y35" t="n">
        <v>317</v>
      </c>
      <c r="Z35" t="n">
        <v>292</v>
      </c>
      <c r="AA35" t="n">
        <v>266</v>
      </c>
      <c r="AB35" t="n">
        <v>238</v>
      </c>
      <c r="AC35" t="n">
        <v>225</v>
      </c>
      <c r="AD35" t="n">
        <v>196</v>
      </c>
      <c r="AE35" t="n">
        <v>181</v>
      </c>
      <c r="AF35" t="n">
        <v>170</v>
      </c>
    </row>
    <row r="36">
      <c r="A36" t="s">
        <v>101</v>
      </c>
      <c r="B36" t="s">
        <v>342</v>
      </c>
      <c r="C36" t="s">
        <v>236</v>
      </c>
      <c r="D36" t="s">
        <v>343</v>
      </c>
      <c r="E36" t="s">
        <v>237</v>
      </c>
      <c r="F36" t="n">
        <v>27</v>
      </c>
      <c r="G36" t="n">
        <v>28</v>
      </c>
      <c r="H36" t="n">
        <v>30</v>
      </c>
      <c r="I36" t="n">
        <v>33</v>
      </c>
      <c r="J36" t="n">
        <v>34</v>
      </c>
      <c r="K36" t="n">
        <v>40</v>
      </c>
      <c r="L36" t="n">
        <v>45</v>
      </c>
      <c r="M36" t="n">
        <v>45</v>
      </c>
      <c r="N36" t="n">
        <v>44</v>
      </c>
      <c r="O36" t="n">
        <v>43</v>
      </c>
      <c r="P36" t="n">
        <v>45</v>
      </c>
      <c r="Q36" t="n">
        <v>47</v>
      </c>
      <c r="R36" t="n">
        <v>47</v>
      </c>
      <c r="S36" t="n">
        <v>46</v>
      </c>
      <c r="T36" t="n">
        <v>47</v>
      </c>
      <c r="U36" t="n">
        <v>50</v>
      </c>
      <c r="V36" t="n">
        <v>51</v>
      </c>
      <c r="W36" t="n">
        <v>52</v>
      </c>
      <c r="X36" t="n">
        <v>45</v>
      </c>
      <c r="Y36" t="n">
        <v>38</v>
      </c>
      <c r="Z36" t="n">
        <v>32</v>
      </c>
      <c r="AA36" t="n">
        <v>28</v>
      </c>
      <c r="AB36" t="n">
        <v>25</v>
      </c>
      <c r="AC36" t="n">
        <v>23</v>
      </c>
      <c r="AD36" t="n">
        <v>20</v>
      </c>
      <c r="AE36" t="n">
        <v>18</v>
      </c>
      <c r="AF36" t="n">
        <v>16</v>
      </c>
    </row>
    <row r="37">
      <c r="A37" t="s">
        <v>101</v>
      </c>
      <c r="B37" t="s">
        <v>344</v>
      </c>
      <c r="C37" t="s">
        <v>236</v>
      </c>
      <c r="D37" t="s">
        <v>345</v>
      </c>
      <c r="E37" t="s">
        <v>237</v>
      </c>
      <c r="F37" t="n">
        <v>53</v>
      </c>
      <c r="G37" t="n">
        <v>52</v>
      </c>
      <c r="H37" t="n">
        <v>57</v>
      </c>
      <c r="I37" t="n">
        <v>60</v>
      </c>
      <c r="J37" t="n">
        <v>64</v>
      </c>
      <c r="K37" t="n">
        <v>80</v>
      </c>
      <c r="L37" t="n">
        <v>89</v>
      </c>
      <c r="M37" t="n">
        <v>90</v>
      </c>
      <c r="N37" t="n">
        <v>86</v>
      </c>
      <c r="O37" t="n">
        <v>127</v>
      </c>
      <c r="P37" t="n">
        <v>148</v>
      </c>
      <c r="Q37" t="n">
        <v>154</v>
      </c>
      <c r="R37" t="n">
        <v>184</v>
      </c>
      <c r="S37" t="n">
        <v>217</v>
      </c>
      <c r="T37" t="n">
        <v>247</v>
      </c>
      <c r="U37" t="n">
        <v>300</v>
      </c>
      <c r="V37" t="n">
        <v>289</v>
      </c>
      <c r="W37" t="n">
        <v>280</v>
      </c>
      <c r="X37" t="n">
        <v>258</v>
      </c>
      <c r="Y37" t="n">
        <v>236</v>
      </c>
      <c r="Z37" t="n">
        <v>217</v>
      </c>
      <c r="AA37" t="n">
        <v>197</v>
      </c>
      <c r="AB37" t="n">
        <v>176</v>
      </c>
      <c r="AC37" t="n">
        <v>164</v>
      </c>
      <c r="AD37" t="n">
        <v>145</v>
      </c>
      <c r="AE37" t="n">
        <v>137</v>
      </c>
      <c r="AF37" t="n">
        <v>130</v>
      </c>
    </row>
    <row r="38">
      <c r="A38" t="s">
        <v>101</v>
      </c>
      <c r="B38" t="s">
        <v>346</v>
      </c>
      <c r="C38" t="s">
        <v>236</v>
      </c>
      <c r="D38" t="s">
        <v>347</v>
      </c>
      <c r="E38" t="s">
        <v>237</v>
      </c>
      <c r="F38" t="n">
        <v>61</v>
      </c>
      <c r="G38" t="n">
        <v>63</v>
      </c>
      <c r="H38" t="n">
        <v>63</v>
      </c>
      <c r="I38" t="n">
        <v>61</v>
      </c>
      <c r="J38" t="n">
        <v>65</v>
      </c>
      <c r="K38" t="n">
        <v>72</v>
      </c>
      <c r="L38" t="n">
        <v>79</v>
      </c>
      <c r="M38" t="n">
        <v>82</v>
      </c>
      <c r="N38" t="n">
        <v>79</v>
      </c>
      <c r="O38" t="n">
        <v>78</v>
      </c>
      <c r="P38" t="n">
        <v>76</v>
      </c>
      <c r="Q38" t="n">
        <v>79</v>
      </c>
      <c r="R38" t="n">
        <v>62</v>
      </c>
      <c r="S38" t="n">
        <v>61</v>
      </c>
      <c r="T38" t="n">
        <v>48</v>
      </c>
      <c r="U38" t="n">
        <v>51</v>
      </c>
      <c r="V38" t="n">
        <v>44</v>
      </c>
      <c r="W38" t="n">
        <v>49</v>
      </c>
      <c r="X38" t="n">
        <v>47</v>
      </c>
      <c r="Y38" t="n">
        <v>43</v>
      </c>
      <c r="Z38" t="n">
        <v>43</v>
      </c>
      <c r="AA38" t="n">
        <v>41</v>
      </c>
      <c r="AB38" t="n">
        <v>37</v>
      </c>
      <c r="AC38" t="n">
        <v>38</v>
      </c>
      <c r="AD38" t="n">
        <v>31</v>
      </c>
      <c r="AE38" t="n">
        <v>26</v>
      </c>
      <c r="AF38" t="n">
        <v>24</v>
      </c>
    </row>
    <row r="39">
      <c r="A39" t="s">
        <v>101</v>
      </c>
      <c r="B39" t="s">
        <v>348</v>
      </c>
      <c r="C39" t="s">
        <v>236</v>
      </c>
      <c r="D39" t="s">
        <v>349</v>
      </c>
      <c r="E39" t="s">
        <v>237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101</v>
      </c>
      <c r="B40" t="s">
        <v>350</v>
      </c>
      <c r="C40" t="s">
        <v>236</v>
      </c>
      <c r="D40" t="s">
        <v>351</v>
      </c>
      <c r="E40" t="s">
        <v>237</v>
      </c>
      <c r="F40" t="n">
        <v>55</v>
      </c>
      <c r="G40" t="n">
        <v>57</v>
      </c>
      <c r="H40" t="n">
        <v>56</v>
      </c>
      <c r="I40" t="n">
        <v>50</v>
      </c>
      <c r="J40" t="n">
        <v>52</v>
      </c>
      <c r="K40" t="n">
        <v>54</v>
      </c>
      <c r="L40" t="n">
        <v>51</v>
      </c>
      <c r="M40" t="n">
        <v>58</v>
      </c>
      <c r="N40" t="n">
        <v>64</v>
      </c>
      <c r="O40" t="n">
        <v>67</v>
      </c>
      <c r="P40" t="n">
        <v>82</v>
      </c>
      <c r="Q40" t="n">
        <v>95</v>
      </c>
      <c r="R40" t="n">
        <v>105</v>
      </c>
      <c r="S40" t="n">
        <v>125</v>
      </c>
      <c r="T40" t="n">
        <v>150</v>
      </c>
      <c r="U40" t="n">
        <v>165</v>
      </c>
      <c r="V40" t="n">
        <v>162</v>
      </c>
      <c r="W40" t="n">
        <v>177</v>
      </c>
      <c r="X40" t="n">
        <v>187</v>
      </c>
      <c r="Y40" t="n">
        <v>192</v>
      </c>
      <c r="Z40" t="n">
        <v>197</v>
      </c>
      <c r="AA40" t="n">
        <v>200</v>
      </c>
      <c r="AB40" t="n">
        <v>188</v>
      </c>
      <c r="AC40" t="n">
        <v>183</v>
      </c>
      <c r="AD40" t="n">
        <v>168</v>
      </c>
      <c r="AE40" t="n">
        <v>152</v>
      </c>
      <c r="AF40" t="n">
        <v>137</v>
      </c>
    </row>
    <row r="41">
      <c r="A41" t="s">
        <v>101</v>
      </c>
      <c r="B41" t="s">
        <v>352</v>
      </c>
      <c r="C41" t="s">
        <v>236</v>
      </c>
      <c r="D41" t="s">
        <v>353</v>
      </c>
      <c r="E41" t="s">
        <v>237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101</v>
      </c>
      <c r="B42" t="s">
        <v>354</v>
      </c>
      <c r="C42" t="s">
        <v>236</v>
      </c>
      <c r="D42" t="s">
        <v>355</v>
      </c>
      <c r="E42" t="s">
        <v>237</v>
      </c>
      <c r="F42" t="n">
        <v>115</v>
      </c>
      <c r="G42" t="n">
        <v>125</v>
      </c>
      <c r="H42" t="n">
        <v>151</v>
      </c>
      <c r="I42" t="n">
        <v>162</v>
      </c>
      <c r="J42" t="n">
        <v>180</v>
      </c>
      <c r="K42" t="n">
        <v>201</v>
      </c>
      <c r="L42" t="n">
        <v>217</v>
      </c>
      <c r="M42" t="n">
        <v>216</v>
      </c>
      <c r="N42" t="n">
        <v>219</v>
      </c>
      <c r="O42" t="n">
        <v>224</v>
      </c>
      <c r="P42" t="n">
        <v>223</v>
      </c>
      <c r="Q42" t="n">
        <v>224</v>
      </c>
      <c r="R42" t="n">
        <v>236</v>
      </c>
      <c r="S42" t="n">
        <v>245</v>
      </c>
      <c r="T42" t="n">
        <v>221</v>
      </c>
      <c r="U42" t="n">
        <v>212</v>
      </c>
      <c r="V42" t="n">
        <v>217</v>
      </c>
      <c r="W42" t="n">
        <v>205</v>
      </c>
      <c r="X42" t="n">
        <v>186</v>
      </c>
      <c r="Y42" t="n">
        <v>169</v>
      </c>
      <c r="Z42" t="n">
        <v>153</v>
      </c>
      <c r="AA42" t="n">
        <v>138</v>
      </c>
      <c r="AB42" t="n">
        <v>125</v>
      </c>
      <c r="AC42" t="n">
        <v>113</v>
      </c>
      <c r="AD42" t="n">
        <v>101</v>
      </c>
      <c r="AE42" t="n">
        <v>89</v>
      </c>
      <c r="AF42" t="n">
        <v>80</v>
      </c>
    </row>
    <row r="43">
      <c r="A43" t="s">
        <v>101</v>
      </c>
      <c r="B43" t="s">
        <v>356</v>
      </c>
      <c r="C43" t="s">
        <v>236</v>
      </c>
      <c r="D43" t="s">
        <v>357</v>
      </c>
      <c r="E43" t="s">
        <v>237</v>
      </c>
      <c r="F43" t="n">
        <v>262</v>
      </c>
      <c r="G43" t="n">
        <v>278</v>
      </c>
      <c r="H43" t="n">
        <v>326</v>
      </c>
      <c r="I43" t="n">
        <v>356</v>
      </c>
      <c r="J43" t="n">
        <v>387</v>
      </c>
      <c r="K43" t="n">
        <v>530</v>
      </c>
      <c r="L43" t="n">
        <v>685</v>
      </c>
      <c r="M43" t="n">
        <v>784</v>
      </c>
      <c r="N43" t="n">
        <v>806</v>
      </c>
      <c r="O43" t="n">
        <v>832</v>
      </c>
      <c r="P43" t="n">
        <v>843</v>
      </c>
      <c r="Q43" t="n">
        <v>981</v>
      </c>
      <c r="R43" t="n">
        <v>1011</v>
      </c>
      <c r="S43" t="n">
        <v>994</v>
      </c>
      <c r="T43" t="n">
        <v>923</v>
      </c>
      <c r="U43" t="n">
        <v>890</v>
      </c>
      <c r="V43" t="n">
        <v>895</v>
      </c>
      <c r="W43" t="n">
        <v>915</v>
      </c>
      <c r="X43" t="n">
        <v>883</v>
      </c>
      <c r="Y43" t="n">
        <v>876</v>
      </c>
      <c r="Z43" t="n">
        <v>890</v>
      </c>
      <c r="AA43" t="n">
        <v>877</v>
      </c>
      <c r="AB43" t="n">
        <v>983</v>
      </c>
      <c r="AC43" t="n">
        <v>970</v>
      </c>
      <c r="AD43" t="n">
        <v>949</v>
      </c>
      <c r="AE43" t="n">
        <v>911</v>
      </c>
      <c r="AF43" t="n">
        <v>874</v>
      </c>
    </row>
    <row r="44">
      <c r="A44" t="s">
        <v>101</v>
      </c>
      <c r="B44" t="s">
        <v>358</v>
      </c>
      <c r="C44" t="s">
        <v>236</v>
      </c>
      <c r="D44" t="s">
        <v>359</v>
      </c>
      <c r="E44" t="s">
        <v>237</v>
      </c>
      <c r="F44" t="n">
        <v>10732</v>
      </c>
      <c r="G44" t="n">
        <v>10533</v>
      </c>
      <c r="H44" t="n">
        <v>10921</v>
      </c>
      <c r="I44" t="n">
        <v>11195</v>
      </c>
      <c r="J44" t="n">
        <v>11587</v>
      </c>
      <c r="K44" t="n">
        <v>12428</v>
      </c>
      <c r="L44" t="n">
        <v>13175</v>
      </c>
      <c r="M44" t="n">
        <v>13105</v>
      </c>
      <c r="N44" t="n">
        <v>12790</v>
      </c>
      <c r="O44" t="n">
        <v>13067</v>
      </c>
      <c r="P44" t="n">
        <v>13200</v>
      </c>
      <c r="Q44" t="n">
        <v>13643</v>
      </c>
      <c r="R44" t="n">
        <v>13930</v>
      </c>
      <c r="S44" t="n">
        <v>13835</v>
      </c>
      <c r="T44" t="n">
        <v>13915</v>
      </c>
      <c r="U44" t="n">
        <v>13845</v>
      </c>
      <c r="V44" t="n">
        <v>13830</v>
      </c>
      <c r="W44" t="n">
        <v>14219</v>
      </c>
      <c r="X44" t="n">
        <v>13935</v>
      </c>
      <c r="Y44" t="n">
        <v>13634</v>
      </c>
      <c r="Z44" t="n">
        <v>13831</v>
      </c>
      <c r="AA44" t="n">
        <v>13870</v>
      </c>
      <c r="AB44" t="n">
        <v>13854</v>
      </c>
      <c r="AC44" t="n">
        <v>13376</v>
      </c>
      <c r="AD44" t="n">
        <v>13547</v>
      </c>
      <c r="AE44" t="n">
        <v>13165</v>
      </c>
      <c r="AF44" t="n">
        <v>12689</v>
      </c>
    </row>
    <row r="45">
      <c r="A45" t="s">
        <v>101</v>
      </c>
      <c r="B45" t="s">
        <v>360</v>
      </c>
      <c r="C45" t="s">
        <v>236</v>
      </c>
      <c r="D45" t="s">
        <v>361</v>
      </c>
      <c r="E45" t="s">
        <v>237</v>
      </c>
      <c r="F45" t="n">
        <v>9001</v>
      </c>
      <c r="G45" t="n">
        <v>8866</v>
      </c>
      <c r="H45" t="n">
        <v>9269</v>
      </c>
      <c r="I45" t="n">
        <v>9550</v>
      </c>
      <c r="J45" t="n">
        <v>9874</v>
      </c>
      <c r="K45" t="n">
        <v>10635</v>
      </c>
      <c r="L45" t="n">
        <v>11319</v>
      </c>
      <c r="M45" t="n">
        <v>11165</v>
      </c>
      <c r="N45" t="n">
        <v>10783</v>
      </c>
      <c r="O45" t="n">
        <v>11000</v>
      </c>
      <c r="P45" t="n">
        <v>11099</v>
      </c>
      <c r="Q45" t="n">
        <v>11425</v>
      </c>
      <c r="R45" t="n">
        <v>11732</v>
      </c>
      <c r="S45" t="n">
        <v>11641</v>
      </c>
      <c r="T45" t="n">
        <v>11696</v>
      </c>
      <c r="U45" t="n">
        <v>11625</v>
      </c>
      <c r="V45" t="n">
        <v>11585</v>
      </c>
      <c r="W45" t="n">
        <v>11877</v>
      </c>
      <c r="X45" t="n">
        <v>11594</v>
      </c>
      <c r="Y45" t="n">
        <v>11304</v>
      </c>
      <c r="Z45" t="n">
        <v>11461</v>
      </c>
      <c r="AA45" t="n">
        <v>11564</v>
      </c>
      <c r="AB45" t="n">
        <v>11621</v>
      </c>
      <c r="AC45" t="n">
        <v>11176</v>
      </c>
      <c r="AD45" t="n">
        <v>11398</v>
      </c>
      <c r="AE45" t="n">
        <v>11011</v>
      </c>
      <c r="AF45" t="n">
        <v>10535</v>
      </c>
    </row>
    <row r="46">
      <c r="A46" t="s">
        <v>101</v>
      </c>
      <c r="B46" t="s">
        <v>362</v>
      </c>
      <c r="C46" t="s">
        <v>236</v>
      </c>
      <c r="D46" t="s">
        <v>363</v>
      </c>
      <c r="E46" t="s">
        <v>237</v>
      </c>
      <c r="F46" t="n">
        <v>147</v>
      </c>
      <c r="G46" t="n">
        <v>153</v>
      </c>
      <c r="H46" t="n">
        <v>175</v>
      </c>
      <c r="I46" t="n">
        <v>194</v>
      </c>
      <c r="J46" t="n">
        <v>207</v>
      </c>
      <c r="K46" t="n">
        <v>329</v>
      </c>
      <c r="L46" t="n">
        <v>468</v>
      </c>
      <c r="M46" t="n">
        <v>568</v>
      </c>
      <c r="N46" t="n">
        <v>587</v>
      </c>
      <c r="O46" t="n">
        <v>608</v>
      </c>
      <c r="P46" t="n">
        <v>620</v>
      </c>
      <c r="Q46" t="n">
        <v>757</v>
      </c>
      <c r="R46" t="n">
        <v>775</v>
      </c>
      <c r="S46" t="n">
        <v>749</v>
      </c>
      <c r="T46" t="n">
        <v>702</v>
      </c>
      <c r="U46" t="n">
        <v>678</v>
      </c>
      <c r="V46" t="n">
        <v>678</v>
      </c>
      <c r="W46" t="n">
        <v>710</v>
      </c>
      <c r="X46" t="n">
        <v>697</v>
      </c>
      <c r="Y46" t="n">
        <v>707</v>
      </c>
      <c r="Z46" t="n">
        <v>737</v>
      </c>
      <c r="AA46" t="n">
        <v>739</v>
      </c>
      <c r="AB46" t="n">
        <v>858</v>
      </c>
      <c r="AC46" t="n">
        <v>857</v>
      </c>
      <c r="AD46" t="n">
        <v>848</v>
      </c>
      <c r="AE46" t="n">
        <v>822</v>
      </c>
      <c r="AF46" t="n">
        <v>794</v>
      </c>
    </row>
    <row r="47">
      <c r="A47" t="s">
        <v>101</v>
      </c>
      <c r="B47" t="s">
        <v>364</v>
      </c>
      <c r="C47" t="s">
        <v>236</v>
      </c>
      <c r="D47" t="s">
        <v>365</v>
      </c>
      <c r="E47" t="s">
        <v>237</v>
      </c>
      <c r="F47" t="n">
        <v>137</v>
      </c>
      <c r="G47" t="n">
        <v>158</v>
      </c>
      <c r="H47" t="n">
        <v>168</v>
      </c>
      <c r="I47" t="n">
        <v>173</v>
      </c>
      <c r="J47" t="n">
        <v>196</v>
      </c>
      <c r="K47" t="n">
        <v>235</v>
      </c>
      <c r="L47" t="n">
        <v>247</v>
      </c>
      <c r="M47" t="n">
        <v>271</v>
      </c>
      <c r="N47" t="n">
        <v>280</v>
      </c>
      <c r="O47" t="n">
        <v>290</v>
      </c>
      <c r="P47" t="n">
        <v>312</v>
      </c>
      <c r="Q47" t="n">
        <v>316</v>
      </c>
      <c r="R47" t="n">
        <v>304</v>
      </c>
      <c r="S47" t="n">
        <v>303</v>
      </c>
      <c r="T47" t="n">
        <v>304</v>
      </c>
      <c r="U47" t="n">
        <v>343</v>
      </c>
      <c r="V47" t="n">
        <v>372</v>
      </c>
      <c r="W47" t="n">
        <v>419</v>
      </c>
      <c r="X47" t="n">
        <v>445</v>
      </c>
      <c r="Y47" t="n">
        <v>444</v>
      </c>
      <c r="Z47" t="n">
        <v>467</v>
      </c>
      <c r="AA47" t="n">
        <v>490</v>
      </c>
      <c r="AB47" t="n">
        <v>480</v>
      </c>
      <c r="AC47" t="n">
        <v>473</v>
      </c>
      <c r="AD47" t="n">
        <v>463</v>
      </c>
      <c r="AE47" t="n">
        <v>498</v>
      </c>
      <c r="AF47" t="n">
        <v>526</v>
      </c>
    </row>
    <row r="48">
      <c r="A48" t="s">
        <v>101</v>
      </c>
      <c r="B48" t="s">
        <v>366</v>
      </c>
      <c r="C48" t="s">
        <v>236</v>
      </c>
      <c r="D48" t="s">
        <v>367</v>
      </c>
      <c r="E48" t="s">
        <v>237</v>
      </c>
      <c r="F48" t="n">
        <v>234</v>
      </c>
      <c r="G48" t="n">
        <v>260</v>
      </c>
      <c r="H48" t="n">
        <v>272</v>
      </c>
      <c r="I48" t="n">
        <v>280</v>
      </c>
      <c r="J48" t="n">
        <v>309</v>
      </c>
      <c r="K48" t="n">
        <v>361</v>
      </c>
      <c r="L48" t="n">
        <v>378</v>
      </c>
      <c r="M48" t="n">
        <v>409</v>
      </c>
      <c r="N48" t="n">
        <v>428</v>
      </c>
      <c r="O48" t="n">
        <v>454</v>
      </c>
      <c r="P48" t="n">
        <v>489</v>
      </c>
      <c r="Q48" t="n">
        <v>508</v>
      </c>
      <c r="R48" t="n">
        <v>519</v>
      </c>
      <c r="S48" t="n">
        <v>531</v>
      </c>
      <c r="T48" t="n">
        <v>542</v>
      </c>
      <c r="U48" t="n">
        <v>591</v>
      </c>
      <c r="V48" t="n">
        <v>630</v>
      </c>
      <c r="W48" t="n">
        <v>684</v>
      </c>
      <c r="X48" t="n">
        <v>704</v>
      </c>
      <c r="Y48" t="n">
        <v>692</v>
      </c>
      <c r="Z48" t="n">
        <v>714</v>
      </c>
      <c r="AA48" t="n">
        <v>726</v>
      </c>
      <c r="AB48" t="n">
        <v>695</v>
      </c>
      <c r="AC48" t="n">
        <v>671</v>
      </c>
      <c r="AD48" t="n">
        <v>645</v>
      </c>
      <c r="AE48" t="n">
        <v>665</v>
      </c>
      <c r="AF48" t="n">
        <v>686</v>
      </c>
    </row>
    <row r="49">
      <c r="A49" t="s">
        <v>101</v>
      </c>
      <c r="B49" t="s">
        <v>368</v>
      </c>
      <c r="C49" t="s">
        <v>236</v>
      </c>
      <c r="D49" t="s">
        <v>369</v>
      </c>
      <c r="E49" t="s">
        <v>237</v>
      </c>
      <c r="F49" t="n">
        <v>81</v>
      </c>
      <c r="G49" t="n">
        <v>81</v>
      </c>
      <c r="H49" t="n">
        <v>82</v>
      </c>
      <c r="I49" t="n">
        <v>80</v>
      </c>
      <c r="J49" t="n">
        <v>82</v>
      </c>
      <c r="K49" t="n">
        <v>91</v>
      </c>
      <c r="L49" t="n">
        <v>92</v>
      </c>
      <c r="M49" t="n">
        <v>95</v>
      </c>
      <c r="N49" t="n">
        <v>94</v>
      </c>
      <c r="O49" t="n">
        <v>94</v>
      </c>
      <c r="P49" t="n">
        <v>94</v>
      </c>
      <c r="Q49" t="n">
        <v>95</v>
      </c>
      <c r="R49" t="n">
        <v>98</v>
      </c>
      <c r="S49" t="n">
        <v>101</v>
      </c>
      <c r="T49" t="n">
        <v>104</v>
      </c>
      <c r="U49" t="n">
        <v>103</v>
      </c>
      <c r="V49" t="n">
        <v>102</v>
      </c>
      <c r="W49" t="n">
        <v>104</v>
      </c>
      <c r="X49" t="n">
        <v>99</v>
      </c>
      <c r="Y49" t="n">
        <v>95</v>
      </c>
      <c r="Z49" t="n">
        <v>95</v>
      </c>
      <c r="AA49" t="n">
        <v>90</v>
      </c>
      <c r="AB49" t="n">
        <v>83</v>
      </c>
      <c r="AC49" t="n">
        <v>77</v>
      </c>
      <c r="AD49" t="n">
        <v>70</v>
      </c>
      <c r="AE49" t="n">
        <v>67</v>
      </c>
      <c r="AF49" t="n">
        <v>70</v>
      </c>
    </row>
    <row r="50">
      <c r="A50" t="s">
        <v>101</v>
      </c>
      <c r="B50" t="s">
        <v>370</v>
      </c>
      <c r="C50" t="s">
        <v>236</v>
      </c>
      <c r="D50" t="s">
        <v>371</v>
      </c>
      <c r="E50" t="s">
        <v>237</v>
      </c>
      <c r="F50" t="n">
        <v>16</v>
      </c>
      <c r="G50" t="n">
        <v>21</v>
      </c>
      <c r="H50" t="n">
        <v>22</v>
      </c>
      <c r="I50" t="n">
        <v>27</v>
      </c>
      <c r="J50" t="n">
        <v>31</v>
      </c>
      <c r="K50" t="n">
        <v>35</v>
      </c>
      <c r="L50" t="n">
        <v>39</v>
      </c>
      <c r="M50" t="n">
        <v>43</v>
      </c>
      <c r="N50" t="n">
        <v>54</v>
      </c>
      <c r="O50" t="n">
        <v>70</v>
      </c>
      <c r="P50" t="n">
        <v>83</v>
      </c>
      <c r="Q50" t="n">
        <v>97</v>
      </c>
      <c r="R50" t="n">
        <v>117</v>
      </c>
      <c r="S50" t="n">
        <v>127</v>
      </c>
      <c r="T50" t="n">
        <v>134</v>
      </c>
      <c r="U50" t="n">
        <v>145</v>
      </c>
      <c r="V50" t="n">
        <v>156</v>
      </c>
      <c r="W50" t="n">
        <v>161</v>
      </c>
      <c r="X50" t="n">
        <v>160</v>
      </c>
      <c r="Y50" t="n">
        <v>153</v>
      </c>
      <c r="Z50" t="n">
        <v>152</v>
      </c>
      <c r="AA50" t="n">
        <v>146</v>
      </c>
      <c r="AB50" t="n">
        <v>132</v>
      </c>
      <c r="AC50" t="n">
        <v>121</v>
      </c>
      <c r="AD50" t="n">
        <v>112</v>
      </c>
      <c r="AE50" t="n">
        <v>100</v>
      </c>
      <c r="AF50" t="n">
        <v>90</v>
      </c>
    </row>
    <row r="51">
      <c r="A51" t="s">
        <v>101</v>
      </c>
      <c r="B51" t="s">
        <v>372</v>
      </c>
      <c r="C51" t="s">
        <v>236</v>
      </c>
      <c r="D51" t="s">
        <v>373</v>
      </c>
      <c r="E51" t="s">
        <v>237</v>
      </c>
      <c r="F51" t="n">
        <v>15</v>
      </c>
      <c r="G51" t="n">
        <v>18</v>
      </c>
      <c r="H51" t="n">
        <v>19</v>
      </c>
      <c r="I51" t="n">
        <v>21</v>
      </c>
      <c r="J51" t="n">
        <v>24</v>
      </c>
      <c r="K51" t="n">
        <v>27</v>
      </c>
      <c r="L51" t="n">
        <v>28</v>
      </c>
      <c r="M51" t="n">
        <v>29</v>
      </c>
      <c r="N51" t="n">
        <v>36</v>
      </c>
      <c r="O51" t="n">
        <v>46</v>
      </c>
      <c r="P51" t="n">
        <v>54</v>
      </c>
      <c r="Q51" t="n">
        <v>61</v>
      </c>
      <c r="R51" t="n">
        <v>73</v>
      </c>
      <c r="S51" t="n">
        <v>79</v>
      </c>
      <c r="T51" t="n">
        <v>85</v>
      </c>
      <c r="U51" t="n">
        <v>93</v>
      </c>
      <c r="V51" t="n">
        <v>101</v>
      </c>
      <c r="W51" t="n">
        <v>103</v>
      </c>
      <c r="X51" t="n">
        <v>104</v>
      </c>
      <c r="Y51" t="n">
        <v>99</v>
      </c>
      <c r="Z51" t="n">
        <v>99</v>
      </c>
      <c r="AA51" t="n">
        <v>95</v>
      </c>
      <c r="AB51" t="n">
        <v>88</v>
      </c>
      <c r="AC51" t="n">
        <v>80</v>
      </c>
      <c r="AD51" t="n">
        <v>72</v>
      </c>
      <c r="AE51" t="n">
        <v>63</v>
      </c>
      <c r="AF51" t="n">
        <v>57</v>
      </c>
    </row>
    <row r="52">
      <c r="A52" t="s">
        <v>101</v>
      </c>
      <c r="B52" t="s">
        <v>374</v>
      </c>
      <c r="C52" t="s">
        <v>236</v>
      </c>
      <c r="D52" t="s">
        <v>375</v>
      </c>
      <c r="E52" t="s">
        <v>237</v>
      </c>
      <c r="F52" t="n">
        <v>1</v>
      </c>
      <c r="G52" t="n">
        <v>3</v>
      </c>
      <c r="H52" t="n">
        <v>3</v>
      </c>
      <c r="I52" t="n">
        <v>6</v>
      </c>
      <c r="J52" t="n">
        <v>7</v>
      </c>
      <c r="K52" t="n">
        <v>8</v>
      </c>
      <c r="L52" t="n">
        <v>11</v>
      </c>
      <c r="M52" t="n">
        <v>14</v>
      </c>
      <c r="N52" t="n">
        <v>18</v>
      </c>
      <c r="O52" t="n">
        <v>24</v>
      </c>
      <c r="P52" t="n">
        <v>29</v>
      </c>
      <c r="Q52" t="n">
        <v>36</v>
      </c>
      <c r="R52" t="n">
        <v>44</v>
      </c>
      <c r="S52" t="n">
        <v>48</v>
      </c>
      <c r="T52" t="n">
        <v>49</v>
      </c>
      <c r="U52" t="n">
        <v>52</v>
      </c>
      <c r="V52" t="n">
        <v>55</v>
      </c>
      <c r="W52" t="n">
        <v>58</v>
      </c>
      <c r="X52" t="n">
        <v>56</v>
      </c>
      <c r="Y52" t="n">
        <v>54</v>
      </c>
      <c r="Z52" t="n">
        <v>53</v>
      </c>
      <c r="AA52" t="n">
        <v>51</v>
      </c>
      <c r="AB52" t="n">
        <v>44</v>
      </c>
      <c r="AC52" t="n">
        <v>41</v>
      </c>
      <c r="AD52" t="n">
        <v>40</v>
      </c>
      <c r="AE52" t="n">
        <v>37</v>
      </c>
      <c r="AF52" t="n">
        <v>33</v>
      </c>
    </row>
    <row r="53">
      <c r="A53" t="s">
        <v>101</v>
      </c>
      <c r="B53" t="s">
        <v>376</v>
      </c>
      <c r="C53" t="s">
        <v>236</v>
      </c>
      <c r="D53" t="s">
        <v>377</v>
      </c>
      <c r="E53" t="s">
        <v>237</v>
      </c>
      <c r="F53" t="n">
        <v>27</v>
      </c>
      <c r="G53" t="n">
        <v>31</v>
      </c>
      <c r="H53" t="n">
        <v>34</v>
      </c>
      <c r="I53" t="n">
        <v>38</v>
      </c>
      <c r="J53" t="n">
        <v>41</v>
      </c>
      <c r="K53" t="n">
        <v>48</v>
      </c>
      <c r="L53" t="n">
        <v>51</v>
      </c>
      <c r="M53" t="n">
        <v>53</v>
      </c>
      <c r="N53" t="n">
        <v>61</v>
      </c>
      <c r="O53" t="n">
        <v>71</v>
      </c>
      <c r="P53" t="n">
        <v>82</v>
      </c>
      <c r="Q53" t="n">
        <v>92</v>
      </c>
      <c r="R53" t="n">
        <v>108</v>
      </c>
      <c r="S53" t="n">
        <v>109</v>
      </c>
      <c r="T53" t="n">
        <v>114</v>
      </c>
      <c r="U53" t="n">
        <v>108</v>
      </c>
      <c r="V53" t="n">
        <v>111</v>
      </c>
      <c r="W53" t="n">
        <v>116</v>
      </c>
      <c r="X53" t="n">
        <v>114</v>
      </c>
      <c r="Y53" t="n">
        <v>108</v>
      </c>
      <c r="Z53" t="n">
        <v>102</v>
      </c>
      <c r="AA53" t="n">
        <v>100</v>
      </c>
      <c r="AB53" t="n">
        <v>93</v>
      </c>
      <c r="AC53" t="n">
        <v>85</v>
      </c>
      <c r="AD53" t="n">
        <v>74</v>
      </c>
      <c r="AE53" t="n">
        <v>68</v>
      </c>
      <c r="AF53" t="n">
        <v>61</v>
      </c>
    </row>
    <row r="54">
      <c r="A54" t="s">
        <v>101</v>
      </c>
      <c r="B54" t="s">
        <v>378</v>
      </c>
      <c r="C54" t="s">
        <v>236</v>
      </c>
      <c r="D54" t="s">
        <v>379</v>
      </c>
      <c r="E54" t="s">
        <v>237</v>
      </c>
      <c r="F54" t="n">
        <v>66</v>
      </c>
      <c r="G54" t="n">
        <v>72</v>
      </c>
      <c r="H54" t="n">
        <v>76</v>
      </c>
      <c r="I54" t="n">
        <v>82</v>
      </c>
      <c r="J54" t="n">
        <v>88</v>
      </c>
      <c r="K54" t="n">
        <v>100</v>
      </c>
      <c r="L54" t="n">
        <v>108</v>
      </c>
      <c r="M54" t="n">
        <v>113</v>
      </c>
      <c r="N54" t="n">
        <v>122</v>
      </c>
      <c r="O54" t="n">
        <v>136</v>
      </c>
      <c r="P54" t="n">
        <v>152</v>
      </c>
      <c r="Q54" t="n">
        <v>163</v>
      </c>
      <c r="R54" t="n">
        <v>180</v>
      </c>
      <c r="S54" t="n">
        <v>182</v>
      </c>
      <c r="T54" t="n">
        <v>189</v>
      </c>
      <c r="U54" t="n">
        <v>185</v>
      </c>
      <c r="V54" t="n">
        <v>183</v>
      </c>
      <c r="W54" t="n">
        <v>186</v>
      </c>
      <c r="X54" t="n">
        <v>176</v>
      </c>
      <c r="Y54" t="n">
        <v>161</v>
      </c>
      <c r="Z54" t="n">
        <v>152</v>
      </c>
      <c r="AA54" t="n">
        <v>144</v>
      </c>
      <c r="AB54" t="n">
        <v>132</v>
      </c>
      <c r="AC54" t="n">
        <v>120</v>
      </c>
      <c r="AD54" t="n">
        <v>98</v>
      </c>
      <c r="AE54" t="n">
        <v>88</v>
      </c>
      <c r="AF54" t="n">
        <v>79</v>
      </c>
    </row>
    <row r="55">
      <c r="A55" t="s">
        <v>101</v>
      </c>
      <c r="B55" t="s">
        <v>380</v>
      </c>
      <c r="C55" t="s">
        <v>236</v>
      </c>
      <c r="D55" t="s">
        <v>381</v>
      </c>
      <c r="E55" t="s">
        <v>237</v>
      </c>
      <c r="F55" t="n">
        <v>39</v>
      </c>
      <c r="G55" t="n">
        <v>41</v>
      </c>
      <c r="H55" t="n">
        <v>42</v>
      </c>
      <c r="I55" t="n">
        <v>44</v>
      </c>
      <c r="J55" t="n">
        <v>47</v>
      </c>
      <c r="K55" t="n">
        <v>52</v>
      </c>
      <c r="L55" t="n">
        <v>57</v>
      </c>
      <c r="M55" t="n">
        <v>60</v>
      </c>
      <c r="N55" t="n">
        <v>61</v>
      </c>
      <c r="O55" t="n">
        <v>65</v>
      </c>
      <c r="P55" t="n">
        <v>70</v>
      </c>
      <c r="Q55" t="n">
        <v>71</v>
      </c>
      <c r="R55" t="n">
        <v>72</v>
      </c>
      <c r="S55" t="n">
        <v>73</v>
      </c>
      <c r="T55" t="n">
        <v>75</v>
      </c>
      <c r="U55" t="n">
        <v>77</v>
      </c>
      <c r="V55" t="n">
        <v>72</v>
      </c>
      <c r="W55" t="n">
        <v>70</v>
      </c>
      <c r="X55" t="n">
        <v>62</v>
      </c>
      <c r="Y55" t="n">
        <v>53</v>
      </c>
      <c r="Z55" t="n">
        <v>50</v>
      </c>
      <c r="AA55" t="n">
        <v>44</v>
      </c>
      <c r="AB55" t="n">
        <v>39</v>
      </c>
      <c r="AC55" t="n">
        <v>35</v>
      </c>
      <c r="AD55" t="n">
        <v>24</v>
      </c>
      <c r="AE55" t="n">
        <v>20</v>
      </c>
      <c r="AF55" t="n">
        <v>18</v>
      </c>
    </row>
    <row r="56">
      <c r="A56" t="s">
        <v>101</v>
      </c>
      <c r="B56" t="s">
        <v>382</v>
      </c>
      <c r="C56" t="s">
        <v>236</v>
      </c>
      <c r="D56" t="s">
        <v>383</v>
      </c>
      <c r="E56" t="s">
        <v>237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101</v>
      </c>
      <c r="B57" t="s">
        <v>384</v>
      </c>
      <c r="C57" t="s">
        <v>236</v>
      </c>
      <c r="D57" t="s">
        <v>385</v>
      </c>
      <c r="E57" t="s">
        <v>237</v>
      </c>
      <c r="F57" t="n">
        <v>11021</v>
      </c>
      <c r="G57" t="n">
        <v>10850</v>
      </c>
      <c r="H57" t="n">
        <v>11249</v>
      </c>
      <c r="I57" t="n">
        <v>11525</v>
      </c>
      <c r="J57" t="n">
        <v>11948</v>
      </c>
      <c r="K57" t="n">
        <v>12843</v>
      </c>
      <c r="L57" t="n">
        <v>13604</v>
      </c>
      <c r="M57" t="n">
        <v>13572</v>
      </c>
      <c r="N57" t="n">
        <v>13282</v>
      </c>
      <c r="O57" t="n">
        <v>13588</v>
      </c>
      <c r="P57" t="n">
        <v>13771</v>
      </c>
      <c r="Q57" t="n">
        <v>14246</v>
      </c>
      <c r="R57" t="n">
        <v>14554</v>
      </c>
      <c r="S57" t="n">
        <v>14491</v>
      </c>
      <c r="T57" t="n">
        <v>14607</v>
      </c>
      <c r="U57" t="n">
        <v>14601</v>
      </c>
      <c r="V57" t="n">
        <v>14622</v>
      </c>
      <c r="W57" t="n">
        <v>15080</v>
      </c>
      <c r="X57" t="n">
        <v>14826</v>
      </c>
      <c r="Y57" t="n">
        <v>14518</v>
      </c>
      <c r="Z57" t="n">
        <v>14742</v>
      </c>
      <c r="AA57" t="n">
        <v>14796</v>
      </c>
      <c r="AB57" t="n">
        <v>14737</v>
      </c>
      <c r="AC57" t="n">
        <v>14230</v>
      </c>
      <c r="AD57" t="n">
        <v>14360</v>
      </c>
      <c r="AE57" t="n">
        <v>13982</v>
      </c>
      <c r="AF57" t="n">
        <v>13512</v>
      </c>
    </row>
    <row r="58">
      <c r="A58" t="s">
        <v>101</v>
      </c>
      <c r="B58" t="s">
        <v>386</v>
      </c>
      <c r="C58" t="s">
        <v>236</v>
      </c>
      <c r="D58" t="s">
        <v>387</v>
      </c>
      <c r="E58" t="s">
        <v>237</v>
      </c>
      <c r="F58" t="n">
        <v>11021</v>
      </c>
      <c r="G58" t="n">
        <v>10850</v>
      </c>
      <c r="H58" t="n">
        <v>11249</v>
      </c>
      <c r="I58" t="n">
        <v>11525</v>
      </c>
      <c r="J58" t="n">
        <v>11948</v>
      </c>
      <c r="K58" t="n">
        <v>12843</v>
      </c>
      <c r="L58" t="n">
        <v>13604</v>
      </c>
      <c r="M58" t="n">
        <v>13572</v>
      </c>
      <c r="N58" t="n">
        <v>13282</v>
      </c>
      <c r="O58" t="n">
        <v>13588</v>
      </c>
      <c r="P58" t="n">
        <v>13771</v>
      </c>
      <c r="Q58" t="n">
        <v>14246</v>
      </c>
      <c r="R58" t="n">
        <v>14554</v>
      </c>
      <c r="S58" t="n">
        <v>14491</v>
      </c>
      <c r="T58" t="n">
        <v>14607</v>
      </c>
      <c r="U58" t="n">
        <v>14601</v>
      </c>
      <c r="V58" t="n">
        <v>14622</v>
      </c>
      <c r="W58" t="n">
        <v>15080</v>
      </c>
      <c r="X58" t="n">
        <v>14826</v>
      </c>
      <c r="Y58" t="n">
        <v>14518</v>
      </c>
      <c r="Z58" t="n">
        <v>14742</v>
      </c>
      <c r="AA58" t="n">
        <v>14796</v>
      </c>
      <c r="AB58" t="n">
        <v>14737</v>
      </c>
      <c r="AC58" t="n">
        <v>14230</v>
      </c>
      <c r="AD58" t="n">
        <v>14360</v>
      </c>
      <c r="AE58" t="n">
        <v>13982</v>
      </c>
      <c r="AF58" t="n">
        <v>13512</v>
      </c>
    </row>
    <row r="59">
      <c r="A59" t="s">
        <v>101</v>
      </c>
      <c r="B59" t="s">
        <v>388</v>
      </c>
      <c r="C59" t="s">
        <v>236</v>
      </c>
      <c r="D59" t="s">
        <v>389</v>
      </c>
      <c r="E59" t="s">
        <v>237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103</v>
      </c>
      <c r="B2" t="s">
        <v>197</v>
      </c>
      <c r="C2" t="s">
        <v>236</v>
      </c>
      <c r="D2" t="s">
        <v>199</v>
      </c>
      <c r="E2" t="s">
        <v>237</v>
      </c>
      <c r="F2" t="n">
        <v>1189</v>
      </c>
      <c r="G2" t="n">
        <v>1084</v>
      </c>
      <c r="H2" t="n">
        <v>1068</v>
      </c>
      <c r="I2" t="n">
        <v>1042</v>
      </c>
      <c r="J2" t="n">
        <v>1040</v>
      </c>
      <c r="K2" t="n">
        <v>1053</v>
      </c>
      <c r="L2" t="n">
        <v>1125</v>
      </c>
      <c r="M2" t="n">
        <v>1202</v>
      </c>
      <c r="N2" t="n">
        <v>1273</v>
      </c>
      <c r="O2" t="n">
        <v>1329</v>
      </c>
      <c r="P2" t="n">
        <v>1388</v>
      </c>
      <c r="Q2" t="n">
        <v>1448</v>
      </c>
      <c r="R2" t="n">
        <v>1567</v>
      </c>
      <c r="S2" t="n">
        <v>1664</v>
      </c>
      <c r="T2" t="n">
        <v>1722</v>
      </c>
      <c r="U2" t="n">
        <v>1736</v>
      </c>
      <c r="V2" t="n">
        <v>1822</v>
      </c>
      <c r="W2" t="n">
        <v>1875</v>
      </c>
      <c r="X2" t="n">
        <v>1927</v>
      </c>
      <c r="Y2" t="n">
        <v>1942</v>
      </c>
      <c r="Z2" t="n">
        <v>1934</v>
      </c>
      <c r="AA2" t="n">
        <v>1869</v>
      </c>
      <c r="AB2" t="n">
        <v>1859</v>
      </c>
      <c r="AC2" t="n">
        <v>1934</v>
      </c>
      <c r="AD2" t="n">
        <v>1999</v>
      </c>
      <c r="AE2" t="n">
        <v>1925</v>
      </c>
      <c r="AF2" t="n">
        <v>1908</v>
      </c>
    </row>
    <row r="3">
      <c r="A3" t="s">
        <v>103</v>
      </c>
      <c r="B3" t="s">
        <v>276</v>
      </c>
      <c r="C3" t="s">
        <v>236</v>
      </c>
      <c r="D3" t="s">
        <v>277</v>
      </c>
      <c r="E3" t="s">
        <v>237</v>
      </c>
      <c r="F3" t="n">
        <v>379</v>
      </c>
      <c r="G3" t="n">
        <v>390</v>
      </c>
      <c r="H3" t="n">
        <v>384</v>
      </c>
      <c r="I3" t="n">
        <v>388</v>
      </c>
      <c r="J3" t="n">
        <v>394</v>
      </c>
      <c r="K3" t="n">
        <v>391</v>
      </c>
      <c r="L3" t="n">
        <v>409</v>
      </c>
      <c r="M3" t="n">
        <v>421</v>
      </c>
      <c r="N3" t="n">
        <v>463</v>
      </c>
      <c r="O3" t="n">
        <v>471</v>
      </c>
      <c r="P3" t="n">
        <v>487</v>
      </c>
      <c r="Q3" t="n">
        <v>514</v>
      </c>
      <c r="R3" t="n">
        <v>540</v>
      </c>
      <c r="S3" t="n">
        <v>855</v>
      </c>
      <c r="T3" t="n">
        <v>929</v>
      </c>
      <c r="U3" t="n">
        <v>950</v>
      </c>
      <c r="V3" t="n">
        <v>1059</v>
      </c>
      <c r="W3" t="n">
        <v>1141</v>
      </c>
      <c r="X3" t="n">
        <v>1204</v>
      </c>
      <c r="Y3" t="n">
        <v>1229</v>
      </c>
      <c r="Z3" t="n">
        <v>1260</v>
      </c>
      <c r="AA3" t="n">
        <v>1256</v>
      </c>
      <c r="AB3" t="n">
        <v>1252</v>
      </c>
      <c r="AC3" t="n">
        <v>1302</v>
      </c>
      <c r="AD3" t="n">
        <v>1319</v>
      </c>
      <c r="AE3" t="n">
        <v>1431</v>
      </c>
      <c r="AF3" t="n">
        <v>1608</v>
      </c>
    </row>
    <row r="4">
      <c r="A4" t="s">
        <v>103</v>
      </c>
      <c r="B4" t="s">
        <v>278</v>
      </c>
      <c r="C4" t="s">
        <v>236</v>
      </c>
      <c r="D4" t="s">
        <v>279</v>
      </c>
      <c r="E4" t="s">
        <v>237</v>
      </c>
      <c r="F4" t="n">
        <v>22060</v>
      </c>
      <c r="G4" t="n">
        <v>22963</v>
      </c>
      <c r="H4" t="n">
        <v>23880</v>
      </c>
      <c r="I4" t="n">
        <v>24405</v>
      </c>
      <c r="J4" t="n">
        <v>24373</v>
      </c>
      <c r="K4" t="n">
        <v>24694</v>
      </c>
      <c r="L4" t="n">
        <v>25425</v>
      </c>
      <c r="M4" t="n">
        <v>25318</v>
      </c>
      <c r="N4" t="n">
        <v>25098</v>
      </c>
      <c r="O4" t="n">
        <v>24940</v>
      </c>
      <c r="P4" t="n">
        <v>24987</v>
      </c>
      <c r="Q4" t="n">
        <v>24489</v>
      </c>
      <c r="R4" t="n">
        <v>25081</v>
      </c>
      <c r="S4" t="n">
        <v>25480</v>
      </c>
      <c r="T4" t="n">
        <v>24962</v>
      </c>
      <c r="U4" t="n">
        <v>23950</v>
      </c>
      <c r="V4" t="n">
        <v>23574</v>
      </c>
      <c r="W4" t="n">
        <v>23410</v>
      </c>
      <c r="X4" t="n">
        <v>22936</v>
      </c>
      <c r="Y4" t="n">
        <v>22256</v>
      </c>
      <c r="Z4" t="n">
        <v>22194</v>
      </c>
      <c r="AA4" t="n">
        <v>22072</v>
      </c>
      <c r="AB4" t="n">
        <v>22923</v>
      </c>
      <c r="AC4" t="n">
        <v>23167</v>
      </c>
      <c r="AD4" t="n">
        <v>23251</v>
      </c>
      <c r="AE4" t="n">
        <v>22934</v>
      </c>
      <c r="AF4" t="n">
        <v>23841</v>
      </c>
    </row>
    <row r="5">
      <c r="A5" t="s">
        <v>103</v>
      </c>
      <c r="B5" t="s">
        <v>280</v>
      </c>
      <c r="C5" t="s">
        <v>236</v>
      </c>
      <c r="D5" t="s">
        <v>281</v>
      </c>
      <c r="E5" t="s">
        <v>237</v>
      </c>
      <c r="F5" t="n">
        <v>2055</v>
      </c>
      <c r="G5" t="n">
        <v>2087</v>
      </c>
      <c r="H5" t="n">
        <v>2111</v>
      </c>
      <c r="I5" t="n">
        <v>2133</v>
      </c>
      <c r="J5" t="n">
        <v>2115</v>
      </c>
      <c r="K5" t="n">
        <v>2105</v>
      </c>
      <c r="L5" t="n">
        <v>2123</v>
      </c>
      <c r="M5" t="n">
        <v>2155</v>
      </c>
      <c r="N5" t="n">
        <v>2196</v>
      </c>
      <c r="O5" t="n">
        <v>2173</v>
      </c>
      <c r="P5" t="n">
        <v>2185</v>
      </c>
      <c r="Q5" t="n">
        <v>2157</v>
      </c>
      <c r="R5" t="n">
        <v>2202</v>
      </c>
      <c r="S5" t="n">
        <v>2277</v>
      </c>
      <c r="T5" t="n">
        <v>2287</v>
      </c>
      <c r="U5" t="n">
        <v>2227</v>
      </c>
      <c r="V5" t="n">
        <v>2214</v>
      </c>
      <c r="W5" t="n">
        <v>2192</v>
      </c>
      <c r="X5" t="n">
        <v>2190</v>
      </c>
      <c r="Y5" t="n">
        <v>2187</v>
      </c>
      <c r="Z5" t="n">
        <v>2234</v>
      </c>
      <c r="AA5" t="n">
        <v>2226</v>
      </c>
      <c r="AB5" t="n">
        <v>2357</v>
      </c>
      <c r="AC5" t="n">
        <v>2388</v>
      </c>
      <c r="AD5" t="n">
        <v>2352</v>
      </c>
      <c r="AE5" t="n">
        <v>2315</v>
      </c>
      <c r="AF5" t="n">
        <v>2355</v>
      </c>
    </row>
    <row r="6">
      <c r="A6" t="s">
        <v>103</v>
      </c>
      <c r="B6" t="s">
        <v>282</v>
      </c>
      <c r="C6" t="s">
        <v>236</v>
      </c>
      <c r="D6" t="s">
        <v>283</v>
      </c>
      <c r="E6" t="s">
        <v>237</v>
      </c>
      <c r="F6" t="n">
        <v>401</v>
      </c>
      <c r="G6" t="n">
        <v>384</v>
      </c>
      <c r="H6" t="n">
        <v>383</v>
      </c>
      <c r="I6" t="n">
        <v>369</v>
      </c>
      <c r="J6" t="n">
        <v>346</v>
      </c>
      <c r="K6" t="n">
        <v>333</v>
      </c>
      <c r="L6" t="n">
        <v>327</v>
      </c>
      <c r="M6" t="n">
        <v>316</v>
      </c>
      <c r="N6" t="n">
        <v>302</v>
      </c>
      <c r="O6" t="n">
        <v>287</v>
      </c>
      <c r="P6" t="n">
        <v>280</v>
      </c>
      <c r="Q6" t="n">
        <v>268</v>
      </c>
      <c r="R6" t="n">
        <v>266</v>
      </c>
      <c r="S6" t="n">
        <v>254</v>
      </c>
      <c r="T6" t="n">
        <v>234</v>
      </c>
      <c r="U6" t="n">
        <v>218</v>
      </c>
      <c r="V6" t="n">
        <v>209</v>
      </c>
      <c r="W6" t="n">
        <v>196</v>
      </c>
      <c r="X6" t="n">
        <v>180</v>
      </c>
      <c r="Y6" t="n">
        <v>166</v>
      </c>
      <c r="Z6" t="n">
        <v>162</v>
      </c>
      <c r="AA6" t="n">
        <v>174</v>
      </c>
      <c r="AB6" t="n">
        <v>174</v>
      </c>
      <c r="AC6" t="n">
        <v>174</v>
      </c>
      <c r="AD6" t="n">
        <v>184</v>
      </c>
      <c r="AE6" t="n">
        <v>195</v>
      </c>
      <c r="AF6" t="n">
        <v>198</v>
      </c>
    </row>
    <row r="7">
      <c r="A7" t="s">
        <v>103</v>
      </c>
      <c r="B7" t="s">
        <v>284</v>
      </c>
      <c r="C7" t="s">
        <v>236</v>
      </c>
      <c r="D7" t="s">
        <v>285</v>
      </c>
      <c r="E7" t="s">
        <v>237</v>
      </c>
      <c r="F7" t="n">
        <v>10491</v>
      </c>
      <c r="G7" t="n">
        <v>11010</v>
      </c>
      <c r="H7" t="n">
        <v>11179</v>
      </c>
      <c r="I7" t="n">
        <v>11267</v>
      </c>
      <c r="J7" t="n">
        <v>11053</v>
      </c>
      <c r="K7" t="n">
        <v>10982</v>
      </c>
      <c r="L7" t="n">
        <v>11371</v>
      </c>
      <c r="M7" t="n">
        <v>11029</v>
      </c>
      <c r="N7" t="n">
        <v>10881</v>
      </c>
      <c r="O7" t="n">
        <v>10639</v>
      </c>
      <c r="P7" t="n">
        <v>10517</v>
      </c>
      <c r="Q7" t="n">
        <v>10212</v>
      </c>
      <c r="R7" t="n">
        <v>10091</v>
      </c>
      <c r="S7" t="n">
        <v>10204</v>
      </c>
      <c r="T7" t="n">
        <v>9685</v>
      </c>
      <c r="U7" t="n">
        <v>9170</v>
      </c>
      <c r="V7" t="n">
        <v>8928</v>
      </c>
      <c r="W7" t="n">
        <v>8682</v>
      </c>
      <c r="X7" t="n">
        <v>8469</v>
      </c>
      <c r="Y7" t="n">
        <v>8119</v>
      </c>
      <c r="Z7" t="n">
        <v>7885</v>
      </c>
      <c r="AA7" t="n">
        <v>7855</v>
      </c>
      <c r="AB7" t="n">
        <v>8187</v>
      </c>
      <c r="AC7" t="n">
        <v>8085</v>
      </c>
      <c r="AD7" t="n">
        <v>8000</v>
      </c>
      <c r="AE7" t="n">
        <v>7781</v>
      </c>
      <c r="AF7" t="n">
        <v>7883</v>
      </c>
    </row>
    <row r="8">
      <c r="A8" t="s">
        <v>103</v>
      </c>
      <c r="B8" t="s">
        <v>286</v>
      </c>
      <c r="C8" t="s">
        <v>236</v>
      </c>
      <c r="D8" t="s">
        <v>287</v>
      </c>
      <c r="E8" t="s">
        <v>237</v>
      </c>
      <c r="F8" t="n">
        <v>681</v>
      </c>
      <c r="G8" t="n">
        <v>673</v>
      </c>
      <c r="H8" t="n">
        <v>746</v>
      </c>
      <c r="I8" t="n">
        <v>714</v>
      </c>
      <c r="J8" t="n">
        <v>703</v>
      </c>
      <c r="K8" t="n">
        <v>680</v>
      </c>
      <c r="L8" t="n">
        <v>716</v>
      </c>
      <c r="M8" t="n">
        <v>674</v>
      </c>
      <c r="N8" t="n">
        <v>674</v>
      </c>
      <c r="O8" t="n">
        <v>649</v>
      </c>
      <c r="P8" t="n">
        <v>739</v>
      </c>
      <c r="Q8" t="n">
        <v>852</v>
      </c>
      <c r="R8" t="n">
        <v>1351</v>
      </c>
      <c r="S8" t="n">
        <v>1326</v>
      </c>
      <c r="T8" t="n">
        <v>1269</v>
      </c>
      <c r="U8" t="n">
        <v>1257</v>
      </c>
      <c r="V8" t="n">
        <v>1220</v>
      </c>
      <c r="W8" t="n">
        <v>1215</v>
      </c>
      <c r="X8" t="n">
        <v>1187</v>
      </c>
      <c r="Y8" t="n">
        <v>1160</v>
      </c>
      <c r="Z8" t="n">
        <v>1281</v>
      </c>
      <c r="AA8" t="n">
        <v>1251</v>
      </c>
      <c r="AB8" t="n">
        <v>1605</v>
      </c>
      <c r="AC8" t="n">
        <v>1641</v>
      </c>
      <c r="AD8" t="n">
        <v>1587</v>
      </c>
      <c r="AE8" t="n">
        <v>1521</v>
      </c>
      <c r="AF8" t="n">
        <v>1807</v>
      </c>
    </row>
    <row r="9">
      <c r="A9" t="s">
        <v>103</v>
      </c>
      <c r="B9" t="s">
        <v>288</v>
      </c>
      <c r="C9" t="s">
        <v>236</v>
      </c>
      <c r="D9" t="s">
        <v>289</v>
      </c>
      <c r="E9" t="s">
        <v>237</v>
      </c>
      <c r="F9" t="n">
        <v>1545</v>
      </c>
      <c r="G9" t="n">
        <v>1579</v>
      </c>
      <c r="H9" t="n">
        <v>1681</v>
      </c>
      <c r="I9" t="n">
        <v>1703</v>
      </c>
      <c r="J9" t="n">
        <v>1728</v>
      </c>
      <c r="K9" t="n">
        <v>1719</v>
      </c>
      <c r="L9" t="n">
        <v>1719</v>
      </c>
      <c r="M9" t="n">
        <v>1785</v>
      </c>
      <c r="N9" t="n">
        <v>1763</v>
      </c>
      <c r="O9" t="n">
        <v>1766</v>
      </c>
      <c r="P9" t="n">
        <v>1755</v>
      </c>
      <c r="Q9" t="n">
        <v>1712</v>
      </c>
      <c r="R9" t="n">
        <v>1809</v>
      </c>
      <c r="S9" t="n">
        <v>1861</v>
      </c>
      <c r="T9" t="n">
        <v>1887</v>
      </c>
      <c r="U9" t="n">
        <v>1779</v>
      </c>
      <c r="V9" t="n">
        <v>1764</v>
      </c>
      <c r="W9" t="n">
        <v>1766</v>
      </c>
      <c r="X9" t="n">
        <v>1794</v>
      </c>
      <c r="Y9" t="n">
        <v>1745</v>
      </c>
      <c r="Z9" t="n">
        <v>1753</v>
      </c>
      <c r="AA9" t="n">
        <v>1751</v>
      </c>
      <c r="AB9" t="n">
        <v>1810</v>
      </c>
      <c r="AC9" t="n">
        <v>1848</v>
      </c>
      <c r="AD9" t="n">
        <v>1851</v>
      </c>
      <c r="AE9" t="n">
        <v>1818</v>
      </c>
      <c r="AF9" t="n">
        <v>1976</v>
      </c>
    </row>
    <row r="10">
      <c r="A10" t="s">
        <v>103</v>
      </c>
      <c r="B10" t="s">
        <v>290</v>
      </c>
      <c r="C10" t="s">
        <v>236</v>
      </c>
      <c r="D10" t="s">
        <v>291</v>
      </c>
      <c r="E10" t="s">
        <v>237</v>
      </c>
      <c r="F10" t="n">
        <v>1765</v>
      </c>
      <c r="G10" t="n">
        <v>1799</v>
      </c>
      <c r="H10" t="n">
        <v>1902</v>
      </c>
      <c r="I10" t="n">
        <v>1927</v>
      </c>
      <c r="J10" t="n">
        <v>1948</v>
      </c>
      <c r="K10" t="n">
        <v>1942</v>
      </c>
      <c r="L10" t="n">
        <v>1930</v>
      </c>
      <c r="M10" t="n">
        <v>2013</v>
      </c>
      <c r="N10" t="n">
        <v>1986</v>
      </c>
      <c r="O10" t="n">
        <v>1983</v>
      </c>
      <c r="P10" t="n">
        <v>1968</v>
      </c>
      <c r="Q10" t="n">
        <v>1918</v>
      </c>
      <c r="R10" t="n">
        <v>2016</v>
      </c>
      <c r="S10" t="n">
        <v>2068</v>
      </c>
      <c r="T10" t="n">
        <v>2105</v>
      </c>
      <c r="U10" t="n">
        <v>2000</v>
      </c>
      <c r="V10" t="n">
        <v>1987</v>
      </c>
      <c r="W10" t="n">
        <v>1997</v>
      </c>
      <c r="X10" t="n">
        <v>2041</v>
      </c>
      <c r="Y10" t="n">
        <v>1996</v>
      </c>
      <c r="Z10" t="n">
        <v>2007</v>
      </c>
      <c r="AA10" t="n">
        <v>2000</v>
      </c>
      <c r="AB10" t="n">
        <v>2051</v>
      </c>
      <c r="AC10" t="n">
        <v>2094</v>
      </c>
      <c r="AD10" t="n">
        <v>2100</v>
      </c>
      <c r="AE10" t="n">
        <v>2057</v>
      </c>
      <c r="AF10" t="n">
        <v>2223</v>
      </c>
    </row>
    <row r="11">
      <c r="A11" t="s">
        <v>103</v>
      </c>
      <c r="B11" t="s">
        <v>292</v>
      </c>
      <c r="C11" t="s">
        <v>236</v>
      </c>
      <c r="D11" t="s">
        <v>293</v>
      </c>
      <c r="E11" t="s">
        <v>237</v>
      </c>
      <c r="F11" t="n">
        <v>220</v>
      </c>
      <c r="G11" t="n">
        <v>220</v>
      </c>
      <c r="H11" t="n">
        <v>221</v>
      </c>
      <c r="I11" t="n">
        <v>224</v>
      </c>
      <c r="J11" t="n">
        <v>220</v>
      </c>
      <c r="K11" t="n">
        <v>223</v>
      </c>
      <c r="L11" t="n">
        <v>211</v>
      </c>
      <c r="M11" t="n">
        <v>228</v>
      </c>
      <c r="N11" t="n">
        <v>223</v>
      </c>
      <c r="O11" t="n">
        <v>217</v>
      </c>
      <c r="P11" t="n">
        <v>213</v>
      </c>
      <c r="Q11" t="n">
        <v>206</v>
      </c>
      <c r="R11" t="n">
        <v>207</v>
      </c>
      <c r="S11" t="n">
        <v>207</v>
      </c>
      <c r="T11" t="n">
        <v>218</v>
      </c>
      <c r="U11" t="n">
        <v>221</v>
      </c>
      <c r="V11" t="n">
        <v>223</v>
      </c>
      <c r="W11" t="n">
        <v>231</v>
      </c>
      <c r="X11" t="n">
        <v>247</v>
      </c>
      <c r="Y11" t="n">
        <v>251</v>
      </c>
      <c r="Z11" t="n">
        <v>254</v>
      </c>
      <c r="AA11" t="n">
        <v>249</v>
      </c>
      <c r="AB11" t="n">
        <v>241</v>
      </c>
      <c r="AC11" t="n">
        <v>246</v>
      </c>
      <c r="AD11" t="n">
        <v>249</v>
      </c>
      <c r="AE11" t="n">
        <v>239</v>
      </c>
      <c r="AF11" t="n">
        <v>247</v>
      </c>
    </row>
    <row r="12">
      <c r="A12" t="s">
        <v>103</v>
      </c>
      <c r="B12" t="s">
        <v>294</v>
      </c>
      <c r="C12" t="s">
        <v>236</v>
      </c>
      <c r="D12" t="s">
        <v>295</v>
      </c>
      <c r="E12" t="s">
        <v>237</v>
      </c>
      <c r="F12" t="n">
        <v>1371</v>
      </c>
      <c r="G12" t="n">
        <v>1398</v>
      </c>
      <c r="H12" t="n">
        <v>1443</v>
      </c>
      <c r="I12" t="n">
        <v>1509</v>
      </c>
      <c r="J12" t="n">
        <v>1547</v>
      </c>
      <c r="K12" t="n">
        <v>1619</v>
      </c>
      <c r="L12" t="n">
        <v>1645</v>
      </c>
      <c r="M12" t="n">
        <v>1655</v>
      </c>
      <c r="N12" t="n">
        <v>1670</v>
      </c>
      <c r="O12" t="n">
        <v>1671</v>
      </c>
      <c r="P12" t="n">
        <v>1711</v>
      </c>
      <c r="Q12" t="n">
        <v>1709</v>
      </c>
      <c r="R12" t="n">
        <v>1735</v>
      </c>
      <c r="S12" t="n">
        <v>1778</v>
      </c>
      <c r="T12" t="n">
        <v>1775</v>
      </c>
      <c r="U12" t="n">
        <v>1703</v>
      </c>
      <c r="V12" t="n">
        <v>1698</v>
      </c>
      <c r="W12" t="n">
        <v>1659</v>
      </c>
      <c r="X12" t="n">
        <v>1625</v>
      </c>
      <c r="Y12" t="n">
        <v>1585</v>
      </c>
      <c r="Z12" t="n">
        <v>1614</v>
      </c>
      <c r="AA12" t="n">
        <v>1645</v>
      </c>
      <c r="AB12" t="n">
        <v>1673</v>
      </c>
      <c r="AC12" t="n">
        <v>1756</v>
      </c>
      <c r="AD12" t="n">
        <v>1831</v>
      </c>
      <c r="AE12" t="n">
        <v>1890</v>
      </c>
      <c r="AF12" t="n">
        <v>1989</v>
      </c>
    </row>
    <row r="13">
      <c r="A13" t="s">
        <v>103</v>
      </c>
      <c r="B13" t="s">
        <v>296</v>
      </c>
      <c r="C13" t="s">
        <v>236</v>
      </c>
      <c r="D13" t="s">
        <v>297</v>
      </c>
      <c r="E13" t="s">
        <v>237</v>
      </c>
      <c r="F13" t="n">
        <v>2466</v>
      </c>
      <c r="G13" t="n">
        <v>2643</v>
      </c>
      <c r="H13" t="n">
        <v>2937</v>
      </c>
      <c r="I13" t="n">
        <v>3120</v>
      </c>
      <c r="J13" t="n">
        <v>3114</v>
      </c>
      <c r="K13" t="n">
        <v>3260</v>
      </c>
      <c r="L13" t="n">
        <v>3341</v>
      </c>
      <c r="M13" t="n">
        <v>3557</v>
      </c>
      <c r="N13" t="n">
        <v>3551</v>
      </c>
      <c r="O13" t="n">
        <v>3811</v>
      </c>
      <c r="P13" t="n">
        <v>3825</v>
      </c>
      <c r="Q13" t="n">
        <v>3733</v>
      </c>
      <c r="R13" t="n">
        <v>3828</v>
      </c>
      <c r="S13" t="n">
        <v>3982</v>
      </c>
      <c r="T13" t="n">
        <v>4077</v>
      </c>
      <c r="U13" t="n">
        <v>4027</v>
      </c>
      <c r="V13" t="n">
        <v>4003</v>
      </c>
      <c r="W13" t="n">
        <v>4223</v>
      </c>
      <c r="X13" t="n">
        <v>4098</v>
      </c>
      <c r="Y13" t="n">
        <v>4000</v>
      </c>
      <c r="Z13" t="n">
        <v>3997</v>
      </c>
      <c r="AA13" t="n">
        <v>3927</v>
      </c>
      <c r="AB13" t="n">
        <v>3875</v>
      </c>
      <c r="AC13" t="n">
        <v>3921</v>
      </c>
      <c r="AD13" t="n">
        <v>4028</v>
      </c>
      <c r="AE13" t="n">
        <v>3955</v>
      </c>
      <c r="AF13" t="n">
        <v>3991</v>
      </c>
    </row>
    <row r="14">
      <c r="A14" t="s">
        <v>103</v>
      </c>
      <c r="B14" t="s">
        <v>298</v>
      </c>
      <c r="C14" t="s">
        <v>236</v>
      </c>
      <c r="D14" t="s">
        <v>299</v>
      </c>
      <c r="E14" t="s">
        <v>237</v>
      </c>
      <c r="F14" t="n">
        <v>715</v>
      </c>
      <c r="G14" t="n">
        <v>763</v>
      </c>
      <c r="H14" t="n">
        <v>869</v>
      </c>
      <c r="I14" t="n">
        <v>998</v>
      </c>
      <c r="J14" t="n">
        <v>1181</v>
      </c>
      <c r="K14" t="n">
        <v>1389</v>
      </c>
      <c r="L14" t="n">
        <v>1568</v>
      </c>
      <c r="M14" t="n">
        <v>1540</v>
      </c>
      <c r="N14" t="n">
        <v>1470</v>
      </c>
      <c r="O14" t="n">
        <v>1430</v>
      </c>
      <c r="P14" t="n">
        <v>1461</v>
      </c>
      <c r="Q14" t="n">
        <v>1352</v>
      </c>
      <c r="R14" t="n">
        <v>1267</v>
      </c>
      <c r="S14" t="n">
        <v>1135</v>
      </c>
      <c r="T14" t="n">
        <v>1014</v>
      </c>
      <c r="U14" t="n">
        <v>925</v>
      </c>
      <c r="V14" t="n">
        <v>865</v>
      </c>
      <c r="W14" t="n">
        <v>805</v>
      </c>
      <c r="X14" t="n">
        <v>711</v>
      </c>
      <c r="Y14" t="n">
        <v>664</v>
      </c>
      <c r="Z14" t="n">
        <v>652</v>
      </c>
      <c r="AA14" t="n">
        <v>628</v>
      </c>
      <c r="AB14" t="n">
        <v>616</v>
      </c>
      <c r="AC14" t="n">
        <v>610</v>
      </c>
      <c r="AD14" t="n">
        <v>598</v>
      </c>
      <c r="AE14" t="n">
        <v>617</v>
      </c>
      <c r="AF14" t="n">
        <v>635</v>
      </c>
    </row>
    <row r="15">
      <c r="A15" t="s">
        <v>103</v>
      </c>
      <c r="B15" t="s">
        <v>300</v>
      </c>
      <c r="C15" t="s">
        <v>236</v>
      </c>
      <c r="D15" t="s">
        <v>301</v>
      </c>
      <c r="E15" t="s">
        <v>237</v>
      </c>
      <c r="F15" t="n">
        <v>1024</v>
      </c>
      <c r="G15" t="n">
        <v>1081</v>
      </c>
      <c r="H15" t="n">
        <v>1203</v>
      </c>
      <c r="I15" t="n">
        <v>1349</v>
      </c>
      <c r="J15" t="n">
        <v>1525</v>
      </c>
      <c r="K15" t="n">
        <v>1730</v>
      </c>
      <c r="L15" t="n">
        <v>1906</v>
      </c>
      <c r="M15" t="n">
        <v>1860</v>
      </c>
      <c r="N15" t="n">
        <v>1784</v>
      </c>
      <c r="O15" t="n">
        <v>1726</v>
      </c>
      <c r="P15" t="n">
        <v>1762</v>
      </c>
      <c r="Q15" t="n">
        <v>1637</v>
      </c>
      <c r="R15" t="n">
        <v>1553</v>
      </c>
      <c r="S15" t="n">
        <v>1437</v>
      </c>
      <c r="T15" t="n">
        <v>1314</v>
      </c>
      <c r="U15" t="n">
        <v>1219</v>
      </c>
      <c r="V15" t="n">
        <v>1157</v>
      </c>
      <c r="W15" t="n">
        <v>1092</v>
      </c>
      <c r="X15" t="n">
        <v>994</v>
      </c>
      <c r="Y15" t="n">
        <v>928</v>
      </c>
      <c r="Z15" t="n">
        <v>932</v>
      </c>
      <c r="AA15" t="n">
        <v>943</v>
      </c>
      <c r="AB15" t="n">
        <v>931</v>
      </c>
      <c r="AC15" t="n">
        <v>921</v>
      </c>
      <c r="AD15" t="n">
        <v>919</v>
      </c>
      <c r="AE15" t="n">
        <v>925</v>
      </c>
      <c r="AF15" t="n">
        <v>959</v>
      </c>
    </row>
    <row r="16">
      <c r="A16" t="s">
        <v>103</v>
      </c>
      <c r="B16" t="s">
        <v>302</v>
      </c>
      <c r="C16" t="s">
        <v>236</v>
      </c>
      <c r="D16" t="s">
        <v>303</v>
      </c>
      <c r="E16" t="s">
        <v>237</v>
      </c>
      <c r="F16" t="n">
        <v>309</v>
      </c>
      <c r="G16" t="n">
        <v>318</v>
      </c>
      <c r="H16" t="n">
        <v>334</v>
      </c>
      <c r="I16" t="n">
        <v>351</v>
      </c>
      <c r="J16" t="n">
        <v>344</v>
      </c>
      <c r="K16" t="n">
        <v>341</v>
      </c>
      <c r="L16" t="n">
        <v>338</v>
      </c>
      <c r="M16" t="n">
        <v>320</v>
      </c>
      <c r="N16" t="n">
        <v>314</v>
      </c>
      <c r="O16" t="n">
        <v>296</v>
      </c>
      <c r="P16" t="n">
        <v>301</v>
      </c>
      <c r="Q16" t="n">
        <v>285</v>
      </c>
      <c r="R16" t="n">
        <v>286</v>
      </c>
      <c r="S16" t="n">
        <v>302</v>
      </c>
      <c r="T16" t="n">
        <v>300</v>
      </c>
      <c r="U16" t="n">
        <v>294</v>
      </c>
      <c r="V16" t="n">
        <v>292</v>
      </c>
      <c r="W16" t="n">
        <v>287</v>
      </c>
      <c r="X16" t="n">
        <v>283</v>
      </c>
      <c r="Y16" t="n">
        <v>264</v>
      </c>
      <c r="Z16" t="n">
        <v>280</v>
      </c>
      <c r="AA16" t="n">
        <v>315</v>
      </c>
      <c r="AB16" t="n">
        <v>315</v>
      </c>
      <c r="AC16" t="n">
        <v>311</v>
      </c>
      <c r="AD16" t="n">
        <v>321</v>
      </c>
      <c r="AE16" t="n">
        <v>308</v>
      </c>
      <c r="AF16" t="n">
        <v>324</v>
      </c>
    </row>
    <row r="17">
      <c r="A17" t="s">
        <v>103</v>
      </c>
      <c r="B17" t="s">
        <v>304</v>
      </c>
      <c r="C17" t="s">
        <v>236</v>
      </c>
      <c r="D17" t="s">
        <v>305</v>
      </c>
      <c r="E17" t="s">
        <v>237</v>
      </c>
      <c r="F17" t="n">
        <v>810</v>
      </c>
      <c r="G17" t="n">
        <v>866</v>
      </c>
      <c r="H17" t="n">
        <v>907</v>
      </c>
      <c r="I17" t="n">
        <v>919</v>
      </c>
      <c r="J17" t="n">
        <v>907</v>
      </c>
      <c r="K17" t="n">
        <v>917</v>
      </c>
      <c r="L17" t="n">
        <v>912</v>
      </c>
      <c r="M17" t="n">
        <v>884</v>
      </c>
      <c r="N17" t="n">
        <v>899</v>
      </c>
      <c r="O17" t="n">
        <v>866</v>
      </c>
      <c r="P17" t="n">
        <v>859</v>
      </c>
      <c r="Q17" t="n">
        <v>864</v>
      </c>
      <c r="R17" t="n">
        <v>891</v>
      </c>
      <c r="S17" t="n">
        <v>979</v>
      </c>
      <c r="T17" t="n">
        <v>1069</v>
      </c>
      <c r="U17" t="n">
        <v>1018</v>
      </c>
      <c r="V17" t="n">
        <v>1032</v>
      </c>
      <c r="W17" t="n">
        <v>1047</v>
      </c>
      <c r="X17" t="n">
        <v>1024</v>
      </c>
      <c r="Y17" t="n">
        <v>1036</v>
      </c>
      <c r="Z17" t="n">
        <v>1035</v>
      </c>
      <c r="AA17" t="n">
        <v>1010</v>
      </c>
      <c r="AB17" t="n">
        <v>964</v>
      </c>
      <c r="AC17" t="n">
        <v>971</v>
      </c>
      <c r="AD17" t="n">
        <v>1007</v>
      </c>
      <c r="AE17" t="n">
        <v>1032</v>
      </c>
      <c r="AF17" t="n">
        <v>1033</v>
      </c>
    </row>
    <row r="18">
      <c r="A18" t="s">
        <v>103</v>
      </c>
      <c r="B18" t="s">
        <v>306</v>
      </c>
      <c r="C18" t="s">
        <v>236</v>
      </c>
      <c r="D18" t="s">
        <v>307</v>
      </c>
      <c r="E18" t="s">
        <v>237</v>
      </c>
      <c r="F18" t="n">
        <v>407</v>
      </c>
      <c r="G18" t="n">
        <v>411</v>
      </c>
      <c r="H18" t="n">
        <v>415</v>
      </c>
      <c r="I18" t="n">
        <v>411</v>
      </c>
      <c r="J18" t="n">
        <v>402</v>
      </c>
      <c r="K18" t="n">
        <v>389</v>
      </c>
      <c r="L18" t="n">
        <v>396</v>
      </c>
      <c r="M18" t="n">
        <v>389</v>
      </c>
      <c r="N18" t="n">
        <v>383</v>
      </c>
      <c r="O18" t="n">
        <v>384</v>
      </c>
      <c r="P18" t="n">
        <v>390</v>
      </c>
      <c r="Q18" t="n">
        <v>390</v>
      </c>
      <c r="R18" t="n">
        <v>392</v>
      </c>
      <c r="S18" t="n">
        <v>406</v>
      </c>
      <c r="T18" t="n">
        <v>414</v>
      </c>
      <c r="U18" t="n">
        <v>414</v>
      </c>
      <c r="V18" t="n">
        <v>439</v>
      </c>
      <c r="W18" t="n">
        <v>446</v>
      </c>
      <c r="X18" t="n">
        <v>512</v>
      </c>
      <c r="Y18" t="n">
        <v>500</v>
      </c>
      <c r="Z18" t="n">
        <v>484</v>
      </c>
      <c r="AA18" t="n">
        <v>480</v>
      </c>
      <c r="AB18" t="n">
        <v>539</v>
      </c>
      <c r="AC18" t="n">
        <v>632</v>
      </c>
      <c r="AD18" t="n">
        <v>643</v>
      </c>
      <c r="AE18" t="n">
        <v>647</v>
      </c>
      <c r="AF18" t="n">
        <v>700</v>
      </c>
    </row>
    <row r="19">
      <c r="A19" t="s">
        <v>103</v>
      </c>
      <c r="B19" t="s">
        <v>308</v>
      </c>
      <c r="C19" t="s">
        <v>236</v>
      </c>
      <c r="D19" t="s">
        <v>309</v>
      </c>
      <c r="E19" t="s">
        <v>237</v>
      </c>
      <c r="F19" t="n">
        <v>589</v>
      </c>
      <c r="G19" t="n">
        <v>611</v>
      </c>
      <c r="H19" t="n">
        <v>654</v>
      </c>
      <c r="I19" t="n">
        <v>687</v>
      </c>
      <c r="J19" t="n">
        <v>713</v>
      </c>
      <c r="K19" t="n">
        <v>737</v>
      </c>
      <c r="L19" t="n">
        <v>758</v>
      </c>
      <c r="M19" t="n">
        <v>786</v>
      </c>
      <c r="N19" t="n">
        <v>772</v>
      </c>
      <c r="O19" t="n">
        <v>751</v>
      </c>
      <c r="P19" t="n">
        <v>751</v>
      </c>
      <c r="Q19" t="n">
        <v>749</v>
      </c>
      <c r="R19" t="n">
        <v>756</v>
      </c>
      <c r="S19" t="n">
        <v>769</v>
      </c>
      <c r="T19" t="n">
        <v>733</v>
      </c>
      <c r="U19" t="n">
        <v>697</v>
      </c>
      <c r="V19" t="n">
        <v>687</v>
      </c>
      <c r="W19" t="n">
        <v>661</v>
      </c>
      <c r="X19" t="n">
        <v>616</v>
      </c>
      <c r="Y19" t="n">
        <v>579</v>
      </c>
      <c r="Z19" t="n">
        <v>563</v>
      </c>
      <c r="AA19" t="n">
        <v>561</v>
      </c>
      <c r="AB19" t="n">
        <v>567</v>
      </c>
      <c r="AC19" t="n">
        <v>584</v>
      </c>
      <c r="AD19" t="n">
        <v>600</v>
      </c>
      <c r="AE19" t="n">
        <v>616</v>
      </c>
      <c r="AF19" t="n">
        <v>703</v>
      </c>
    </row>
    <row r="20">
      <c r="A20" t="s">
        <v>103</v>
      </c>
      <c r="B20" t="s">
        <v>310</v>
      </c>
      <c r="C20" t="s">
        <v>236</v>
      </c>
      <c r="D20" t="s">
        <v>311</v>
      </c>
      <c r="E20" t="s">
        <v>237</v>
      </c>
      <c r="F20" t="n">
        <v>5586</v>
      </c>
      <c r="G20" t="n">
        <v>5633</v>
      </c>
      <c r="H20" t="n">
        <v>5778</v>
      </c>
      <c r="I20" t="n">
        <v>5705</v>
      </c>
      <c r="J20" t="n">
        <v>5601</v>
      </c>
      <c r="K20" t="n">
        <v>5644</v>
      </c>
      <c r="L20" t="n">
        <v>5603</v>
      </c>
      <c r="M20" t="n">
        <v>5620</v>
      </c>
      <c r="N20" t="n">
        <v>5566</v>
      </c>
      <c r="O20" t="n">
        <v>5650</v>
      </c>
      <c r="P20" t="n">
        <v>5762</v>
      </c>
      <c r="Q20" t="n">
        <v>5763</v>
      </c>
      <c r="R20" t="n">
        <v>5943</v>
      </c>
      <c r="S20" t="n">
        <v>6299</v>
      </c>
      <c r="T20" t="n">
        <v>6808</v>
      </c>
      <c r="U20" t="n">
        <v>7066</v>
      </c>
      <c r="V20" t="n">
        <v>7380</v>
      </c>
      <c r="W20" t="n">
        <v>7745</v>
      </c>
      <c r="X20" t="n">
        <v>8131</v>
      </c>
      <c r="Y20" t="n">
        <v>8678</v>
      </c>
      <c r="Z20" t="n">
        <v>9599</v>
      </c>
      <c r="AA20" t="n">
        <v>10332</v>
      </c>
      <c r="AB20" t="n">
        <v>11057</v>
      </c>
      <c r="AC20" t="n">
        <v>11534</v>
      </c>
      <c r="AD20" t="n">
        <v>11861</v>
      </c>
      <c r="AE20" t="n">
        <v>12360</v>
      </c>
      <c r="AF20" t="n">
        <v>13208</v>
      </c>
    </row>
    <row r="21">
      <c r="A21" t="s">
        <v>103</v>
      </c>
      <c r="B21" t="s">
        <v>312</v>
      </c>
      <c r="C21" t="s">
        <v>236</v>
      </c>
      <c r="D21" t="s">
        <v>313</v>
      </c>
      <c r="E21" t="s">
        <v>237</v>
      </c>
      <c r="F21" t="n">
        <v>5867</v>
      </c>
      <c r="G21" t="n">
        <v>5921</v>
      </c>
      <c r="H21" t="n">
        <v>6078</v>
      </c>
      <c r="I21" t="n">
        <v>6004</v>
      </c>
      <c r="J21" t="n">
        <v>5905</v>
      </c>
      <c r="K21" t="n">
        <v>5951</v>
      </c>
      <c r="L21" t="n">
        <v>5906</v>
      </c>
      <c r="M21" t="n">
        <v>5937</v>
      </c>
      <c r="N21" t="n">
        <v>5890</v>
      </c>
      <c r="O21" t="n">
        <v>5969</v>
      </c>
      <c r="P21" t="n">
        <v>6091</v>
      </c>
      <c r="Q21" t="n">
        <v>6100</v>
      </c>
      <c r="R21" t="n">
        <v>6335</v>
      </c>
      <c r="S21" t="n">
        <v>6723</v>
      </c>
      <c r="T21" t="n">
        <v>7280</v>
      </c>
      <c r="U21" t="n">
        <v>7545</v>
      </c>
      <c r="V21" t="n">
        <v>7896</v>
      </c>
      <c r="W21" t="n">
        <v>8354</v>
      </c>
      <c r="X21" t="n">
        <v>8766</v>
      </c>
      <c r="Y21" t="n">
        <v>9312</v>
      </c>
      <c r="Z21" t="n">
        <v>10254</v>
      </c>
      <c r="AA21" t="n">
        <v>11006</v>
      </c>
      <c r="AB21" t="n">
        <v>11760</v>
      </c>
      <c r="AC21" t="n">
        <v>12267</v>
      </c>
      <c r="AD21" t="n">
        <v>12605</v>
      </c>
      <c r="AE21" t="n">
        <v>13138</v>
      </c>
      <c r="AF21" t="n">
        <v>14157</v>
      </c>
    </row>
    <row r="22">
      <c r="A22" t="s">
        <v>103</v>
      </c>
      <c r="B22" t="s">
        <v>314</v>
      </c>
      <c r="C22" t="s">
        <v>236</v>
      </c>
      <c r="D22" t="s">
        <v>315</v>
      </c>
      <c r="E22" t="s">
        <v>237</v>
      </c>
      <c r="F22" t="n">
        <v>281</v>
      </c>
      <c r="G22" t="n">
        <v>288</v>
      </c>
      <c r="H22" t="n">
        <v>300</v>
      </c>
      <c r="I22" t="n">
        <v>299</v>
      </c>
      <c r="J22" t="n">
        <v>304</v>
      </c>
      <c r="K22" t="n">
        <v>307</v>
      </c>
      <c r="L22" t="n">
        <v>303</v>
      </c>
      <c r="M22" t="n">
        <v>317</v>
      </c>
      <c r="N22" t="n">
        <v>324</v>
      </c>
      <c r="O22" t="n">
        <v>319</v>
      </c>
      <c r="P22" t="n">
        <v>329</v>
      </c>
      <c r="Q22" t="n">
        <v>337</v>
      </c>
      <c r="R22" t="n">
        <v>392</v>
      </c>
      <c r="S22" t="n">
        <v>424</v>
      </c>
      <c r="T22" t="n">
        <v>472</v>
      </c>
      <c r="U22" t="n">
        <v>479</v>
      </c>
      <c r="V22" t="n">
        <v>516</v>
      </c>
      <c r="W22" t="n">
        <v>609</v>
      </c>
      <c r="X22" t="n">
        <v>635</v>
      </c>
      <c r="Y22" t="n">
        <v>634</v>
      </c>
      <c r="Z22" t="n">
        <v>655</v>
      </c>
      <c r="AA22" t="n">
        <v>674</v>
      </c>
      <c r="AB22" t="n">
        <v>703</v>
      </c>
      <c r="AC22" t="n">
        <v>733</v>
      </c>
      <c r="AD22" t="n">
        <v>744</v>
      </c>
      <c r="AE22" t="n">
        <v>778</v>
      </c>
      <c r="AF22" t="n">
        <v>949</v>
      </c>
    </row>
    <row r="23">
      <c r="A23" t="s">
        <v>103</v>
      </c>
      <c r="B23" t="s">
        <v>316</v>
      </c>
      <c r="C23" t="s">
        <v>236</v>
      </c>
      <c r="D23" t="s">
        <v>317</v>
      </c>
      <c r="E23" t="s">
        <v>237</v>
      </c>
      <c r="F23" t="n">
        <v>920</v>
      </c>
      <c r="G23" t="n">
        <v>930</v>
      </c>
      <c r="H23" t="n">
        <v>971</v>
      </c>
      <c r="I23" t="n">
        <v>962</v>
      </c>
      <c r="J23" t="n">
        <v>1020</v>
      </c>
      <c r="K23" t="n">
        <v>1123</v>
      </c>
      <c r="L23" t="n">
        <v>1185</v>
      </c>
      <c r="M23" t="n">
        <v>1232</v>
      </c>
      <c r="N23" t="n">
        <v>1316</v>
      </c>
      <c r="O23" t="n">
        <v>1385</v>
      </c>
      <c r="P23" t="n">
        <v>1515</v>
      </c>
      <c r="Q23" t="n">
        <v>1657</v>
      </c>
      <c r="R23" t="n">
        <v>1866</v>
      </c>
      <c r="S23" t="n">
        <v>2112</v>
      </c>
      <c r="T23" t="n">
        <v>2124</v>
      </c>
      <c r="U23" t="n">
        <v>2057</v>
      </c>
      <c r="V23" t="n">
        <v>2176</v>
      </c>
      <c r="W23" t="n">
        <v>2283</v>
      </c>
      <c r="X23" t="n">
        <v>2350</v>
      </c>
      <c r="Y23" t="n">
        <v>2369</v>
      </c>
      <c r="Z23" t="n">
        <v>2403</v>
      </c>
      <c r="AA23" t="n">
        <v>2512</v>
      </c>
      <c r="AB23" t="n">
        <v>2659</v>
      </c>
      <c r="AC23" t="n">
        <v>2913</v>
      </c>
      <c r="AD23" t="n">
        <v>3241</v>
      </c>
      <c r="AE23" t="n">
        <v>3464</v>
      </c>
      <c r="AF23" t="n">
        <v>3848</v>
      </c>
    </row>
    <row r="24">
      <c r="A24" t="s">
        <v>103</v>
      </c>
      <c r="B24" t="s">
        <v>318</v>
      </c>
      <c r="C24" t="s">
        <v>236</v>
      </c>
      <c r="D24" t="s">
        <v>319</v>
      </c>
      <c r="E24" t="s">
        <v>237</v>
      </c>
      <c r="F24" t="n">
        <v>3667</v>
      </c>
      <c r="G24" t="n">
        <v>3587</v>
      </c>
      <c r="H24" t="n">
        <v>3697</v>
      </c>
      <c r="I24" t="n">
        <v>3724</v>
      </c>
      <c r="J24" t="n">
        <v>3725</v>
      </c>
      <c r="K24" t="n">
        <v>3762</v>
      </c>
      <c r="L24" t="n">
        <v>3760</v>
      </c>
      <c r="M24" t="n">
        <v>3734</v>
      </c>
      <c r="N24" t="n">
        <v>3709</v>
      </c>
      <c r="O24" t="n">
        <v>3610</v>
      </c>
      <c r="P24" t="n">
        <v>3574</v>
      </c>
      <c r="Q24" t="n">
        <v>3474</v>
      </c>
      <c r="R24" t="n">
        <v>3549</v>
      </c>
      <c r="S24" t="n">
        <v>3679</v>
      </c>
      <c r="T24" t="n">
        <v>3718</v>
      </c>
      <c r="U24" t="n">
        <v>3624</v>
      </c>
      <c r="V24" t="n">
        <v>3776</v>
      </c>
      <c r="W24" t="n">
        <v>4006</v>
      </c>
      <c r="X24" t="n">
        <v>4055</v>
      </c>
      <c r="Y24" t="n">
        <v>4172</v>
      </c>
      <c r="Z24" t="n">
        <v>4242</v>
      </c>
      <c r="AA24" t="n">
        <v>4490</v>
      </c>
      <c r="AB24" t="n">
        <v>4744</v>
      </c>
      <c r="AC24" t="n">
        <v>5098</v>
      </c>
      <c r="AD24" t="n">
        <v>5369</v>
      </c>
      <c r="AE24" t="n">
        <v>5519</v>
      </c>
      <c r="AF24" t="n">
        <v>5890</v>
      </c>
    </row>
    <row r="25">
      <c r="A25" t="s">
        <v>103</v>
      </c>
      <c r="B25" t="s">
        <v>320</v>
      </c>
      <c r="C25" t="s">
        <v>236</v>
      </c>
      <c r="D25" t="s">
        <v>321</v>
      </c>
      <c r="E25" t="s">
        <v>237</v>
      </c>
      <c r="F25" t="n">
        <v>516</v>
      </c>
      <c r="G25" t="n">
        <v>501</v>
      </c>
      <c r="H25" t="n">
        <v>508</v>
      </c>
      <c r="I25" t="n">
        <v>521</v>
      </c>
      <c r="J25" t="n">
        <v>523</v>
      </c>
      <c r="K25" t="n">
        <v>529</v>
      </c>
      <c r="L25" t="n">
        <v>527</v>
      </c>
      <c r="M25" t="n">
        <v>524</v>
      </c>
      <c r="N25" t="n">
        <v>517</v>
      </c>
      <c r="O25" t="n">
        <v>510</v>
      </c>
      <c r="P25" t="n">
        <v>495</v>
      </c>
      <c r="Q25" t="n">
        <v>491</v>
      </c>
      <c r="R25" t="n">
        <v>480</v>
      </c>
      <c r="S25" t="n">
        <v>472</v>
      </c>
      <c r="T25" t="n">
        <v>476</v>
      </c>
      <c r="U25" t="n">
        <v>482</v>
      </c>
      <c r="V25" t="n">
        <v>542</v>
      </c>
      <c r="W25" t="n">
        <v>564</v>
      </c>
      <c r="X25" t="n">
        <v>563</v>
      </c>
      <c r="Y25" t="n">
        <v>582</v>
      </c>
      <c r="Z25" t="n">
        <v>587</v>
      </c>
      <c r="AA25" t="n">
        <v>635</v>
      </c>
      <c r="AB25" t="n">
        <v>652</v>
      </c>
      <c r="AC25" t="n">
        <v>690</v>
      </c>
      <c r="AD25" t="n">
        <v>741</v>
      </c>
      <c r="AE25" t="n">
        <v>782</v>
      </c>
      <c r="AF25" t="n">
        <v>848</v>
      </c>
    </row>
    <row r="26">
      <c r="A26" t="s">
        <v>103</v>
      </c>
      <c r="B26" t="s">
        <v>322</v>
      </c>
      <c r="C26" t="s">
        <v>236</v>
      </c>
      <c r="D26" t="s">
        <v>323</v>
      </c>
      <c r="E26" t="s">
        <v>237</v>
      </c>
      <c r="F26" t="n">
        <v>1441</v>
      </c>
      <c r="G26" t="n">
        <v>1417</v>
      </c>
      <c r="H26" t="n">
        <v>1494</v>
      </c>
      <c r="I26" t="n">
        <v>1507</v>
      </c>
      <c r="J26" t="n">
        <v>1494</v>
      </c>
      <c r="K26" t="n">
        <v>1512</v>
      </c>
      <c r="L26" t="n">
        <v>1514</v>
      </c>
      <c r="M26" t="n">
        <v>1509</v>
      </c>
      <c r="N26" t="n">
        <v>1483</v>
      </c>
      <c r="O26" t="n">
        <v>1428</v>
      </c>
      <c r="P26" t="n">
        <v>1403</v>
      </c>
      <c r="Q26" t="n">
        <v>1331</v>
      </c>
      <c r="R26" t="n">
        <v>1406</v>
      </c>
      <c r="S26" t="n">
        <v>1517</v>
      </c>
      <c r="T26" t="n">
        <v>1546</v>
      </c>
      <c r="U26" t="n">
        <v>1506</v>
      </c>
      <c r="V26" t="n">
        <v>1579</v>
      </c>
      <c r="W26" t="n">
        <v>1690</v>
      </c>
      <c r="X26" t="n">
        <v>1727</v>
      </c>
      <c r="Y26" t="n">
        <v>1802</v>
      </c>
      <c r="Z26" t="n">
        <v>1826</v>
      </c>
      <c r="AA26" t="n">
        <v>1961</v>
      </c>
      <c r="AB26" t="n">
        <v>2154</v>
      </c>
      <c r="AC26" t="n">
        <v>2371</v>
      </c>
      <c r="AD26" t="n">
        <v>2510</v>
      </c>
      <c r="AE26" t="n">
        <v>2561</v>
      </c>
      <c r="AF26" t="n">
        <v>2668</v>
      </c>
    </row>
    <row r="27">
      <c r="A27" t="s">
        <v>103</v>
      </c>
      <c r="B27" t="s">
        <v>324</v>
      </c>
      <c r="C27" t="s">
        <v>236</v>
      </c>
      <c r="D27" t="s">
        <v>325</v>
      </c>
      <c r="E27" t="s">
        <v>237</v>
      </c>
      <c r="F27" t="n">
        <v>1710</v>
      </c>
      <c r="G27" t="n">
        <v>1669</v>
      </c>
      <c r="H27" t="n">
        <v>1695</v>
      </c>
      <c r="I27" t="n">
        <v>1696</v>
      </c>
      <c r="J27" t="n">
        <v>1708</v>
      </c>
      <c r="K27" t="n">
        <v>1721</v>
      </c>
      <c r="L27" t="n">
        <v>1719</v>
      </c>
      <c r="M27" t="n">
        <v>1701</v>
      </c>
      <c r="N27" t="n">
        <v>1709</v>
      </c>
      <c r="O27" t="n">
        <v>1672</v>
      </c>
      <c r="P27" t="n">
        <v>1676</v>
      </c>
      <c r="Q27" t="n">
        <v>1652</v>
      </c>
      <c r="R27" t="n">
        <v>1663</v>
      </c>
      <c r="S27" t="n">
        <v>1690</v>
      </c>
      <c r="T27" t="n">
        <v>1696</v>
      </c>
      <c r="U27" t="n">
        <v>1636</v>
      </c>
      <c r="V27" t="n">
        <v>1655</v>
      </c>
      <c r="W27" t="n">
        <v>1752</v>
      </c>
      <c r="X27" t="n">
        <v>1765</v>
      </c>
      <c r="Y27" t="n">
        <v>1788</v>
      </c>
      <c r="Z27" t="n">
        <v>1829</v>
      </c>
      <c r="AA27" t="n">
        <v>1894</v>
      </c>
      <c r="AB27" t="n">
        <v>1938</v>
      </c>
      <c r="AC27" t="n">
        <v>2037</v>
      </c>
      <c r="AD27" t="n">
        <v>2118</v>
      </c>
      <c r="AE27" t="n">
        <v>2176</v>
      </c>
      <c r="AF27" t="n">
        <v>2374</v>
      </c>
    </row>
    <row r="28">
      <c r="A28" t="s">
        <v>103</v>
      </c>
      <c r="B28" t="s">
        <v>326</v>
      </c>
      <c r="C28" t="s">
        <v>236</v>
      </c>
      <c r="D28" t="s">
        <v>327</v>
      </c>
      <c r="E28" t="s">
        <v>237</v>
      </c>
      <c r="F28" t="n">
        <v>764</v>
      </c>
      <c r="G28" t="n">
        <v>813</v>
      </c>
      <c r="H28" t="n">
        <v>869</v>
      </c>
      <c r="I28" t="n">
        <v>947</v>
      </c>
      <c r="J28" t="n">
        <v>966</v>
      </c>
      <c r="K28" t="n">
        <v>1001</v>
      </c>
      <c r="L28" t="n">
        <v>1028</v>
      </c>
      <c r="M28" t="n">
        <v>1068</v>
      </c>
      <c r="N28" t="n">
        <v>1133</v>
      </c>
      <c r="O28" t="n">
        <v>1146</v>
      </c>
      <c r="P28" t="n">
        <v>1153</v>
      </c>
      <c r="Q28" t="n">
        <v>1119</v>
      </c>
      <c r="R28" t="n">
        <v>1118</v>
      </c>
      <c r="S28" t="n">
        <v>1136</v>
      </c>
      <c r="T28" t="n">
        <v>1193</v>
      </c>
      <c r="U28" t="n">
        <v>1206</v>
      </c>
      <c r="V28" t="n">
        <v>1301</v>
      </c>
      <c r="W28" t="n">
        <v>1312</v>
      </c>
      <c r="X28" t="n">
        <v>1280</v>
      </c>
      <c r="Y28" t="n">
        <v>1340</v>
      </c>
      <c r="Z28" t="n">
        <v>1353</v>
      </c>
      <c r="AA28" t="n">
        <v>1417</v>
      </c>
      <c r="AB28" t="n">
        <v>1443</v>
      </c>
      <c r="AC28" t="n">
        <v>1477</v>
      </c>
      <c r="AD28" t="n">
        <v>1598</v>
      </c>
      <c r="AE28" t="n">
        <v>1639</v>
      </c>
      <c r="AF28" t="n">
        <v>1773</v>
      </c>
    </row>
    <row r="29">
      <c r="A29" t="s">
        <v>103</v>
      </c>
      <c r="B29" t="s">
        <v>328</v>
      </c>
      <c r="C29" t="s">
        <v>236</v>
      </c>
      <c r="D29" t="s">
        <v>329</v>
      </c>
      <c r="E29" t="s">
        <v>237</v>
      </c>
      <c r="F29" t="n">
        <v>288</v>
      </c>
      <c r="G29" t="n">
        <v>312</v>
      </c>
      <c r="H29" t="n">
        <v>340</v>
      </c>
      <c r="I29" t="n">
        <v>388</v>
      </c>
      <c r="J29" t="n">
        <v>377</v>
      </c>
      <c r="K29" t="n">
        <v>380</v>
      </c>
      <c r="L29" t="n">
        <v>383</v>
      </c>
      <c r="M29" t="n">
        <v>400</v>
      </c>
      <c r="N29" t="n">
        <v>433</v>
      </c>
      <c r="O29" t="n">
        <v>443</v>
      </c>
      <c r="P29" t="n">
        <v>437</v>
      </c>
      <c r="Q29" t="n">
        <v>401</v>
      </c>
      <c r="R29" t="n">
        <v>369</v>
      </c>
      <c r="S29" t="n">
        <v>372</v>
      </c>
      <c r="T29" t="n">
        <v>360</v>
      </c>
      <c r="U29" t="n">
        <v>350</v>
      </c>
      <c r="V29" t="n">
        <v>375</v>
      </c>
      <c r="W29" t="n">
        <v>366</v>
      </c>
      <c r="X29" t="n">
        <v>347</v>
      </c>
      <c r="Y29" t="n">
        <v>360</v>
      </c>
      <c r="Z29" t="n">
        <v>323</v>
      </c>
      <c r="AA29" t="n">
        <v>318</v>
      </c>
      <c r="AB29" t="n">
        <v>336</v>
      </c>
      <c r="AC29" t="n">
        <v>331</v>
      </c>
      <c r="AD29" t="n">
        <v>368</v>
      </c>
      <c r="AE29" t="n">
        <v>364</v>
      </c>
      <c r="AF29" t="n">
        <v>368</v>
      </c>
    </row>
    <row r="30">
      <c r="A30" t="s">
        <v>103</v>
      </c>
      <c r="B30" t="s">
        <v>330</v>
      </c>
      <c r="C30" t="s">
        <v>236</v>
      </c>
      <c r="D30" t="s">
        <v>331</v>
      </c>
      <c r="E30" t="s">
        <v>237</v>
      </c>
      <c r="F30" t="n">
        <v>9</v>
      </c>
      <c r="G30" t="n">
        <v>7</v>
      </c>
      <c r="H30" t="n">
        <v>6</v>
      </c>
      <c r="I30" t="n">
        <v>5</v>
      </c>
      <c r="J30" t="n">
        <v>2</v>
      </c>
      <c r="K30" t="n">
        <v>1</v>
      </c>
      <c r="L30" t="n">
        <v>8</v>
      </c>
      <c r="M30" t="n">
        <v>12</v>
      </c>
      <c r="N30" t="n">
        <v>18</v>
      </c>
      <c r="O30" t="n">
        <v>23</v>
      </c>
      <c r="P30" t="n">
        <v>31</v>
      </c>
      <c r="Q30" t="n">
        <v>46</v>
      </c>
      <c r="R30" t="n">
        <v>60</v>
      </c>
      <c r="S30" t="n">
        <v>70</v>
      </c>
      <c r="T30" t="n">
        <v>70</v>
      </c>
      <c r="U30" t="n">
        <v>66</v>
      </c>
      <c r="V30" t="n">
        <v>86</v>
      </c>
      <c r="W30" t="n">
        <v>106</v>
      </c>
      <c r="X30" t="n">
        <v>119</v>
      </c>
      <c r="Y30" t="n">
        <v>116</v>
      </c>
      <c r="Z30" t="n">
        <v>121</v>
      </c>
      <c r="AA30" t="n">
        <v>127</v>
      </c>
      <c r="AB30" t="n">
        <v>122</v>
      </c>
      <c r="AC30" t="n">
        <v>131</v>
      </c>
      <c r="AD30" t="n">
        <v>139</v>
      </c>
      <c r="AE30" t="n">
        <v>138</v>
      </c>
      <c r="AF30" t="n">
        <v>141</v>
      </c>
    </row>
    <row r="31">
      <c r="A31" t="s">
        <v>103</v>
      </c>
      <c r="B31" t="s">
        <v>332</v>
      </c>
      <c r="C31" t="s">
        <v>236</v>
      </c>
      <c r="D31" t="s">
        <v>333</v>
      </c>
      <c r="E31" t="s">
        <v>237</v>
      </c>
      <c r="F31" t="n">
        <v>92</v>
      </c>
      <c r="G31" t="n">
        <v>93</v>
      </c>
      <c r="H31" t="n">
        <v>94</v>
      </c>
      <c r="I31" t="n">
        <v>99</v>
      </c>
      <c r="J31" t="n">
        <v>101</v>
      </c>
      <c r="K31" t="n">
        <v>97</v>
      </c>
      <c r="L31" t="n">
        <v>99</v>
      </c>
      <c r="M31" t="n">
        <v>92</v>
      </c>
      <c r="N31" t="n">
        <v>86</v>
      </c>
      <c r="O31" t="n">
        <v>82</v>
      </c>
      <c r="P31" t="n">
        <v>81</v>
      </c>
      <c r="Q31" t="n">
        <v>82</v>
      </c>
      <c r="R31" t="n">
        <v>85</v>
      </c>
      <c r="S31" t="n">
        <v>89</v>
      </c>
      <c r="T31" t="n">
        <v>92</v>
      </c>
      <c r="U31" t="n">
        <v>82</v>
      </c>
      <c r="V31" t="n">
        <v>74</v>
      </c>
      <c r="W31" t="n">
        <v>65</v>
      </c>
      <c r="X31" t="n">
        <v>57</v>
      </c>
      <c r="Y31" t="n">
        <v>51</v>
      </c>
      <c r="Z31" t="n">
        <v>47</v>
      </c>
      <c r="AA31" t="n">
        <v>42</v>
      </c>
      <c r="AB31" t="n">
        <v>42</v>
      </c>
      <c r="AC31" t="n">
        <v>40</v>
      </c>
      <c r="AD31" t="n">
        <v>40</v>
      </c>
      <c r="AE31" t="n">
        <v>39</v>
      </c>
      <c r="AF31" t="n">
        <v>37</v>
      </c>
    </row>
    <row r="32">
      <c r="A32" t="s">
        <v>103</v>
      </c>
      <c r="B32" t="s">
        <v>334</v>
      </c>
      <c r="C32" t="s">
        <v>236</v>
      </c>
      <c r="D32" t="s">
        <v>335</v>
      </c>
      <c r="E32" t="s">
        <v>237</v>
      </c>
      <c r="F32" t="n">
        <v>269</v>
      </c>
      <c r="G32" t="n">
        <v>296</v>
      </c>
      <c r="H32" t="n">
        <v>317</v>
      </c>
      <c r="I32" t="n">
        <v>337</v>
      </c>
      <c r="J32" t="n">
        <v>358</v>
      </c>
      <c r="K32" t="n">
        <v>384</v>
      </c>
      <c r="L32" t="n">
        <v>393</v>
      </c>
      <c r="M32" t="n">
        <v>411</v>
      </c>
      <c r="N32" t="n">
        <v>443</v>
      </c>
      <c r="O32" t="n">
        <v>458</v>
      </c>
      <c r="P32" t="n">
        <v>477</v>
      </c>
      <c r="Q32" t="n">
        <v>476</v>
      </c>
      <c r="R32" t="n">
        <v>499</v>
      </c>
      <c r="S32" t="n">
        <v>508</v>
      </c>
      <c r="T32" t="n">
        <v>581</v>
      </c>
      <c r="U32" t="n">
        <v>624</v>
      </c>
      <c r="V32" t="n">
        <v>689</v>
      </c>
      <c r="W32" t="n">
        <v>706</v>
      </c>
      <c r="X32" t="n">
        <v>692</v>
      </c>
      <c r="Y32" t="n">
        <v>750</v>
      </c>
      <c r="Z32" t="n">
        <v>796</v>
      </c>
      <c r="AA32" t="n">
        <v>863</v>
      </c>
      <c r="AB32" t="n">
        <v>874</v>
      </c>
      <c r="AC32" t="n">
        <v>903</v>
      </c>
      <c r="AD32" t="n">
        <v>979</v>
      </c>
      <c r="AE32" t="n">
        <v>1023</v>
      </c>
      <c r="AF32" t="n">
        <v>1152</v>
      </c>
    </row>
    <row r="33">
      <c r="A33" t="s">
        <v>103</v>
      </c>
      <c r="B33" t="s">
        <v>336</v>
      </c>
      <c r="C33" t="s">
        <v>236</v>
      </c>
      <c r="D33" t="s">
        <v>337</v>
      </c>
      <c r="E33" t="s">
        <v>237</v>
      </c>
      <c r="F33" t="n">
        <v>106</v>
      </c>
      <c r="G33" t="n">
        <v>105</v>
      </c>
      <c r="H33" t="n">
        <v>112</v>
      </c>
      <c r="I33" t="n">
        <v>118</v>
      </c>
      <c r="J33" t="n">
        <v>128</v>
      </c>
      <c r="K33" t="n">
        <v>139</v>
      </c>
      <c r="L33" t="n">
        <v>145</v>
      </c>
      <c r="M33" t="n">
        <v>153</v>
      </c>
      <c r="N33" t="n">
        <v>153</v>
      </c>
      <c r="O33" t="n">
        <v>140</v>
      </c>
      <c r="P33" t="n">
        <v>127</v>
      </c>
      <c r="Q33" t="n">
        <v>114</v>
      </c>
      <c r="R33" t="n">
        <v>105</v>
      </c>
      <c r="S33" t="n">
        <v>97</v>
      </c>
      <c r="T33" t="n">
        <v>90</v>
      </c>
      <c r="U33" t="n">
        <v>84</v>
      </c>
      <c r="V33" t="n">
        <v>77</v>
      </c>
      <c r="W33" t="n">
        <v>69</v>
      </c>
      <c r="X33" t="n">
        <v>65</v>
      </c>
      <c r="Y33" t="n">
        <v>63</v>
      </c>
      <c r="Z33" t="n">
        <v>66</v>
      </c>
      <c r="AA33" t="n">
        <v>67</v>
      </c>
      <c r="AB33" t="n">
        <v>69</v>
      </c>
      <c r="AC33" t="n">
        <v>72</v>
      </c>
      <c r="AD33" t="n">
        <v>72</v>
      </c>
      <c r="AE33" t="n">
        <v>75</v>
      </c>
      <c r="AF33" t="n">
        <v>75</v>
      </c>
    </row>
    <row r="34">
      <c r="A34" t="s">
        <v>103</v>
      </c>
      <c r="B34" t="s">
        <v>338</v>
      </c>
      <c r="C34" t="s">
        <v>236</v>
      </c>
      <c r="D34" t="s">
        <v>339</v>
      </c>
      <c r="E34" t="s">
        <v>237</v>
      </c>
      <c r="F34" t="n">
        <v>450</v>
      </c>
      <c r="G34" t="n">
        <v>449</v>
      </c>
      <c r="H34" t="n">
        <v>469</v>
      </c>
      <c r="I34" t="n">
        <v>494</v>
      </c>
      <c r="J34" t="n">
        <v>498</v>
      </c>
      <c r="K34" t="n">
        <v>509</v>
      </c>
      <c r="L34" t="n">
        <v>511</v>
      </c>
      <c r="M34" t="n">
        <v>511</v>
      </c>
      <c r="N34" t="n">
        <v>520</v>
      </c>
      <c r="O34" t="n">
        <v>520</v>
      </c>
      <c r="P34" t="n">
        <v>537</v>
      </c>
      <c r="Q34" t="n">
        <v>567</v>
      </c>
      <c r="R34" t="n">
        <v>594</v>
      </c>
      <c r="S34" t="n">
        <v>636</v>
      </c>
      <c r="T34" t="n">
        <v>645</v>
      </c>
      <c r="U34" t="n">
        <v>629</v>
      </c>
      <c r="V34" t="n">
        <v>651</v>
      </c>
      <c r="W34" t="n">
        <v>677</v>
      </c>
      <c r="X34" t="n">
        <v>679</v>
      </c>
      <c r="Y34" t="n">
        <v>685</v>
      </c>
      <c r="Z34" t="n">
        <v>714</v>
      </c>
      <c r="AA34" t="n">
        <v>758</v>
      </c>
      <c r="AB34" t="n">
        <v>784</v>
      </c>
      <c r="AC34" t="n">
        <v>856</v>
      </c>
      <c r="AD34" t="n">
        <v>910</v>
      </c>
      <c r="AE34" t="n">
        <v>949</v>
      </c>
      <c r="AF34" t="n">
        <v>1026</v>
      </c>
    </row>
    <row r="35">
      <c r="A35" t="s">
        <v>103</v>
      </c>
      <c r="B35" t="s">
        <v>340</v>
      </c>
      <c r="C35" t="s">
        <v>236</v>
      </c>
      <c r="D35" t="s">
        <v>341</v>
      </c>
      <c r="E35" t="s">
        <v>237</v>
      </c>
      <c r="F35" t="n">
        <v>1500</v>
      </c>
      <c r="G35" t="n">
        <v>1534</v>
      </c>
      <c r="H35" t="n">
        <v>1627</v>
      </c>
      <c r="I35" t="n">
        <v>1673</v>
      </c>
      <c r="J35" t="n">
        <v>1693</v>
      </c>
      <c r="K35" t="n">
        <v>1835</v>
      </c>
      <c r="L35" t="n">
        <v>1990</v>
      </c>
      <c r="M35" t="n">
        <v>2082</v>
      </c>
      <c r="N35" t="n">
        <v>2004</v>
      </c>
      <c r="O35" t="n">
        <v>1948</v>
      </c>
      <c r="P35" t="n">
        <v>1899</v>
      </c>
      <c r="Q35" t="n">
        <v>1827</v>
      </c>
      <c r="R35" t="n">
        <v>1778</v>
      </c>
      <c r="S35" t="n">
        <v>1793</v>
      </c>
      <c r="T35" t="n">
        <v>1761</v>
      </c>
      <c r="U35" t="n">
        <v>1747</v>
      </c>
      <c r="V35" t="n">
        <v>1804</v>
      </c>
      <c r="W35" t="n">
        <v>1899</v>
      </c>
      <c r="X35" t="n">
        <v>1927</v>
      </c>
      <c r="Y35" t="n">
        <v>1932</v>
      </c>
      <c r="Z35" t="n">
        <v>1964</v>
      </c>
      <c r="AA35" t="n">
        <v>1999</v>
      </c>
      <c r="AB35" t="n">
        <v>1996</v>
      </c>
      <c r="AC35" t="n">
        <v>2040</v>
      </c>
      <c r="AD35" t="n">
        <v>2039</v>
      </c>
      <c r="AE35" t="n">
        <v>2208</v>
      </c>
      <c r="AF35" t="n">
        <v>2371</v>
      </c>
    </row>
    <row r="36">
      <c r="A36" t="s">
        <v>103</v>
      </c>
      <c r="B36" t="s">
        <v>342</v>
      </c>
      <c r="C36" t="s">
        <v>236</v>
      </c>
      <c r="D36" t="s">
        <v>343</v>
      </c>
      <c r="E36" t="s">
        <v>237</v>
      </c>
      <c r="F36" t="n">
        <v>406</v>
      </c>
      <c r="G36" t="n">
        <v>404</v>
      </c>
      <c r="H36" t="n">
        <v>432</v>
      </c>
      <c r="I36" t="n">
        <v>437</v>
      </c>
      <c r="J36" t="n">
        <v>393</v>
      </c>
      <c r="K36" t="n">
        <v>399</v>
      </c>
      <c r="L36" t="n">
        <v>399</v>
      </c>
      <c r="M36" t="n">
        <v>388</v>
      </c>
      <c r="N36" t="n">
        <v>372</v>
      </c>
      <c r="O36" t="n">
        <v>351</v>
      </c>
      <c r="P36" t="n">
        <v>345</v>
      </c>
      <c r="Q36" t="n">
        <v>326</v>
      </c>
      <c r="R36" t="n">
        <v>310</v>
      </c>
      <c r="S36" t="n">
        <v>300</v>
      </c>
      <c r="T36" t="n">
        <v>291</v>
      </c>
      <c r="U36" t="n">
        <v>295</v>
      </c>
      <c r="V36" t="n">
        <v>298</v>
      </c>
      <c r="W36" t="n">
        <v>315</v>
      </c>
      <c r="X36" t="n">
        <v>312</v>
      </c>
      <c r="Y36" t="n">
        <v>310</v>
      </c>
      <c r="Z36" t="n">
        <v>308</v>
      </c>
      <c r="AA36" t="n">
        <v>310</v>
      </c>
      <c r="AB36" t="n">
        <v>310</v>
      </c>
      <c r="AC36" t="n">
        <v>301</v>
      </c>
      <c r="AD36" t="n">
        <v>278</v>
      </c>
      <c r="AE36" t="n">
        <v>325</v>
      </c>
      <c r="AF36" t="n">
        <v>277</v>
      </c>
    </row>
    <row r="37">
      <c r="A37" t="s">
        <v>103</v>
      </c>
      <c r="B37" t="s">
        <v>344</v>
      </c>
      <c r="C37" t="s">
        <v>236</v>
      </c>
      <c r="D37" t="s">
        <v>345</v>
      </c>
      <c r="E37" t="s">
        <v>237</v>
      </c>
      <c r="F37" t="n">
        <v>900</v>
      </c>
      <c r="G37" t="n">
        <v>940</v>
      </c>
      <c r="H37" t="n">
        <v>992</v>
      </c>
      <c r="I37" t="n">
        <v>1010</v>
      </c>
      <c r="J37" t="n">
        <v>1041</v>
      </c>
      <c r="K37" t="n">
        <v>1133</v>
      </c>
      <c r="L37" t="n">
        <v>1211</v>
      </c>
      <c r="M37" t="n">
        <v>1294</v>
      </c>
      <c r="N37" t="n">
        <v>1227</v>
      </c>
      <c r="O37" t="n">
        <v>1204</v>
      </c>
      <c r="P37" t="n">
        <v>1157</v>
      </c>
      <c r="Q37" t="n">
        <v>1108</v>
      </c>
      <c r="R37" t="n">
        <v>1078</v>
      </c>
      <c r="S37" t="n">
        <v>1114</v>
      </c>
      <c r="T37" t="n">
        <v>1127</v>
      </c>
      <c r="U37" t="n">
        <v>1124</v>
      </c>
      <c r="V37" t="n">
        <v>1177</v>
      </c>
      <c r="W37" t="n">
        <v>1212</v>
      </c>
      <c r="X37" t="n">
        <v>1223</v>
      </c>
      <c r="Y37" t="n">
        <v>1227</v>
      </c>
      <c r="Z37" t="n">
        <v>1239</v>
      </c>
      <c r="AA37" t="n">
        <v>1278</v>
      </c>
      <c r="AB37" t="n">
        <v>1304</v>
      </c>
      <c r="AC37" t="n">
        <v>1335</v>
      </c>
      <c r="AD37" t="n">
        <v>1355</v>
      </c>
      <c r="AE37" t="n">
        <v>1460</v>
      </c>
      <c r="AF37" t="n">
        <v>1612</v>
      </c>
    </row>
    <row r="38">
      <c r="A38" t="s">
        <v>103</v>
      </c>
      <c r="B38" t="s">
        <v>346</v>
      </c>
      <c r="C38" t="s">
        <v>236</v>
      </c>
      <c r="D38" t="s">
        <v>347</v>
      </c>
      <c r="E38" t="s">
        <v>237</v>
      </c>
      <c r="F38" t="n">
        <v>194</v>
      </c>
      <c r="G38" t="n">
        <v>190</v>
      </c>
      <c r="H38" t="n">
        <v>203</v>
      </c>
      <c r="I38" t="n">
        <v>226</v>
      </c>
      <c r="J38" t="n">
        <v>259</v>
      </c>
      <c r="K38" t="n">
        <v>303</v>
      </c>
      <c r="L38" t="n">
        <v>380</v>
      </c>
      <c r="M38" t="n">
        <v>400</v>
      </c>
      <c r="N38" t="n">
        <v>405</v>
      </c>
      <c r="O38" t="n">
        <v>393</v>
      </c>
      <c r="P38" t="n">
        <v>397</v>
      </c>
      <c r="Q38" t="n">
        <v>393</v>
      </c>
      <c r="R38" t="n">
        <v>390</v>
      </c>
      <c r="S38" t="n">
        <v>379</v>
      </c>
      <c r="T38" t="n">
        <v>343</v>
      </c>
      <c r="U38" t="n">
        <v>328</v>
      </c>
      <c r="V38" t="n">
        <v>329</v>
      </c>
      <c r="W38" t="n">
        <v>372</v>
      </c>
      <c r="X38" t="n">
        <v>392</v>
      </c>
      <c r="Y38" t="n">
        <v>395</v>
      </c>
      <c r="Z38" t="n">
        <v>417</v>
      </c>
      <c r="AA38" t="n">
        <v>411</v>
      </c>
      <c r="AB38" t="n">
        <v>382</v>
      </c>
      <c r="AC38" t="n">
        <v>404</v>
      </c>
      <c r="AD38" t="n">
        <v>406</v>
      </c>
      <c r="AE38" t="n">
        <v>423</v>
      </c>
      <c r="AF38" t="n">
        <v>482</v>
      </c>
    </row>
    <row r="39">
      <c r="A39" t="s">
        <v>103</v>
      </c>
      <c r="B39" t="s">
        <v>348</v>
      </c>
      <c r="C39" t="s">
        <v>236</v>
      </c>
      <c r="D39" t="s">
        <v>349</v>
      </c>
      <c r="E39" t="s">
        <v>237</v>
      </c>
      <c r="F39" t="n">
        <v>640</v>
      </c>
      <c r="G39" t="n">
        <v>576</v>
      </c>
      <c r="H39" t="n">
        <v>490</v>
      </c>
      <c r="I39" t="n">
        <v>411</v>
      </c>
      <c r="J39" t="n">
        <v>346</v>
      </c>
      <c r="K39" t="n">
        <v>288</v>
      </c>
      <c r="L39" t="n">
        <v>229</v>
      </c>
      <c r="M39" t="n">
        <v>277</v>
      </c>
      <c r="N39" t="n">
        <v>222</v>
      </c>
      <c r="O39" t="n">
        <v>172</v>
      </c>
      <c r="P39" t="n">
        <v>142</v>
      </c>
      <c r="Q39" t="n">
        <v>162</v>
      </c>
      <c r="R39" t="n">
        <v>163</v>
      </c>
      <c r="S39" t="n">
        <v>173</v>
      </c>
      <c r="T39" t="n">
        <v>165</v>
      </c>
      <c r="U39" t="n">
        <v>88</v>
      </c>
      <c r="V39" t="n">
        <v>43</v>
      </c>
      <c r="W39" t="n">
        <v>57</v>
      </c>
      <c r="X39" t="n">
        <v>65</v>
      </c>
      <c r="Y39" t="n">
        <v>63</v>
      </c>
      <c r="Z39" t="n">
        <v>55</v>
      </c>
      <c r="AA39" t="n">
        <v>58</v>
      </c>
      <c r="AB39" t="n">
        <v>91</v>
      </c>
      <c r="AC39" t="n">
        <v>104</v>
      </c>
      <c r="AD39" t="n">
        <v>135</v>
      </c>
      <c r="AE39" t="n">
        <v>151</v>
      </c>
      <c r="AF39" t="n">
        <v>164</v>
      </c>
    </row>
    <row r="40">
      <c r="A40" t="s">
        <v>103</v>
      </c>
      <c r="B40" t="s">
        <v>350</v>
      </c>
      <c r="C40" t="s">
        <v>236</v>
      </c>
      <c r="D40" t="s">
        <v>351</v>
      </c>
      <c r="E40" t="s">
        <v>237</v>
      </c>
      <c r="F40" t="n">
        <v>273</v>
      </c>
      <c r="G40" t="n">
        <v>259</v>
      </c>
      <c r="H40" t="n">
        <v>252</v>
      </c>
      <c r="I40" t="n">
        <v>228</v>
      </c>
      <c r="J40" t="n">
        <v>209</v>
      </c>
      <c r="K40" t="n">
        <v>224</v>
      </c>
      <c r="L40" t="n">
        <v>220</v>
      </c>
      <c r="M40" t="n">
        <v>238</v>
      </c>
      <c r="N40" t="n">
        <v>286</v>
      </c>
      <c r="O40" t="n">
        <v>304</v>
      </c>
      <c r="P40" t="n">
        <v>351</v>
      </c>
      <c r="Q40" t="n">
        <v>397</v>
      </c>
      <c r="R40" t="n">
        <v>413</v>
      </c>
      <c r="S40" t="n">
        <v>500</v>
      </c>
      <c r="T40" t="n">
        <v>562</v>
      </c>
      <c r="U40" t="n">
        <v>542</v>
      </c>
      <c r="V40" t="n">
        <v>534</v>
      </c>
      <c r="W40" t="n">
        <v>529</v>
      </c>
      <c r="X40" t="n">
        <v>534</v>
      </c>
      <c r="Y40" t="n">
        <v>542</v>
      </c>
      <c r="Z40" t="n">
        <v>567</v>
      </c>
      <c r="AA40" t="n">
        <v>595</v>
      </c>
      <c r="AB40" t="n">
        <v>643</v>
      </c>
      <c r="AC40" t="n">
        <v>798</v>
      </c>
      <c r="AD40" t="n">
        <v>895</v>
      </c>
      <c r="AE40" t="n">
        <v>966</v>
      </c>
      <c r="AF40" t="n">
        <v>1066</v>
      </c>
    </row>
    <row r="41">
      <c r="A41" t="s">
        <v>103</v>
      </c>
      <c r="B41" t="s">
        <v>352</v>
      </c>
      <c r="C41" t="s">
        <v>236</v>
      </c>
      <c r="D41" t="s">
        <v>353</v>
      </c>
      <c r="E41" t="s">
        <v>237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103</v>
      </c>
      <c r="B42" t="s">
        <v>354</v>
      </c>
      <c r="C42" t="s">
        <v>236</v>
      </c>
      <c r="D42" t="s">
        <v>355</v>
      </c>
      <c r="E42" t="s">
        <v>237</v>
      </c>
      <c r="F42" t="n">
        <v>558</v>
      </c>
      <c r="G42" t="n">
        <v>592</v>
      </c>
      <c r="H42" t="n">
        <v>640</v>
      </c>
      <c r="I42" t="n">
        <v>679</v>
      </c>
      <c r="J42" t="n">
        <v>711</v>
      </c>
      <c r="K42" t="n">
        <v>750</v>
      </c>
      <c r="L42" t="n">
        <v>774</v>
      </c>
      <c r="M42" t="n">
        <v>816</v>
      </c>
      <c r="N42" t="n">
        <v>835</v>
      </c>
      <c r="O42" t="n">
        <v>862</v>
      </c>
      <c r="P42" t="n">
        <v>879</v>
      </c>
      <c r="Q42" t="n">
        <v>862</v>
      </c>
      <c r="R42" t="n">
        <v>941</v>
      </c>
      <c r="S42" t="n">
        <v>970</v>
      </c>
      <c r="T42" t="n">
        <v>924</v>
      </c>
      <c r="U42" t="n">
        <v>925</v>
      </c>
      <c r="V42" t="n">
        <v>974</v>
      </c>
      <c r="W42" t="n">
        <v>1026</v>
      </c>
      <c r="X42" t="n">
        <v>1044</v>
      </c>
      <c r="Y42" t="n">
        <v>1063</v>
      </c>
      <c r="Z42" t="n">
        <v>1074</v>
      </c>
      <c r="AA42" t="n">
        <v>1070</v>
      </c>
      <c r="AB42" t="n">
        <v>1084</v>
      </c>
      <c r="AC42" t="n">
        <v>1125</v>
      </c>
      <c r="AD42" t="n">
        <v>1180</v>
      </c>
      <c r="AE42" t="n">
        <v>1263</v>
      </c>
      <c r="AF42" t="n">
        <v>1379</v>
      </c>
    </row>
    <row r="43">
      <c r="A43" t="s">
        <v>103</v>
      </c>
      <c r="B43" t="s">
        <v>356</v>
      </c>
      <c r="C43" t="s">
        <v>236</v>
      </c>
      <c r="D43" t="s">
        <v>357</v>
      </c>
      <c r="E43" t="s">
        <v>237</v>
      </c>
      <c r="F43" t="n">
        <v>1111</v>
      </c>
      <c r="G43" t="n">
        <v>1203</v>
      </c>
      <c r="H43" t="n">
        <v>1271</v>
      </c>
      <c r="I43" t="n">
        <v>1338</v>
      </c>
      <c r="J43" t="n">
        <v>1395</v>
      </c>
      <c r="K43" t="n">
        <v>1420</v>
      </c>
      <c r="L43" t="n">
        <v>1364</v>
      </c>
      <c r="M43" t="n">
        <v>1444</v>
      </c>
      <c r="N43" t="n">
        <v>1537</v>
      </c>
      <c r="O43" t="n">
        <v>1610</v>
      </c>
      <c r="P43" t="n">
        <v>1687</v>
      </c>
      <c r="Q43" t="n">
        <v>1717</v>
      </c>
      <c r="R43" t="n">
        <v>1865</v>
      </c>
      <c r="S43" t="n">
        <v>2044</v>
      </c>
      <c r="T43" t="n">
        <v>2002</v>
      </c>
      <c r="U43" t="n">
        <v>1975</v>
      </c>
      <c r="V43" t="n">
        <v>2074</v>
      </c>
      <c r="W43" t="n">
        <v>2178</v>
      </c>
      <c r="X43" t="n">
        <v>2224</v>
      </c>
      <c r="Y43" t="n">
        <v>2305</v>
      </c>
      <c r="Z43" t="n">
        <v>2261</v>
      </c>
      <c r="AA43" t="n">
        <v>2291</v>
      </c>
      <c r="AB43" t="n">
        <v>2331</v>
      </c>
      <c r="AC43" t="n">
        <v>2468</v>
      </c>
      <c r="AD43" t="n">
        <v>2627</v>
      </c>
      <c r="AE43" t="n">
        <v>2779</v>
      </c>
      <c r="AF43" t="n">
        <v>3003</v>
      </c>
    </row>
    <row r="44">
      <c r="A44" t="s">
        <v>103</v>
      </c>
      <c r="B44" t="s">
        <v>358</v>
      </c>
      <c r="C44" t="s">
        <v>236</v>
      </c>
      <c r="D44" t="s">
        <v>359</v>
      </c>
      <c r="E44" t="s">
        <v>237</v>
      </c>
      <c r="F44" t="n">
        <v>39070</v>
      </c>
      <c r="G44" t="n">
        <v>39993</v>
      </c>
      <c r="H44" t="n">
        <v>41401</v>
      </c>
      <c r="I44" t="n">
        <v>42006</v>
      </c>
      <c r="J44" t="n">
        <v>41920</v>
      </c>
      <c r="K44" t="n">
        <v>42620</v>
      </c>
      <c r="L44" t="n">
        <v>43550</v>
      </c>
      <c r="M44" t="n">
        <v>43853</v>
      </c>
      <c r="N44" t="n">
        <v>43812</v>
      </c>
      <c r="O44" t="n">
        <v>43764</v>
      </c>
      <c r="P44" t="n">
        <v>44138</v>
      </c>
      <c r="Q44" t="n">
        <v>43771</v>
      </c>
      <c r="R44" t="n">
        <v>45200</v>
      </c>
      <c r="S44" t="n">
        <v>47091</v>
      </c>
      <c r="T44" t="n">
        <v>47331</v>
      </c>
      <c r="U44" t="n">
        <v>46340</v>
      </c>
      <c r="V44" t="n">
        <v>47055</v>
      </c>
      <c r="W44" t="n">
        <v>48093</v>
      </c>
      <c r="X44" t="n">
        <v>48335</v>
      </c>
      <c r="Y44" t="n">
        <v>48547</v>
      </c>
      <c r="Z44" t="n">
        <v>49612</v>
      </c>
      <c r="AA44" t="n">
        <v>50759</v>
      </c>
      <c r="AB44" t="n">
        <v>52919</v>
      </c>
      <c r="AC44" t="n">
        <v>54743</v>
      </c>
      <c r="AD44" t="n">
        <v>56261</v>
      </c>
      <c r="AE44" t="n">
        <v>57361</v>
      </c>
      <c r="AF44" t="n">
        <v>60874</v>
      </c>
    </row>
    <row r="45">
      <c r="A45" t="s">
        <v>103</v>
      </c>
      <c r="B45" t="s">
        <v>360</v>
      </c>
      <c r="C45" t="s">
        <v>236</v>
      </c>
      <c r="D45" t="s">
        <v>361</v>
      </c>
      <c r="E45" t="s">
        <v>237</v>
      </c>
      <c r="F45" t="n">
        <v>37881</v>
      </c>
      <c r="G45" t="n">
        <v>38909</v>
      </c>
      <c r="H45" t="n">
        <v>40333</v>
      </c>
      <c r="I45" t="n">
        <v>40964</v>
      </c>
      <c r="J45" t="n">
        <v>40880</v>
      </c>
      <c r="K45" t="n">
        <v>41567</v>
      </c>
      <c r="L45" t="n">
        <v>42425</v>
      </c>
      <c r="M45" t="n">
        <v>42651</v>
      </c>
      <c r="N45" t="n">
        <v>42539</v>
      </c>
      <c r="O45" t="n">
        <v>42435</v>
      </c>
      <c r="P45" t="n">
        <v>42750</v>
      </c>
      <c r="Q45" t="n">
        <v>42323</v>
      </c>
      <c r="R45" t="n">
        <v>43633</v>
      </c>
      <c r="S45" t="n">
        <v>45427</v>
      </c>
      <c r="T45" t="n">
        <v>45609</v>
      </c>
      <c r="U45" t="n">
        <v>44604</v>
      </c>
      <c r="V45" t="n">
        <v>45233</v>
      </c>
      <c r="W45" t="n">
        <v>46218</v>
      </c>
      <c r="X45" t="n">
        <v>46408</v>
      </c>
      <c r="Y45" t="n">
        <v>46605</v>
      </c>
      <c r="Z45" t="n">
        <v>47678</v>
      </c>
      <c r="AA45" t="n">
        <v>48890</v>
      </c>
      <c r="AB45" t="n">
        <v>51060</v>
      </c>
      <c r="AC45" t="n">
        <v>52809</v>
      </c>
      <c r="AD45" t="n">
        <v>54262</v>
      </c>
      <c r="AE45" t="n">
        <v>55436</v>
      </c>
      <c r="AF45" t="n">
        <v>58966</v>
      </c>
    </row>
    <row r="46">
      <c r="A46" t="s">
        <v>103</v>
      </c>
      <c r="B46" t="s">
        <v>362</v>
      </c>
      <c r="C46" t="s">
        <v>236</v>
      </c>
      <c r="D46" t="s">
        <v>363</v>
      </c>
      <c r="E46" t="s">
        <v>237</v>
      </c>
      <c r="F46" t="n">
        <v>553</v>
      </c>
      <c r="G46" t="n">
        <v>611</v>
      </c>
      <c r="H46" t="n">
        <v>631</v>
      </c>
      <c r="I46" t="n">
        <v>659</v>
      </c>
      <c r="J46" t="n">
        <v>684</v>
      </c>
      <c r="K46" t="n">
        <v>670</v>
      </c>
      <c r="L46" t="n">
        <v>590</v>
      </c>
      <c r="M46" t="n">
        <v>628</v>
      </c>
      <c r="N46" t="n">
        <v>702</v>
      </c>
      <c r="O46" t="n">
        <v>748</v>
      </c>
      <c r="P46" t="n">
        <v>808</v>
      </c>
      <c r="Q46" t="n">
        <v>855</v>
      </c>
      <c r="R46" t="n">
        <v>924</v>
      </c>
      <c r="S46" t="n">
        <v>1074</v>
      </c>
      <c r="T46" t="n">
        <v>1078</v>
      </c>
      <c r="U46" t="n">
        <v>1050</v>
      </c>
      <c r="V46" t="n">
        <v>1100</v>
      </c>
      <c r="W46" t="n">
        <v>1152</v>
      </c>
      <c r="X46" t="n">
        <v>1180</v>
      </c>
      <c r="Y46" t="n">
        <v>1242</v>
      </c>
      <c r="Z46" t="n">
        <v>1187</v>
      </c>
      <c r="AA46" t="n">
        <v>1221</v>
      </c>
      <c r="AB46" t="n">
        <v>1247</v>
      </c>
      <c r="AC46" t="n">
        <v>1343</v>
      </c>
      <c r="AD46" t="n">
        <v>1447</v>
      </c>
      <c r="AE46" t="n">
        <v>1516</v>
      </c>
      <c r="AF46" t="n">
        <v>1624</v>
      </c>
    </row>
    <row r="47">
      <c r="A47" t="s">
        <v>103</v>
      </c>
      <c r="B47" t="s">
        <v>364</v>
      </c>
      <c r="C47" t="s">
        <v>236</v>
      </c>
      <c r="D47" t="s">
        <v>365</v>
      </c>
      <c r="E47" t="s">
        <v>237</v>
      </c>
      <c r="F47" t="n">
        <v>5780</v>
      </c>
      <c r="G47" t="n">
        <v>6199</v>
      </c>
      <c r="H47" t="n">
        <v>6633</v>
      </c>
      <c r="I47" t="n">
        <v>7094</v>
      </c>
      <c r="J47" t="n">
        <v>7365</v>
      </c>
      <c r="K47" t="n">
        <v>7657</v>
      </c>
      <c r="L47" t="n">
        <v>7167</v>
      </c>
      <c r="M47" t="n">
        <v>6714</v>
      </c>
      <c r="N47" t="n">
        <v>6524</v>
      </c>
      <c r="O47" t="n">
        <v>6803</v>
      </c>
      <c r="P47" t="n">
        <v>7027</v>
      </c>
      <c r="Q47" t="n">
        <v>6985</v>
      </c>
      <c r="R47" t="n">
        <v>7338</v>
      </c>
      <c r="S47" t="n">
        <v>7555</v>
      </c>
      <c r="T47" t="n">
        <v>7599</v>
      </c>
      <c r="U47" t="n">
        <v>7549</v>
      </c>
      <c r="V47" t="n">
        <v>7752</v>
      </c>
      <c r="W47" t="n">
        <v>8083</v>
      </c>
      <c r="X47" t="n">
        <v>8306</v>
      </c>
      <c r="Y47" t="n">
        <v>8532</v>
      </c>
      <c r="Z47" t="n">
        <v>8781</v>
      </c>
      <c r="AA47" t="n">
        <v>8771</v>
      </c>
      <c r="AB47" t="n">
        <v>8978</v>
      </c>
      <c r="AC47" t="n">
        <v>9065</v>
      </c>
      <c r="AD47" t="n">
        <v>9458</v>
      </c>
      <c r="AE47" t="n">
        <v>9836</v>
      </c>
      <c r="AF47" t="n">
        <v>9934</v>
      </c>
    </row>
    <row r="48">
      <c r="A48" t="s">
        <v>103</v>
      </c>
      <c r="B48" t="s">
        <v>366</v>
      </c>
      <c r="C48" t="s">
        <v>236</v>
      </c>
      <c r="D48" t="s">
        <v>367</v>
      </c>
      <c r="E48" t="s">
        <v>237</v>
      </c>
      <c r="F48" t="n">
        <v>7123</v>
      </c>
      <c r="G48" t="n">
        <v>7601</v>
      </c>
      <c r="H48" t="n">
        <v>8123</v>
      </c>
      <c r="I48" t="n">
        <v>8626</v>
      </c>
      <c r="J48" t="n">
        <v>8932</v>
      </c>
      <c r="K48" t="n">
        <v>9317</v>
      </c>
      <c r="L48" t="n">
        <v>8921</v>
      </c>
      <c r="M48" t="n">
        <v>8589</v>
      </c>
      <c r="N48" t="n">
        <v>8482</v>
      </c>
      <c r="O48" t="n">
        <v>8807</v>
      </c>
      <c r="P48" t="n">
        <v>9098</v>
      </c>
      <c r="Q48" t="n">
        <v>9125</v>
      </c>
      <c r="R48" t="n">
        <v>9587</v>
      </c>
      <c r="S48" t="n">
        <v>9900</v>
      </c>
      <c r="T48" t="n">
        <v>10003</v>
      </c>
      <c r="U48" t="n">
        <v>9973</v>
      </c>
      <c r="V48" t="n">
        <v>10295</v>
      </c>
      <c r="W48" t="n">
        <v>10722</v>
      </c>
      <c r="X48" t="n">
        <v>11036</v>
      </c>
      <c r="Y48" t="n">
        <v>11298</v>
      </c>
      <c r="Z48" t="n">
        <v>11624</v>
      </c>
      <c r="AA48" t="n">
        <v>11659</v>
      </c>
      <c r="AB48" t="n">
        <v>11925</v>
      </c>
      <c r="AC48" t="n">
        <v>12048</v>
      </c>
      <c r="AD48" t="n">
        <v>12531</v>
      </c>
      <c r="AE48" t="n">
        <v>12976</v>
      </c>
      <c r="AF48" t="n">
        <v>13206</v>
      </c>
    </row>
    <row r="49">
      <c r="A49" t="s">
        <v>103</v>
      </c>
      <c r="B49" t="s">
        <v>368</v>
      </c>
      <c r="C49" t="s">
        <v>236</v>
      </c>
      <c r="D49" t="s">
        <v>369</v>
      </c>
      <c r="E49" t="s">
        <v>237</v>
      </c>
      <c r="F49" t="n">
        <v>845</v>
      </c>
      <c r="G49" t="n">
        <v>887</v>
      </c>
      <c r="H49" t="n">
        <v>943</v>
      </c>
      <c r="I49" t="n">
        <v>974</v>
      </c>
      <c r="J49" t="n">
        <v>999</v>
      </c>
      <c r="K49" t="n">
        <v>1049</v>
      </c>
      <c r="L49" t="n">
        <v>1101</v>
      </c>
      <c r="M49" t="n">
        <v>1167</v>
      </c>
      <c r="N49" t="n">
        <v>1212</v>
      </c>
      <c r="O49" t="n">
        <v>1240</v>
      </c>
      <c r="P49" t="n">
        <v>1253</v>
      </c>
      <c r="Q49" t="n">
        <v>1246</v>
      </c>
      <c r="R49" t="n">
        <v>1254</v>
      </c>
      <c r="S49" t="n">
        <v>1263</v>
      </c>
      <c r="T49" t="n">
        <v>1275</v>
      </c>
      <c r="U49" t="n">
        <v>1250</v>
      </c>
      <c r="V49" t="n">
        <v>1289</v>
      </c>
      <c r="W49" t="n">
        <v>1296</v>
      </c>
      <c r="X49" t="n">
        <v>1304</v>
      </c>
      <c r="Y49" t="n">
        <v>1297</v>
      </c>
      <c r="Z49" t="n">
        <v>1299</v>
      </c>
      <c r="AA49" t="n">
        <v>1302</v>
      </c>
      <c r="AB49" t="n">
        <v>1324</v>
      </c>
      <c r="AC49" t="n">
        <v>1298</v>
      </c>
      <c r="AD49" t="n">
        <v>1326</v>
      </c>
      <c r="AE49" t="n">
        <v>1349</v>
      </c>
      <c r="AF49" t="n">
        <v>1398</v>
      </c>
    </row>
    <row r="50">
      <c r="A50" t="s">
        <v>103</v>
      </c>
      <c r="B50" t="s">
        <v>370</v>
      </c>
      <c r="C50" t="s">
        <v>236</v>
      </c>
      <c r="D50" t="s">
        <v>371</v>
      </c>
      <c r="E50" t="s">
        <v>237</v>
      </c>
      <c r="F50" t="n">
        <v>498</v>
      </c>
      <c r="G50" t="n">
        <v>515</v>
      </c>
      <c r="H50" t="n">
        <v>547</v>
      </c>
      <c r="I50" t="n">
        <v>558</v>
      </c>
      <c r="J50" t="n">
        <v>568</v>
      </c>
      <c r="K50" t="n">
        <v>611</v>
      </c>
      <c r="L50" t="n">
        <v>653</v>
      </c>
      <c r="M50" t="n">
        <v>708</v>
      </c>
      <c r="N50" t="n">
        <v>746</v>
      </c>
      <c r="O50" t="n">
        <v>764</v>
      </c>
      <c r="P50" t="n">
        <v>818</v>
      </c>
      <c r="Q50" t="n">
        <v>894</v>
      </c>
      <c r="R50" t="n">
        <v>995</v>
      </c>
      <c r="S50" t="n">
        <v>1082</v>
      </c>
      <c r="T50" t="n">
        <v>1129</v>
      </c>
      <c r="U50" t="n">
        <v>1174</v>
      </c>
      <c r="V50" t="n">
        <v>1254</v>
      </c>
      <c r="W50" t="n">
        <v>1343</v>
      </c>
      <c r="X50" t="n">
        <v>1426</v>
      </c>
      <c r="Y50" t="n">
        <v>1469</v>
      </c>
      <c r="Z50" t="n">
        <v>1544</v>
      </c>
      <c r="AA50" t="n">
        <v>1586</v>
      </c>
      <c r="AB50" t="n">
        <v>1623</v>
      </c>
      <c r="AC50" t="n">
        <v>1685</v>
      </c>
      <c r="AD50" t="n">
        <v>1747</v>
      </c>
      <c r="AE50" t="n">
        <v>1791</v>
      </c>
      <c r="AF50" t="n">
        <v>1874</v>
      </c>
    </row>
    <row r="51">
      <c r="A51" t="s">
        <v>103</v>
      </c>
      <c r="B51" t="s">
        <v>372</v>
      </c>
      <c r="C51" t="s">
        <v>236</v>
      </c>
      <c r="D51" t="s">
        <v>373</v>
      </c>
      <c r="E51" t="s">
        <v>237</v>
      </c>
      <c r="F51" t="n">
        <v>375</v>
      </c>
      <c r="G51" t="n">
        <v>387</v>
      </c>
      <c r="H51" t="n">
        <v>416</v>
      </c>
      <c r="I51" t="n">
        <v>431</v>
      </c>
      <c r="J51" t="n">
        <v>443</v>
      </c>
      <c r="K51" t="n">
        <v>482</v>
      </c>
      <c r="L51" t="n">
        <v>516</v>
      </c>
      <c r="M51" t="n">
        <v>564</v>
      </c>
      <c r="N51" t="n">
        <v>597</v>
      </c>
      <c r="O51" t="n">
        <v>611</v>
      </c>
      <c r="P51" t="n">
        <v>658</v>
      </c>
      <c r="Q51" t="n">
        <v>722</v>
      </c>
      <c r="R51" t="n">
        <v>805</v>
      </c>
      <c r="S51" t="n">
        <v>873</v>
      </c>
      <c r="T51" t="n">
        <v>907</v>
      </c>
      <c r="U51" t="n">
        <v>941</v>
      </c>
      <c r="V51" t="n">
        <v>1005</v>
      </c>
      <c r="W51" t="n">
        <v>1076</v>
      </c>
      <c r="X51" t="n">
        <v>1142</v>
      </c>
      <c r="Y51" t="n">
        <v>1167</v>
      </c>
      <c r="Z51" t="n">
        <v>1224</v>
      </c>
      <c r="AA51" t="n">
        <v>1244</v>
      </c>
      <c r="AB51" t="n">
        <v>1280</v>
      </c>
      <c r="AC51" t="n">
        <v>1330</v>
      </c>
      <c r="AD51" t="n">
        <v>1363</v>
      </c>
      <c r="AE51" t="n">
        <v>1399</v>
      </c>
      <c r="AF51" t="n">
        <v>1463</v>
      </c>
    </row>
    <row r="52">
      <c r="A52" t="s">
        <v>103</v>
      </c>
      <c r="B52" t="s">
        <v>374</v>
      </c>
      <c r="C52" t="s">
        <v>236</v>
      </c>
      <c r="D52" t="s">
        <v>375</v>
      </c>
      <c r="E52" t="s">
        <v>237</v>
      </c>
      <c r="F52" t="n">
        <v>123</v>
      </c>
      <c r="G52" t="n">
        <v>128</v>
      </c>
      <c r="H52" t="n">
        <v>131</v>
      </c>
      <c r="I52" t="n">
        <v>127</v>
      </c>
      <c r="J52" t="n">
        <v>125</v>
      </c>
      <c r="K52" t="n">
        <v>129</v>
      </c>
      <c r="L52" t="n">
        <v>137</v>
      </c>
      <c r="M52" t="n">
        <v>144</v>
      </c>
      <c r="N52" t="n">
        <v>149</v>
      </c>
      <c r="O52" t="n">
        <v>153</v>
      </c>
      <c r="P52" t="n">
        <v>160</v>
      </c>
      <c r="Q52" t="n">
        <v>172</v>
      </c>
      <c r="R52" t="n">
        <v>190</v>
      </c>
      <c r="S52" t="n">
        <v>209</v>
      </c>
      <c r="T52" t="n">
        <v>222</v>
      </c>
      <c r="U52" t="n">
        <v>233</v>
      </c>
      <c r="V52" t="n">
        <v>249</v>
      </c>
      <c r="W52" t="n">
        <v>267</v>
      </c>
      <c r="X52" t="n">
        <v>284</v>
      </c>
      <c r="Y52" t="n">
        <v>302</v>
      </c>
      <c r="Z52" t="n">
        <v>320</v>
      </c>
      <c r="AA52" t="n">
        <v>342</v>
      </c>
      <c r="AB52" t="n">
        <v>343</v>
      </c>
      <c r="AC52" t="n">
        <v>355</v>
      </c>
      <c r="AD52" t="n">
        <v>384</v>
      </c>
      <c r="AE52" t="n">
        <v>392</v>
      </c>
      <c r="AF52" t="n">
        <v>411</v>
      </c>
    </row>
    <row r="53">
      <c r="A53" t="s">
        <v>103</v>
      </c>
      <c r="B53" t="s">
        <v>376</v>
      </c>
      <c r="C53" t="s">
        <v>236</v>
      </c>
      <c r="D53" t="s">
        <v>377</v>
      </c>
      <c r="E53" t="s">
        <v>237</v>
      </c>
      <c r="F53" t="n">
        <v>246</v>
      </c>
      <c r="G53" t="n">
        <v>258</v>
      </c>
      <c r="H53" t="n">
        <v>291</v>
      </c>
      <c r="I53" t="n">
        <v>302</v>
      </c>
      <c r="J53" t="n">
        <v>244</v>
      </c>
      <c r="K53" t="n">
        <v>262</v>
      </c>
      <c r="L53" t="n">
        <v>278</v>
      </c>
      <c r="M53" t="n">
        <v>282</v>
      </c>
      <c r="N53" t="n">
        <v>286</v>
      </c>
      <c r="O53" t="n">
        <v>297</v>
      </c>
      <c r="P53" t="n">
        <v>303</v>
      </c>
      <c r="Q53" t="n">
        <v>313</v>
      </c>
      <c r="R53" t="n">
        <v>330</v>
      </c>
      <c r="S53" t="n">
        <v>342</v>
      </c>
      <c r="T53" t="n">
        <v>350</v>
      </c>
      <c r="U53" t="n">
        <v>347</v>
      </c>
      <c r="V53" t="n">
        <v>362</v>
      </c>
      <c r="W53" t="n">
        <v>385</v>
      </c>
      <c r="X53" t="n">
        <v>406</v>
      </c>
      <c r="Y53" t="n">
        <v>429</v>
      </c>
      <c r="Z53" t="n">
        <v>445</v>
      </c>
      <c r="AA53" t="n">
        <v>491</v>
      </c>
      <c r="AB53" t="n">
        <v>523</v>
      </c>
      <c r="AC53" t="n">
        <v>568</v>
      </c>
      <c r="AD53" t="n">
        <v>606</v>
      </c>
      <c r="AE53" t="n">
        <v>638</v>
      </c>
      <c r="AF53" t="n">
        <v>662</v>
      </c>
    </row>
    <row r="54">
      <c r="A54" t="s">
        <v>103</v>
      </c>
      <c r="B54" t="s">
        <v>378</v>
      </c>
      <c r="C54" t="s">
        <v>236</v>
      </c>
      <c r="D54" t="s">
        <v>379</v>
      </c>
      <c r="E54" t="s">
        <v>237</v>
      </c>
      <c r="F54" t="n">
        <v>523</v>
      </c>
      <c r="G54" t="n">
        <v>543</v>
      </c>
      <c r="H54" t="n">
        <v>597</v>
      </c>
      <c r="I54" t="n">
        <v>618</v>
      </c>
      <c r="J54" t="n">
        <v>565</v>
      </c>
      <c r="K54" t="n">
        <v>593</v>
      </c>
      <c r="L54" t="n">
        <v>618</v>
      </c>
      <c r="M54" t="n">
        <v>627</v>
      </c>
      <c r="N54" t="n">
        <v>647</v>
      </c>
      <c r="O54" t="n">
        <v>664</v>
      </c>
      <c r="P54" t="n">
        <v>678</v>
      </c>
      <c r="Q54" t="n">
        <v>697</v>
      </c>
      <c r="R54" t="n">
        <v>744</v>
      </c>
      <c r="S54" t="n">
        <v>796</v>
      </c>
      <c r="T54" t="n">
        <v>830</v>
      </c>
      <c r="U54" t="n">
        <v>833</v>
      </c>
      <c r="V54" t="n">
        <v>879</v>
      </c>
      <c r="W54" t="n">
        <v>901</v>
      </c>
      <c r="X54" t="n">
        <v>922</v>
      </c>
      <c r="Y54" t="n">
        <v>942</v>
      </c>
      <c r="Z54" t="n">
        <v>978</v>
      </c>
      <c r="AA54" t="n">
        <v>1031</v>
      </c>
      <c r="AB54" t="n">
        <v>1077</v>
      </c>
      <c r="AC54" t="n">
        <v>1117</v>
      </c>
      <c r="AD54" t="n">
        <v>1168</v>
      </c>
      <c r="AE54" t="n">
        <v>1224</v>
      </c>
      <c r="AF54" t="n">
        <v>1285</v>
      </c>
    </row>
    <row r="55">
      <c r="A55" t="s">
        <v>103</v>
      </c>
      <c r="B55" t="s">
        <v>380</v>
      </c>
      <c r="C55" t="s">
        <v>236</v>
      </c>
      <c r="D55" t="s">
        <v>381</v>
      </c>
      <c r="E55" t="s">
        <v>237</v>
      </c>
      <c r="F55" t="n">
        <v>277</v>
      </c>
      <c r="G55" t="n">
        <v>285</v>
      </c>
      <c r="H55" t="n">
        <v>306</v>
      </c>
      <c r="I55" t="n">
        <v>316</v>
      </c>
      <c r="J55" t="n">
        <v>321</v>
      </c>
      <c r="K55" t="n">
        <v>331</v>
      </c>
      <c r="L55" t="n">
        <v>340</v>
      </c>
      <c r="M55" t="n">
        <v>345</v>
      </c>
      <c r="N55" t="n">
        <v>361</v>
      </c>
      <c r="O55" t="n">
        <v>367</v>
      </c>
      <c r="P55" t="n">
        <v>375</v>
      </c>
      <c r="Q55" t="n">
        <v>384</v>
      </c>
      <c r="R55" t="n">
        <v>414</v>
      </c>
      <c r="S55" t="n">
        <v>454</v>
      </c>
      <c r="T55" t="n">
        <v>480</v>
      </c>
      <c r="U55" t="n">
        <v>486</v>
      </c>
      <c r="V55" t="n">
        <v>517</v>
      </c>
      <c r="W55" t="n">
        <v>516</v>
      </c>
      <c r="X55" t="n">
        <v>516</v>
      </c>
      <c r="Y55" t="n">
        <v>513</v>
      </c>
      <c r="Z55" t="n">
        <v>533</v>
      </c>
      <c r="AA55" t="n">
        <v>540</v>
      </c>
      <c r="AB55" t="n">
        <v>554</v>
      </c>
      <c r="AC55" t="n">
        <v>549</v>
      </c>
      <c r="AD55" t="n">
        <v>562</v>
      </c>
      <c r="AE55" t="n">
        <v>586</v>
      </c>
      <c r="AF55" t="n">
        <v>623</v>
      </c>
    </row>
    <row r="56">
      <c r="A56" t="s">
        <v>103</v>
      </c>
      <c r="B56" t="s">
        <v>382</v>
      </c>
      <c r="C56" t="s">
        <v>236</v>
      </c>
      <c r="D56" t="s">
        <v>383</v>
      </c>
      <c r="E56" t="s">
        <v>237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103</v>
      </c>
      <c r="B57" t="s">
        <v>384</v>
      </c>
      <c r="C57" t="s">
        <v>236</v>
      </c>
      <c r="D57" t="s">
        <v>385</v>
      </c>
      <c r="E57" t="s">
        <v>237</v>
      </c>
      <c r="F57" t="n">
        <v>46466</v>
      </c>
      <c r="G57" t="n">
        <v>47853</v>
      </c>
      <c r="H57" t="n">
        <v>49776</v>
      </c>
      <c r="I57" t="n">
        <v>50860</v>
      </c>
      <c r="J57" t="n">
        <v>51061</v>
      </c>
      <c r="K57" t="n">
        <v>52161</v>
      </c>
      <c r="L57" t="n">
        <v>52691</v>
      </c>
      <c r="M57" t="n">
        <v>52680</v>
      </c>
      <c r="N57" t="n">
        <v>52580</v>
      </c>
      <c r="O57" t="n">
        <v>52875</v>
      </c>
      <c r="P57" t="n">
        <v>53587</v>
      </c>
      <c r="Q57" t="n">
        <v>53293</v>
      </c>
      <c r="R57" t="n">
        <v>55200</v>
      </c>
      <c r="S57" t="n">
        <v>57491</v>
      </c>
      <c r="T57" t="n">
        <v>57896</v>
      </c>
      <c r="U57" t="n">
        <v>56855</v>
      </c>
      <c r="V57" t="n">
        <v>57884</v>
      </c>
      <c r="W57" t="n">
        <v>59344</v>
      </c>
      <c r="X57" t="n">
        <v>59905</v>
      </c>
      <c r="Y57" t="n">
        <v>60387</v>
      </c>
      <c r="Z57" t="n">
        <v>61803</v>
      </c>
      <c r="AA57" t="n">
        <v>63013</v>
      </c>
      <c r="AB57" t="n">
        <v>65487</v>
      </c>
      <c r="AC57" t="n">
        <v>67589</v>
      </c>
      <c r="AD57" t="n">
        <v>69687</v>
      </c>
      <c r="AE57" t="n">
        <v>71303</v>
      </c>
      <c r="AF57" t="n">
        <v>75146</v>
      </c>
    </row>
    <row r="58">
      <c r="A58" t="s">
        <v>103</v>
      </c>
      <c r="B58" t="s">
        <v>386</v>
      </c>
      <c r="C58" t="s">
        <v>236</v>
      </c>
      <c r="D58" t="s">
        <v>387</v>
      </c>
      <c r="E58" t="s">
        <v>237</v>
      </c>
      <c r="F58" t="n">
        <v>46466</v>
      </c>
      <c r="G58" t="n">
        <v>47853</v>
      </c>
      <c r="H58" t="n">
        <v>49776</v>
      </c>
      <c r="I58" t="n">
        <v>50860</v>
      </c>
      <c r="J58" t="n">
        <v>51061</v>
      </c>
      <c r="K58" t="n">
        <v>52161</v>
      </c>
      <c r="L58" t="n">
        <v>52691</v>
      </c>
      <c r="M58" t="n">
        <v>52680</v>
      </c>
      <c r="N58" t="n">
        <v>52580</v>
      </c>
      <c r="O58" t="n">
        <v>52875</v>
      </c>
      <c r="P58" t="n">
        <v>53587</v>
      </c>
      <c r="Q58" t="n">
        <v>53293</v>
      </c>
      <c r="R58" t="n">
        <v>55200</v>
      </c>
      <c r="S58" t="n">
        <v>57491</v>
      </c>
      <c r="T58" t="n">
        <v>57896</v>
      </c>
      <c r="U58" t="n">
        <v>56855</v>
      </c>
      <c r="V58" t="n">
        <v>57884</v>
      </c>
      <c r="W58" t="n">
        <v>59344</v>
      </c>
      <c r="X58" t="n">
        <v>59905</v>
      </c>
      <c r="Y58" t="n">
        <v>60387</v>
      </c>
      <c r="Z58" t="n">
        <v>61803</v>
      </c>
      <c r="AA58" t="n">
        <v>63013</v>
      </c>
      <c r="AB58" t="n">
        <v>65487</v>
      </c>
      <c r="AC58" t="n">
        <v>67589</v>
      </c>
      <c r="AD58" t="n">
        <v>69687</v>
      </c>
      <c r="AE58" t="n">
        <v>71303</v>
      </c>
      <c r="AF58" t="n">
        <v>75146</v>
      </c>
    </row>
    <row r="59">
      <c r="A59" t="s">
        <v>103</v>
      </c>
      <c r="B59" t="s">
        <v>388</v>
      </c>
      <c r="C59" t="s">
        <v>236</v>
      </c>
      <c r="D59" t="s">
        <v>389</v>
      </c>
      <c r="E59" t="s">
        <v>237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105</v>
      </c>
      <c r="B2" t="s">
        <v>197</v>
      </c>
      <c r="C2" t="s">
        <v>236</v>
      </c>
      <c r="D2" t="s">
        <v>199</v>
      </c>
      <c r="E2" t="s">
        <v>237</v>
      </c>
      <c r="F2" t="n">
        <v>9650</v>
      </c>
      <c r="G2" t="n">
        <v>9476</v>
      </c>
      <c r="H2" t="n">
        <v>9845</v>
      </c>
      <c r="I2" t="n">
        <v>10018</v>
      </c>
      <c r="J2" t="n">
        <v>10231</v>
      </c>
      <c r="K2" t="n">
        <v>10725</v>
      </c>
      <c r="L2" t="n">
        <v>11055</v>
      </c>
      <c r="M2" t="n">
        <v>11318</v>
      </c>
      <c r="N2" t="n">
        <v>11543</v>
      </c>
      <c r="O2" t="n">
        <v>11794</v>
      </c>
      <c r="P2" t="n">
        <v>12218</v>
      </c>
      <c r="Q2" t="n">
        <v>12845</v>
      </c>
      <c r="R2" t="n">
        <v>14119</v>
      </c>
      <c r="S2" t="n">
        <v>14501</v>
      </c>
      <c r="T2" t="n">
        <v>14895</v>
      </c>
      <c r="U2" t="n">
        <v>14528</v>
      </c>
      <c r="V2" t="n">
        <v>14825</v>
      </c>
      <c r="W2" t="n">
        <v>15443</v>
      </c>
      <c r="X2" t="n">
        <v>15749</v>
      </c>
      <c r="Y2" t="n">
        <v>15628</v>
      </c>
      <c r="Z2" t="n">
        <v>15357</v>
      </c>
      <c r="AA2" t="n">
        <v>15448</v>
      </c>
      <c r="AB2" t="n">
        <v>15629</v>
      </c>
      <c r="AC2" t="n">
        <v>16476</v>
      </c>
      <c r="AD2" t="n">
        <v>16957</v>
      </c>
      <c r="AE2" t="n">
        <v>17128</v>
      </c>
      <c r="AF2" t="n">
        <v>17347</v>
      </c>
    </row>
    <row r="3">
      <c r="A3" t="s">
        <v>105</v>
      </c>
      <c r="B3" t="s">
        <v>276</v>
      </c>
      <c r="C3" t="s">
        <v>236</v>
      </c>
      <c r="D3" t="s">
        <v>277</v>
      </c>
      <c r="E3" t="s">
        <v>237</v>
      </c>
      <c r="F3" t="n">
        <v>278</v>
      </c>
      <c r="G3" t="n">
        <v>265</v>
      </c>
      <c r="H3" t="n">
        <v>261</v>
      </c>
      <c r="I3" t="n">
        <v>255</v>
      </c>
      <c r="J3" t="n">
        <v>266</v>
      </c>
      <c r="K3" t="n">
        <v>301</v>
      </c>
      <c r="L3" t="n">
        <v>321</v>
      </c>
      <c r="M3" t="n">
        <v>320</v>
      </c>
      <c r="N3" t="n">
        <v>334</v>
      </c>
      <c r="O3" t="n">
        <v>337</v>
      </c>
      <c r="P3" t="n">
        <v>355</v>
      </c>
      <c r="Q3" t="n">
        <v>379</v>
      </c>
      <c r="R3" t="n">
        <v>608</v>
      </c>
      <c r="S3" t="n">
        <v>872</v>
      </c>
      <c r="T3" t="n">
        <v>959</v>
      </c>
      <c r="U3" t="n">
        <v>1024</v>
      </c>
      <c r="V3" t="n">
        <v>1206</v>
      </c>
      <c r="W3" t="n">
        <v>1355</v>
      </c>
      <c r="X3" t="n">
        <v>1390</v>
      </c>
      <c r="Y3" t="n">
        <v>1421</v>
      </c>
      <c r="Z3" t="n">
        <v>1515</v>
      </c>
      <c r="AA3" t="n">
        <v>1538</v>
      </c>
      <c r="AB3" t="n">
        <v>1635</v>
      </c>
      <c r="AC3" t="n">
        <v>1761</v>
      </c>
      <c r="AD3" t="n">
        <v>1898</v>
      </c>
      <c r="AE3" t="n">
        <v>1956</v>
      </c>
      <c r="AF3" t="n">
        <v>2054</v>
      </c>
    </row>
    <row r="4">
      <c r="A4" t="s">
        <v>105</v>
      </c>
      <c r="B4" t="s">
        <v>278</v>
      </c>
      <c r="C4" t="s">
        <v>236</v>
      </c>
      <c r="D4" t="s">
        <v>279</v>
      </c>
      <c r="E4" t="s">
        <v>237</v>
      </c>
      <c r="F4" t="n">
        <v>12709</v>
      </c>
      <c r="G4" t="n">
        <v>12625</v>
      </c>
      <c r="H4" t="n">
        <v>12541</v>
      </c>
      <c r="I4" t="n">
        <v>12967</v>
      </c>
      <c r="J4" t="n">
        <v>13591</v>
      </c>
      <c r="K4" t="n">
        <v>13931</v>
      </c>
      <c r="L4" t="n">
        <v>14703</v>
      </c>
      <c r="M4" t="n">
        <v>14566</v>
      </c>
      <c r="N4" t="n">
        <v>14319</v>
      </c>
      <c r="O4" t="n">
        <v>14385</v>
      </c>
      <c r="P4" t="n">
        <v>14823</v>
      </c>
      <c r="Q4" t="n">
        <v>15259</v>
      </c>
      <c r="R4" t="n">
        <v>16145</v>
      </c>
      <c r="S4" t="n">
        <v>16824</v>
      </c>
      <c r="T4" t="n">
        <v>16218</v>
      </c>
      <c r="U4" t="n">
        <v>14812</v>
      </c>
      <c r="V4" t="n">
        <v>14762</v>
      </c>
      <c r="W4" t="n">
        <v>15193</v>
      </c>
      <c r="X4" t="n">
        <v>14969</v>
      </c>
      <c r="Y4" t="n">
        <v>14732</v>
      </c>
      <c r="Z4" t="n">
        <v>14484</v>
      </c>
      <c r="AA4" t="n">
        <v>14709</v>
      </c>
      <c r="AB4" t="n">
        <v>14974</v>
      </c>
      <c r="AC4" t="n">
        <v>15474</v>
      </c>
      <c r="AD4" t="n">
        <v>15987</v>
      </c>
      <c r="AE4" t="n">
        <v>16099</v>
      </c>
      <c r="AF4" t="n">
        <v>16438</v>
      </c>
    </row>
    <row r="5">
      <c r="A5" t="s">
        <v>105</v>
      </c>
      <c r="B5" t="s">
        <v>280</v>
      </c>
      <c r="C5" t="s">
        <v>236</v>
      </c>
      <c r="D5" t="s">
        <v>281</v>
      </c>
      <c r="E5" t="s">
        <v>237</v>
      </c>
      <c r="F5" t="n">
        <v>1918</v>
      </c>
      <c r="G5" t="n">
        <v>1909</v>
      </c>
      <c r="H5" t="n">
        <v>1890</v>
      </c>
      <c r="I5" t="n">
        <v>1926</v>
      </c>
      <c r="J5" t="n">
        <v>1992</v>
      </c>
      <c r="K5" t="n">
        <v>2045</v>
      </c>
      <c r="L5" t="n">
        <v>2183</v>
      </c>
      <c r="M5" t="n">
        <v>2185</v>
      </c>
      <c r="N5" t="n">
        <v>2148</v>
      </c>
      <c r="O5" t="n">
        <v>2145</v>
      </c>
      <c r="P5" t="n">
        <v>2248</v>
      </c>
      <c r="Q5" t="n">
        <v>2316</v>
      </c>
      <c r="R5" t="n">
        <v>2482</v>
      </c>
      <c r="S5" t="n">
        <v>2588</v>
      </c>
      <c r="T5" t="n">
        <v>2469</v>
      </c>
      <c r="U5" t="n">
        <v>2237</v>
      </c>
      <c r="V5" t="n">
        <v>2246</v>
      </c>
      <c r="W5" t="n">
        <v>2397</v>
      </c>
      <c r="X5" t="n">
        <v>2418</v>
      </c>
      <c r="Y5" t="n">
        <v>2466</v>
      </c>
      <c r="Z5" t="n">
        <v>2458</v>
      </c>
      <c r="AA5" t="n">
        <v>2604</v>
      </c>
      <c r="AB5" t="n">
        <v>2615</v>
      </c>
      <c r="AC5" t="n">
        <v>2667</v>
      </c>
      <c r="AD5" t="n">
        <v>2756</v>
      </c>
      <c r="AE5" t="n">
        <v>2810</v>
      </c>
      <c r="AF5" t="n">
        <v>2883</v>
      </c>
    </row>
    <row r="6">
      <c r="A6" t="s">
        <v>105</v>
      </c>
      <c r="B6" t="s">
        <v>282</v>
      </c>
      <c r="C6" t="s">
        <v>236</v>
      </c>
      <c r="D6" t="s">
        <v>283</v>
      </c>
      <c r="E6" t="s">
        <v>237</v>
      </c>
      <c r="F6" t="n">
        <v>297</v>
      </c>
      <c r="G6" t="n">
        <v>275</v>
      </c>
      <c r="H6" t="n">
        <v>259</v>
      </c>
      <c r="I6" t="n">
        <v>258</v>
      </c>
      <c r="J6" t="n">
        <v>255</v>
      </c>
      <c r="K6" t="n">
        <v>245</v>
      </c>
      <c r="L6" t="n">
        <v>244</v>
      </c>
      <c r="M6" t="n">
        <v>223</v>
      </c>
      <c r="N6" t="n">
        <v>205</v>
      </c>
      <c r="O6" t="n">
        <v>188</v>
      </c>
      <c r="P6" t="n">
        <v>178</v>
      </c>
      <c r="Q6" t="n">
        <v>174</v>
      </c>
      <c r="R6" t="n">
        <v>166</v>
      </c>
      <c r="S6" t="n">
        <v>160</v>
      </c>
      <c r="T6" t="n">
        <v>133</v>
      </c>
      <c r="U6" t="n">
        <v>108</v>
      </c>
      <c r="V6" t="n">
        <v>100</v>
      </c>
      <c r="W6" t="n">
        <v>111</v>
      </c>
      <c r="X6" t="n">
        <v>101</v>
      </c>
      <c r="Y6" t="n">
        <v>97</v>
      </c>
      <c r="Z6" t="n">
        <v>96</v>
      </c>
      <c r="AA6" t="n">
        <v>89</v>
      </c>
      <c r="AB6" t="n">
        <v>90</v>
      </c>
      <c r="AC6" t="n">
        <v>94</v>
      </c>
      <c r="AD6" t="n">
        <v>96</v>
      </c>
      <c r="AE6" t="n">
        <v>90</v>
      </c>
      <c r="AF6" t="n">
        <v>95</v>
      </c>
    </row>
    <row r="7">
      <c r="A7" t="s">
        <v>105</v>
      </c>
      <c r="B7" t="s">
        <v>284</v>
      </c>
      <c r="C7" t="s">
        <v>236</v>
      </c>
      <c r="D7" t="s">
        <v>285</v>
      </c>
      <c r="E7" t="s">
        <v>237</v>
      </c>
      <c r="F7" t="n">
        <v>3868</v>
      </c>
      <c r="G7" t="n">
        <v>3839</v>
      </c>
      <c r="H7" t="n">
        <v>3792</v>
      </c>
      <c r="I7" t="n">
        <v>3898</v>
      </c>
      <c r="J7" t="n">
        <v>4082</v>
      </c>
      <c r="K7" t="n">
        <v>4202</v>
      </c>
      <c r="L7" t="n">
        <v>4440</v>
      </c>
      <c r="M7" t="n">
        <v>4340</v>
      </c>
      <c r="N7" t="n">
        <v>4208</v>
      </c>
      <c r="O7" t="n">
        <v>4219</v>
      </c>
      <c r="P7" t="n">
        <v>4352</v>
      </c>
      <c r="Q7" t="n">
        <v>4408</v>
      </c>
      <c r="R7" t="n">
        <v>4657</v>
      </c>
      <c r="S7" t="n">
        <v>4787</v>
      </c>
      <c r="T7" t="n">
        <v>4495</v>
      </c>
      <c r="U7" t="n">
        <v>4017</v>
      </c>
      <c r="V7" t="n">
        <v>3930</v>
      </c>
      <c r="W7" t="n">
        <v>4001</v>
      </c>
      <c r="X7" t="n">
        <v>3908</v>
      </c>
      <c r="Y7" t="n">
        <v>3742</v>
      </c>
      <c r="Z7" t="n">
        <v>3585</v>
      </c>
      <c r="AA7" t="n">
        <v>3661</v>
      </c>
      <c r="AB7" t="n">
        <v>3675</v>
      </c>
      <c r="AC7" t="n">
        <v>3776</v>
      </c>
      <c r="AD7" t="n">
        <v>3857</v>
      </c>
      <c r="AE7" t="n">
        <v>3810</v>
      </c>
      <c r="AF7" t="n">
        <v>3870</v>
      </c>
    </row>
    <row r="8">
      <c r="A8" t="s">
        <v>105</v>
      </c>
      <c r="B8" t="s">
        <v>286</v>
      </c>
      <c r="C8" t="s">
        <v>236</v>
      </c>
      <c r="D8" t="s">
        <v>287</v>
      </c>
      <c r="E8" t="s">
        <v>237</v>
      </c>
      <c r="F8" t="n">
        <v>473</v>
      </c>
      <c r="G8" t="n">
        <v>455</v>
      </c>
      <c r="H8" t="n">
        <v>457</v>
      </c>
      <c r="I8" t="n">
        <v>447</v>
      </c>
      <c r="J8" t="n">
        <v>468</v>
      </c>
      <c r="K8" t="n">
        <v>484</v>
      </c>
      <c r="L8" t="n">
        <v>486</v>
      </c>
      <c r="M8" t="n">
        <v>480</v>
      </c>
      <c r="N8" t="n">
        <v>490</v>
      </c>
      <c r="O8" t="n">
        <v>509</v>
      </c>
      <c r="P8" t="n">
        <v>565</v>
      </c>
      <c r="Q8" t="n">
        <v>619</v>
      </c>
      <c r="R8" t="n">
        <v>794</v>
      </c>
      <c r="S8" t="n">
        <v>862</v>
      </c>
      <c r="T8" t="n">
        <v>939</v>
      </c>
      <c r="U8" t="n">
        <v>933</v>
      </c>
      <c r="V8" t="n">
        <v>959</v>
      </c>
      <c r="W8" t="n">
        <v>1010</v>
      </c>
      <c r="X8" t="n">
        <v>1038</v>
      </c>
      <c r="Y8" t="n">
        <v>1055</v>
      </c>
      <c r="Z8" t="n">
        <v>1080</v>
      </c>
      <c r="AA8" t="n">
        <v>1037</v>
      </c>
      <c r="AB8" t="n">
        <v>1070</v>
      </c>
      <c r="AC8" t="n">
        <v>1110</v>
      </c>
      <c r="AD8" t="n">
        <v>1144</v>
      </c>
      <c r="AE8" t="n">
        <v>1111</v>
      </c>
      <c r="AF8" t="n">
        <v>1195</v>
      </c>
    </row>
    <row r="9">
      <c r="A9" t="s">
        <v>105</v>
      </c>
      <c r="B9" t="s">
        <v>288</v>
      </c>
      <c r="C9" t="s">
        <v>236</v>
      </c>
      <c r="D9" t="s">
        <v>289</v>
      </c>
      <c r="E9" t="s">
        <v>237</v>
      </c>
      <c r="F9" t="n">
        <v>929</v>
      </c>
      <c r="G9" t="n">
        <v>912</v>
      </c>
      <c r="H9" t="n">
        <v>912</v>
      </c>
      <c r="I9" t="n">
        <v>950</v>
      </c>
      <c r="J9" t="n">
        <v>989</v>
      </c>
      <c r="K9" t="n">
        <v>1002</v>
      </c>
      <c r="L9" t="n">
        <v>1050</v>
      </c>
      <c r="M9" t="n">
        <v>1056</v>
      </c>
      <c r="N9" t="n">
        <v>1035</v>
      </c>
      <c r="O9" t="n">
        <v>1062</v>
      </c>
      <c r="P9" t="n">
        <v>1063</v>
      </c>
      <c r="Q9" t="n">
        <v>1102</v>
      </c>
      <c r="R9" t="n">
        <v>1132</v>
      </c>
      <c r="S9" t="n">
        <v>1188</v>
      </c>
      <c r="T9" t="n">
        <v>1242</v>
      </c>
      <c r="U9" t="n">
        <v>1150</v>
      </c>
      <c r="V9" t="n">
        <v>1143</v>
      </c>
      <c r="W9" t="n">
        <v>1189</v>
      </c>
      <c r="X9" t="n">
        <v>1184</v>
      </c>
      <c r="Y9" t="n">
        <v>1171</v>
      </c>
      <c r="Z9" t="n">
        <v>1178</v>
      </c>
      <c r="AA9" t="n">
        <v>1212</v>
      </c>
      <c r="AB9" t="n">
        <v>1351</v>
      </c>
      <c r="AC9" t="n">
        <v>1422</v>
      </c>
      <c r="AD9" t="n">
        <v>1493</v>
      </c>
      <c r="AE9" t="n">
        <v>1490</v>
      </c>
      <c r="AF9" t="n">
        <v>1486</v>
      </c>
    </row>
    <row r="10">
      <c r="A10" t="s">
        <v>105</v>
      </c>
      <c r="B10" t="s">
        <v>290</v>
      </c>
      <c r="C10" t="s">
        <v>236</v>
      </c>
      <c r="D10" t="s">
        <v>291</v>
      </c>
      <c r="E10" t="s">
        <v>237</v>
      </c>
      <c r="F10" t="n">
        <v>1184</v>
      </c>
      <c r="G10" t="n">
        <v>1157</v>
      </c>
      <c r="H10" t="n">
        <v>1147</v>
      </c>
      <c r="I10" t="n">
        <v>1188</v>
      </c>
      <c r="J10" t="n">
        <v>1235</v>
      </c>
      <c r="K10" t="n">
        <v>1252</v>
      </c>
      <c r="L10" t="n">
        <v>1306</v>
      </c>
      <c r="M10" t="n">
        <v>1313</v>
      </c>
      <c r="N10" t="n">
        <v>1287</v>
      </c>
      <c r="O10" t="n">
        <v>1317</v>
      </c>
      <c r="P10" t="n">
        <v>1317</v>
      </c>
      <c r="Q10" t="n">
        <v>1361</v>
      </c>
      <c r="R10" t="n">
        <v>1397</v>
      </c>
      <c r="S10" t="n">
        <v>1457</v>
      </c>
      <c r="T10" t="n">
        <v>1501</v>
      </c>
      <c r="U10" t="n">
        <v>1384</v>
      </c>
      <c r="V10" t="n">
        <v>1372</v>
      </c>
      <c r="W10" t="n">
        <v>1442</v>
      </c>
      <c r="X10" t="n">
        <v>1495</v>
      </c>
      <c r="Y10" t="n">
        <v>1489</v>
      </c>
      <c r="Z10" t="n">
        <v>1496</v>
      </c>
      <c r="AA10" t="n">
        <v>1531</v>
      </c>
      <c r="AB10" t="n">
        <v>1678</v>
      </c>
      <c r="AC10" t="n">
        <v>1765</v>
      </c>
      <c r="AD10" t="n">
        <v>1855</v>
      </c>
      <c r="AE10" t="n">
        <v>1869</v>
      </c>
      <c r="AF10" t="n">
        <v>1950</v>
      </c>
    </row>
    <row r="11">
      <c r="A11" t="s">
        <v>105</v>
      </c>
      <c r="B11" t="s">
        <v>292</v>
      </c>
      <c r="C11" t="s">
        <v>236</v>
      </c>
      <c r="D11" t="s">
        <v>293</v>
      </c>
      <c r="E11" t="s">
        <v>237</v>
      </c>
      <c r="F11" t="n">
        <v>255</v>
      </c>
      <c r="G11" t="n">
        <v>245</v>
      </c>
      <c r="H11" t="n">
        <v>235</v>
      </c>
      <c r="I11" t="n">
        <v>238</v>
      </c>
      <c r="J11" t="n">
        <v>246</v>
      </c>
      <c r="K11" t="n">
        <v>250</v>
      </c>
      <c r="L11" t="n">
        <v>256</v>
      </c>
      <c r="M11" t="n">
        <v>257</v>
      </c>
      <c r="N11" t="n">
        <v>252</v>
      </c>
      <c r="O11" t="n">
        <v>255</v>
      </c>
      <c r="P11" t="n">
        <v>254</v>
      </c>
      <c r="Q11" t="n">
        <v>259</v>
      </c>
      <c r="R11" t="n">
        <v>265</v>
      </c>
      <c r="S11" t="n">
        <v>269</v>
      </c>
      <c r="T11" t="n">
        <v>259</v>
      </c>
      <c r="U11" t="n">
        <v>234</v>
      </c>
      <c r="V11" t="n">
        <v>229</v>
      </c>
      <c r="W11" t="n">
        <v>253</v>
      </c>
      <c r="X11" t="n">
        <v>311</v>
      </c>
      <c r="Y11" t="n">
        <v>318</v>
      </c>
      <c r="Z11" t="n">
        <v>318</v>
      </c>
      <c r="AA11" t="n">
        <v>319</v>
      </c>
      <c r="AB11" t="n">
        <v>327</v>
      </c>
      <c r="AC11" t="n">
        <v>343</v>
      </c>
      <c r="AD11" t="n">
        <v>362</v>
      </c>
      <c r="AE11" t="n">
        <v>379</v>
      </c>
      <c r="AF11" t="n">
        <v>464</v>
      </c>
    </row>
    <row r="12">
      <c r="A12" t="s">
        <v>105</v>
      </c>
      <c r="B12" t="s">
        <v>294</v>
      </c>
      <c r="C12" t="s">
        <v>236</v>
      </c>
      <c r="D12" t="s">
        <v>295</v>
      </c>
      <c r="E12" t="s">
        <v>237</v>
      </c>
      <c r="F12" t="n">
        <v>826</v>
      </c>
      <c r="G12" t="n">
        <v>801</v>
      </c>
      <c r="H12" t="n">
        <v>794</v>
      </c>
      <c r="I12" t="n">
        <v>846</v>
      </c>
      <c r="J12" t="n">
        <v>912</v>
      </c>
      <c r="K12" t="n">
        <v>914</v>
      </c>
      <c r="L12" t="n">
        <v>960</v>
      </c>
      <c r="M12" t="n">
        <v>941</v>
      </c>
      <c r="N12" t="n">
        <v>931</v>
      </c>
      <c r="O12" t="n">
        <v>947</v>
      </c>
      <c r="P12" t="n">
        <v>995</v>
      </c>
      <c r="Q12" t="n">
        <v>1048</v>
      </c>
      <c r="R12" t="n">
        <v>1077</v>
      </c>
      <c r="S12" t="n">
        <v>1118</v>
      </c>
      <c r="T12" t="n">
        <v>1075</v>
      </c>
      <c r="U12" t="n">
        <v>988</v>
      </c>
      <c r="V12" t="n">
        <v>997</v>
      </c>
      <c r="W12" t="n">
        <v>1038</v>
      </c>
      <c r="X12" t="n">
        <v>1027</v>
      </c>
      <c r="Y12" t="n">
        <v>1001</v>
      </c>
      <c r="Z12" t="n">
        <v>988</v>
      </c>
      <c r="AA12" t="n">
        <v>1003</v>
      </c>
      <c r="AB12" t="n">
        <v>1009</v>
      </c>
      <c r="AC12" t="n">
        <v>1048</v>
      </c>
      <c r="AD12" t="n">
        <v>1090</v>
      </c>
      <c r="AE12" t="n">
        <v>1128</v>
      </c>
      <c r="AF12" t="n">
        <v>1141</v>
      </c>
    </row>
    <row r="13">
      <c r="A13" t="s">
        <v>105</v>
      </c>
      <c r="B13" t="s">
        <v>296</v>
      </c>
      <c r="C13" t="s">
        <v>236</v>
      </c>
      <c r="D13" t="s">
        <v>297</v>
      </c>
      <c r="E13" t="s">
        <v>237</v>
      </c>
      <c r="F13" t="n">
        <v>1270</v>
      </c>
      <c r="G13" t="n">
        <v>1324</v>
      </c>
      <c r="H13" t="n">
        <v>1363</v>
      </c>
      <c r="I13" t="n">
        <v>1427</v>
      </c>
      <c r="J13" t="n">
        <v>1504</v>
      </c>
      <c r="K13" t="n">
        <v>1543</v>
      </c>
      <c r="L13" t="n">
        <v>1641</v>
      </c>
      <c r="M13" t="n">
        <v>1757</v>
      </c>
      <c r="N13" t="n">
        <v>1808</v>
      </c>
      <c r="O13" t="n">
        <v>1860</v>
      </c>
      <c r="P13" t="n">
        <v>1915</v>
      </c>
      <c r="Q13" t="n">
        <v>1969</v>
      </c>
      <c r="R13" t="n">
        <v>2079</v>
      </c>
      <c r="S13" t="n">
        <v>2256</v>
      </c>
      <c r="T13" t="n">
        <v>2223</v>
      </c>
      <c r="U13" t="n">
        <v>2053</v>
      </c>
      <c r="V13" t="n">
        <v>2139</v>
      </c>
      <c r="W13" t="n">
        <v>2291</v>
      </c>
      <c r="X13" t="n">
        <v>2266</v>
      </c>
      <c r="Y13" t="n">
        <v>2250</v>
      </c>
      <c r="Z13" t="n">
        <v>2212</v>
      </c>
      <c r="AA13" t="n">
        <v>2208</v>
      </c>
      <c r="AB13" t="n">
        <v>2233</v>
      </c>
      <c r="AC13" t="n">
        <v>2304</v>
      </c>
      <c r="AD13" t="n">
        <v>2390</v>
      </c>
      <c r="AE13" t="n">
        <v>2394</v>
      </c>
      <c r="AF13" t="n">
        <v>2406</v>
      </c>
    </row>
    <row r="14">
      <c r="A14" t="s">
        <v>105</v>
      </c>
      <c r="B14" t="s">
        <v>298</v>
      </c>
      <c r="C14" t="s">
        <v>236</v>
      </c>
      <c r="D14" t="s">
        <v>299</v>
      </c>
      <c r="E14" t="s">
        <v>237</v>
      </c>
      <c r="F14" t="n">
        <v>397</v>
      </c>
      <c r="G14" t="n">
        <v>466</v>
      </c>
      <c r="H14" t="n">
        <v>467</v>
      </c>
      <c r="I14" t="n">
        <v>531</v>
      </c>
      <c r="J14" t="n">
        <v>622</v>
      </c>
      <c r="K14" t="n">
        <v>682</v>
      </c>
      <c r="L14" t="n">
        <v>779</v>
      </c>
      <c r="M14" t="n">
        <v>751</v>
      </c>
      <c r="N14" t="n">
        <v>732</v>
      </c>
      <c r="O14" t="n">
        <v>729</v>
      </c>
      <c r="P14" t="n">
        <v>750</v>
      </c>
      <c r="Q14" t="n">
        <v>819</v>
      </c>
      <c r="R14" t="n">
        <v>838</v>
      </c>
      <c r="S14" t="n">
        <v>867</v>
      </c>
      <c r="T14" t="n">
        <v>790</v>
      </c>
      <c r="U14" t="n">
        <v>746</v>
      </c>
      <c r="V14" t="n">
        <v>730</v>
      </c>
      <c r="W14" t="n">
        <v>543</v>
      </c>
      <c r="X14" t="n">
        <v>463</v>
      </c>
      <c r="Y14" t="n">
        <v>441</v>
      </c>
      <c r="Z14" t="n">
        <v>421</v>
      </c>
      <c r="AA14" t="n">
        <v>403</v>
      </c>
      <c r="AB14" t="n">
        <v>395</v>
      </c>
      <c r="AC14" t="n">
        <v>394</v>
      </c>
      <c r="AD14" t="n">
        <v>402</v>
      </c>
      <c r="AE14" t="n">
        <v>434</v>
      </c>
      <c r="AF14" t="n">
        <v>433</v>
      </c>
    </row>
    <row r="15">
      <c r="A15" t="s">
        <v>105</v>
      </c>
      <c r="B15" t="s">
        <v>300</v>
      </c>
      <c r="C15" t="s">
        <v>236</v>
      </c>
      <c r="D15" t="s">
        <v>301</v>
      </c>
      <c r="E15" t="s">
        <v>237</v>
      </c>
      <c r="F15" t="n">
        <v>596</v>
      </c>
      <c r="G15" t="n">
        <v>667</v>
      </c>
      <c r="H15" t="n">
        <v>671</v>
      </c>
      <c r="I15" t="n">
        <v>742</v>
      </c>
      <c r="J15" t="n">
        <v>847</v>
      </c>
      <c r="K15" t="n">
        <v>909</v>
      </c>
      <c r="L15" t="n">
        <v>1023</v>
      </c>
      <c r="M15" t="n">
        <v>995</v>
      </c>
      <c r="N15" t="n">
        <v>971</v>
      </c>
      <c r="O15" t="n">
        <v>971</v>
      </c>
      <c r="P15" t="n">
        <v>988</v>
      </c>
      <c r="Q15" t="n">
        <v>1070</v>
      </c>
      <c r="R15" t="n">
        <v>1129</v>
      </c>
      <c r="S15" t="n">
        <v>1185</v>
      </c>
      <c r="T15" t="n">
        <v>1101</v>
      </c>
      <c r="U15" t="n">
        <v>1039</v>
      </c>
      <c r="V15" t="n">
        <v>1021</v>
      </c>
      <c r="W15" t="n">
        <v>845</v>
      </c>
      <c r="X15" t="n">
        <v>758</v>
      </c>
      <c r="Y15" t="n">
        <v>737</v>
      </c>
      <c r="Z15" t="n">
        <v>740</v>
      </c>
      <c r="AA15" t="n">
        <v>722</v>
      </c>
      <c r="AB15" t="n">
        <v>708</v>
      </c>
      <c r="AC15" t="n">
        <v>737</v>
      </c>
      <c r="AD15" t="n">
        <v>796</v>
      </c>
      <c r="AE15" t="n">
        <v>851</v>
      </c>
      <c r="AF15" t="n">
        <v>864</v>
      </c>
    </row>
    <row r="16">
      <c r="A16" t="s">
        <v>105</v>
      </c>
      <c r="B16" t="s">
        <v>302</v>
      </c>
      <c r="C16" t="s">
        <v>236</v>
      </c>
      <c r="D16" t="s">
        <v>303</v>
      </c>
      <c r="E16" t="s">
        <v>237</v>
      </c>
      <c r="F16" t="n">
        <v>199</v>
      </c>
      <c r="G16" t="n">
        <v>201</v>
      </c>
      <c r="H16" t="n">
        <v>204</v>
      </c>
      <c r="I16" t="n">
        <v>211</v>
      </c>
      <c r="J16" t="n">
        <v>225</v>
      </c>
      <c r="K16" t="n">
        <v>227</v>
      </c>
      <c r="L16" t="n">
        <v>244</v>
      </c>
      <c r="M16" t="n">
        <v>244</v>
      </c>
      <c r="N16" t="n">
        <v>239</v>
      </c>
      <c r="O16" t="n">
        <v>242</v>
      </c>
      <c r="P16" t="n">
        <v>238</v>
      </c>
      <c r="Q16" t="n">
        <v>251</v>
      </c>
      <c r="R16" t="n">
        <v>291</v>
      </c>
      <c r="S16" t="n">
        <v>318</v>
      </c>
      <c r="T16" t="n">
        <v>311</v>
      </c>
      <c r="U16" t="n">
        <v>293</v>
      </c>
      <c r="V16" t="n">
        <v>291</v>
      </c>
      <c r="W16" t="n">
        <v>302</v>
      </c>
      <c r="X16" t="n">
        <v>295</v>
      </c>
      <c r="Y16" t="n">
        <v>296</v>
      </c>
      <c r="Z16" t="n">
        <v>319</v>
      </c>
      <c r="AA16" t="n">
        <v>319</v>
      </c>
      <c r="AB16" t="n">
        <v>313</v>
      </c>
      <c r="AC16" t="n">
        <v>343</v>
      </c>
      <c r="AD16" t="n">
        <v>394</v>
      </c>
      <c r="AE16" t="n">
        <v>417</v>
      </c>
      <c r="AF16" t="n">
        <v>431</v>
      </c>
    </row>
    <row r="17">
      <c r="A17" t="s">
        <v>105</v>
      </c>
      <c r="B17" t="s">
        <v>304</v>
      </c>
      <c r="C17" t="s">
        <v>236</v>
      </c>
      <c r="D17" t="s">
        <v>305</v>
      </c>
      <c r="E17" t="s">
        <v>237</v>
      </c>
      <c r="F17" t="n">
        <v>810</v>
      </c>
      <c r="G17" t="n">
        <v>787</v>
      </c>
      <c r="H17" t="n">
        <v>793</v>
      </c>
      <c r="I17" t="n">
        <v>823</v>
      </c>
      <c r="J17" t="n">
        <v>847</v>
      </c>
      <c r="K17" t="n">
        <v>855</v>
      </c>
      <c r="L17" t="n">
        <v>901</v>
      </c>
      <c r="M17" t="n">
        <v>892</v>
      </c>
      <c r="N17" t="n">
        <v>894</v>
      </c>
      <c r="O17" t="n">
        <v>876</v>
      </c>
      <c r="P17" t="n">
        <v>893</v>
      </c>
      <c r="Q17" t="n">
        <v>911</v>
      </c>
      <c r="R17" t="n">
        <v>949</v>
      </c>
      <c r="S17" t="n">
        <v>968</v>
      </c>
      <c r="T17" t="n">
        <v>929</v>
      </c>
      <c r="U17" t="n">
        <v>849</v>
      </c>
      <c r="V17" t="n">
        <v>851</v>
      </c>
      <c r="W17" t="n">
        <v>892</v>
      </c>
      <c r="X17" t="n">
        <v>875</v>
      </c>
      <c r="Y17" t="n">
        <v>875</v>
      </c>
      <c r="Z17" t="n">
        <v>868</v>
      </c>
      <c r="AA17" t="n">
        <v>881</v>
      </c>
      <c r="AB17" t="n">
        <v>934</v>
      </c>
      <c r="AC17" t="n">
        <v>996</v>
      </c>
      <c r="AD17" t="n">
        <v>1050</v>
      </c>
      <c r="AE17" t="n">
        <v>1069</v>
      </c>
      <c r="AF17" t="n">
        <v>1061</v>
      </c>
    </row>
    <row r="18">
      <c r="A18" t="s">
        <v>105</v>
      </c>
      <c r="B18" t="s">
        <v>306</v>
      </c>
      <c r="C18" t="s">
        <v>236</v>
      </c>
      <c r="D18" t="s">
        <v>307</v>
      </c>
      <c r="E18" t="s">
        <v>237</v>
      </c>
      <c r="F18" t="n">
        <v>993</v>
      </c>
      <c r="G18" t="n">
        <v>954</v>
      </c>
      <c r="H18" t="n">
        <v>915</v>
      </c>
      <c r="I18" t="n">
        <v>922</v>
      </c>
      <c r="J18" t="n">
        <v>933</v>
      </c>
      <c r="K18" t="n">
        <v>930</v>
      </c>
      <c r="L18" t="n">
        <v>951</v>
      </c>
      <c r="M18" t="n">
        <v>911</v>
      </c>
      <c r="N18" t="n">
        <v>869</v>
      </c>
      <c r="O18" t="n">
        <v>855</v>
      </c>
      <c r="P18" t="n">
        <v>863</v>
      </c>
      <c r="Q18" t="n">
        <v>886</v>
      </c>
      <c r="R18" t="n">
        <v>907</v>
      </c>
      <c r="S18" t="n">
        <v>922</v>
      </c>
      <c r="T18" t="n">
        <v>863</v>
      </c>
      <c r="U18" t="n">
        <v>766</v>
      </c>
      <c r="V18" t="n">
        <v>723</v>
      </c>
      <c r="W18" t="n">
        <v>732</v>
      </c>
      <c r="X18" t="n">
        <v>671</v>
      </c>
      <c r="Y18" t="n">
        <v>627</v>
      </c>
      <c r="Z18" t="n">
        <v>586</v>
      </c>
      <c r="AA18" t="n">
        <v>567</v>
      </c>
      <c r="AB18" t="n">
        <v>567</v>
      </c>
      <c r="AC18" t="n">
        <v>577</v>
      </c>
      <c r="AD18" t="n">
        <v>559</v>
      </c>
      <c r="AE18" t="n">
        <v>558</v>
      </c>
      <c r="AF18" t="n">
        <v>553</v>
      </c>
    </row>
    <row r="19">
      <c r="A19" t="s">
        <v>105</v>
      </c>
      <c r="B19" t="s">
        <v>308</v>
      </c>
      <c r="C19" t="s">
        <v>236</v>
      </c>
      <c r="D19" t="s">
        <v>309</v>
      </c>
      <c r="E19" t="s">
        <v>237</v>
      </c>
      <c r="F19" t="n">
        <v>474</v>
      </c>
      <c r="G19" t="n">
        <v>457</v>
      </c>
      <c r="H19" t="n">
        <v>460</v>
      </c>
      <c r="I19" t="n">
        <v>490</v>
      </c>
      <c r="J19" t="n">
        <v>516</v>
      </c>
      <c r="K19" t="n">
        <v>552</v>
      </c>
      <c r="L19" t="n">
        <v>568</v>
      </c>
      <c r="M19" t="n">
        <v>529</v>
      </c>
      <c r="N19" t="n">
        <v>508</v>
      </c>
      <c r="O19" t="n">
        <v>498</v>
      </c>
      <c r="P19" t="n">
        <v>509</v>
      </c>
      <c r="Q19" t="n">
        <v>497</v>
      </c>
      <c r="R19" t="n">
        <v>508</v>
      </c>
      <c r="S19" t="n">
        <v>521</v>
      </c>
      <c r="T19" t="n">
        <v>490</v>
      </c>
      <c r="U19" t="n">
        <v>438</v>
      </c>
      <c r="V19" t="n">
        <v>424</v>
      </c>
      <c r="W19" t="n">
        <v>434</v>
      </c>
      <c r="X19" t="n">
        <v>412</v>
      </c>
      <c r="Y19" t="n">
        <v>393</v>
      </c>
      <c r="Z19" t="n">
        <v>375</v>
      </c>
      <c r="AA19" t="n">
        <v>406</v>
      </c>
      <c r="AB19" t="n">
        <v>395</v>
      </c>
      <c r="AC19" t="n">
        <v>400</v>
      </c>
      <c r="AD19" t="n">
        <v>394</v>
      </c>
      <c r="AE19" t="n">
        <v>409</v>
      </c>
      <c r="AF19" t="n">
        <v>420</v>
      </c>
    </row>
    <row r="20">
      <c r="A20" t="s">
        <v>105</v>
      </c>
      <c r="B20" t="s">
        <v>310</v>
      </c>
      <c r="C20" t="s">
        <v>236</v>
      </c>
      <c r="D20" t="s">
        <v>311</v>
      </c>
      <c r="E20" t="s">
        <v>237</v>
      </c>
      <c r="F20" t="n">
        <v>7460</v>
      </c>
      <c r="G20" t="n">
        <v>7466</v>
      </c>
      <c r="H20" t="n">
        <v>7693</v>
      </c>
      <c r="I20" t="n">
        <v>7814</v>
      </c>
      <c r="J20" t="n">
        <v>7992</v>
      </c>
      <c r="K20" t="n">
        <v>8401</v>
      </c>
      <c r="L20" t="n">
        <v>8857</v>
      </c>
      <c r="M20" t="n">
        <v>8931</v>
      </c>
      <c r="N20" t="n">
        <v>9095</v>
      </c>
      <c r="O20" t="n">
        <v>9664</v>
      </c>
      <c r="P20" t="n">
        <v>10252</v>
      </c>
      <c r="Q20" t="n">
        <v>10947</v>
      </c>
      <c r="R20" t="n">
        <v>11782</v>
      </c>
      <c r="S20" t="n">
        <v>12987</v>
      </c>
      <c r="T20" t="n">
        <v>12964</v>
      </c>
      <c r="U20" t="n">
        <v>13172</v>
      </c>
      <c r="V20" t="n">
        <v>14141</v>
      </c>
      <c r="W20" t="n">
        <v>15101</v>
      </c>
      <c r="X20" t="n">
        <v>15586</v>
      </c>
      <c r="Y20" t="n">
        <v>16169</v>
      </c>
      <c r="Z20" t="n">
        <v>16350</v>
      </c>
      <c r="AA20" t="n">
        <v>16924</v>
      </c>
      <c r="AB20" t="n">
        <v>18027</v>
      </c>
      <c r="AC20" t="n">
        <v>18948</v>
      </c>
      <c r="AD20" t="n">
        <v>19759</v>
      </c>
      <c r="AE20" t="n">
        <v>19669</v>
      </c>
      <c r="AF20" t="n">
        <v>21464</v>
      </c>
    </row>
    <row r="21">
      <c r="A21" t="s">
        <v>105</v>
      </c>
      <c r="B21" t="s">
        <v>312</v>
      </c>
      <c r="C21" t="s">
        <v>236</v>
      </c>
      <c r="D21" t="s">
        <v>313</v>
      </c>
      <c r="E21" t="s">
        <v>237</v>
      </c>
      <c r="F21" t="n">
        <v>11587</v>
      </c>
      <c r="G21" t="n">
        <v>11626</v>
      </c>
      <c r="H21" t="n">
        <v>12015</v>
      </c>
      <c r="I21" t="n">
        <v>12265</v>
      </c>
      <c r="J21" t="n">
        <v>12615</v>
      </c>
      <c r="K21" t="n">
        <v>13319</v>
      </c>
      <c r="L21" t="n">
        <v>13989</v>
      </c>
      <c r="M21" t="n">
        <v>14185</v>
      </c>
      <c r="N21" t="n">
        <v>14544</v>
      </c>
      <c r="O21" t="n">
        <v>15364</v>
      </c>
      <c r="P21" t="n">
        <v>16308</v>
      </c>
      <c r="Q21" t="n">
        <v>17483</v>
      </c>
      <c r="R21" t="n">
        <v>18858</v>
      </c>
      <c r="S21" t="n">
        <v>20747</v>
      </c>
      <c r="T21" t="n">
        <v>20709</v>
      </c>
      <c r="U21" t="n">
        <v>21132</v>
      </c>
      <c r="V21" t="n">
        <v>22567</v>
      </c>
      <c r="W21" t="n">
        <v>23917</v>
      </c>
      <c r="X21" t="n">
        <v>24487</v>
      </c>
      <c r="Y21" t="n">
        <v>25148</v>
      </c>
      <c r="Z21" t="n">
        <v>25136</v>
      </c>
      <c r="AA21" t="n">
        <v>25682</v>
      </c>
      <c r="AB21" t="n">
        <v>27042</v>
      </c>
      <c r="AC21" t="n">
        <v>28398</v>
      </c>
      <c r="AD21" t="n">
        <v>29463</v>
      </c>
      <c r="AE21" t="n">
        <v>29563</v>
      </c>
      <c r="AF21" t="n">
        <v>32193</v>
      </c>
    </row>
    <row r="22">
      <c r="A22" t="s">
        <v>105</v>
      </c>
      <c r="B22" t="s">
        <v>314</v>
      </c>
      <c r="C22" t="s">
        <v>236</v>
      </c>
      <c r="D22" t="s">
        <v>315</v>
      </c>
      <c r="E22" t="s">
        <v>237</v>
      </c>
      <c r="F22" t="n">
        <v>4127</v>
      </c>
      <c r="G22" t="n">
        <v>4160</v>
      </c>
      <c r="H22" t="n">
        <v>4322</v>
      </c>
      <c r="I22" t="n">
        <v>4451</v>
      </c>
      <c r="J22" t="n">
        <v>4623</v>
      </c>
      <c r="K22" t="n">
        <v>4918</v>
      </c>
      <c r="L22" t="n">
        <v>5132</v>
      </c>
      <c r="M22" t="n">
        <v>5254</v>
      </c>
      <c r="N22" t="n">
        <v>5449</v>
      </c>
      <c r="O22" t="n">
        <v>5700</v>
      </c>
      <c r="P22" t="n">
        <v>6056</v>
      </c>
      <c r="Q22" t="n">
        <v>6536</v>
      </c>
      <c r="R22" t="n">
        <v>7076</v>
      </c>
      <c r="S22" t="n">
        <v>7760</v>
      </c>
      <c r="T22" t="n">
        <v>7745</v>
      </c>
      <c r="U22" t="n">
        <v>7960</v>
      </c>
      <c r="V22" t="n">
        <v>8426</v>
      </c>
      <c r="W22" t="n">
        <v>8816</v>
      </c>
      <c r="X22" t="n">
        <v>8901</v>
      </c>
      <c r="Y22" t="n">
        <v>8979</v>
      </c>
      <c r="Z22" t="n">
        <v>8786</v>
      </c>
      <c r="AA22" t="n">
        <v>8758</v>
      </c>
      <c r="AB22" t="n">
        <v>9015</v>
      </c>
      <c r="AC22" t="n">
        <v>9450</v>
      </c>
      <c r="AD22" t="n">
        <v>9704</v>
      </c>
      <c r="AE22" t="n">
        <v>9894</v>
      </c>
      <c r="AF22" t="n">
        <v>10729</v>
      </c>
    </row>
    <row r="23">
      <c r="A23" t="s">
        <v>105</v>
      </c>
      <c r="B23" t="s">
        <v>316</v>
      </c>
      <c r="C23" t="s">
        <v>236</v>
      </c>
      <c r="D23" t="s">
        <v>317</v>
      </c>
      <c r="E23" t="s">
        <v>237</v>
      </c>
      <c r="F23" t="n">
        <v>867</v>
      </c>
      <c r="G23" t="n">
        <v>836</v>
      </c>
      <c r="H23" t="n">
        <v>826</v>
      </c>
      <c r="I23" t="n">
        <v>850</v>
      </c>
      <c r="J23" t="n">
        <v>900</v>
      </c>
      <c r="K23" t="n">
        <v>934</v>
      </c>
      <c r="L23" t="n">
        <v>989</v>
      </c>
      <c r="M23" t="n">
        <v>982</v>
      </c>
      <c r="N23" t="n">
        <v>979</v>
      </c>
      <c r="O23" t="n">
        <v>1013</v>
      </c>
      <c r="P23" t="n">
        <v>1069</v>
      </c>
      <c r="Q23" t="n">
        <v>1131</v>
      </c>
      <c r="R23" t="n">
        <v>1244</v>
      </c>
      <c r="S23" t="n">
        <v>1364</v>
      </c>
      <c r="T23" t="n">
        <v>1383</v>
      </c>
      <c r="U23" t="n">
        <v>1366</v>
      </c>
      <c r="V23" t="n">
        <v>1428</v>
      </c>
      <c r="W23" t="n">
        <v>1578</v>
      </c>
      <c r="X23" t="n">
        <v>1622</v>
      </c>
      <c r="Y23" t="n">
        <v>1689</v>
      </c>
      <c r="Z23" t="n">
        <v>1737</v>
      </c>
      <c r="AA23" t="n">
        <v>1803</v>
      </c>
      <c r="AB23" t="n">
        <v>1895</v>
      </c>
      <c r="AC23" t="n">
        <v>2023</v>
      </c>
      <c r="AD23" t="n">
        <v>2184</v>
      </c>
      <c r="AE23" t="n">
        <v>2362</v>
      </c>
      <c r="AF23" t="n">
        <v>2510</v>
      </c>
    </row>
    <row r="24">
      <c r="A24" t="s">
        <v>105</v>
      </c>
      <c r="B24" t="s">
        <v>318</v>
      </c>
      <c r="C24" t="s">
        <v>236</v>
      </c>
      <c r="D24" t="s">
        <v>319</v>
      </c>
      <c r="E24" t="s">
        <v>237</v>
      </c>
      <c r="F24" t="n">
        <v>7435</v>
      </c>
      <c r="G24" t="n">
        <v>7296</v>
      </c>
      <c r="H24" t="n">
        <v>7083</v>
      </c>
      <c r="I24" t="n">
        <v>7242</v>
      </c>
      <c r="J24" t="n">
        <v>7571</v>
      </c>
      <c r="K24" t="n">
        <v>7725</v>
      </c>
      <c r="L24" t="n">
        <v>8020</v>
      </c>
      <c r="M24" t="n">
        <v>7737</v>
      </c>
      <c r="N24" t="n">
        <v>7554</v>
      </c>
      <c r="O24" t="n">
        <v>7700</v>
      </c>
      <c r="P24" t="n">
        <v>7923</v>
      </c>
      <c r="Q24" t="n">
        <v>7887</v>
      </c>
      <c r="R24" t="n">
        <v>8298</v>
      </c>
      <c r="S24" t="n">
        <v>8611</v>
      </c>
      <c r="T24" t="n">
        <v>8311</v>
      </c>
      <c r="U24" t="n">
        <v>7595</v>
      </c>
      <c r="V24" t="n">
        <v>7558</v>
      </c>
      <c r="W24" t="n">
        <v>7958</v>
      </c>
      <c r="X24" t="n">
        <v>7988</v>
      </c>
      <c r="Y24" t="n">
        <v>7844</v>
      </c>
      <c r="Z24" t="n">
        <v>7521</v>
      </c>
      <c r="AA24" t="n">
        <v>7634</v>
      </c>
      <c r="AB24" t="n">
        <v>7836</v>
      </c>
      <c r="AC24" t="n">
        <v>8166</v>
      </c>
      <c r="AD24" t="n">
        <v>8463</v>
      </c>
      <c r="AE24" t="n">
        <v>8491</v>
      </c>
      <c r="AF24" t="n">
        <v>8632</v>
      </c>
    </row>
    <row r="25">
      <c r="A25" t="s">
        <v>105</v>
      </c>
      <c r="B25" t="s">
        <v>320</v>
      </c>
      <c r="C25" t="s">
        <v>236</v>
      </c>
      <c r="D25" t="s">
        <v>321</v>
      </c>
      <c r="E25" t="s">
        <v>237</v>
      </c>
      <c r="F25" t="n">
        <v>1073</v>
      </c>
      <c r="G25" t="n">
        <v>1030</v>
      </c>
      <c r="H25" t="n">
        <v>998</v>
      </c>
      <c r="I25" t="n">
        <v>1008</v>
      </c>
      <c r="J25" t="n">
        <v>1051</v>
      </c>
      <c r="K25" t="n">
        <v>1048</v>
      </c>
      <c r="L25" t="n">
        <v>1078</v>
      </c>
      <c r="M25" t="n">
        <v>1032</v>
      </c>
      <c r="N25" t="n">
        <v>1002</v>
      </c>
      <c r="O25" t="n">
        <v>1016</v>
      </c>
      <c r="P25" t="n">
        <v>1072</v>
      </c>
      <c r="Q25" t="n">
        <v>1125</v>
      </c>
      <c r="R25" t="n">
        <v>1176</v>
      </c>
      <c r="S25" t="n">
        <v>1233</v>
      </c>
      <c r="T25" t="n">
        <v>1190</v>
      </c>
      <c r="U25" t="n">
        <v>1098</v>
      </c>
      <c r="V25" t="n">
        <v>1060</v>
      </c>
      <c r="W25" t="n">
        <v>1103</v>
      </c>
      <c r="X25" t="n">
        <v>1095</v>
      </c>
      <c r="Y25" t="n">
        <v>1058</v>
      </c>
      <c r="Z25" t="n">
        <v>1021</v>
      </c>
      <c r="AA25" t="n">
        <v>1021</v>
      </c>
      <c r="AB25" t="n">
        <v>1008</v>
      </c>
      <c r="AC25" t="n">
        <v>1040</v>
      </c>
      <c r="AD25" t="n">
        <v>1093</v>
      </c>
      <c r="AE25" t="n">
        <v>1085</v>
      </c>
      <c r="AF25" t="n">
        <v>1105</v>
      </c>
    </row>
    <row r="26">
      <c r="A26" t="s">
        <v>105</v>
      </c>
      <c r="B26" t="s">
        <v>322</v>
      </c>
      <c r="C26" t="s">
        <v>236</v>
      </c>
      <c r="D26" t="s">
        <v>323</v>
      </c>
      <c r="E26" t="s">
        <v>237</v>
      </c>
      <c r="F26" t="n">
        <v>4012</v>
      </c>
      <c r="G26" t="n">
        <v>3972</v>
      </c>
      <c r="H26" t="n">
        <v>3840</v>
      </c>
      <c r="I26" t="n">
        <v>3890</v>
      </c>
      <c r="J26" t="n">
        <v>4038</v>
      </c>
      <c r="K26" t="n">
        <v>4085</v>
      </c>
      <c r="L26" t="n">
        <v>4228</v>
      </c>
      <c r="M26" t="n">
        <v>4032</v>
      </c>
      <c r="N26" t="n">
        <v>3827</v>
      </c>
      <c r="O26" t="n">
        <v>3790</v>
      </c>
      <c r="P26" t="n">
        <v>3859</v>
      </c>
      <c r="Q26" t="n">
        <v>3765</v>
      </c>
      <c r="R26" t="n">
        <v>3929</v>
      </c>
      <c r="S26" t="n">
        <v>4026</v>
      </c>
      <c r="T26" t="n">
        <v>3769</v>
      </c>
      <c r="U26" t="n">
        <v>3339</v>
      </c>
      <c r="V26" t="n">
        <v>3319</v>
      </c>
      <c r="W26" t="n">
        <v>3461</v>
      </c>
      <c r="X26" t="n">
        <v>3409</v>
      </c>
      <c r="Y26" t="n">
        <v>3351</v>
      </c>
      <c r="Z26" t="n">
        <v>3059</v>
      </c>
      <c r="AA26" t="n">
        <v>3093</v>
      </c>
      <c r="AB26" t="n">
        <v>3166</v>
      </c>
      <c r="AC26" t="n">
        <v>3311</v>
      </c>
      <c r="AD26" t="n">
        <v>3367</v>
      </c>
      <c r="AE26" t="n">
        <v>3289</v>
      </c>
      <c r="AF26" t="n">
        <v>3199</v>
      </c>
    </row>
    <row r="27">
      <c r="A27" t="s">
        <v>105</v>
      </c>
      <c r="B27" t="s">
        <v>324</v>
      </c>
      <c r="C27" t="s">
        <v>236</v>
      </c>
      <c r="D27" t="s">
        <v>325</v>
      </c>
      <c r="E27" t="s">
        <v>237</v>
      </c>
      <c r="F27" t="n">
        <v>2350</v>
      </c>
      <c r="G27" t="n">
        <v>2294</v>
      </c>
      <c r="H27" t="n">
        <v>2245</v>
      </c>
      <c r="I27" t="n">
        <v>2344</v>
      </c>
      <c r="J27" t="n">
        <v>2482</v>
      </c>
      <c r="K27" t="n">
        <v>2592</v>
      </c>
      <c r="L27" t="n">
        <v>2714</v>
      </c>
      <c r="M27" t="n">
        <v>2673</v>
      </c>
      <c r="N27" t="n">
        <v>2725</v>
      </c>
      <c r="O27" t="n">
        <v>2894</v>
      </c>
      <c r="P27" t="n">
        <v>2992</v>
      </c>
      <c r="Q27" t="n">
        <v>2997</v>
      </c>
      <c r="R27" t="n">
        <v>3193</v>
      </c>
      <c r="S27" t="n">
        <v>3352</v>
      </c>
      <c r="T27" t="n">
        <v>3352</v>
      </c>
      <c r="U27" t="n">
        <v>3158</v>
      </c>
      <c r="V27" t="n">
        <v>3179</v>
      </c>
      <c r="W27" t="n">
        <v>3394</v>
      </c>
      <c r="X27" t="n">
        <v>3484</v>
      </c>
      <c r="Y27" t="n">
        <v>3435</v>
      </c>
      <c r="Z27" t="n">
        <v>3441</v>
      </c>
      <c r="AA27" t="n">
        <v>3520</v>
      </c>
      <c r="AB27" t="n">
        <v>3662</v>
      </c>
      <c r="AC27" t="n">
        <v>3815</v>
      </c>
      <c r="AD27" t="n">
        <v>4003</v>
      </c>
      <c r="AE27" t="n">
        <v>4117</v>
      </c>
      <c r="AF27" t="n">
        <v>4328</v>
      </c>
    </row>
    <row r="28">
      <c r="A28" t="s">
        <v>105</v>
      </c>
      <c r="B28" t="s">
        <v>326</v>
      </c>
      <c r="C28" t="s">
        <v>236</v>
      </c>
      <c r="D28" t="s">
        <v>327</v>
      </c>
      <c r="E28" t="s">
        <v>237</v>
      </c>
      <c r="F28" t="n">
        <v>4098</v>
      </c>
      <c r="G28" t="n">
        <v>4151</v>
      </c>
      <c r="H28" t="n">
        <v>4265</v>
      </c>
      <c r="I28" t="n">
        <v>4504</v>
      </c>
      <c r="J28" t="n">
        <v>4742</v>
      </c>
      <c r="K28" t="n">
        <v>4992</v>
      </c>
      <c r="L28" t="n">
        <v>5210</v>
      </c>
      <c r="M28" t="n">
        <v>5223</v>
      </c>
      <c r="N28" t="n">
        <v>5334</v>
      </c>
      <c r="O28" t="n">
        <v>5503</v>
      </c>
      <c r="P28" t="n">
        <v>5680</v>
      </c>
      <c r="Q28" t="n">
        <v>6030</v>
      </c>
      <c r="R28" t="n">
        <v>6460</v>
      </c>
      <c r="S28" t="n">
        <v>7092</v>
      </c>
      <c r="T28" t="n">
        <v>7000</v>
      </c>
      <c r="U28" t="n">
        <v>6914</v>
      </c>
      <c r="V28" t="n">
        <v>7207</v>
      </c>
      <c r="W28" t="n">
        <v>7549</v>
      </c>
      <c r="X28" t="n">
        <v>7592</v>
      </c>
      <c r="Y28" t="n">
        <v>7565</v>
      </c>
      <c r="Z28" t="n">
        <v>7429</v>
      </c>
      <c r="AA28" t="n">
        <v>7414</v>
      </c>
      <c r="AB28" t="n">
        <v>7744</v>
      </c>
      <c r="AC28" t="n">
        <v>7417</v>
      </c>
      <c r="AD28" t="n">
        <v>8702</v>
      </c>
      <c r="AE28" t="n">
        <v>8821</v>
      </c>
      <c r="AF28" t="n">
        <v>9404</v>
      </c>
    </row>
    <row r="29">
      <c r="A29" t="s">
        <v>105</v>
      </c>
      <c r="B29" t="s">
        <v>328</v>
      </c>
      <c r="C29" t="s">
        <v>236</v>
      </c>
      <c r="D29" t="s">
        <v>329</v>
      </c>
      <c r="E29" t="s">
        <v>237</v>
      </c>
      <c r="F29" t="n">
        <v>1071</v>
      </c>
      <c r="G29" t="n">
        <v>1108</v>
      </c>
      <c r="H29" t="n">
        <v>1142</v>
      </c>
      <c r="I29" t="n">
        <v>1171</v>
      </c>
      <c r="J29" t="n">
        <v>1232</v>
      </c>
      <c r="K29" t="n">
        <v>1290</v>
      </c>
      <c r="L29" t="n">
        <v>1352</v>
      </c>
      <c r="M29" t="n">
        <v>1344</v>
      </c>
      <c r="N29" t="n">
        <v>1345</v>
      </c>
      <c r="O29" t="n">
        <v>1365</v>
      </c>
      <c r="P29" t="n">
        <v>1430</v>
      </c>
      <c r="Q29" t="n">
        <v>1524</v>
      </c>
      <c r="R29" t="n">
        <v>1609</v>
      </c>
      <c r="S29" t="n">
        <v>1754</v>
      </c>
      <c r="T29" t="n">
        <v>1754</v>
      </c>
      <c r="U29" t="n">
        <v>1717</v>
      </c>
      <c r="V29" t="n">
        <v>1822</v>
      </c>
      <c r="W29" t="n">
        <v>1881</v>
      </c>
      <c r="X29" t="n">
        <v>1909</v>
      </c>
      <c r="Y29" t="n">
        <v>1881</v>
      </c>
      <c r="Z29" t="n">
        <v>1871</v>
      </c>
      <c r="AA29" t="n">
        <v>1853</v>
      </c>
      <c r="AB29" t="n">
        <v>1845</v>
      </c>
      <c r="AC29" t="n">
        <v>1165</v>
      </c>
      <c r="AD29" t="n">
        <v>2070</v>
      </c>
      <c r="AE29" t="n">
        <v>2123</v>
      </c>
      <c r="AF29" t="n">
        <v>2266</v>
      </c>
    </row>
    <row r="30">
      <c r="A30" t="s">
        <v>105</v>
      </c>
      <c r="B30" t="s">
        <v>330</v>
      </c>
      <c r="C30" t="s">
        <v>236</v>
      </c>
      <c r="D30" t="s">
        <v>331</v>
      </c>
      <c r="E30" t="s">
        <v>237</v>
      </c>
      <c r="F30" t="n">
        <v>148</v>
      </c>
      <c r="G30" t="n">
        <v>135</v>
      </c>
      <c r="H30" t="n">
        <v>122</v>
      </c>
      <c r="I30" t="n">
        <v>123</v>
      </c>
      <c r="J30" t="n">
        <v>122</v>
      </c>
      <c r="K30" t="n">
        <v>122</v>
      </c>
      <c r="L30" t="n">
        <v>123</v>
      </c>
      <c r="M30" t="n">
        <v>121</v>
      </c>
      <c r="N30" t="n">
        <v>110</v>
      </c>
      <c r="O30" t="n">
        <v>108</v>
      </c>
      <c r="P30" t="n">
        <v>106</v>
      </c>
      <c r="Q30" t="n">
        <v>109</v>
      </c>
      <c r="R30" t="n">
        <v>112</v>
      </c>
      <c r="S30" t="n">
        <v>113</v>
      </c>
      <c r="T30" t="n">
        <v>107</v>
      </c>
      <c r="U30" t="n">
        <v>108</v>
      </c>
      <c r="V30" t="n">
        <v>110</v>
      </c>
      <c r="W30" t="n">
        <v>110</v>
      </c>
      <c r="X30" t="n">
        <v>107</v>
      </c>
      <c r="Y30" t="n">
        <v>103</v>
      </c>
      <c r="Z30" t="n">
        <v>96</v>
      </c>
      <c r="AA30" t="n">
        <v>91</v>
      </c>
      <c r="AB30" t="n">
        <v>88</v>
      </c>
      <c r="AC30" t="n">
        <v>100</v>
      </c>
      <c r="AD30" t="n">
        <v>99</v>
      </c>
      <c r="AE30" t="n">
        <v>96</v>
      </c>
      <c r="AF30" t="n">
        <v>75</v>
      </c>
    </row>
    <row r="31">
      <c r="A31" t="s">
        <v>105</v>
      </c>
      <c r="B31" t="s">
        <v>332</v>
      </c>
      <c r="C31" t="s">
        <v>236</v>
      </c>
      <c r="D31" t="s">
        <v>333</v>
      </c>
      <c r="E31" t="s">
        <v>237</v>
      </c>
      <c r="F31" t="n">
        <v>96</v>
      </c>
      <c r="G31" t="n">
        <v>97</v>
      </c>
      <c r="H31" t="n">
        <v>97</v>
      </c>
      <c r="I31" t="n">
        <v>106</v>
      </c>
      <c r="J31" t="n">
        <v>122</v>
      </c>
      <c r="K31" t="n">
        <v>119</v>
      </c>
      <c r="L31" t="n">
        <v>112</v>
      </c>
      <c r="M31" t="n">
        <v>99</v>
      </c>
      <c r="N31" t="n">
        <v>87</v>
      </c>
      <c r="O31" t="n">
        <v>78</v>
      </c>
      <c r="P31" t="n">
        <v>70</v>
      </c>
      <c r="Q31" t="n">
        <v>64</v>
      </c>
      <c r="R31" t="n">
        <v>54</v>
      </c>
      <c r="S31" t="n">
        <v>63</v>
      </c>
      <c r="T31" t="n">
        <v>11</v>
      </c>
      <c r="U31" t="n">
        <v>8</v>
      </c>
      <c r="V31" t="n">
        <v>6</v>
      </c>
      <c r="W31" t="n">
        <v>3</v>
      </c>
      <c r="X31" t="n">
        <v>2</v>
      </c>
      <c r="Y31" t="n">
        <v>2</v>
      </c>
      <c r="Z31" t="n">
        <v>2</v>
      </c>
      <c r="AA31" t="n">
        <v>3</v>
      </c>
      <c r="AB31" t="n">
        <v>7</v>
      </c>
      <c r="AC31" t="n">
        <v>16</v>
      </c>
      <c r="AD31" t="n">
        <v>23</v>
      </c>
      <c r="AE31" t="n">
        <v>23</v>
      </c>
      <c r="AF31" t="n">
        <v>24</v>
      </c>
    </row>
    <row r="32">
      <c r="A32" t="s">
        <v>105</v>
      </c>
      <c r="B32" t="s">
        <v>334</v>
      </c>
      <c r="C32" t="s">
        <v>236</v>
      </c>
      <c r="D32" t="s">
        <v>335</v>
      </c>
      <c r="E32" t="s">
        <v>237</v>
      </c>
      <c r="F32" t="n">
        <v>2509</v>
      </c>
      <c r="G32" t="n">
        <v>2536</v>
      </c>
      <c r="H32" t="n">
        <v>2621</v>
      </c>
      <c r="I32" t="n">
        <v>2787</v>
      </c>
      <c r="J32" t="n">
        <v>2931</v>
      </c>
      <c r="K32" t="n">
        <v>3111</v>
      </c>
      <c r="L32" t="n">
        <v>3256</v>
      </c>
      <c r="M32" t="n">
        <v>3306</v>
      </c>
      <c r="N32" t="n">
        <v>3449</v>
      </c>
      <c r="O32" t="n">
        <v>3610</v>
      </c>
      <c r="P32" t="n">
        <v>3727</v>
      </c>
      <c r="Q32" t="n">
        <v>3988</v>
      </c>
      <c r="R32" t="n">
        <v>4340</v>
      </c>
      <c r="S32" t="n">
        <v>4777</v>
      </c>
      <c r="T32" t="n">
        <v>4731</v>
      </c>
      <c r="U32" t="n">
        <v>4723</v>
      </c>
      <c r="V32" t="n">
        <v>4917</v>
      </c>
      <c r="W32" t="n">
        <v>5163</v>
      </c>
      <c r="X32" t="n">
        <v>5195</v>
      </c>
      <c r="Y32" t="n">
        <v>5204</v>
      </c>
      <c r="Z32" t="n">
        <v>5174</v>
      </c>
      <c r="AA32" t="n">
        <v>5228</v>
      </c>
      <c r="AB32" t="n">
        <v>5577</v>
      </c>
      <c r="AC32" t="n">
        <v>5919</v>
      </c>
      <c r="AD32" t="n">
        <v>6300</v>
      </c>
      <c r="AE32" t="n">
        <v>6382</v>
      </c>
      <c r="AF32" t="n">
        <v>6855</v>
      </c>
    </row>
    <row r="33">
      <c r="A33" t="s">
        <v>105</v>
      </c>
      <c r="B33" t="s">
        <v>336</v>
      </c>
      <c r="C33" t="s">
        <v>236</v>
      </c>
      <c r="D33" t="s">
        <v>337</v>
      </c>
      <c r="E33" t="s">
        <v>237</v>
      </c>
      <c r="F33" t="n">
        <v>274</v>
      </c>
      <c r="G33" t="n">
        <v>275</v>
      </c>
      <c r="H33" t="n">
        <v>283</v>
      </c>
      <c r="I33" t="n">
        <v>317</v>
      </c>
      <c r="J33" t="n">
        <v>335</v>
      </c>
      <c r="K33" t="n">
        <v>350</v>
      </c>
      <c r="L33" t="n">
        <v>367</v>
      </c>
      <c r="M33" t="n">
        <v>353</v>
      </c>
      <c r="N33" t="n">
        <v>343</v>
      </c>
      <c r="O33" t="n">
        <v>342</v>
      </c>
      <c r="P33" t="n">
        <v>347</v>
      </c>
      <c r="Q33" t="n">
        <v>345</v>
      </c>
      <c r="R33" t="n">
        <v>345</v>
      </c>
      <c r="S33" t="n">
        <v>385</v>
      </c>
      <c r="T33" t="n">
        <v>397</v>
      </c>
      <c r="U33" t="n">
        <v>358</v>
      </c>
      <c r="V33" t="n">
        <v>352</v>
      </c>
      <c r="W33" t="n">
        <v>392</v>
      </c>
      <c r="X33" t="n">
        <v>379</v>
      </c>
      <c r="Y33" t="n">
        <v>375</v>
      </c>
      <c r="Z33" t="n">
        <v>286</v>
      </c>
      <c r="AA33" t="n">
        <v>239</v>
      </c>
      <c r="AB33" t="n">
        <v>227</v>
      </c>
      <c r="AC33" t="n">
        <v>217</v>
      </c>
      <c r="AD33" t="n">
        <v>210</v>
      </c>
      <c r="AE33" t="n">
        <v>197</v>
      </c>
      <c r="AF33" t="n">
        <v>184</v>
      </c>
    </row>
    <row r="34">
      <c r="A34" t="s">
        <v>105</v>
      </c>
      <c r="B34" t="s">
        <v>338</v>
      </c>
      <c r="C34" t="s">
        <v>236</v>
      </c>
      <c r="D34" t="s">
        <v>339</v>
      </c>
      <c r="E34" t="s">
        <v>237</v>
      </c>
      <c r="F34" t="n">
        <v>1102</v>
      </c>
      <c r="G34" t="n">
        <v>1086</v>
      </c>
      <c r="H34" t="n">
        <v>1073</v>
      </c>
      <c r="I34" t="n">
        <v>1095</v>
      </c>
      <c r="J34" t="n">
        <v>1144</v>
      </c>
      <c r="K34" t="n">
        <v>1162</v>
      </c>
      <c r="L34" t="n">
        <v>1201</v>
      </c>
      <c r="M34" t="n">
        <v>1186</v>
      </c>
      <c r="N34" t="n">
        <v>1145</v>
      </c>
      <c r="O34" t="n">
        <v>1157</v>
      </c>
      <c r="P34" t="n">
        <v>1196</v>
      </c>
      <c r="Q34" t="n">
        <v>1253</v>
      </c>
      <c r="R34" t="n">
        <v>1339</v>
      </c>
      <c r="S34" t="n">
        <v>1416</v>
      </c>
      <c r="T34" t="n">
        <v>1401</v>
      </c>
      <c r="U34" t="n">
        <v>1331</v>
      </c>
      <c r="V34" t="n">
        <v>1341</v>
      </c>
      <c r="W34" t="n">
        <v>1416</v>
      </c>
      <c r="X34" t="n">
        <v>1406</v>
      </c>
      <c r="Y34" t="n">
        <v>1389</v>
      </c>
      <c r="Z34" t="n">
        <v>1376</v>
      </c>
      <c r="AA34" t="n">
        <v>1408</v>
      </c>
      <c r="AB34" t="n">
        <v>1465</v>
      </c>
      <c r="AC34" t="n">
        <v>1539</v>
      </c>
      <c r="AD34" t="n">
        <v>1616</v>
      </c>
      <c r="AE34" t="n">
        <v>1680</v>
      </c>
      <c r="AF34" t="n">
        <v>1711</v>
      </c>
    </row>
    <row r="35">
      <c r="A35" t="s">
        <v>105</v>
      </c>
      <c r="B35" t="s">
        <v>340</v>
      </c>
      <c r="C35" t="s">
        <v>236</v>
      </c>
      <c r="D35" t="s">
        <v>341</v>
      </c>
      <c r="E35" t="s">
        <v>237</v>
      </c>
      <c r="F35" t="n">
        <v>3004</v>
      </c>
      <c r="G35" t="n">
        <v>3139</v>
      </c>
      <c r="H35" t="n">
        <v>3346</v>
      </c>
      <c r="I35" t="n">
        <v>3510</v>
      </c>
      <c r="J35" t="n">
        <v>3835</v>
      </c>
      <c r="K35" t="n">
        <v>4234</v>
      </c>
      <c r="L35" t="n">
        <v>4612</v>
      </c>
      <c r="M35" t="n">
        <v>4721</v>
      </c>
      <c r="N35" t="n">
        <v>4776</v>
      </c>
      <c r="O35" t="n">
        <v>4670</v>
      </c>
      <c r="P35" t="n">
        <v>4587</v>
      </c>
      <c r="Q35" t="n">
        <v>4600</v>
      </c>
      <c r="R35" t="n">
        <v>4618</v>
      </c>
      <c r="S35" t="n">
        <v>4663</v>
      </c>
      <c r="T35" t="n">
        <v>4300</v>
      </c>
      <c r="U35" t="n">
        <v>4051</v>
      </c>
      <c r="V35" t="n">
        <v>3986</v>
      </c>
      <c r="W35" t="n">
        <v>3882</v>
      </c>
      <c r="X35" t="n">
        <v>3693</v>
      </c>
      <c r="Y35" t="n">
        <v>3709</v>
      </c>
      <c r="Z35" t="n">
        <v>3635</v>
      </c>
      <c r="AA35" t="n">
        <v>3451</v>
      </c>
      <c r="AB35" t="n">
        <v>3433</v>
      </c>
      <c r="AC35" t="n">
        <v>3501</v>
      </c>
      <c r="AD35" t="n">
        <v>3581</v>
      </c>
      <c r="AE35" t="n">
        <v>3860</v>
      </c>
      <c r="AF35" t="n">
        <v>4060</v>
      </c>
    </row>
    <row r="36">
      <c r="A36" t="s">
        <v>105</v>
      </c>
      <c r="B36" t="s">
        <v>342</v>
      </c>
      <c r="C36" t="s">
        <v>236</v>
      </c>
      <c r="D36" t="s">
        <v>343</v>
      </c>
      <c r="E36" t="s">
        <v>237</v>
      </c>
      <c r="F36" t="n">
        <v>310</v>
      </c>
      <c r="G36" t="n">
        <v>305</v>
      </c>
      <c r="H36" t="n">
        <v>323</v>
      </c>
      <c r="I36" t="n">
        <v>356</v>
      </c>
      <c r="J36" t="n">
        <v>382</v>
      </c>
      <c r="K36" t="n">
        <v>393</v>
      </c>
      <c r="L36" t="n">
        <v>407</v>
      </c>
      <c r="M36" t="n">
        <v>399</v>
      </c>
      <c r="N36" t="n">
        <v>395</v>
      </c>
      <c r="O36" t="n">
        <v>404</v>
      </c>
      <c r="P36" t="n">
        <v>420</v>
      </c>
      <c r="Q36" t="n">
        <v>428</v>
      </c>
      <c r="R36" t="n">
        <v>451</v>
      </c>
      <c r="S36" t="n">
        <v>452</v>
      </c>
      <c r="T36" t="n">
        <v>438</v>
      </c>
      <c r="U36" t="n">
        <v>405</v>
      </c>
      <c r="V36" t="n">
        <v>412</v>
      </c>
      <c r="W36" t="n">
        <v>412</v>
      </c>
      <c r="X36" t="n">
        <v>426</v>
      </c>
      <c r="Y36" t="n">
        <v>302</v>
      </c>
      <c r="Z36" t="n">
        <v>293</v>
      </c>
      <c r="AA36" t="n">
        <v>277</v>
      </c>
      <c r="AB36" t="n">
        <v>292</v>
      </c>
      <c r="AC36" t="n">
        <v>308</v>
      </c>
      <c r="AD36" t="n">
        <v>324</v>
      </c>
      <c r="AE36" t="n">
        <v>311</v>
      </c>
      <c r="AF36" t="n">
        <v>309</v>
      </c>
    </row>
    <row r="37">
      <c r="A37" t="s">
        <v>105</v>
      </c>
      <c r="B37" t="s">
        <v>344</v>
      </c>
      <c r="C37" t="s">
        <v>236</v>
      </c>
      <c r="D37" t="s">
        <v>345</v>
      </c>
      <c r="E37" t="s">
        <v>237</v>
      </c>
      <c r="F37" t="n">
        <v>2634</v>
      </c>
      <c r="G37" t="n">
        <v>2773</v>
      </c>
      <c r="H37" t="n">
        <v>2964</v>
      </c>
      <c r="I37" t="n">
        <v>3091</v>
      </c>
      <c r="J37" t="n">
        <v>3389</v>
      </c>
      <c r="K37" t="n">
        <v>3772</v>
      </c>
      <c r="L37" t="n">
        <v>4132</v>
      </c>
      <c r="M37" t="n">
        <v>4254</v>
      </c>
      <c r="N37" t="n">
        <v>4317</v>
      </c>
      <c r="O37" t="n">
        <v>4255</v>
      </c>
      <c r="P37" t="n">
        <v>4158</v>
      </c>
      <c r="Q37" t="n">
        <v>4162</v>
      </c>
      <c r="R37" t="n">
        <v>4157</v>
      </c>
      <c r="S37" t="n">
        <v>4202</v>
      </c>
      <c r="T37" t="n">
        <v>3854</v>
      </c>
      <c r="U37" t="n">
        <v>3639</v>
      </c>
      <c r="V37" t="n">
        <v>3544</v>
      </c>
      <c r="W37" t="n">
        <v>3424</v>
      </c>
      <c r="X37" t="n">
        <v>3212</v>
      </c>
      <c r="Y37" t="n">
        <v>2956</v>
      </c>
      <c r="Z37" t="n">
        <v>2716</v>
      </c>
      <c r="AA37" t="n">
        <v>2536</v>
      </c>
      <c r="AB37" t="n">
        <v>2488</v>
      </c>
      <c r="AC37" t="n">
        <v>2433</v>
      </c>
      <c r="AD37" t="n">
        <v>2302</v>
      </c>
      <c r="AE37" t="n">
        <v>2200</v>
      </c>
      <c r="AF37" t="n">
        <v>2283</v>
      </c>
    </row>
    <row r="38">
      <c r="A38" t="s">
        <v>105</v>
      </c>
      <c r="B38" t="s">
        <v>346</v>
      </c>
      <c r="C38" t="s">
        <v>236</v>
      </c>
      <c r="D38" t="s">
        <v>347</v>
      </c>
      <c r="E38" t="s">
        <v>237</v>
      </c>
      <c r="F38" t="n">
        <v>60</v>
      </c>
      <c r="G38" t="n">
        <v>61</v>
      </c>
      <c r="H38" t="n">
        <v>59</v>
      </c>
      <c r="I38" t="n">
        <v>63</v>
      </c>
      <c r="J38" t="n">
        <v>64</v>
      </c>
      <c r="K38" t="n">
        <v>69</v>
      </c>
      <c r="L38" t="n">
        <v>73</v>
      </c>
      <c r="M38" t="n">
        <v>68</v>
      </c>
      <c r="N38" t="n">
        <v>64</v>
      </c>
      <c r="O38" t="n">
        <v>11</v>
      </c>
      <c r="P38" t="n">
        <v>9</v>
      </c>
      <c r="Q38" t="n">
        <v>10</v>
      </c>
      <c r="R38" t="n">
        <v>10</v>
      </c>
      <c r="S38" t="n">
        <v>9</v>
      </c>
      <c r="T38" t="n">
        <v>8</v>
      </c>
      <c r="U38" t="n">
        <v>7</v>
      </c>
      <c r="V38" t="n">
        <v>30</v>
      </c>
      <c r="W38" t="n">
        <v>46</v>
      </c>
      <c r="X38" t="n">
        <v>55</v>
      </c>
      <c r="Y38" t="n">
        <v>451</v>
      </c>
      <c r="Z38" t="n">
        <v>626</v>
      </c>
      <c r="AA38" t="n">
        <v>638</v>
      </c>
      <c r="AB38" t="n">
        <v>653</v>
      </c>
      <c r="AC38" t="n">
        <v>760</v>
      </c>
      <c r="AD38" t="n">
        <v>955</v>
      </c>
      <c r="AE38" t="n">
        <v>1349</v>
      </c>
      <c r="AF38" t="n">
        <v>1468</v>
      </c>
    </row>
    <row r="39">
      <c r="A39" t="s">
        <v>105</v>
      </c>
      <c r="B39" t="s">
        <v>348</v>
      </c>
      <c r="C39" t="s">
        <v>236</v>
      </c>
      <c r="D39" t="s">
        <v>349</v>
      </c>
      <c r="E39" t="s">
        <v>237</v>
      </c>
      <c r="F39" t="n">
        <v>1429</v>
      </c>
      <c r="G39" t="n">
        <v>1332</v>
      </c>
      <c r="H39" t="n">
        <v>1222</v>
      </c>
      <c r="I39" t="n">
        <v>1197</v>
      </c>
      <c r="J39" t="n">
        <v>1176</v>
      </c>
      <c r="K39" t="n">
        <v>1147</v>
      </c>
      <c r="L39" t="n">
        <v>1095</v>
      </c>
      <c r="M39" t="n">
        <v>974</v>
      </c>
      <c r="N39" t="n">
        <v>838</v>
      </c>
      <c r="O39" t="n">
        <v>688</v>
      </c>
      <c r="P39" t="n">
        <v>635</v>
      </c>
      <c r="Q39" t="n">
        <v>571</v>
      </c>
      <c r="R39" t="n">
        <v>616</v>
      </c>
      <c r="S39" t="n">
        <v>634</v>
      </c>
      <c r="T39" t="n">
        <v>673</v>
      </c>
      <c r="U39" t="n">
        <v>594</v>
      </c>
      <c r="V39" t="n">
        <v>584</v>
      </c>
      <c r="W39" t="n">
        <v>597</v>
      </c>
      <c r="X39" t="n">
        <v>588</v>
      </c>
      <c r="Y39" t="n">
        <v>565</v>
      </c>
      <c r="Z39" t="n">
        <v>541</v>
      </c>
      <c r="AA39" t="n">
        <v>526</v>
      </c>
      <c r="AB39" t="n">
        <v>511</v>
      </c>
      <c r="AC39" t="n">
        <v>506</v>
      </c>
      <c r="AD39" t="n">
        <v>500</v>
      </c>
      <c r="AE39" t="n">
        <v>474</v>
      </c>
      <c r="AF39" t="n">
        <v>445</v>
      </c>
    </row>
    <row r="40">
      <c r="A40" t="s">
        <v>105</v>
      </c>
      <c r="B40" t="s">
        <v>350</v>
      </c>
      <c r="C40" t="s">
        <v>236</v>
      </c>
      <c r="D40" t="s">
        <v>351</v>
      </c>
      <c r="E40" t="s">
        <v>237</v>
      </c>
      <c r="F40" t="n">
        <v>19278</v>
      </c>
      <c r="G40" t="n">
        <v>19291</v>
      </c>
      <c r="H40" t="n">
        <v>18949</v>
      </c>
      <c r="I40" t="n">
        <v>20234</v>
      </c>
      <c r="J40" t="n">
        <v>24159</v>
      </c>
      <c r="K40" t="n">
        <v>26754</v>
      </c>
      <c r="L40" t="n">
        <v>31193</v>
      </c>
      <c r="M40" t="n">
        <v>32581</v>
      </c>
      <c r="N40" t="n">
        <v>35323</v>
      </c>
      <c r="O40" t="n">
        <v>37764</v>
      </c>
      <c r="P40" t="n">
        <v>41911</v>
      </c>
      <c r="Q40" t="n">
        <v>45838</v>
      </c>
      <c r="R40" t="n">
        <v>52595</v>
      </c>
      <c r="S40" t="n">
        <v>59879</v>
      </c>
      <c r="T40" t="n">
        <v>61280</v>
      </c>
      <c r="U40" t="n">
        <v>59016</v>
      </c>
      <c r="V40" t="n">
        <v>62375</v>
      </c>
      <c r="W40" t="n">
        <v>68419</v>
      </c>
      <c r="X40" t="n">
        <v>71452</v>
      </c>
      <c r="Y40" t="n">
        <v>72800</v>
      </c>
      <c r="Z40" t="n">
        <v>74110</v>
      </c>
      <c r="AA40" t="n">
        <v>77379</v>
      </c>
      <c r="AB40" t="n">
        <v>80606</v>
      </c>
      <c r="AC40" t="n">
        <v>85876</v>
      </c>
      <c r="AD40" t="n">
        <v>92665</v>
      </c>
      <c r="AE40" t="n">
        <v>96338</v>
      </c>
      <c r="AF40" t="n">
        <v>98916</v>
      </c>
    </row>
    <row r="41">
      <c r="A41" t="s">
        <v>105</v>
      </c>
      <c r="B41" t="s">
        <v>352</v>
      </c>
      <c r="C41" t="s">
        <v>236</v>
      </c>
      <c r="D41" t="s">
        <v>353</v>
      </c>
      <c r="E41" t="s">
        <v>237</v>
      </c>
      <c r="F41" t="n">
        <v>1358</v>
      </c>
      <c r="G41" t="n">
        <v>1313</v>
      </c>
      <c r="H41" t="n">
        <v>1283</v>
      </c>
      <c r="I41" t="n">
        <v>1319</v>
      </c>
      <c r="J41" t="n">
        <v>1383</v>
      </c>
      <c r="K41" t="n">
        <v>1463</v>
      </c>
      <c r="L41" t="n">
        <v>1577</v>
      </c>
      <c r="M41" t="n">
        <v>1607</v>
      </c>
      <c r="N41" t="n">
        <v>1681</v>
      </c>
      <c r="O41" t="n">
        <v>1792</v>
      </c>
      <c r="P41" t="n">
        <v>2019</v>
      </c>
      <c r="Q41" t="n">
        <v>2259</v>
      </c>
      <c r="R41" t="n">
        <v>2506</v>
      </c>
      <c r="S41" t="n">
        <v>2735</v>
      </c>
      <c r="T41" t="n">
        <v>2753</v>
      </c>
      <c r="U41" t="n">
        <v>2786</v>
      </c>
      <c r="V41" t="n">
        <v>2986</v>
      </c>
      <c r="W41" t="n">
        <v>3241</v>
      </c>
      <c r="X41" t="n">
        <v>3471</v>
      </c>
      <c r="Y41" t="n">
        <v>3684</v>
      </c>
      <c r="Z41" t="n">
        <v>3909</v>
      </c>
      <c r="AA41" t="n">
        <v>4194</v>
      </c>
      <c r="AB41" t="n">
        <v>4531</v>
      </c>
      <c r="AC41" t="n">
        <v>4897</v>
      </c>
      <c r="AD41" t="n">
        <v>5251</v>
      </c>
      <c r="AE41" t="n">
        <v>5396</v>
      </c>
      <c r="AF41" t="n">
        <v>5802</v>
      </c>
    </row>
    <row r="42">
      <c r="A42" t="s">
        <v>105</v>
      </c>
      <c r="B42" t="s">
        <v>354</v>
      </c>
      <c r="C42" t="s">
        <v>236</v>
      </c>
      <c r="D42" t="s">
        <v>355</v>
      </c>
      <c r="E42" t="s">
        <v>237</v>
      </c>
      <c r="F42" t="n">
        <v>661</v>
      </c>
      <c r="G42" t="n">
        <v>646</v>
      </c>
      <c r="H42" t="n">
        <v>648</v>
      </c>
      <c r="I42" t="n">
        <v>680</v>
      </c>
      <c r="J42" t="n">
        <v>722</v>
      </c>
      <c r="K42" t="n">
        <v>762</v>
      </c>
      <c r="L42" t="n">
        <v>805</v>
      </c>
      <c r="M42" t="n">
        <v>800</v>
      </c>
      <c r="N42" t="n">
        <v>793</v>
      </c>
      <c r="O42" t="n">
        <v>807</v>
      </c>
      <c r="P42" t="n">
        <v>856</v>
      </c>
      <c r="Q42" t="n">
        <v>896</v>
      </c>
      <c r="R42" t="n">
        <v>1001</v>
      </c>
      <c r="S42" t="n">
        <v>1073</v>
      </c>
      <c r="T42" t="n">
        <v>1067</v>
      </c>
      <c r="U42" t="n">
        <v>1073</v>
      </c>
      <c r="V42" t="n">
        <v>1166</v>
      </c>
      <c r="W42" t="n">
        <v>1232</v>
      </c>
      <c r="X42" t="n">
        <v>1199</v>
      </c>
      <c r="Y42" t="n">
        <v>1203</v>
      </c>
      <c r="Z42" t="n">
        <v>1230</v>
      </c>
      <c r="AA42" t="n">
        <v>1243</v>
      </c>
      <c r="AB42" t="n">
        <v>1294</v>
      </c>
      <c r="AC42" t="n">
        <v>1379</v>
      </c>
      <c r="AD42" t="n">
        <v>1514</v>
      </c>
      <c r="AE42" t="n">
        <v>1573</v>
      </c>
      <c r="AF42" t="n">
        <v>1700</v>
      </c>
    </row>
    <row r="43">
      <c r="A43" t="s">
        <v>105</v>
      </c>
      <c r="B43" t="s">
        <v>356</v>
      </c>
      <c r="C43" t="s">
        <v>236</v>
      </c>
      <c r="D43" t="s">
        <v>357</v>
      </c>
      <c r="E43" t="s">
        <v>237</v>
      </c>
      <c r="F43" t="n">
        <v>882</v>
      </c>
      <c r="G43" t="n">
        <v>917</v>
      </c>
      <c r="H43" t="n">
        <v>929</v>
      </c>
      <c r="I43" t="n">
        <v>1007</v>
      </c>
      <c r="J43" t="n">
        <v>1096</v>
      </c>
      <c r="K43" t="n">
        <v>1201</v>
      </c>
      <c r="L43" t="n">
        <v>1335</v>
      </c>
      <c r="M43" t="n">
        <v>1384</v>
      </c>
      <c r="N43" t="n">
        <v>1431</v>
      </c>
      <c r="O43" t="n">
        <v>1510</v>
      </c>
      <c r="P43" t="n">
        <v>1615</v>
      </c>
      <c r="Q43" t="n">
        <v>1703</v>
      </c>
      <c r="R43" t="n">
        <v>1889</v>
      </c>
      <c r="S43" t="n">
        <v>2059</v>
      </c>
      <c r="T43" t="n">
        <v>2080</v>
      </c>
      <c r="U43" t="n">
        <v>2115</v>
      </c>
      <c r="V43" t="n">
        <v>2271</v>
      </c>
      <c r="W43" t="n">
        <v>2402</v>
      </c>
      <c r="X43" t="n">
        <v>2410</v>
      </c>
      <c r="Y43" t="n">
        <v>2406</v>
      </c>
      <c r="Z43" t="n">
        <v>2316</v>
      </c>
      <c r="AA43" t="n">
        <v>2369</v>
      </c>
      <c r="AB43" t="n">
        <v>2458</v>
      </c>
      <c r="AC43" t="n">
        <v>2654</v>
      </c>
      <c r="AD43" t="n">
        <v>2889</v>
      </c>
      <c r="AE43" t="n">
        <v>3014</v>
      </c>
      <c r="AF43" t="n">
        <v>3626</v>
      </c>
    </row>
    <row r="44">
      <c r="A44" t="s">
        <v>105</v>
      </c>
      <c r="B44" t="s">
        <v>358</v>
      </c>
      <c r="C44" t="s">
        <v>236</v>
      </c>
      <c r="D44" t="s">
        <v>359</v>
      </c>
      <c r="E44" t="s">
        <v>237</v>
      </c>
      <c r="F44" t="n">
        <v>60573</v>
      </c>
      <c r="G44" t="n">
        <v>60323</v>
      </c>
      <c r="H44" t="n">
        <v>61151</v>
      </c>
      <c r="I44" t="n">
        <v>62989</v>
      </c>
      <c r="J44" t="n">
        <v>65744</v>
      </c>
      <c r="K44" t="n">
        <v>68682</v>
      </c>
      <c r="L44" t="n">
        <v>72100</v>
      </c>
      <c r="M44" t="n">
        <v>72185</v>
      </c>
      <c r="N44" t="n">
        <v>72555</v>
      </c>
      <c r="O44" t="n">
        <v>74287</v>
      </c>
      <c r="P44" t="n">
        <v>77134</v>
      </c>
      <c r="Q44" t="n">
        <v>80446</v>
      </c>
      <c r="R44" t="n">
        <v>86323</v>
      </c>
      <c r="S44" t="n">
        <v>91753</v>
      </c>
      <c r="T44" t="n">
        <v>90796</v>
      </c>
      <c r="U44" t="n">
        <v>88002</v>
      </c>
      <c r="V44" t="n">
        <v>90728</v>
      </c>
      <c r="W44" t="n">
        <v>94992</v>
      </c>
      <c r="X44" t="n">
        <v>95894</v>
      </c>
      <c r="Y44" t="n">
        <v>96158</v>
      </c>
      <c r="Z44" t="n">
        <v>95078</v>
      </c>
      <c r="AA44" t="n">
        <v>96027</v>
      </c>
      <c r="AB44" t="n">
        <v>99365</v>
      </c>
      <c r="AC44" t="n">
        <v>103386</v>
      </c>
      <c r="AD44" t="n">
        <v>108464</v>
      </c>
      <c r="AE44" t="n">
        <v>109865</v>
      </c>
      <c r="AF44" t="n">
        <v>115560</v>
      </c>
    </row>
    <row r="45">
      <c r="A45" t="s">
        <v>105</v>
      </c>
      <c r="B45" t="s">
        <v>360</v>
      </c>
      <c r="C45" t="s">
        <v>236</v>
      </c>
      <c r="D45" t="s">
        <v>361</v>
      </c>
      <c r="E45" t="s">
        <v>237</v>
      </c>
      <c r="F45" t="n">
        <v>50923</v>
      </c>
      <c r="G45" t="n">
        <v>50847</v>
      </c>
      <c r="H45" t="n">
        <v>51306</v>
      </c>
      <c r="I45" t="n">
        <v>52971</v>
      </c>
      <c r="J45" t="n">
        <v>55513</v>
      </c>
      <c r="K45" t="n">
        <v>57957</v>
      </c>
      <c r="L45" t="n">
        <v>61045</v>
      </c>
      <c r="M45" t="n">
        <v>60867</v>
      </c>
      <c r="N45" t="n">
        <v>61012</v>
      </c>
      <c r="O45" t="n">
        <v>62493</v>
      </c>
      <c r="P45" t="n">
        <v>64916</v>
      </c>
      <c r="Q45" t="n">
        <v>67601</v>
      </c>
      <c r="R45" t="n">
        <v>72204</v>
      </c>
      <c r="S45" t="n">
        <v>77252</v>
      </c>
      <c r="T45" t="n">
        <v>75901</v>
      </c>
      <c r="U45" t="n">
        <v>73474</v>
      </c>
      <c r="V45" t="n">
        <v>75903</v>
      </c>
      <c r="W45" t="n">
        <v>79549</v>
      </c>
      <c r="X45" t="n">
        <v>80145</v>
      </c>
      <c r="Y45" t="n">
        <v>80530</v>
      </c>
      <c r="Z45" t="n">
        <v>79721</v>
      </c>
      <c r="AA45" t="n">
        <v>80579</v>
      </c>
      <c r="AB45" t="n">
        <v>83736</v>
      </c>
      <c r="AC45" t="n">
        <v>86910</v>
      </c>
      <c r="AD45" t="n">
        <v>91507</v>
      </c>
      <c r="AE45" t="n">
        <v>92737</v>
      </c>
      <c r="AF45" t="n">
        <v>98213</v>
      </c>
    </row>
    <row r="46">
      <c r="A46" t="s">
        <v>105</v>
      </c>
      <c r="B46" t="s">
        <v>362</v>
      </c>
      <c r="C46" t="s">
        <v>236</v>
      </c>
      <c r="D46" t="s">
        <v>363</v>
      </c>
      <c r="E46" t="s">
        <v>237</v>
      </c>
      <c r="F46" t="n">
        <v>221</v>
      </c>
      <c r="G46" t="n">
        <v>271</v>
      </c>
      <c r="H46" t="n">
        <v>281</v>
      </c>
      <c r="I46" t="n">
        <v>327</v>
      </c>
      <c r="J46" t="n">
        <v>374</v>
      </c>
      <c r="K46" t="n">
        <v>439</v>
      </c>
      <c r="L46" t="n">
        <v>530</v>
      </c>
      <c r="M46" t="n">
        <v>584</v>
      </c>
      <c r="N46" t="n">
        <v>638</v>
      </c>
      <c r="O46" t="n">
        <v>703</v>
      </c>
      <c r="P46" t="n">
        <v>759</v>
      </c>
      <c r="Q46" t="n">
        <v>807</v>
      </c>
      <c r="R46" t="n">
        <v>888</v>
      </c>
      <c r="S46" t="n">
        <v>986</v>
      </c>
      <c r="T46" t="n">
        <v>1013</v>
      </c>
      <c r="U46" t="n">
        <v>1042</v>
      </c>
      <c r="V46" t="n">
        <v>1105</v>
      </c>
      <c r="W46" t="n">
        <v>1170</v>
      </c>
      <c r="X46" t="n">
        <v>1211</v>
      </c>
      <c r="Y46" t="n">
        <v>1203</v>
      </c>
      <c r="Z46" t="n">
        <v>1086</v>
      </c>
      <c r="AA46" t="n">
        <v>1126</v>
      </c>
      <c r="AB46" t="n">
        <v>1164</v>
      </c>
      <c r="AC46" t="n">
        <v>1275</v>
      </c>
      <c r="AD46" t="n">
        <v>1375</v>
      </c>
      <c r="AE46" t="n">
        <v>1441</v>
      </c>
      <c r="AF46" t="n">
        <v>1926</v>
      </c>
    </row>
    <row r="47">
      <c r="A47" t="s">
        <v>105</v>
      </c>
      <c r="B47" t="s">
        <v>364</v>
      </c>
      <c r="C47" t="s">
        <v>236</v>
      </c>
      <c r="D47" t="s">
        <v>365</v>
      </c>
      <c r="E47" t="s">
        <v>237</v>
      </c>
      <c r="F47" t="n">
        <v>29055</v>
      </c>
      <c r="G47" t="n">
        <v>29147</v>
      </c>
      <c r="H47" t="n">
        <v>30103</v>
      </c>
      <c r="I47" t="n">
        <v>30772</v>
      </c>
      <c r="J47" t="n">
        <v>32010</v>
      </c>
      <c r="K47" t="n">
        <v>33746</v>
      </c>
      <c r="L47" t="n">
        <v>35144</v>
      </c>
      <c r="M47" t="n">
        <v>35754</v>
      </c>
      <c r="N47" t="n">
        <v>35238</v>
      </c>
      <c r="O47" t="n">
        <v>36984</v>
      </c>
      <c r="P47" t="n">
        <v>39263</v>
      </c>
      <c r="Q47" t="n">
        <v>41944</v>
      </c>
      <c r="R47" t="n">
        <v>44849</v>
      </c>
      <c r="S47" t="n">
        <v>48704</v>
      </c>
      <c r="T47" t="n">
        <v>48419</v>
      </c>
      <c r="U47" t="n">
        <v>49279</v>
      </c>
      <c r="V47" t="n">
        <v>52040</v>
      </c>
      <c r="W47" t="n">
        <v>54653</v>
      </c>
      <c r="X47" t="n">
        <v>55882</v>
      </c>
      <c r="Y47" t="n">
        <v>56880</v>
      </c>
      <c r="Z47" t="n">
        <v>56253</v>
      </c>
      <c r="AA47" t="n">
        <v>55818</v>
      </c>
      <c r="AB47" t="n">
        <v>57872</v>
      </c>
      <c r="AC47" t="n">
        <v>60098</v>
      </c>
      <c r="AD47" t="n">
        <v>61252</v>
      </c>
      <c r="AE47" t="n">
        <v>60692</v>
      </c>
      <c r="AF47" t="n">
        <v>64791</v>
      </c>
    </row>
    <row r="48">
      <c r="A48" t="s">
        <v>105</v>
      </c>
      <c r="B48" t="s">
        <v>366</v>
      </c>
      <c r="C48" t="s">
        <v>236</v>
      </c>
      <c r="D48" t="s">
        <v>367</v>
      </c>
      <c r="E48" t="s">
        <v>237</v>
      </c>
      <c r="F48" t="n">
        <v>45442</v>
      </c>
      <c r="G48" t="n">
        <v>45546</v>
      </c>
      <c r="H48" t="n">
        <v>46523</v>
      </c>
      <c r="I48" t="n">
        <v>47935</v>
      </c>
      <c r="J48" t="n">
        <v>48332</v>
      </c>
      <c r="K48" t="n">
        <v>50763</v>
      </c>
      <c r="L48" t="n">
        <v>53568</v>
      </c>
      <c r="M48" t="n">
        <v>54406</v>
      </c>
      <c r="N48" t="n">
        <v>54285</v>
      </c>
      <c r="O48" t="n">
        <v>56937</v>
      </c>
      <c r="P48" t="n">
        <v>60489</v>
      </c>
      <c r="Q48" t="n">
        <v>64426</v>
      </c>
      <c r="R48" t="n">
        <v>69259</v>
      </c>
      <c r="S48" t="n">
        <v>75048</v>
      </c>
      <c r="T48" t="n">
        <v>74914</v>
      </c>
      <c r="U48" t="n">
        <v>74634</v>
      </c>
      <c r="V48" t="n">
        <v>78528</v>
      </c>
      <c r="W48" t="n">
        <v>83073</v>
      </c>
      <c r="X48" t="n">
        <v>85539</v>
      </c>
      <c r="Y48" t="n">
        <v>87316</v>
      </c>
      <c r="Z48" t="n">
        <v>87360</v>
      </c>
      <c r="AA48" t="n">
        <v>88454</v>
      </c>
      <c r="AB48" t="n">
        <v>92368</v>
      </c>
      <c r="AC48" t="n">
        <v>96629</v>
      </c>
      <c r="AD48" t="n">
        <v>100670</v>
      </c>
      <c r="AE48" t="n">
        <v>102157</v>
      </c>
      <c r="AF48" t="n">
        <v>108218</v>
      </c>
    </row>
    <row r="49">
      <c r="A49" t="s">
        <v>105</v>
      </c>
      <c r="B49" t="s">
        <v>368</v>
      </c>
      <c r="C49" t="s">
        <v>236</v>
      </c>
      <c r="D49" t="s">
        <v>369</v>
      </c>
      <c r="E49" t="s">
        <v>237</v>
      </c>
      <c r="F49" t="n">
        <v>8484</v>
      </c>
      <c r="G49" t="n">
        <v>8499</v>
      </c>
      <c r="H49" t="n">
        <v>8554</v>
      </c>
      <c r="I49" t="n">
        <v>8996</v>
      </c>
      <c r="J49" t="n">
        <v>7666</v>
      </c>
      <c r="K49" t="n">
        <v>8024</v>
      </c>
      <c r="L49" t="n">
        <v>8721</v>
      </c>
      <c r="M49" t="n">
        <v>8887</v>
      </c>
      <c r="N49" t="n">
        <v>9161</v>
      </c>
      <c r="O49" t="n">
        <v>9685</v>
      </c>
      <c r="P49" t="n">
        <v>10347</v>
      </c>
      <c r="Q49" t="n">
        <v>10946</v>
      </c>
      <c r="R49" t="n">
        <v>11867</v>
      </c>
      <c r="S49" t="n">
        <v>12783</v>
      </c>
      <c r="T49" t="n">
        <v>12750</v>
      </c>
      <c r="U49" t="n">
        <v>12207</v>
      </c>
      <c r="V49" t="n">
        <v>12773</v>
      </c>
      <c r="W49" t="n">
        <v>13571</v>
      </c>
      <c r="X49" t="n">
        <v>14033</v>
      </c>
      <c r="Y49" t="n">
        <v>14302</v>
      </c>
      <c r="Z49" t="n">
        <v>14727</v>
      </c>
      <c r="AA49" t="n">
        <v>15449</v>
      </c>
      <c r="AB49" t="n">
        <v>16203</v>
      </c>
      <c r="AC49" t="n">
        <v>17076</v>
      </c>
      <c r="AD49" t="n">
        <v>18441</v>
      </c>
      <c r="AE49" t="n">
        <v>19439</v>
      </c>
      <c r="AF49" t="n">
        <v>20405</v>
      </c>
    </row>
    <row r="50">
      <c r="A50" t="s">
        <v>105</v>
      </c>
      <c r="B50" t="s">
        <v>370</v>
      </c>
      <c r="C50" t="s">
        <v>236</v>
      </c>
      <c r="D50" t="s">
        <v>371</v>
      </c>
      <c r="E50" t="s">
        <v>237</v>
      </c>
      <c r="F50" t="n">
        <v>7903</v>
      </c>
      <c r="G50" t="n">
        <v>7900</v>
      </c>
      <c r="H50" t="n">
        <v>7866</v>
      </c>
      <c r="I50" t="n">
        <v>8167</v>
      </c>
      <c r="J50" t="n">
        <v>8656</v>
      </c>
      <c r="K50" t="n">
        <v>8993</v>
      </c>
      <c r="L50" t="n">
        <v>9703</v>
      </c>
      <c r="M50" t="n">
        <v>9765</v>
      </c>
      <c r="N50" t="n">
        <v>9886</v>
      </c>
      <c r="O50" t="n">
        <v>10268</v>
      </c>
      <c r="P50" t="n">
        <v>10879</v>
      </c>
      <c r="Q50" t="n">
        <v>11536</v>
      </c>
      <c r="R50" t="n">
        <v>12543</v>
      </c>
      <c r="S50" t="n">
        <v>13561</v>
      </c>
      <c r="T50" t="n">
        <v>13745</v>
      </c>
      <c r="U50" t="n">
        <v>13148</v>
      </c>
      <c r="V50" t="n">
        <v>13715</v>
      </c>
      <c r="W50" t="n">
        <v>14849</v>
      </c>
      <c r="X50" t="n">
        <v>15624</v>
      </c>
      <c r="Y50" t="n">
        <v>16134</v>
      </c>
      <c r="Z50" t="n">
        <v>16380</v>
      </c>
      <c r="AA50" t="n">
        <v>17187</v>
      </c>
      <c r="AB50" t="n">
        <v>18293</v>
      </c>
      <c r="AC50" t="n">
        <v>19455</v>
      </c>
      <c r="AD50" t="n">
        <v>20977</v>
      </c>
      <c r="AE50" t="n">
        <v>22026</v>
      </c>
      <c r="AF50" t="n">
        <v>23022</v>
      </c>
    </row>
    <row r="51">
      <c r="A51" t="s">
        <v>105</v>
      </c>
      <c r="B51" t="s">
        <v>372</v>
      </c>
      <c r="C51" t="s">
        <v>236</v>
      </c>
      <c r="D51" t="s">
        <v>373</v>
      </c>
      <c r="E51" t="s">
        <v>237</v>
      </c>
      <c r="F51" t="n">
        <v>4725</v>
      </c>
      <c r="G51" t="n">
        <v>4690</v>
      </c>
      <c r="H51" t="n">
        <v>4661</v>
      </c>
      <c r="I51" t="n">
        <v>4805</v>
      </c>
      <c r="J51" t="n">
        <v>5039</v>
      </c>
      <c r="K51" t="n">
        <v>5191</v>
      </c>
      <c r="L51" t="n">
        <v>5556</v>
      </c>
      <c r="M51" t="n">
        <v>5602</v>
      </c>
      <c r="N51" t="n">
        <v>5650</v>
      </c>
      <c r="O51" t="n">
        <v>5843</v>
      </c>
      <c r="P51" t="n">
        <v>6175</v>
      </c>
      <c r="Q51" t="n">
        <v>6559</v>
      </c>
      <c r="R51" t="n">
        <v>7078</v>
      </c>
      <c r="S51" t="n">
        <v>7596</v>
      </c>
      <c r="T51" t="n">
        <v>7691</v>
      </c>
      <c r="U51" t="n">
        <v>7347</v>
      </c>
      <c r="V51" t="n">
        <v>7660</v>
      </c>
      <c r="W51" t="n">
        <v>8306</v>
      </c>
      <c r="X51" t="n">
        <v>8769</v>
      </c>
      <c r="Y51" t="n">
        <v>9074</v>
      </c>
      <c r="Z51" t="n">
        <v>9205</v>
      </c>
      <c r="AA51" t="n">
        <v>9701</v>
      </c>
      <c r="AB51" t="n">
        <v>10439</v>
      </c>
      <c r="AC51" t="n">
        <v>11227</v>
      </c>
      <c r="AD51" t="n">
        <v>12241</v>
      </c>
      <c r="AE51" t="n">
        <v>12980</v>
      </c>
      <c r="AF51" t="n">
        <v>13707</v>
      </c>
    </row>
    <row r="52">
      <c r="A52" t="s">
        <v>105</v>
      </c>
      <c r="B52" t="s">
        <v>374</v>
      </c>
      <c r="C52" t="s">
        <v>236</v>
      </c>
      <c r="D52" t="s">
        <v>375</v>
      </c>
      <c r="E52" t="s">
        <v>237</v>
      </c>
      <c r="F52" t="n">
        <v>3178</v>
      </c>
      <c r="G52" t="n">
        <v>3210</v>
      </c>
      <c r="H52" t="n">
        <v>3205</v>
      </c>
      <c r="I52" t="n">
        <v>3362</v>
      </c>
      <c r="J52" t="n">
        <v>3617</v>
      </c>
      <c r="K52" t="n">
        <v>3802</v>
      </c>
      <c r="L52" t="n">
        <v>4147</v>
      </c>
      <c r="M52" t="n">
        <v>4163</v>
      </c>
      <c r="N52" t="n">
        <v>4236</v>
      </c>
      <c r="O52" t="n">
        <v>4425</v>
      </c>
      <c r="P52" t="n">
        <v>4704</v>
      </c>
      <c r="Q52" t="n">
        <v>4977</v>
      </c>
      <c r="R52" t="n">
        <v>5465</v>
      </c>
      <c r="S52" t="n">
        <v>5965</v>
      </c>
      <c r="T52" t="n">
        <v>6054</v>
      </c>
      <c r="U52" t="n">
        <v>5801</v>
      </c>
      <c r="V52" t="n">
        <v>6055</v>
      </c>
      <c r="W52" t="n">
        <v>6543</v>
      </c>
      <c r="X52" t="n">
        <v>6855</v>
      </c>
      <c r="Y52" t="n">
        <v>7060</v>
      </c>
      <c r="Z52" t="n">
        <v>7175</v>
      </c>
      <c r="AA52" t="n">
        <v>7486</v>
      </c>
      <c r="AB52" t="n">
        <v>7854</v>
      </c>
      <c r="AC52" t="n">
        <v>8228</v>
      </c>
      <c r="AD52" t="n">
        <v>8736</v>
      </c>
      <c r="AE52" t="n">
        <v>9046</v>
      </c>
      <c r="AF52" t="n">
        <v>9315</v>
      </c>
    </row>
    <row r="53">
      <c r="A53" t="s">
        <v>105</v>
      </c>
      <c r="B53" t="s">
        <v>376</v>
      </c>
      <c r="C53" t="s">
        <v>236</v>
      </c>
      <c r="D53" t="s">
        <v>377</v>
      </c>
      <c r="E53" t="s">
        <v>237</v>
      </c>
      <c r="F53" t="n">
        <v>5544</v>
      </c>
      <c r="G53" t="n">
        <v>5600</v>
      </c>
      <c r="H53" t="n">
        <v>5774</v>
      </c>
      <c r="I53" t="n">
        <v>6003</v>
      </c>
      <c r="J53" t="n">
        <v>6329</v>
      </c>
      <c r="K53" t="n">
        <v>6674</v>
      </c>
      <c r="L53" t="n">
        <v>7078</v>
      </c>
      <c r="M53" t="n">
        <v>7131</v>
      </c>
      <c r="N53" t="n">
        <v>7298</v>
      </c>
      <c r="O53" t="n">
        <v>7597</v>
      </c>
      <c r="P53" t="n">
        <v>7994</v>
      </c>
      <c r="Q53" t="n">
        <v>8466</v>
      </c>
      <c r="R53" t="n">
        <v>9082</v>
      </c>
      <c r="S53" t="n">
        <v>9746</v>
      </c>
      <c r="T53" t="n">
        <v>9626</v>
      </c>
      <c r="U53" t="n">
        <v>9422</v>
      </c>
      <c r="V53" t="n">
        <v>9800</v>
      </c>
      <c r="W53" t="n">
        <v>10344</v>
      </c>
      <c r="X53" t="n">
        <v>10569</v>
      </c>
      <c r="Y53" t="n">
        <v>10629</v>
      </c>
      <c r="Z53" t="n">
        <v>10621</v>
      </c>
      <c r="AA53" t="n">
        <v>10592</v>
      </c>
      <c r="AB53" t="n">
        <v>11232</v>
      </c>
      <c r="AC53" t="n">
        <v>11883</v>
      </c>
      <c r="AD53" t="n">
        <v>12525</v>
      </c>
      <c r="AE53" t="n">
        <v>12703</v>
      </c>
      <c r="AF53" t="n">
        <v>13346</v>
      </c>
    </row>
    <row r="54">
      <c r="A54" t="s">
        <v>105</v>
      </c>
      <c r="B54" t="s">
        <v>378</v>
      </c>
      <c r="C54" t="s">
        <v>236</v>
      </c>
      <c r="D54" t="s">
        <v>379</v>
      </c>
      <c r="E54" t="s">
        <v>237</v>
      </c>
      <c r="F54" t="n">
        <v>7532</v>
      </c>
      <c r="G54" t="n">
        <v>7574</v>
      </c>
      <c r="H54" t="n">
        <v>7745</v>
      </c>
      <c r="I54" t="n">
        <v>8079</v>
      </c>
      <c r="J54" t="n">
        <v>8577</v>
      </c>
      <c r="K54" t="n">
        <v>9011</v>
      </c>
      <c r="L54" t="n">
        <v>9570</v>
      </c>
      <c r="M54" t="n">
        <v>9589</v>
      </c>
      <c r="N54" t="n">
        <v>9758</v>
      </c>
      <c r="O54" t="n">
        <v>10166</v>
      </c>
      <c r="P54" t="n">
        <v>10725</v>
      </c>
      <c r="Q54" t="n">
        <v>11305</v>
      </c>
      <c r="R54" t="n">
        <v>12129</v>
      </c>
      <c r="S54" t="n">
        <v>12970</v>
      </c>
      <c r="T54" t="n">
        <v>12867</v>
      </c>
      <c r="U54" t="n">
        <v>12540</v>
      </c>
      <c r="V54" t="n">
        <v>12993</v>
      </c>
      <c r="W54" t="n">
        <v>13702</v>
      </c>
      <c r="X54" t="n">
        <v>14000</v>
      </c>
      <c r="Y54" t="n">
        <v>14062</v>
      </c>
      <c r="Z54" t="n">
        <v>14031</v>
      </c>
      <c r="AA54" t="n">
        <v>14045</v>
      </c>
      <c r="AB54" t="n">
        <v>14743</v>
      </c>
      <c r="AC54" t="n">
        <v>15471</v>
      </c>
      <c r="AD54" t="n">
        <v>16224</v>
      </c>
      <c r="AE54" t="n">
        <v>16417</v>
      </c>
      <c r="AF54" t="n">
        <v>17140</v>
      </c>
    </row>
    <row r="55">
      <c r="A55" t="s">
        <v>105</v>
      </c>
      <c r="B55" t="s">
        <v>380</v>
      </c>
      <c r="C55" t="s">
        <v>236</v>
      </c>
      <c r="D55" t="s">
        <v>381</v>
      </c>
      <c r="E55" t="s">
        <v>237</v>
      </c>
      <c r="F55" t="n">
        <v>1988</v>
      </c>
      <c r="G55" t="n">
        <v>1974</v>
      </c>
      <c r="H55" t="n">
        <v>1971</v>
      </c>
      <c r="I55" t="n">
        <v>2076</v>
      </c>
      <c r="J55" t="n">
        <v>2248</v>
      </c>
      <c r="K55" t="n">
        <v>2337</v>
      </c>
      <c r="L55" t="n">
        <v>2492</v>
      </c>
      <c r="M55" t="n">
        <v>2458</v>
      </c>
      <c r="N55" t="n">
        <v>2460</v>
      </c>
      <c r="O55" t="n">
        <v>2569</v>
      </c>
      <c r="P55" t="n">
        <v>2731</v>
      </c>
      <c r="Q55" t="n">
        <v>2839</v>
      </c>
      <c r="R55" t="n">
        <v>3047</v>
      </c>
      <c r="S55" t="n">
        <v>3224</v>
      </c>
      <c r="T55" t="n">
        <v>3241</v>
      </c>
      <c r="U55" t="n">
        <v>3118</v>
      </c>
      <c r="V55" t="n">
        <v>3193</v>
      </c>
      <c r="W55" t="n">
        <v>3358</v>
      </c>
      <c r="X55" t="n">
        <v>3431</v>
      </c>
      <c r="Y55" t="n">
        <v>3433</v>
      </c>
      <c r="Z55" t="n">
        <v>3410</v>
      </c>
      <c r="AA55" t="n">
        <v>3453</v>
      </c>
      <c r="AB55" t="n">
        <v>3511</v>
      </c>
      <c r="AC55" t="n">
        <v>3588</v>
      </c>
      <c r="AD55" t="n">
        <v>3699</v>
      </c>
      <c r="AE55" t="n">
        <v>3714</v>
      </c>
      <c r="AF55" t="n">
        <v>3794</v>
      </c>
    </row>
    <row r="56">
      <c r="A56" t="s">
        <v>105</v>
      </c>
      <c r="B56" t="s">
        <v>382</v>
      </c>
      <c r="C56" t="s">
        <v>236</v>
      </c>
      <c r="D56" t="s">
        <v>383</v>
      </c>
      <c r="E56" t="s">
        <v>237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105</v>
      </c>
      <c r="B57" t="s">
        <v>384</v>
      </c>
      <c r="C57" t="s">
        <v>236</v>
      </c>
      <c r="D57" t="s">
        <v>385</v>
      </c>
      <c r="E57" t="s">
        <v>237</v>
      </c>
      <c r="F57" t="n">
        <v>125293</v>
      </c>
      <c r="G57" t="n">
        <v>125160</v>
      </c>
      <c r="H57" t="n">
        <v>126623</v>
      </c>
      <c r="I57" t="n">
        <v>131158</v>
      </c>
      <c r="J57" t="n">
        <v>138235</v>
      </c>
      <c r="K57" t="n">
        <v>146199</v>
      </c>
      <c r="L57" t="n">
        <v>156861</v>
      </c>
      <c r="M57" t="n">
        <v>159172</v>
      </c>
      <c r="N57" t="n">
        <v>162163</v>
      </c>
      <c r="O57" t="n">
        <v>168988</v>
      </c>
      <c r="P57" t="n">
        <v>179534</v>
      </c>
      <c r="Q57" t="n">
        <v>190710</v>
      </c>
      <c r="R57" t="n">
        <v>208177</v>
      </c>
      <c r="S57" t="n">
        <v>226680</v>
      </c>
      <c r="T57" t="n">
        <v>226990</v>
      </c>
      <c r="U57" t="n">
        <v>221652</v>
      </c>
      <c r="V57" t="n">
        <v>231631</v>
      </c>
      <c r="W57" t="n">
        <v>246484</v>
      </c>
      <c r="X57" t="n">
        <v>252885</v>
      </c>
      <c r="Y57" t="n">
        <v>256274</v>
      </c>
      <c r="Z57" t="n">
        <v>256548</v>
      </c>
      <c r="AA57" t="n">
        <v>261860</v>
      </c>
      <c r="AB57" t="n">
        <v>272339</v>
      </c>
      <c r="AC57" t="n">
        <v>285891</v>
      </c>
      <c r="AD57" t="n">
        <v>301799</v>
      </c>
      <c r="AE57" t="n">
        <v>308360</v>
      </c>
      <c r="AF57" t="n">
        <v>322694</v>
      </c>
    </row>
    <row r="58">
      <c r="A58" t="s">
        <v>105</v>
      </c>
      <c r="B58" t="s">
        <v>386</v>
      </c>
      <c r="C58" t="s">
        <v>236</v>
      </c>
      <c r="D58" t="s">
        <v>387</v>
      </c>
      <c r="E58" t="s">
        <v>237</v>
      </c>
      <c r="F58" t="n">
        <v>125293</v>
      </c>
      <c r="G58" t="n">
        <v>125160</v>
      </c>
      <c r="H58" t="n">
        <v>126623</v>
      </c>
      <c r="I58" t="n">
        <v>131158</v>
      </c>
      <c r="J58" t="n">
        <v>138235</v>
      </c>
      <c r="K58" t="n">
        <v>146199</v>
      </c>
      <c r="L58" t="n">
        <v>156861</v>
      </c>
      <c r="M58" t="n">
        <v>159172</v>
      </c>
      <c r="N58" t="n">
        <v>162163</v>
      </c>
      <c r="O58" t="n">
        <v>168988</v>
      </c>
      <c r="P58" t="n">
        <v>179534</v>
      </c>
      <c r="Q58" t="n">
        <v>190710</v>
      </c>
      <c r="R58" t="n">
        <v>208177</v>
      </c>
      <c r="S58" t="n">
        <v>226680</v>
      </c>
      <c r="T58" t="n">
        <v>226990</v>
      </c>
      <c r="U58" t="n">
        <v>221652</v>
      </c>
      <c r="V58" t="n">
        <v>231631</v>
      </c>
      <c r="W58" t="n">
        <v>246484</v>
      </c>
      <c r="X58" t="n">
        <v>252885</v>
      </c>
      <c r="Y58" t="n">
        <v>256274</v>
      </c>
      <c r="Z58" t="n">
        <v>256548</v>
      </c>
      <c r="AA58" t="n">
        <v>261860</v>
      </c>
      <c r="AB58" t="n">
        <v>272339</v>
      </c>
      <c r="AC58" t="n">
        <v>285891</v>
      </c>
      <c r="AD58" t="n">
        <v>301799</v>
      </c>
      <c r="AE58" t="n">
        <v>308360</v>
      </c>
      <c r="AF58" t="n">
        <v>322694</v>
      </c>
    </row>
    <row r="59">
      <c r="A59" t="s">
        <v>105</v>
      </c>
      <c r="B59" t="s">
        <v>388</v>
      </c>
      <c r="C59" t="s">
        <v>236</v>
      </c>
      <c r="D59" t="s">
        <v>389</v>
      </c>
      <c r="E59" t="s">
        <v>237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107</v>
      </c>
      <c r="B2" t="s">
        <v>197</v>
      </c>
      <c r="C2" t="s">
        <v>236</v>
      </c>
      <c r="D2" t="s">
        <v>199</v>
      </c>
      <c r="E2" t="s">
        <v>237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107</v>
      </c>
      <c r="B3" t="s">
        <v>276</v>
      </c>
      <c r="C3" t="s">
        <v>236</v>
      </c>
      <c r="D3" t="s">
        <v>277</v>
      </c>
      <c r="E3" t="s">
        <v>237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107</v>
      </c>
      <c r="B4" t="s">
        <v>278</v>
      </c>
      <c r="C4" t="s">
        <v>236</v>
      </c>
      <c r="D4" t="s">
        <v>279</v>
      </c>
      <c r="E4" t="s">
        <v>237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107</v>
      </c>
      <c r="B5" t="s">
        <v>280</v>
      </c>
      <c r="C5" t="s">
        <v>236</v>
      </c>
      <c r="D5" t="s">
        <v>281</v>
      </c>
      <c r="E5" t="s">
        <v>237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107</v>
      </c>
      <c r="B6" t="s">
        <v>282</v>
      </c>
      <c r="C6" t="s">
        <v>236</v>
      </c>
      <c r="D6" t="s">
        <v>283</v>
      </c>
      <c r="E6" t="s">
        <v>237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107</v>
      </c>
      <c r="B7" t="s">
        <v>284</v>
      </c>
      <c r="C7" t="s">
        <v>236</v>
      </c>
      <c r="D7" t="s">
        <v>285</v>
      </c>
      <c r="E7" t="s">
        <v>237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107</v>
      </c>
      <c r="B8" t="s">
        <v>286</v>
      </c>
      <c r="C8" t="s">
        <v>236</v>
      </c>
      <c r="D8" t="s">
        <v>287</v>
      </c>
      <c r="E8" t="s">
        <v>237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107</v>
      </c>
      <c r="B9" t="s">
        <v>288</v>
      </c>
      <c r="C9" t="s">
        <v>236</v>
      </c>
      <c r="D9" t="s">
        <v>289</v>
      </c>
      <c r="E9" t="s">
        <v>237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107</v>
      </c>
      <c r="B10" t="s">
        <v>290</v>
      </c>
      <c r="C10" t="s">
        <v>236</v>
      </c>
      <c r="D10" t="s">
        <v>291</v>
      </c>
      <c r="E10" t="s">
        <v>237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107</v>
      </c>
      <c r="B11" t="s">
        <v>292</v>
      </c>
      <c r="C11" t="s">
        <v>236</v>
      </c>
      <c r="D11" t="s">
        <v>293</v>
      </c>
      <c r="E11" t="s">
        <v>237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107</v>
      </c>
      <c r="B12" t="s">
        <v>294</v>
      </c>
      <c r="C12" t="s">
        <v>236</v>
      </c>
      <c r="D12" t="s">
        <v>295</v>
      </c>
      <c r="E12" t="s">
        <v>237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107</v>
      </c>
      <c r="B13" t="s">
        <v>296</v>
      </c>
      <c r="C13" t="s">
        <v>236</v>
      </c>
      <c r="D13" t="s">
        <v>297</v>
      </c>
      <c r="E13" t="s">
        <v>237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107</v>
      </c>
      <c r="B14" t="s">
        <v>298</v>
      </c>
      <c r="C14" t="s">
        <v>236</v>
      </c>
      <c r="D14" t="s">
        <v>299</v>
      </c>
      <c r="E14" t="s">
        <v>237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107</v>
      </c>
      <c r="B15" t="s">
        <v>300</v>
      </c>
      <c r="C15" t="s">
        <v>236</v>
      </c>
      <c r="D15" t="s">
        <v>301</v>
      </c>
      <c r="E15" t="s">
        <v>237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107</v>
      </c>
      <c r="B16" t="s">
        <v>302</v>
      </c>
      <c r="C16" t="s">
        <v>236</v>
      </c>
      <c r="D16" t="s">
        <v>303</v>
      </c>
      <c r="E16" t="s">
        <v>237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107</v>
      </c>
      <c r="B17" t="s">
        <v>304</v>
      </c>
      <c r="C17" t="s">
        <v>236</v>
      </c>
      <c r="D17" t="s">
        <v>305</v>
      </c>
      <c r="E17" t="s">
        <v>237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107</v>
      </c>
      <c r="B18" t="s">
        <v>306</v>
      </c>
      <c r="C18" t="s">
        <v>236</v>
      </c>
      <c r="D18" t="s">
        <v>307</v>
      </c>
      <c r="E18" t="s">
        <v>237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107</v>
      </c>
      <c r="B19" t="s">
        <v>308</v>
      </c>
      <c r="C19" t="s">
        <v>236</v>
      </c>
      <c r="D19" t="s">
        <v>309</v>
      </c>
      <c r="E19" t="s">
        <v>237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107</v>
      </c>
      <c r="B20" t="s">
        <v>310</v>
      </c>
      <c r="C20" t="s">
        <v>236</v>
      </c>
      <c r="D20" t="s">
        <v>311</v>
      </c>
      <c r="E20" t="s">
        <v>237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107</v>
      </c>
      <c r="B21" t="s">
        <v>312</v>
      </c>
      <c r="C21" t="s">
        <v>236</v>
      </c>
      <c r="D21" t="s">
        <v>313</v>
      </c>
      <c r="E21" t="s">
        <v>237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107</v>
      </c>
      <c r="B22" t="s">
        <v>314</v>
      </c>
      <c r="C22" t="s">
        <v>236</v>
      </c>
      <c r="D22" t="s">
        <v>315</v>
      </c>
      <c r="E22" t="s">
        <v>237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107</v>
      </c>
      <c r="B23" t="s">
        <v>316</v>
      </c>
      <c r="C23" t="s">
        <v>236</v>
      </c>
      <c r="D23" t="s">
        <v>317</v>
      </c>
      <c r="E23" t="s">
        <v>237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107</v>
      </c>
      <c r="B24" t="s">
        <v>318</v>
      </c>
      <c r="C24" t="s">
        <v>236</v>
      </c>
      <c r="D24" t="s">
        <v>319</v>
      </c>
      <c r="E24" t="s">
        <v>237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107</v>
      </c>
      <c r="B25" t="s">
        <v>320</v>
      </c>
      <c r="C25" t="s">
        <v>236</v>
      </c>
      <c r="D25" t="s">
        <v>321</v>
      </c>
      <c r="E25" t="s">
        <v>237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107</v>
      </c>
      <c r="B26" t="s">
        <v>322</v>
      </c>
      <c r="C26" t="s">
        <v>236</v>
      </c>
      <c r="D26" t="s">
        <v>323</v>
      </c>
      <c r="E26" t="s">
        <v>237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107</v>
      </c>
      <c r="B27" t="s">
        <v>324</v>
      </c>
      <c r="C27" t="s">
        <v>236</v>
      </c>
      <c r="D27" t="s">
        <v>325</v>
      </c>
      <c r="E27" t="s">
        <v>237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107</v>
      </c>
      <c r="B28" t="s">
        <v>326</v>
      </c>
      <c r="C28" t="s">
        <v>236</v>
      </c>
      <c r="D28" t="s">
        <v>327</v>
      </c>
      <c r="E28" t="s">
        <v>237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107</v>
      </c>
      <c r="B29" t="s">
        <v>328</v>
      </c>
      <c r="C29" t="s">
        <v>236</v>
      </c>
      <c r="D29" t="s">
        <v>329</v>
      </c>
      <c r="E29" t="s">
        <v>237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107</v>
      </c>
      <c r="B30" t="s">
        <v>330</v>
      </c>
      <c r="C30" t="s">
        <v>236</v>
      </c>
      <c r="D30" t="s">
        <v>331</v>
      </c>
      <c r="E30" t="s">
        <v>237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107</v>
      </c>
      <c r="B31" t="s">
        <v>332</v>
      </c>
      <c r="C31" t="s">
        <v>236</v>
      </c>
      <c r="D31" t="s">
        <v>333</v>
      </c>
      <c r="E31" t="s">
        <v>237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107</v>
      </c>
      <c r="B32" t="s">
        <v>334</v>
      </c>
      <c r="C32" t="s">
        <v>236</v>
      </c>
      <c r="D32" t="s">
        <v>335</v>
      </c>
      <c r="E32" t="s">
        <v>237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107</v>
      </c>
      <c r="B33" t="s">
        <v>336</v>
      </c>
      <c r="C33" t="s">
        <v>236</v>
      </c>
      <c r="D33" t="s">
        <v>337</v>
      </c>
      <c r="E33" t="s">
        <v>237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107</v>
      </c>
      <c r="B34" t="s">
        <v>338</v>
      </c>
      <c r="C34" t="s">
        <v>236</v>
      </c>
      <c r="D34" t="s">
        <v>339</v>
      </c>
      <c r="E34" t="s">
        <v>237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107</v>
      </c>
      <c r="B35" t="s">
        <v>340</v>
      </c>
      <c r="C35" t="s">
        <v>236</v>
      </c>
      <c r="D35" t="s">
        <v>341</v>
      </c>
      <c r="E35" t="s">
        <v>237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107</v>
      </c>
      <c r="B36" t="s">
        <v>342</v>
      </c>
      <c r="C36" t="s">
        <v>236</v>
      </c>
      <c r="D36" t="s">
        <v>343</v>
      </c>
      <c r="E36" t="s">
        <v>237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107</v>
      </c>
      <c r="B37" t="s">
        <v>344</v>
      </c>
      <c r="C37" t="s">
        <v>236</v>
      </c>
      <c r="D37" t="s">
        <v>345</v>
      </c>
      <c r="E37" t="s">
        <v>237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107</v>
      </c>
      <c r="B38" t="s">
        <v>346</v>
      </c>
      <c r="C38" t="s">
        <v>236</v>
      </c>
      <c r="D38" t="s">
        <v>347</v>
      </c>
      <c r="E38" t="s">
        <v>237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107</v>
      </c>
      <c r="B39" t="s">
        <v>348</v>
      </c>
      <c r="C39" t="s">
        <v>236</v>
      </c>
      <c r="D39" t="s">
        <v>349</v>
      </c>
      <c r="E39" t="s">
        <v>237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107</v>
      </c>
      <c r="B40" t="s">
        <v>350</v>
      </c>
      <c r="C40" t="s">
        <v>236</v>
      </c>
      <c r="D40" t="s">
        <v>351</v>
      </c>
      <c r="E40" t="s">
        <v>237</v>
      </c>
      <c r="F40" t="n">
        <v>123603</v>
      </c>
      <c r="G40" t="n">
        <v>124045</v>
      </c>
      <c r="H40" t="n">
        <v>131702</v>
      </c>
      <c r="I40" t="n">
        <v>142866</v>
      </c>
      <c r="J40" t="n">
        <v>151872</v>
      </c>
      <c r="K40" t="n">
        <v>166892</v>
      </c>
      <c r="L40" t="n">
        <v>176919</v>
      </c>
      <c r="M40" t="n">
        <v>176157</v>
      </c>
      <c r="N40" t="n">
        <v>180004</v>
      </c>
      <c r="O40" t="n">
        <v>188975</v>
      </c>
      <c r="P40" t="n">
        <v>203849</v>
      </c>
      <c r="Q40" t="n">
        <v>217312</v>
      </c>
      <c r="R40" t="n">
        <v>237480</v>
      </c>
      <c r="S40" t="n">
        <v>254455</v>
      </c>
      <c r="T40" t="n">
        <v>249567</v>
      </c>
      <c r="U40" t="n">
        <v>246081</v>
      </c>
      <c r="V40" t="n">
        <v>260413</v>
      </c>
      <c r="W40" t="n">
        <v>279833</v>
      </c>
      <c r="X40" t="n">
        <v>289716</v>
      </c>
      <c r="Y40" t="n">
        <v>295727</v>
      </c>
      <c r="Z40" t="n">
        <v>301417</v>
      </c>
      <c r="AA40" t="n">
        <v>314393</v>
      </c>
      <c r="AB40" t="n">
        <v>330490</v>
      </c>
      <c r="AC40" t="n">
        <v>351493</v>
      </c>
      <c r="AD40" t="n">
        <v>373412</v>
      </c>
      <c r="AE40" t="n">
        <v>385945</v>
      </c>
      <c r="AF40" t="n">
        <v>400731</v>
      </c>
    </row>
    <row r="41">
      <c r="A41" t="s">
        <v>107</v>
      </c>
      <c r="B41" t="s">
        <v>352</v>
      </c>
      <c r="C41" t="s">
        <v>236</v>
      </c>
      <c r="D41" t="s">
        <v>353</v>
      </c>
      <c r="E41" t="s">
        <v>237</v>
      </c>
      <c r="F41" t="n">
        <v>78505</v>
      </c>
      <c r="G41" t="n">
        <v>79074</v>
      </c>
      <c r="H41" t="n">
        <v>84217</v>
      </c>
      <c r="I41" t="n">
        <v>91857</v>
      </c>
      <c r="J41" t="n">
        <v>98402</v>
      </c>
      <c r="K41" t="n">
        <v>108843</v>
      </c>
      <c r="L41" t="n">
        <v>115959</v>
      </c>
      <c r="M41" t="n">
        <v>116127</v>
      </c>
      <c r="N41" t="n">
        <v>119470</v>
      </c>
      <c r="O41" t="n">
        <v>126461</v>
      </c>
      <c r="P41" t="n">
        <v>137672</v>
      </c>
      <c r="Q41" t="n">
        <v>148102</v>
      </c>
      <c r="R41" t="n">
        <v>163260</v>
      </c>
      <c r="S41" t="n">
        <v>176224</v>
      </c>
      <c r="T41" t="n">
        <v>174013</v>
      </c>
      <c r="U41" t="n">
        <v>172842</v>
      </c>
      <c r="V41" t="n">
        <v>184402</v>
      </c>
      <c r="W41" t="n">
        <v>198957</v>
      </c>
      <c r="X41" t="n">
        <v>207873</v>
      </c>
      <c r="Y41" t="n">
        <v>213345</v>
      </c>
      <c r="Z41" t="n">
        <v>218151</v>
      </c>
      <c r="AA41" t="n">
        <v>228351</v>
      </c>
      <c r="AB41" t="n">
        <v>241173</v>
      </c>
      <c r="AC41" t="n">
        <v>257206</v>
      </c>
      <c r="AD41" t="n">
        <v>274056</v>
      </c>
      <c r="AE41" t="n">
        <v>283944</v>
      </c>
      <c r="AF41" t="n">
        <v>295201</v>
      </c>
    </row>
    <row r="42">
      <c r="A42" t="s">
        <v>107</v>
      </c>
      <c r="B42" t="s">
        <v>354</v>
      </c>
      <c r="C42" t="s">
        <v>236</v>
      </c>
      <c r="D42" t="s">
        <v>355</v>
      </c>
      <c r="E42" t="s">
        <v>237</v>
      </c>
      <c r="F42" t="n">
        <v>1</v>
      </c>
      <c r="G42" t="n">
        <v>1</v>
      </c>
      <c r="H42" t="n">
        <v>1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107</v>
      </c>
      <c r="B43" t="s">
        <v>356</v>
      </c>
      <c r="C43" t="s">
        <v>236</v>
      </c>
      <c r="D43" t="s">
        <v>357</v>
      </c>
      <c r="E43" t="s">
        <v>237</v>
      </c>
      <c r="F43" t="n">
        <v>1</v>
      </c>
      <c r="G43" t="n">
        <v>1</v>
      </c>
      <c r="H43" t="n">
        <v>1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107</v>
      </c>
      <c r="B44" t="s">
        <v>358</v>
      </c>
      <c r="C44" t="s">
        <v>236</v>
      </c>
      <c r="D44" t="s">
        <v>359</v>
      </c>
      <c r="E44" t="s">
        <v>237</v>
      </c>
      <c r="F44" t="n">
        <v>2</v>
      </c>
      <c r="G44" t="n">
        <v>2</v>
      </c>
      <c r="H44" t="n">
        <v>2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1</v>
      </c>
      <c r="AB44" t="n">
        <v>2</v>
      </c>
      <c r="AC44" t="n">
        <v>4</v>
      </c>
      <c r="AD44" t="n">
        <v>5</v>
      </c>
      <c r="AE44" t="n">
        <v>5</v>
      </c>
      <c r="AF44" t="n">
        <v>6</v>
      </c>
    </row>
    <row r="45">
      <c r="A45" t="s">
        <v>107</v>
      </c>
      <c r="B45" t="s">
        <v>360</v>
      </c>
      <c r="C45" t="s">
        <v>236</v>
      </c>
      <c r="D45" t="s">
        <v>361</v>
      </c>
      <c r="E45" t="s">
        <v>237</v>
      </c>
      <c r="F45" t="n">
        <v>2</v>
      </c>
      <c r="G45" t="n">
        <v>2</v>
      </c>
      <c r="H45" t="n">
        <v>2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1</v>
      </c>
      <c r="AB45" t="n">
        <v>2</v>
      </c>
      <c r="AC45" t="n">
        <v>4</v>
      </c>
      <c r="AD45" t="n">
        <v>5</v>
      </c>
      <c r="AE45" t="n">
        <v>5</v>
      </c>
      <c r="AF45" t="n">
        <v>6</v>
      </c>
    </row>
    <row r="46">
      <c r="A46" t="s">
        <v>107</v>
      </c>
      <c r="B46" t="s">
        <v>362</v>
      </c>
      <c r="C46" t="s">
        <v>236</v>
      </c>
      <c r="D46" t="s">
        <v>363</v>
      </c>
      <c r="E46" t="s">
        <v>237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107</v>
      </c>
      <c r="B47" t="s">
        <v>364</v>
      </c>
      <c r="C47" t="s">
        <v>236</v>
      </c>
      <c r="D47" t="s">
        <v>365</v>
      </c>
      <c r="E47" t="s">
        <v>237</v>
      </c>
      <c r="F47" t="n">
        <v>1830</v>
      </c>
      <c r="G47" t="n">
        <v>1714</v>
      </c>
      <c r="H47" t="n">
        <v>1766</v>
      </c>
      <c r="I47" t="n">
        <v>1815</v>
      </c>
      <c r="J47" t="n">
        <v>1825</v>
      </c>
      <c r="K47" t="n">
        <v>1853</v>
      </c>
      <c r="L47" t="n">
        <v>1817</v>
      </c>
      <c r="M47" t="n">
        <v>1721</v>
      </c>
      <c r="N47" t="n">
        <v>1649</v>
      </c>
      <c r="O47" t="n">
        <v>1626</v>
      </c>
      <c r="P47" t="n">
        <v>1649</v>
      </c>
      <c r="Q47" t="n">
        <v>1620</v>
      </c>
      <c r="R47" t="n">
        <v>1628</v>
      </c>
      <c r="S47" t="n">
        <v>1622</v>
      </c>
      <c r="T47" t="n">
        <v>1486</v>
      </c>
      <c r="U47" t="n">
        <v>1358</v>
      </c>
      <c r="V47" t="n">
        <v>1325</v>
      </c>
      <c r="W47" t="n">
        <v>1286</v>
      </c>
      <c r="X47" t="n">
        <v>1215</v>
      </c>
      <c r="Y47" t="n">
        <v>1134</v>
      </c>
      <c r="Z47" t="n">
        <v>1064</v>
      </c>
      <c r="AA47" t="n">
        <v>1007</v>
      </c>
      <c r="AB47" t="n">
        <v>969</v>
      </c>
      <c r="AC47" t="n">
        <v>932</v>
      </c>
      <c r="AD47" t="n">
        <v>904</v>
      </c>
      <c r="AE47" t="n">
        <v>863</v>
      </c>
      <c r="AF47" t="n">
        <v>816</v>
      </c>
    </row>
    <row r="48">
      <c r="A48" t="s">
        <v>107</v>
      </c>
      <c r="B48" t="s">
        <v>366</v>
      </c>
      <c r="C48" t="s">
        <v>236</v>
      </c>
      <c r="D48" t="s">
        <v>367</v>
      </c>
      <c r="E48" t="s">
        <v>237</v>
      </c>
      <c r="F48" t="n">
        <v>2305</v>
      </c>
      <c r="G48" t="n">
        <v>2190</v>
      </c>
      <c r="H48" t="n">
        <v>2258</v>
      </c>
      <c r="I48" t="n">
        <v>2328</v>
      </c>
      <c r="J48" t="n">
        <v>2348</v>
      </c>
      <c r="K48" t="n">
        <v>2402</v>
      </c>
      <c r="L48" t="n">
        <v>2368</v>
      </c>
      <c r="M48" t="n">
        <v>2245</v>
      </c>
      <c r="N48" t="n">
        <v>2156</v>
      </c>
      <c r="O48" t="n">
        <v>2135</v>
      </c>
      <c r="P48" t="n">
        <v>2168</v>
      </c>
      <c r="Q48" t="n">
        <v>2142</v>
      </c>
      <c r="R48" t="n">
        <v>2170</v>
      </c>
      <c r="S48" t="n">
        <v>2180</v>
      </c>
      <c r="T48" t="n">
        <v>2007</v>
      </c>
      <c r="U48" t="n">
        <v>1849</v>
      </c>
      <c r="V48" t="n">
        <v>1816</v>
      </c>
      <c r="W48" t="n">
        <v>1790</v>
      </c>
      <c r="X48" t="n">
        <v>1710</v>
      </c>
      <c r="Y48" t="n">
        <v>1614</v>
      </c>
      <c r="Z48" t="n">
        <v>1542</v>
      </c>
      <c r="AA48" t="n">
        <v>1493</v>
      </c>
      <c r="AB48" t="n">
        <v>1458</v>
      </c>
      <c r="AC48" t="n">
        <v>1424</v>
      </c>
      <c r="AD48" t="n">
        <v>1390</v>
      </c>
      <c r="AE48" t="n">
        <v>1344</v>
      </c>
      <c r="AF48" t="n">
        <v>1299</v>
      </c>
    </row>
    <row r="49">
      <c r="A49" t="s">
        <v>107</v>
      </c>
      <c r="B49" t="s">
        <v>368</v>
      </c>
      <c r="C49" t="s">
        <v>236</v>
      </c>
      <c r="D49" t="s">
        <v>369</v>
      </c>
      <c r="E49" t="s">
        <v>237</v>
      </c>
      <c r="F49" t="n">
        <v>134</v>
      </c>
      <c r="G49" t="n">
        <v>133</v>
      </c>
      <c r="H49" t="n">
        <v>135</v>
      </c>
      <c r="I49" t="n">
        <v>141</v>
      </c>
      <c r="J49" t="n">
        <v>141</v>
      </c>
      <c r="K49" t="n">
        <v>146</v>
      </c>
      <c r="L49" t="n">
        <v>148</v>
      </c>
      <c r="M49" t="n">
        <v>139</v>
      </c>
      <c r="N49" t="n">
        <v>135</v>
      </c>
      <c r="O49" t="n">
        <v>134</v>
      </c>
      <c r="P49" t="n">
        <v>136</v>
      </c>
      <c r="Q49" t="n">
        <v>138</v>
      </c>
      <c r="R49" t="n">
        <v>142</v>
      </c>
      <c r="S49" t="n">
        <v>143</v>
      </c>
      <c r="T49" t="n">
        <v>133</v>
      </c>
      <c r="U49" t="n">
        <v>123</v>
      </c>
      <c r="V49" t="n">
        <v>122</v>
      </c>
      <c r="W49" t="n">
        <v>123</v>
      </c>
      <c r="X49" t="n">
        <v>118</v>
      </c>
      <c r="Y49" t="n">
        <v>114</v>
      </c>
      <c r="Z49" t="n">
        <v>114</v>
      </c>
      <c r="AA49" t="n">
        <v>113</v>
      </c>
      <c r="AB49" t="n">
        <v>112</v>
      </c>
      <c r="AC49" t="n">
        <v>110</v>
      </c>
      <c r="AD49" t="n">
        <v>96</v>
      </c>
      <c r="AE49" t="n">
        <v>94</v>
      </c>
      <c r="AF49" t="n">
        <v>91</v>
      </c>
    </row>
    <row r="50">
      <c r="A50" t="s">
        <v>107</v>
      </c>
      <c r="B50" t="s">
        <v>370</v>
      </c>
      <c r="C50" t="s">
        <v>236</v>
      </c>
      <c r="D50" t="s">
        <v>371</v>
      </c>
      <c r="E50" t="s">
        <v>237</v>
      </c>
      <c r="F50" t="n">
        <v>341</v>
      </c>
      <c r="G50" t="n">
        <v>343</v>
      </c>
      <c r="H50" t="n">
        <v>357</v>
      </c>
      <c r="I50" t="n">
        <v>372</v>
      </c>
      <c r="J50" t="n">
        <v>382</v>
      </c>
      <c r="K50" t="n">
        <v>403</v>
      </c>
      <c r="L50" t="n">
        <v>403</v>
      </c>
      <c r="M50" t="n">
        <v>385</v>
      </c>
      <c r="N50" t="n">
        <v>372</v>
      </c>
      <c r="O50" t="n">
        <v>375</v>
      </c>
      <c r="P50" t="n">
        <v>383</v>
      </c>
      <c r="Q50" t="n">
        <v>384</v>
      </c>
      <c r="R50" t="n">
        <v>400</v>
      </c>
      <c r="S50" t="n">
        <v>415</v>
      </c>
      <c r="T50" t="n">
        <v>388</v>
      </c>
      <c r="U50" t="n">
        <v>368</v>
      </c>
      <c r="V50" t="n">
        <v>369</v>
      </c>
      <c r="W50" t="n">
        <v>381</v>
      </c>
      <c r="X50" t="n">
        <v>377</v>
      </c>
      <c r="Y50" t="n">
        <v>366</v>
      </c>
      <c r="Z50" t="n">
        <v>364</v>
      </c>
      <c r="AA50" t="n">
        <v>373</v>
      </c>
      <c r="AB50" t="n">
        <v>377</v>
      </c>
      <c r="AC50" t="n">
        <v>382</v>
      </c>
      <c r="AD50" t="n">
        <v>390</v>
      </c>
      <c r="AE50" t="n">
        <v>387</v>
      </c>
      <c r="AF50" t="n">
        <v>392</v>
      </c>
    </row>
    <row r="51">
      <c r="A51" t="s">
        <v>107</v>
      </c>
      <c r="B51" t="s">
        <v>372</v>
      </c>
      <c r="C51" t="s">
        <v>236</v>
      </c>
      <c r="D51" t="s">
        <v>373</v>
      </c>
      <c r="E51" t="s">
        <v>237</v>
      </c>
      <c r="F51" t="n">
        <v>37</v>
      </c>
      <c r="G51" t="n">
        <v>35</v>
      </c>
      <c r="H51" t="n">
        <v>34</v>
      </c>
      <c r="I51" t="n">
        <v>35</v>
      </c>
      <c r="J51" t="n">
        <v>35</v>
      </c>
      <c r="K51" t="n">
        <v>36</v>
      </c>
      <c r="L51" t="n">
        <v>28</v>
      </c>
      <c r="M51" t="n">
        <v>22</v>
      </c>
      <c r="N51" t="n">
        <v>17</v>
      </c>
      <c r="O51" t="n">
        <v>17</v>
      </c>
      <c r="P51" t="n">
        <v>15</v>
      </c>
      <c r="Q51" t="n">
        <v>11</v>
      </c>
      <c r="R51" t="n">
        <v>11</v>
      </c>
      <c r="S51" t="n">
        <v>10</v>
      </c>
      <c r="T51" t="n">
        <v>9</v>
      </c>
      <c r="U51" t="n">
        <v>8</v>
      </c>
      <c r="V51" t="n">
        <v>7</v>
      </c>
      <c r="W51" t="n">
        <v>8</v>
      </c>
      <c r="X51" t="n">
        <v>8</v>
      </c>
      <c r="Y51" t="n">
        <v>7</v>
      </c>
      <c r="Z51" t="n">
        <v>6</v>
      </c>
      <c r="AA51" t="n">
        <v>6</v>
      </c>
      <c r="AB51" t="n">
        <v>5</v>
      </c>
      <c r="AC51" t="n">
        <v>4</v>
      </c>
      <c r="AD51" t="n">
        <v>1</v>
      </c>
      <c r="AE51" t="n">
        <v>0</v>
      </c>
      <c r="AF51" t="n">
        <v>0</v>
      </c>
    </row>
    <row r="52">
      <c r="A52" t="s">
        <v>107</v>
      </c>
      <c r="B52" t="s">
        <v>374</v>
      </c>
      <c r="C52" t="s">
        <v>236</v>
      </c>
      <c r="D52" t="s">
        <v>375</v>
      </c>
      <c r="E52" t="s">
        <v>237</v>
      </c>
      <c r="F52" t="n">
        <v>304</v>
      </c>
      <c r="G52" t="n">
        <v>308</v>
      </c>
      <c r="H52" t="n">
        <v>323</v>
      </c>
      <c r="I52" t="n">
        <v>337</v>
      </c>
      <c r="J52" t="n">
        <v>347</v>
      </c>
      <c r="K52" t="n">
        <v>367</v>
      </c>
      <c r="L52" t="n">
        <v>375</v>
      </c>
      <c r="M52" t="n">
        <v>363</v>
      </c>
      <c r="N52" t="n">
        <v>355</v>
      </c>
      <c r="O52" t="n">
        <v>358</v>
      </c>
      <c r="P52" t="n">
        <v>368</v>
      </c>
      <c r="Q52" t="n">
        <v>373</v>
      </c>
      <c r="R52" t="n">
        <v>389</v>
      </c>
      <c r="S52" t="n">
        <v>405</v>
      </c>
      <c r="T52" t="n">
        <v>379</v>
      </c>
      <c r="U52" t="n">
        <v>360</v>
      </c>
      <c r="V52" t="n">
        <v>362</v>
      </c>
      <c r="W52" t="n">
        <v>373</v>
      </c>
      <c r="X52" t="n">
        <v>369</v>
      </c>
      <c r="Y52" t="n">
        <v>359</v>
      </c>
      <c r="Z52" t="n">
        <v>358</v>
      </c>
      <c r="AA52" t="n">
        <v>367</v>
      </c>
      <c r="AB52" t="n">
        <v>372</v>
      </c>
      <c r="AC52" t="n">
        <v>378</v>
      </c>
      <c r="AD52" t="n">
        <v>389</v>
      </c>
      <c r="AE52" t="n">
        <v>387</v>
      </c>
      <c r="AF52" t="n">
        <v>392</v>
      </c>
    </row>
    <row r="53">
      <c r="A53" t="s">
        <v>107</v>
      </c>
      <c r="B53" t="s">
        <v>376</v>
      </c>
      <c r="C53" t="s">
        <v>236</v>
      </c>
      <c r="D53" t="s">
        <v>377</v>
      </c>
      <c r="E53" t="s">
        <v>237</v>
      </c>
      <c r="F53" t="n">
        <v>1</v>
      </c>
      <c r="G53" t="n">
        <v>1</v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1</v>
      </c>
      <c r="AB53" t="n">
        <v>2</v>
      </c>
      <c r="AC53" t="n">
        <v>4</v>
      </c>
      <c r="AD53" t="n">
        <v>5</v>
      </c>
      <c r="AE53" t="n">
        <v>5</v>
      </c>
      <c r="AF53" t="n">
        <v>6</v>
      </c>
    </row>
    <row r="54">
      <c r="A54" t="s">
        <v>107</v>
      </c>
      <c r="B54" t="s">
        <v>378</v>
      </c>
      <c r="C54" t="s">
        <v>236</v>
      </c>
      <c r="D54" t="s">
        <v>379</v>
      </c>
      <c r="E54" t="s">
        <v>237</v>
      </c>
      <c r="F54" t="n">
        <v>1</v>
      </c>
      <c r="G54" t="n">
        <v>1</v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1</v>
      </c>
      <c r="AB54" t="n">
        <v>2</v>
      </c>
      <c r="AC54" t="n">
        <v>4</v>
      </c>
      <c r="AD54" t="n">
        <v>5</v>
      </c>
      <c r="AE54" t="n">
        <v>5</v>
      </c>
      <c r="AF54" t="n">
        <v>6</v>
      </c>
    </row>
    <row r="55">
      <c r="A55" t="s">
        <v>107</v>
      </c>
      <c r="B55" t="s">
        <v>380</v>
      </c>
      <c r="C55" t="s">
        <v>236</v>
      </c>
      <c r="D55" t="s">
        <v>381</v>
      </c>
      <c r="E55" t="s">
        <v>237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107</v>
      </c>
      <c r="B56" t="s">
        <v>382</v>
      </c>
      <c r="C56" t="s">
        <v>236</v>
      </c>
      <c r="D56" t="s">
        <v>383</v>
      </c>
      <c r="E56" t="s">
        <v>237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107</v>
      </c>
      <c r="B57" t="s">
        <v>384</v>
      </c>
      <c r="C57" t="s">
        <v>236</v>
      </c>
      <c r="D57" t="s">
        <v>385</v>
      </c>
      <c r="E57" t="s">
        <v>237</v>
      </c>
      <c r="F57" t="n">
        <v>125910</v>
      </c>
      <c r="G57" t="n">
        <v>126237</v>
      </c>
      <c r="H57" t="n">
        <v>133962</v>
      </c>
      <c r="I57" t="n">
        <v>145195</v>
      </c>
      <c r="J57" t="n">
        <v>154220</v>
      </c>
      <c r="K57" t="n">
        <v>169294</v>
      </c>
      <c r="L57" t="n">
        <v>179287</v>
      </c>
      <c r="M57" t="n">
        <v>178402</v>
      </c>
      <c r="N57" t="n">
        <v>182160</v>
      </c>
      <c r="O57" t="n">
        <v>191110</v>
      </c>
      <c r="P57" t="n">
        <v>206017</v>
      </c>
      <c r="Q57" t="n">
        <v>219454</v>
      </c>
      <c r="R57" t="n">
        <v>239650</v>
      </c>
      <c r="S57" t="n">
        <v>256635</v>
      </c>
      <c r="T57" t="n">
        <v>251574</v>
      </c>
      <c r="U57" t="n">
        <v>247930</v>
      </c>
      <c r="V57" t="n">
        <v>262229</v>
      </c>
      <c r="W57" t="n">
        <v>281623</v>
      </c>
      <c r="X57" t="n">
        <v>291426</v>
      </c>
      <c r="Y57" t="n">
        <v>297341</v>
      </c>
      <c r="Z57" t="n">
        <v>302959</v>
      </c>
      <c r="AA57" t="n">
        <v>315887</v>
      </c>
      <c r="AB57" t="n">
        <v>331950</v>
      </c>
      <c r="AC57" t="n">
        <v>352921</v>
      </c>
      <c r="AD57" t="n">
        <v>374807</v>
      </c>
      <c r="AE57" t="n">
        <v>387294</v>
      </c>
      <c r="AF57" t="n">
        <v>402036</v>
      </c>
    </row>
    <row r="58">
      <c r="A58" t="s">
        <v>107</v>
      </c>
      <c r="B58" t="s">
        <v>386</v>
      </c>
      <c r="C58" t="s">
        <v>236</v>
      </c>
      <c r="D58" t="s">
        <v>387</v>
      </c>
      <c r="E58" t="s">
        <v>237</v>
      </c>
      <c r="F58" t="n">
        <v>125910</v>
      </c>
      <c r="G58" t="n">
        <v>126237</v>
      </c>
      <c r="H58" t="n">
        <v>133962</v>
      </c>
      <c r="I58" t="n">
        <v>145195</v>
      </c>
      <c r="J58" t="n">
        <v>154220</v>
      </c>
      <c r="K58" t="n">
        <v>169294</v>
      </c>
      <c r="L58" t="n">
        <v>179287</v>
      </c>
      <c r="M58" t="n">
        <v>178402</v>
      </c>
      <c r="N58" t="n">
        <v>182160</v>
      </c>
      <c r="O58" t="n">
        <v>191110</v>
      </c>
      <c r="P58" t="n">
        <v>206017</v>
      </c>
      <c r="Q58" t="n">
        <v>219454</v>
      </c>
      <c r="R58" t="n">
        <v>239650</v>
      </c>
      <c r="S58" t="n">
        <v>256635</v>
      </c>
      <c r="T58" t="n">
        <v>251574</v>
      </c>
      <c r="U58" t="n">
        <v>247930</v>
      </c>
      <c r="V58" t="n">
        <v>262229</v>
      </c>
      <c r="W58" t="n">
        <v>281623</v>
      </c>
      <c r="X58" t="n">
        <v>291426</v>
      </c>
      <c r="Y58" t="n">
        <v>297341</v>
      </c>
      <c r="Z58" t="n">
        <v>302959</v>
      </c>
      <c r="AA58" t="n">
        <v>315887</v>
      </c>
      <c r="AB58" t="n">
        <v>331950</v>
      </c>
      <c r="AC58" t="n">
        <v>352921</v>
      </c>
      <c r="AD58" t="n">
        <v>374807</v>
      </c>
      <c r="AE58" t="n">
        <v>387294</v>
      </c>
      <c r="AF58" t="n">
        <v>402036</v>
      </c>
    </row>
    <row r="59">
      <c r="A59" t="s">
        <v>107</v>
      </c>
      <c r="B59" t="s">
        <v>388</v>
      </c>
      <c r="C59" t="s">
        <v>236</v>
      </c>
      <c r="D59" t="s">
        <v>389</v>
      </c>
      <c r="E59" t="s">
        <v>237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109</v>
      </c>
      <c r="B2" t="s">
        <v>197</v>
      </c>
      <c r="C2" t="s">
        <v>236</v>
      </c>
      <c r="D2" t="s">
        <v>199</v>
      </c>
      <c r="E2" t="s">
        <v>237</v>
      </c>
      <c r="F2" t="n">
        <v>214</v>
      </c>
      <c r="G2" t="n">
        <v>153</v>
      </c>
      <c r="H2" t="n">
        <v>185</v>
      </c>
      <c r="I2" t="n">
        <v>161</v>
      </c>
      <c r="J2" t="n">
        <v>165</v>
      </c>
      <c r="K2" t="n">
        <v>181</v>
      </c>
      <c r="L2" t="n">
        <v>180</v>
      </c>
      <c r="M2" t="n">
        <v>212</v>
      </c>
      <c r="N2" t="n">
        <v>204</v>
      </c>
      <c r="O2" t="n">
        <v>176</v>
      </c>
      <c r="P2" t="n">
        <v>192</v>
      </c>
      <c r="Q2" t="n">
        <v>168</v>
      </c>
      <c r="R2" t="n">
        <v>168</v>
      </c>
      <c r="S2" t="n">
        <v>173</v>
      </c>
      <c r="T2" t="n">
        <v>161</v>
      </c>
      <c r="U2" t="n">
        <v>153</v>
      </c>
      <c r="V2" t="n">
        <v>148</v>
      </c>
      <c r="W2" t="n">
        <v>135</v>
      </c>
      <c r="X2" t="n">
        <v>132</v>
      </c>
      <c r="Y2" t="n">
        <v>117</v>
      </c>
      <c r="Z2" t="n">
        <v>111</v>
      </c>
      <c r="AA2" t="n">
        <v>98</v>
      </c>
      <c r="AB2" t="n">
        <v>94</v>
      </c>
      <c r="AC2" t="n">
        <v>87</v>
      </c>
      <c r="AD2" t="n">
        <v>89</v>
      </c>
      <c r="AE2" t="n">
        <v>101</v>
      </c>
      <c r="AF2" t="n">
        <v>86</v>
      </c>
    </row>
    <row r="3">
      <c r="A3" t="s">
        <v>109</v>
      </c>
      <c r="B3" t="s">
        <v>276</v>
      </c>
      <c r="C3" t="s">
        <v>236</v>
      </c>
      <c r="D3" t="s">
        <v>277</v>
      </c>
      <c r="E3" t="s">
        <v>237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109</v>
      </c>
      <c r="B4" t="s">
        <v>278</v>
      </c>
      <c r="C4" t="s">
        <v>236</v>
      </c>
      <c r="D4" t="s">
        <v>279</v>
      </c>
      <c r="E4" t="s">
        <v>237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109</v>
      </c>
      <c r="B5" t="s">
        <v>280</v>
      </c>
      <c r="C5" t="s">
        <v>236</v>
      </c>
      <c r="D5" t="s">
        <v>281</v>
      </c>
      <c r="E5" t="s">
        <v>237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109</v>
      </c>
      <c r="B6" t="s">
        <v>282</v>
      </c>
      <c r="C6" t="s">
        <v>236</v>
      </c>
      <c r="D6" t="s">
        <v>283</v>
      </c>
      <c r="E6" t="s">
        <v>237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109</v>
      </c>
      <c r="B7" t="s">
        <v>284</v>
      </c>
      <c r="C7" t="s">
        <v>236</v>
      </c>
      <c r="D7" t="s">
        <v>285</v>
      </c>
      <c r="E7" t="s">
        <v>237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109</v>
      </c>
      <c r="B8" t="s">
        <v>286</v>
      </c>
      <c r="C8" t="s">
        <v>236</v>
      </c>
      <c r="D8" t="s">
        <v>287</v>
      </c>
      <c r="E8" t="s">
        <v>237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109</v>
      </c>
      <c r="B9" t="s">
        <v>288</v>
      </c>
      <c r="C9" t="s">
        <v>236</v>
      </c>
      <c r="D9" t="s">
        <v>289</v>
      </c>
      <c r="E9" t="s">
        <v>237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109</v>
      </c>
      <c r="B10" t="s">
        <v>290</v>
      </c>
      <c r="C10" t="s">
        <v>236</v>
      </c>
      <c r="D10" t="s">
        <v>291</v>
      </c>
      <c r="E10" t="s">
        <v>237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109</v>
      </c>
      <c r="B11" t="s">
        <v>292</v>
      </c>
      <c r="C11" t="s">
        <v>236</v>
      </c>
      <c r="D11" t="s">
        <v>293</v>
      </c>
      <c r="E11" t="s">
        <v>237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109</v>
      </c>
      <c r="B12" t="s">
        <v>294</v>
      </c>
      <c r="C12" t="s">
        <v>236</v>
      </c>
      <c r="D12" t="s">
        <v>295</v>
      </c>
      <c r="E12" t="s">
        <v>237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109</v>
      </c>
      <c r="B13" t="s">
        <v>296</v>
      </c>
      <c r="C13" t="s">
        <v>236</v>
      </c>
      <c r="D13" t="s">
        <v>297</v>
      </c>
      <c r="E13" t="s">
        <v>237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109</v>
      </c>
      <c r="B14" t="s">
        <v>298</v>
      </c>
      <c r="C14" t="s">
        <v>236</v>
      </c>
      <c r="D14" t="s">
        <v>299</v>
      </c>
      <c r="E14" t="s">
        <v>237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109</v>
      </c>
      <c r="B15" t="s">
        <v>300</v>
      </c>
      <c r="C15" t="s">
        <v>236</v>
      </c>
      <c r="D15" t="s">
        <v>301</v>
      </c>
      <c r="E15" t="s">
        <v>237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109</v>
      </c>
      <c r="B16" t="s">
        <v>302</v>
      </c>
      <c r="C16" t="s">
        <v>236</v>
      </c>
      <c r="D16" t="s">
        <v>303</v>
      </c>
      <c r="E16" t="s">
        <v>237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109</v>
      </c>
      <c r="B17" t="s">
        <v>304</v>
      </c>
      <c r="C17" t="s">
        <v>236</v>
      </c>
      <c r="D17" t="s">
        <v>305</v>
      </c>
      <c r="E17" t="s">
        <v>237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109</v>
      </c>
      <c r="B18" t="s">
        <v>306</v>
      </c>
      <c r="C18" t="s">
        <v>236</v>
      </c>
      <c r="D18" t="s">
        <v>307</v>
      </c>
      <c r="E18" t="s">
        <v>237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109</v>
      </c>
      <c r="B19" t="s">
        <v>308</v>
      </c>
      <c r="C19" t="s">
        <v>236</v>
      </c>
      <c r="D19" t="s">
        <v>309</v>
      </c>
      <c r="E19" t="s">
        <v>237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109</v>
      </c>
      <c r="B20" t="s">
        <v>310</v>
      </c>
      <c r="C20" t="s">
        <v>236</v>
      </c>
      <c r="D20" t="s">
        <v>311</v>
      </c>
      <c r="E20" t="s">
        <v>237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109</v>
      </c>
      <c r="B21" t="s">
        <v>312</v>
      </c>
      <c r="C21" t="s">
        <v>236</v>
      </c>
      <c r="D21" t="s">
        <v>313</v>
      </c>
      <c r="E21" t="s">
        <v>237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109</v>
      </c>
      <c r="B22" t="s">
        <v>314</v>
      </c>
      <c r="C22" t="s">
        <v>236</v>
      </c>
      <c r="D22" t="s">
        <v>315</v>
      </c>
      <c r="E22" t="s">
        <v>237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109</v>
      </c>
      <c r="B23" t="s">
        <v>316</v>
      </c>
      <c r="C23" t="s">
        <v>236</v>
      </c>
      <c r="D23" t="s">
        <v>317</v>
      </c>
      <c r="E23" t="s">
        <v>237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109</v>
      </c>
      <c r="B24" t="s">
        <v>318</v>
      </c>
      <c r="C24" t="s">
        <v>236</v>
      </c>
      <c r="D24" t="s">
        <v>319</v>
      </c>
      <c r="E24" t="s">
        <v>237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109</v>
      </c>
      <c r="B25" t="s">
        <v>320</v>
      </c>
      <c r="C25" t="s">
        <v>236</v>
      </c>
      <c r="D25" t="s">
        <v>321</v>
      </c>
      <c r="E25" t="s">
        <v>237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109</v>
      </c>
      <c r="B26" t="s">
        <v>322</v>
      </c>
      <c r="C26" t="s">
        <v>236</v>
      </c>
      <c r="D26" t="s">
        <v>323</v>
      </c>
      <c r="E26" t="s">
        <v>237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109</v>
      </c>
      <c r="B27" t="s">
        <v>324</v>
      </c>
      <c r="C27" t="s">
        <v>236</v>
      </c>
      <c r="D27" t="s">
        <v>325</v>
      </c>
      <c r="E27" t="s">
        <v>237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109</v>
      </c>
      <c r="B28" t="s">
        <v>326</v>
      </c>
      <c r="C28" t="s">
        <v>236</v>
      </c>
      <c r="D28" t="s">
        <v>327</v>
      </c>
      <c r="E28" t="s">
        <v>237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109</v>
      </c>
      <c r="B29" t="s">
        <v>328</v>
      </c>
      <c r="C29" t="s">
        <v>236</v>
      </c>
      <c r="D29" t="s">
        <v>329</v>
      </c>
      <c r="E29" t="s">
        <v>237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109</v>
      </c>
      <c r="B30" t="s">
        <v>330</v>
      </c>
      <c r="C30" t="s">
        <v>236</v>
      </c>
      <c r="D30" t="s">
        <v>331</v>
      </c>
      <c r="E30" t="s">
        <v>237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109</v>
      </c>
      <c r="B31" t="s">
        <v>332</v>
      </c>
      <c r="C31" t="s">
        <v>236</v>
      </c>
      <c r="D31" t="s">
        <v>333</v>
      </c>
      <c r="E31" t="s">
        <v>237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109</v>
      </c>
      <c r="B32" t="s">
        <v>334</v>
      </c>
      <c r="C32" t="s">
        <v>236</v>
      </c>
      <c r="D32" t="s">
        <v>335</v>
      </c>
      <c r="E32" t="s">
        <v>237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109</v>
      </c>
      <c r="B33" t="s">
        <v>336</v>
      </c>
      <c r="C33" t="s">
        <v>236</v>
      </c>
      <c r="D33" t="s">
        <v>337</v>
      </c>
      <c r="E33" t="s">
        <v>237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109</v>
      </c>
      <c r="B34" t="s">
        <v>338</v>
      </c>
      <c r="C34" t="s">
        <v>236</v>
      </c>
      <c r="D34" t="s">
        <v>339</v>
      </c>
      <c r="E34" t="s">
        <v>237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109</v>
      </c>
      <c r="B35" t="s">
        <v>340</v>
      </c>
      <c r="C35" t="s">
        <v>236</v>
      </c>
      <c r="D35" t="s">
        <v>341</v>
      </c>
      <c r="E35" t="s">
        <v>237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109</v>
      </c>
      <c r="B36" t="s">
        <v>342</v>
      </c>
      <c r="C36" t="s">
        <v>236</v>
      </c>
      <c r="D36" t="s">
        <v>343</v>
      </c>
      <c r="E36" t="s">
        <v>237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109</v>
      </c>
      <c r="B37" t="s">
        <v>344</v>
      </c>
      <c r="C37" t="s">
        <v>236</v>
      </c>
      <c r="D37" t="s">
        <v>345</v>
      </c>
      <c r="E37" t="s">
        <v>237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109</v>
      </c>
      <c r="B38" t="s">
        <v>346</v>
      </c>
      <c r="C38" t="s">
        <v>236</v>
      </c>
      <c r="D38" t="s">
        <v>347</v>
      </c>
      <c r="E38" t="s">
        <v>237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109</v>
      </c>
      <c r="B39" t="s">
        <v>348</v>
      </c>
      <c r="C39" t="s">
        <v>236</v>
      </c>
      <c r="D39" t="s">
        <v>349</v>
      </c>
      <c r="E39" t="s">
        <v>237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109</v>
      </c>
      <c r="B40" t="s">
        <v>350</v>
      </c>
      <c r="C40" t="s">
        <v>236</v>
      </c>
      <c r="D40" t="s">
        <v>351</v>
      </c>
      <c r="E40" t="s">
        <v>237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109</v>
      </c>
      <c r="B41" t="s">
        <v>352</v>
      </c>
      <c r="C41" t="s">
        <v>236</v>
      </c>
      <c r="D41" t="s">
        <v>353</v>
      </c>
      <c r="E41" t="s">
        <v>237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109</v>
      </c>
      <c r="B42" t="s">
        <v>354</v>
      </c>
      <c r="C42" t="s">
        <v>236</v>
      </c>
      <c r="D42" t="s">
        <v>355</v>
      </c>
      <c r="E42" t="s">
        <v>237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109</v>
      </c>
      <c r="B43" t="s">
        <v>356</v>
      </c>
      <c r="C43" t="s">
        <v>236</v>
      </c>
      <c r="D43" t="s">
        <v>357</v>
      </c>
      <c r="E43" t="s">
        <v>237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109</v>
      </c>
      <c r="B44" t="s">
        <v>358</v>
      </c>
      <c r="C44" t="s">
        <v>236</v>
      </c>
      <c r="D44" t="s">
        <v>359</v>
      </c>
      <c r="E44" t="s">
        <v>237</v>
      </c>
      <c r="F44" t="n">
        <v>246</v>
      </c>
      <c r="G44" t="n">
        <v>173</v>
      </c>
      <c r="H44" t="n">
        <v>208</v>
      </c>
      <c r="I44" t="n">
        <v>181</v>
      </c>
      <c r="J44" t="n">
        <v>184</v>
      </c>
      <c r="K44" t="n">
        <v>202</v>
      </c>
      <c r="L44" t="n">
        <v>203</v>
      </c>
      <c r="M44" t="n">
        <v>239</v>
      </c>
      <c r="N44" t="n">
        <v>232</v>
      </c>
      <c r="O44" t="n">
        <v>201</v>
      </c>
      <c r="P44" t="n">
        <v>220</v>
      </c>
      <c r="Q44" t="n">
        <v>196</v>
      </c>
      <c r="R44" t="n">
        <v>200</v>
      </c>
      <c r="S44" t="n">
        <v>210</v>
      </c>
      <c r="T44" t="n">
        <v>200</v>
      </c>
      <c r="U44" t="n">
        <v>194</v>
      </c>
      <c r="V44" t="n">
        <v>190</v>
      </c>
      <c r="W44" t="n">
        <v>172</v>
      </c>
      <c r="X44" t="n">
        <v>172</v>
      </c>
      <c r="Y44" t="n">
        <v>156</v>
      </c>
      <c r="Z44" t="n">
        <v>148</v>
      </c>
      <c r="AA44" t="n">
        <v>124</v>
      </c>
      <c r="AB44" t="n">
        <v>114</v>
      </c>
      <c r="AC44" t="n">
        <v>110</v>
      </c>
      <c r="AD44" t="n">
        <v>114</v>
      </c>
      <c r="AE44" t="n">
        <v>120</v>
      </c>
      <c r="AF44" t="n">
        <v>100</v>
      </c>
    </row>
    <row r="45">
      <c r="A45" t="s">
        <v>109</v>
      </c>
      <c r="B45" t="s">
        <v>360</v>
      </c>
      <c r="C45" t="s">
        <v>236</v>
      </c>
      <c r="D45" t="s">
        <v>361</v>
      </c>
      <c r="E45" t="s">
        <v>237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109</v>
      </c>
      <c r="B46" t="s">
        <v>362</v>
      </c>
      <c r="C46" t="s">
        <v>236</v>
      </c>
      <c r="D46" t="s">
        <v>363</v>
      </c>
      <c r="E46" t="s">
        <v>237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109</v>
      </c>
      <c r="B47" t="s">
        <v>364</v>
      </c>
      <c r="C47" t="s">
        <v>236</v>
      </c>
      <c r="D47" t="s">
        <v>365</v>
      </c>
      <c r="E47" t="s">
        <v>237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109</v>
      </c>
      <c r="B48" t="s">
        <v>366</v>
      </c>
      <c r="C48" t="s">
        <v>236</v>
      </c>
      <c r="D48" t="s">
        <v>367</v>
      </c>
      <c r="E48" t="s">
        <v>237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109</v>
      </c>
      <c r="B49" t="s">
        <v>368</v>
      </c>
      <c r="C49" t="s">
        <v>236</v>
      </c>
      <c r="D49" t="s">
        <v>369</v>
      </c>
      <c r="E49" t="s">
        <v>237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109</v>
      </c>
      <c r="B50" t="s">
        <v>370</v>
      </c>
      <c r="C50" t="s">
        <v>236</v>
      </c>
      <c r="D50" t="s">
        <v>371</v>
      </c>
      <c r="E50" t="s">
        <v>237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109</v>
      </c>
      <c r="B51" t="s">
        <v>372</v>
      </c>
      <c r="C51" t="s">
        <v>236</v>
      </c>
      <c r="D51" t="s">
        <v>373</v>
      </c>
      <c r="E51" t="s">
        <v>237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109</v>
      </c>
      <c r="B52" t="s">
        <v>374</v>
      </c>
      <c r="C52" t="s">
        <v>236</v>
      </c>
      <c r="D52" t="s">
        <v>375</v>
      </c>
      <c r="E52" t="s">
        <v>237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109</v>
      </c>
      <c r="B53" t="s">
        <v>376</v>
      </c>
      <c r="C53" t="s">
        <v>236</v>
      </c>
      <c r="D53" t="s">
        <v>377</v>
      </c>
      <c r="E53" t="s">
        <v>237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109</v>
      </c>
      <c r="B54" t="s">
        <v>378</v>
      </c>
      <c r="C54" t="s">
        <v>236</v>
      </c>
      <c r="D54" t="s">
        <v>379</v>
      </c>
      <c r="E54" t="s">
        <v>237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109</v>
      </c>
      <c r="B55" t="s">
        <v>380</v>
      </c>
      <c r="C55" t="s">
        <v>236</v>
      </c>
      <c r="D55" t="s">
        <v>381</v>
      </c>
      <c r="E55" t="s">
        <v>237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109</v>
      </c>
      <c r="B56" t="s">
        <v>382</v>
      </c>
      <c r="C56" t="s">
        <v>236</v>
      </c>
      <c r="D56" t="s">
        <v>383</v>
      </c>
      <c r="E56" t="s">
        <v>237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109</v>
      </c>
      <c r="B57" t="s">
        <v>384</v>
      </c>
      <c r="C57" t="s">
        <v>236</v>
      </c>
      <c r="D57" t="s">
        <v>385</v>
      </c>
      <c r="E57" t="s">
        <v>237</v>
      </c>
      <c r="F57" t="n">
        <v>246</v>
      </c>
      <c r="G57" t="n">
        <v>173</v>
      </c>
      <c r="H57" t="n">
        <v>208</v>
      </c>
      <c r="I57" t="n">
        <v>181</v>
      </c>
      <c r="J57" t="n">
        <v>184</v>
      </c>
      <c r="K57" t="n">
        <v>202</v>
      </c>
      <c r="L57" t="n">
        <v>203</v>
      </c>
      <c r="M57" t="n">
        <v>239</v>
      </c>
      <c r="N57" t="n">
        <v>232</v>
      </c>
      <c r="O57" t="n">
        <v>201</v>
      </c>
      <c r="P57" t="n">
        <v>220</v>
      </c>
      <c r="Q57" t="n">
        <v>196</v>
      </c>
      <c r="R57" t="n">
        <v>200</v>
      </c>
      <c r="S57" t="n">
        <v>210</v>
      </c>
      <c r="T57" t="n">
        <v>200</v>
      </c>
      <c r="U57" t="n">
        <v>194</v>
      </c>
      <c r="V57" t="n">
        <v>190</v>
      </c>
      <c r="W57" t="n">
        <v>172</v>
      </c>
      <c r="X57" t="n">
        <v>172</v>
      </c>
      <c r="Y57" t="n">
        <v>156</v>
      </c>
      <c r="Z57" t="n">
        <v>148</v>
      </c>
      <c r="AA57" t="n">
        <v>124</v>
      </c>
      <c r="AB57" t="n">
        <v>114</v>
      </c>
      <c r="AC57" t="n">
        <v>110</v>
      </c>
      <c r="AD57" t="n">
        <v>114</v>
      </c>
      <c r="AE57" t="n">
        <v>120</v>
      </c>
      <c r="AF57" t="n">
        <v>100</v>
      </c>
    </row>
    <row r="58">
      <c r="A58" t="s">
        <v>109</v>
      </c>
      <c r="B58" t="s">
        <v>386</v>
      </c>
      <c r="C58" t="s">
        <v>236</v>
      </c>
      <c r="D58" t="s">
        <v>387</v>
      </c>
      <c r="E58" t="s">
        <v>237</v>
      </c>
      <c r="F58" t="n">
        <v>246</v>
      </c>
      <c r="G58" t="n">
        <v>173</v>
      </c>
      <c r="H58" t="n">
        <v>208</v>
      </c>
      <c r="I58" t="n">
        <v>181</v>
      </c>
      <c r="J58" t="n">
        <v>184</v>
      </c>
      <c r="K58" t="n">
        <v>202</v>
      </c>
      <c r="L58" t="n">
        <v>203</v>
      </c>
      <c r="M58" t="n">
        <v>239</v>
      </c>
      <c r="N58" t="n">
        <v>232</v>
      </c>
      <c r="O58" t="n">
        <v>201</v>
      </c>
      <c r="P58" t="n">
        <v>220</v>
      </c>
      <c r="Q58" t="n">
        <v>196</v>
      </c>
      <c r="R58" t="n">
        <v>200</v>
      </c>
      <c r="S58" t="n">
        <v>210</v>
      </c>
      <c r="T58" t="n">
        <v>200</v>
      </c>
      <c r="U58" t="n">
        <v>194</v>
      </c>
      <c r="V58" t="n">
        <v>190</v>
      </c>
      <c r="W58" t="n">
        <v>172</v>
      </c>
      <c r="X58" t="n">
        <v>172</v>
      </c>
      <c r="Y58" t="n">
        <v>156</v>
      </c>
      <c r="Z58" t="n">
        <v>148</v>
      </c>
      <c r="AA58" t="n">
        <v>124</v>
      </c>
      <c r="AB58" t="n">
        <v>114</v>
      </c>
      <c r="AC58" t="n">
        <v>110</v>
      </c>
      <c r="AD58" t="n">
        <v>114</v>
      </c>
      <c r="AE58" t="n">
        <v>120</v>
      </c>
      <c r="AF58" t="n">
        <v>100</v>
      </c>
    </row>
    <row r="59">
      <c r="A59" t="s">
        <v>109</v>
      </c>
      <c r="B59" t="s">
        <v>388</v>
      </c>
      <c r="C59" t="s">
        <v>236</v>
      </c>
      <c r="D59" t="s">
        <v>389</v>
      </c>
      <c r="E59" t="s">
        <v>237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111</v>
      </c>
      <c r="B2" t="s">
        <v>197</v>
      </c>
      <c r="C2" t="s">
        <v>236</v>
      </c>
      <c r="D2" t="s">
        <v>199</v>
      </c>
      <c r="E2" t="s">
        <v>237</v>
      </c>
      <c r="F2" t="n">
        <v>10</v>
      </c>
      <c r="G2" t="n">
        <v>9</v>
      </c>
      <c r="H2" t="n">
        <v>7</v>
      </c>
      <c r="I2" t="n">
        <v>9</v>
      </c>
      <c r="J2" t="n">
        <v>10</v>
      </c>
      <c r="K2" t="n">
        <v>10</v>
      </c>
      <c r="L2" t="n">
        <v>8</v>
      </c>
      <c r="M2" t="n">
        <v>8</v>
      </c>
      <c r="N2" t="n">
        <v>7</v>
      </c>
      <c r="O2" t="n">
        <v>5</v>
      </c>
      <c r="P2" t="n">
        <v>5</v>
      </c>
      <c r="Q2" t="n">
        <v>4</v>
      </c>
      <c r="R2" t="n">
        <v>3</v>
      </c>
      <c r="S2" t="n">
        <v>3</v>
      </c>
      <c r="T2" t="n">
        <v>3</v>
      </c>
      <c r="U2" t="n">
        <v>5</v>
      </c>
      <c r="V2" t="n">
        <v>9</v>
      </c>
      <c r="W2" t="n">
        <v>10</v>
      </c>
      <c r="X2" t="n">
        <v>8</v>
      </c>
      <c r="Y2" t="n">
        <v>9</v>
      </c>
      <c r="Z2" t="n">
        <v>8</v>
      </c>
      <c r="AA2" t="n">
        <v>9</v>
      </c>
      <c r="AB2" t="n">
        <v>12</v>
      </c>
      <c r="AC2" t="n">
        <v>21</v>
      </c>
      <c r="AD2" t="n">
        <v>32</v>
      </c>
      <c r="AE2" t="n">
        <v>39</v>
      </c>
      <c r="AF2" t="n">
        <v>43</v>
      </c>
    </row>
    <row r="3">
      <c r="A3" t="s">
        <v>111</v>
      </c>
      <c r="B3" t="s">
        <v>276</v>
      </c>
      <c r="C3" t="s">
        <v>236</v>
      </c>
      <c r="D3" t="s">
        <v>277</v>
      </c>
      <c r="E3" t="s">
        <v>237</v>
      </c>
      <c r="F3" t="n">
        <v>21</v>
      </c>
      <c r="G3" t="n">
        <v>23</v>
      </c>
      <c r="H3" t="n">
        <v>23</v>
      </c>
      <c r="I3" t="n">
        <v>27</v>
      </c>
      <c r="J3" t="n">
        <v>31</v>
      </c>
      <c r="K3" t="n">
        <v>35</v>
      </c>
      <c r="L3" t="n">
        <v>33</v>
      </c>
      <c r="M3" t="n">
        <v>31</v>
      </c>
      <c r="N3" t="n">
        <v>31</v>
      </c>
      <c r="O3" t="n">
        <v>30</v>
      </c>
      <c r="P3" t="n">
        <v>28</v>
      </c>
      <c r="Q3" t="n">
        <v>26</v>
      </c>
      <c r="R3" t="n">
        <v>28</v>
      </c>
      <c r="S3" t="n">
        <v>32</v>
      </c>
      <c r="T3" t="n">
        <v>40</v>
      </c>
      <c r="U3" t="n">
        <v>42</v>
      </c>
      <c r="V3" t="n">
        <v>42</v>
      </c>
      <c r="W3" t="n">
        <v>42</v>
      </c>
      <c r="X3" t="n">
        <v>42</v>
      </c>
      <c r="Y3" t="n">
        <v>39</v>
      </c>
      <c r="Z3" t="n">
        <v>36</v>
      </c>
      <c r="AA3" t="n">
        <v>42</v>
      </c>
      <c r="AB3" t="n">
        <v>56</v>
      </c>
      <c r="AC3" t="n">
        <v>61</v>
      </c>
      <c r="AD3" t="n">
        <v>58</v>
      </c>
      <c r="AE3" t="n">
        <v>62</v>
      </c>
      <c r="AF3" t="n">
        <v>66</v>
      </c>
    </row>
    <row r="4">
      <c r="A4" t="s">
        <v>111</v>
      </c>
      <c r="B4" t="s">
        <v>278</v>
      </c>
      <c r="C4" t="s">
        <v>236</v>
      </c>
      <c r="D4" t="s">
        <v>279</v>
      </c>
      <c r="E4" t="s">
        <v>237</v>
      </c>
      <c r="F4" t="n">
        <v>4474</v>
      </c>
      <c r="G4" t="n">
        <v>5002</v>
      </c>
      <c r="H4" t="n">
        <v>5578</v>
      </c>
      <c r="I4" t="n">
        <v>6403</v>
      </c>
      <c r="J4" t="n">
        <v>7392</v>
      </c>
      <c r="K4" t="n">
        <v>8835</v>
      </c>
      <c r="L4" t="n">
        <v>10129</v>
      </c>
      <c r="M4" t="n">
        <v>11194</v>
      </c>
      <c r="N4" t="n">
        <v>12157</v>
      </c>
      <c r="O4" t="n">
        <v>13376</v>
      </c>
      <c r="P4" t="n">
        <v>14566</v>
      </c>
      <c r="Q4" t="n">
        <v>15505</v>
      </c>
      <c r="R4" t="n">
        <v>16580</v>
      </c>
      <c r="S4" t="n">
        <v>18673</v>
      </c>
      <c r="T4" t="n">
        <v>19800</v>
      </c>
      <c r="U4" t="n">
        <v>20375</v>
      </c>
      <c r="V4" t="n">
        <v>20774</v>
      </c>
      <c r="W4" t="n">
        <v>20524</v>
      </c>
      <c r="X4" t="n">
        <v>20061</v>
      </c>
      <c r="Y4" t="n">
        <v>19352</v>
      </c>
      <c r="Z4" t="n">
        <v>18549</v>
      </c>
      <c r="AA4" t="n">
        <v>17813</v>
      </c>
      <c r="AB4" t="n">
        <v>16724</v>
      </c>
      <c r="AC4" t="n">
        <v>16032</v>
      </c>
      <c r="AD4" t="n">
        <v>16075</v>
      </c>
      <c r="AE4" t="n">
        <v>15810</v>
      </c>
      <c r="AF4" t="n">
        <v>15840</v>
      </c>
    </row>
    <row r="5">
      <c r="A5" t="s">
        <v>111</v>
      </c>
      <c r="B5" t="s">
        <v>280</v>
      </c>
      <c r="C5" t="s">
        <v>236</v>
      </c>
      <c r="D5" t="s">
        <v>281</v>
      </c>
      <c r="E5" t="s">
        <v>237</v>
      </c>
      <c r="F5" t="n">
        <v>182</v>
      </c>
      <c r="G5" t="n">
        <v>190</v>
      </c>
      <c r="H5" t="n">
        <v>190</v>
      </c>
      <c r="I5" t="n">
        <v>196</v>
      </c>
      <c r="J5" t="n">
        <v>200</v>
      </c>
      <c r="K5" t="n">
        <v>210</v>
      </c>
      <c r="L5" t="n">
        <v>219</v>
      </c>
      <c r="M5" t="n">
        <v>225</v>
      </c>
      <c r="N5" t="n">
        <v>221</v>
      </c>
      <c r="O5" t="n">
        <v>225</v>
      </c>
      <c r="P5" t="n">
        <v>238</v>
      </c>
      <c r="Q5" t="n">
        <v>245</v>
      </c>
      <c r="R5" t="n">
        <v>245</v>
      </c>
      <c r="S5" t="n">
        <v>261</v>
      </c>
      <c r="T5" t="n">
        <v>269</v>
      </c>
      <c r="U5" t="n">
        <v>275</v>
      </c>
      <c r="V5" t="n">
        <v>283</v>
      </c>
      <c r="W5" t="n">
        <v>288</v>
      </c>
      <c r="X5" t="n">
        <v>297</v>
      </c>
      <c r="Y5" t="n">
        <v>300</v>
      </c>
      <c r="Z5" t="n">
        <v>294</v>
      </c>
      <c r="AA5" t="n">
        <v>287</v>
      </c>
      <c r="AB5" t="n">
        <v>285</v>
      </c>
      <c r="AC5" t="n">
        <v>279</v>
      </c>
      <c r="AD5" t="n">
        <v>282</v>
      </c>
      <c r="AE5" t="n">
        <v>283</v>
      </c>
      <c r="AF5" t="n">
        <v>275</v>
      </c>
    </row>
    <row r="6">
      <c r="A6" t="s">
        <v>111</v>
      </c>
      <c r="B6" t="s">
        <v>282</v>
      </c>
      <c r="C6" t="s">
        <v>236</v>
      </c>
      <c r="D6" t="s">
        <v>283</v>
      </c>
      <c r="E6" t="s">
        <v>237</v>
      </c>
      <c r="F6" t="n">
        <v>23</v>
      </c>
      <c r="G6" t="n">
        <v>25</v>
      </c>
      <c r="H6" t="n">
        <v>28</v>
      </c>
      <c r="I6" t="n">
        <v>32</v>
      </c>
      <c r="J6" t="n">
        <v>39</v>
      </c>
      <c r="K6" t="n">
        <v>44</v>
      </c>
      <c r="L6" t="n">
        <v>52</v>
      </c>
      <c r="M6" t="n">
        <v>53</v>
      </c>
      <c r="N6" t="n">
        <v>54</v>
      </c>
      <c r="O6" t="n">
        <v>55</v>
      </c>
      <c r="P6" t="n">
        <v>53</v>
      </c>
      <c r="Q6" t="n">
        <v>53</v>
      </c>
      <c r="R6" t="n">
        <v>52</v>
      </c>
      <c r="S6" t="n">
        <v>57</v>
      </c>
      <c r="T6" t="n">
        <v>63</v>
      </c>
      <c r="U6" t="n">
        <v>59</v>
      </c>
      <c r="V6" t="n">
        <v>54</v>
      </c>
      <c r="W6" t="n">
        <v>49</v>
      </c>
      <c r="X6" t="n">
        <v>45</v>
      </c>
      <c r="Y6" t="n">
        <v>43</v>
      </c>
      <c r="Z6" t="n">
        <v>43</v>
      </c>
      <c r="AA6" t="n">
        <v>41</v>
      </c>
      <c r="AB6" t="n">
        <v>37</v>
      </c>
      <c r="AC6" t="n">
        <v>34</v>
      </c>
      <c r="AD6" t="n">
        <v>31</v>
      </c>
      <c r="AE6" t="n">
        <v>28</v>
      </c>
      <c r="AF6" t="n">
        <v>29</v>
      </c>
    </row>
    <row r="7">
      <c r="A7" t="s">
        <v>111</v>
      </c>
      <c r="B7" t="s">
        <v>284</v>
      </c>
      <c r="C7" t="s">
        <v>236</v>
      </c>
      <c r="D7" t="s">
        <v>285</v>
      </c>
      <c r="E7" t="s">
        <v>237</v>
      </c>
      <c r="F7" t="n">
        <v>242</v>
      </c>
      <c r="G7" t="n">
        <v>266</v>
      </c>
      <c r="H7" t="n">
        <v>285</v>
      </c>
      <c r="I7" t="n">
        <v>307</v>
      </c>
      <c r="J7" t="n">
        <v>324</v>
      </c>
      <c r="K7" t="n">
        <v>361</v>
      </c>
      <c r="L7" t="n">
        <v>396</v>
      </c>
      <c r="M7" t="n">
        <v>430</v>
      </c>
      <c r="N7" t="n">
        <v>454</v>
      </c>
      <c r="O7" t="n">
        <v>481</v>
      </c>
      <c r="P7" t="n">
        <v>502</v>
      </c>
      <c r="Q7" t="n">
        <v>508</v>
      </c>
      <c r="R7" t="n">
        <v>518</v>
      </c>
      <c r="S7" t="n">
        <v>544</v>
      </c>
      <c r="T7" t="n">
        <v>540</v>
      </c>
      <c r="U7" t="n">
        <v>535</v>
      </c>
      <c r="V7" t="n">
        <v>508</v>
      </c>
      <c r="W7" t="n">
        <v>505</v>
      </c>
      <c r="X7" t="n">
        <v>491</v>
      </c>
      <c r="Y7" t="n">
        <v>470</v>
      </c>
      <c r="Z7" t="n">
        <v>462</v>
      </c>
      <c r="AA7" t="n">
        <v>456</v>
      </c>
      <c r="AB7" t="n">
        <v>453</v>
      </c>
      <c r="AC7" t="n">
        <v>459</v>
      </c>
      <c r="AD7" t="n">
        <v>483</v>
      </c>
      <c r="AE7" t="n">
        <v>493</v>
      </c>
      <c r="AF7" t="n">
        <v>497</v>
      </c>
    </row>
    <row r="8">
      <c r="A8" t="s">
        <v>111</v>
      </c>
      <c r="B8" t="s">
        <v>286</v>
      </c>
      <c r="C8" t="s">
        <v>236</v>
      </c>
      <c r="D8" t="s">
        <v>287</v>
      </c>
      <c r="E8" t="s">
        <v>237</v>
      </c>
      <c r="F8" t="n">
        <v>115</v>
      </c>
      <c r="G8" t="n">
        <v>124</v>
      </c>
      <c r="H8" t="n">
        <v>131</v>
      </c>
      <c r="I8" t="n">
        <v>143</v>
      </c>
      <c r="J8" t="n">
        <v>135</v>
      </c>
      <c r="K8" t="n">
        <v>139</v>
      </c>
      <c r="L8" t="n">
        <v>143</v>
      </c>
      <c r="M8" t="n">
        <v>137</v>
      </c>
      <c r="N8" t="n">
        <v>125</v>
      </c>
      <c r="O8" t="n">
        <v>114</v>
      </c>
      <c r="P8" t="n">
        <v>104</v>
      </c>
      <c r="Q8" t="n">
        <v>95</v>
      </c>
      <c r="R8" t="n">
        <v>99</v>
      </c>
      <c r="S8" t="n">
        <v>124</v>
      </c>
      <c r="T8" t="n">
        <v>141</v>
      </c>
      <c r="U8" t="n">
        <v>150</v>
      </c>
      <c r="V8" t="n">
        <v>159</v>
      </c>
      <c r="W8" t="n">
        <v>168</v>
      </c>
      <c r="X8" t="n">
        <v>170</v>
      </c>
      <c r="Y8" t="n">
        <v>165</v>
      </c>
      <c r="Z8" t="n">
        <v>161</v>
      </c>
      <c r="AA8" t="n">
        <v>161</v>
      </c>
      <c r="AB8" t="n">
        <v>160</v>
      </c>
      <c r="AC8" t="n">
        <v>162</v>
      </c>
      <c r="AD8" t="n">
        <v>171</v>
      </c>
      <c r="AE8" t="n">
        <v>175</v>
      </c>
      <c r="AF8" t="n">
        <v>186</v>
      </c>
    </row>
    <row r="9">
      <c r="A9" t="s">
        <v>111</v>
      </c>
      <c r="B9" t="s">
        <v>288</v>
      </c>
      <c r="C9" t="s">
        <v>236</v>
      </c>
      <c r="D9" t="s">
        <v>289</v>
      </c>
      <c r="E9" t="s">
        <v>237</v>
      </c>
      <c r="F9" t="n">
        <v>448</v>
      </c>
      <c r="G9" t="n">
        <v>489</v>
      </c>
      <c r="H9" t="n">
        <v>527</v>
      </c>
      <c r="I9" t="n">
        <v>569</v>
      </c>
      <c r="J9" t="n">
        <v>613</v>
      </c>
      <c r="K9" t="n">
        <v>679</v>
      </c>
      <c r="L9" t="n">
        <v>740</v>
      </c>
      <c r="M9" t="n">
        <v>798</v>
      </c>
      <c r="N9" t="n">
        <v>829</v>
      </c>
      <c r="O9" t="n">
        <v>887</v>
      </c>
      <c r="P9" t="n">
        <v>942</v>
      </c>
      <c r="Q9" t="n">
        <v>995</v>
      </c>
      <c r="R9" t="n">
        <v>1056</v>
      </c>
      <c r="S9" t="n">
        <v>1160</v>
      </c>
      <c r="T9" t="n">
        <v>1205</v>
      </c>
      <c r="U9" t="n">
        <v>1230</v>
      </c>
      <c r="V9" t="n">
        <v>1268</v>
      </c>
      <c r="W9" t="n">
        <v>1278</v>
      </c>
      <c r="X9" t="n">
        <v>1317</v>
      </c>
      <c r="Y9" t="n">
        <v>1279</v>
      </c>
      <c r="Z9" t="n">
        <v>1278</v>
      </c>
      <c r="AA9" t="n">
        <v>1279</v>
      </c>
      <c r="AB9" t="n">
        <v>1264</v>
      </c>
      <c r="AC9" t="n">
        <v>1248</v>
      </c>
      <c r="AD9" t="n">
        <v>1282</v>
      </c>
      <c r="AE9" t="n">
        <v>1283</v>
      </c>
      <c r="AF9" t="n">
        <v>1293</v>
      </c>
    </row>
    <row r="10">
      <c r="A10" t="s">
        <v>111</v>
      </c>
      <c r="B10" t="s">
        <v>290</v>
      </c>
      <c r="C10" t="s">
        <v>236</v>
      </c>
      <c r="D10" t="s">
        <v>291</v>
      </c>
      <c r="E10" t="s">
        <v>237</v>
      </c>
      <c r="F10" t="n">
        <v>947</v>
      </c>
      <c r="G10" t="n">
        <v>1031</v>
      </c>
      <c r="H10" t="n">
        <v>1102</v>
      </c>
      <c r="I10" t="n">
        <v>1191</v>
      </c>
      <c r="J10" t="n">
        <v>1268</v>
      </c>
      <c r="K10" t="n">
        <v>1415</v>
      </c>
      <c r="L10" t="n">
        <v>1570</v>
      </c>
      <c r="M10" t="n">
        <v>1735</v>
      </c>
      <c r="N10" t="n">
        <v>1827</v>
      </c>
      <c r="O10" t="n">
        <v>1937</v>
      </c>
      <c r="P10" t="n">
        <v>2046</v>
      </c>
      <c r="Q10" t="n">
        <v>2137</v>
      </c>
      <c r="R10" t="n">
        <v>2279</v>
      </c>
      <c r="S10" t="n">
        <v>2507</v>
      </c>
      <c r="T10" t="n">
        <v>2633</v>
      </c>
      <c r="U10" t="n">
        <v>2696</v>
      </c>
      <c r="V10" t="n">
        <v>2782</v>
      </c>
      <c r="W10" t="n">
        <v>2890</v>
      </c>
      <c r="X10" t="n">
        <v>3007</v>
      </c>
      <c r="Y10" t="n">
        <v>3045</v>
      </c>
      <c r="Z10" t="n">
        <v>3104</v>
      </c>
      <c r="AA10" t="n">
        <v>3189</v>
      </c>
      <c r="AB10" t="n">
        <v>3236</v>
      </c>
      <c r="AC10" t="n">
        <v>3238</v>
      </c>
      <c r="AD10" t="n">
        <v>3305</v>
      </c>
      <c r="AE10" t="n">
        <v>3347</v>
      </c>
      <c r="AF10" t="n">
        <v>3451</v>
      </c>
    </row>
    <row r="11">
      <c r="A11" t="s">
        <v>111</v>
      </c>
      <c r="B11" t="s">
        <v>292</v>
      </c>
      <c r="C11" t="s">
        <v>236</v>
      </c>
      <c r="D11" t="s">
        <v>293</v>
      </c>
      <c r="E11" t="s">
        <v>237</v>
      </c>
      <c r="F11" t="n">
        <v>499</v>
      </c>
      <c r="G11" t="n">
        <v>542</v>
      </c>
      <c r="H11" t="n">
        <v>575</v>
      </c>
      <c r="I11" t="n">
        <v>622</v>
      </c>
      <c r="J11" t="n">
        <v>655</v>
      </c>
      <c r="K11" t="n">
        <v>736</v>
      </c>
      <c r="L11" t="n">
        <v>830</v>
      </c>
      <c r="M11" t="n">
        <v>937</v>
      </c>
      <c r="N11" t="n">
        <v>998</v>
      </c>
      <c r="O11" t="n">
        <v>1050</v>
      </c>
      <c r="P11" t="n">
        <v>1104</v>
      </c>
      <c r="Q11" t="n">
        <v>1142</v>
      </c>
      <c r="R11" t="n">
        <v>1223</v>
      </c>
      <c r="S11" t="n">
        <v>1347</v>
      </c>
      <c r="T11" t="n">
        <v>1428</v>
      </c>
      <c r="U11" t="n">
        <v>1466</v>
      </c>
      <c r="V11" t="n">
        <v>1514</v>
      </c>
      <c r="W11" t="n">
        <v>1612</v>
      </c>
      <c r="X11" t="n">
        <v>1690</v>
      </c>
      <c r="Y11" t="n">
        <v>1766</v>
      </c>
      <c r="Z11" t="n">
        <v>1826</v>
      </c>
      <c r="AA11" t="n">
        <v>1910</v>
      </c>
      <c r="AB11" t="n">
        <v>1972</v>
      </c>
      <c r="AC11" t="n">
        <v>1990</v>
      </c>
      <c r="AD11" t="n">
        <v>2023</v>
      </c>
      <c r="AE11" t="n">
        <v>2064</v>
      </c>
      <c r="AF11" t="n">
        <v>2158</v>
      </c>
    </row>
    <row r="12">
      <c r="A12" t="s">
        <v>111</v>
      </c>
      <c r="B12" t="s">
        <v>294</v>
      </c>
      <c r="C12" t="s">
        <v>236</v>
      </c>
      <c r="D12" t="s">
        <v>295</v>
      </c>
      <c r="E12" t="s">
        <v>237</v>
      </c>
      <c r="F12" t="n">
        <v>100</v>
      </c>
      <c r="G12" t="n">
        <v>108</v>
      </c>
      <c r="H12" t="n">
        <v>113</v>
      </c>
      <c r="I12" t="n">
        <v>119</v>
      </c>
      <c r="J12" t="n">
        <v>136</v>
      </c>
      <c r="K12" t="n">
        <v>158</v>
      </c>
      <c r="L12" t="n">
        <v>177</v>
      </c>
      <c r="M12" t="n">
        <v>198</v>
      </c>
      <c r="N12" t="n">
        <v>209</v>
      </c>
      <c r="O12" t="n">
        <v>225</v>
      </c>
      <c r="P12" t="n">
        <v>230</v>
      </c>
      <c r="Q12" t="n">
        <v>240</v>
      </c>
      <c r="R12" t="n">
        <v>252</v>
      </c>
      <c r="S12" t="n">
        <v>270</v>
      </c>
      <c r="T12" t="n">
        <v>281</v>
      </c>
      <c r="U12" t="n">
        <v>286</v>
      </c>
      <c r="V12" t="n">
        <v>294</v>
      </c>
      <c r="W12" t="n">
        <v>309</v>
      </c>
      <c r="X12" t="n">
        <v>314</v>
      </c>
      <c r="Y12" t="n">
        <v>314</v>
      </c>
      <c r="Z12" t="n">
        <v>325</v>
      </c>
      <c r="AA12" t="n">
        <v>329</v>
      </c>
      <c r="AB12" t="n">
        <v>342</v>
      </c>
      <c r="AC12" t="n">
        <v>345</v>
      </c>
      <c r="AD12" t="n">
        <v>368</v>
      </c>
      <c r="AE12" t="n">
        <v>380</v>
      </c>
      <c r="AF12" t="n">
        <v>394</v>
      </c>
    </row>
    <row r="13">
      <c r="A13" t="s">
        <v>111</v>
      </c>
      <c r="B13" t="s">
        <v>296</v>
      </c>
      <c r="C13" t="s">
        <v>236</v>
      </c>
      <c r="D13" t="s">
        <v>297</v>
      </c>
      <c r="E13" t="s">
        <v>237</v>
      </c>
      <c r="F13" t="n">
        <v>180</v>
      </c>
      <c r="G13" t="n">
        <v>192</v>
      </c>
      <c r="H13" t="n">
        <v>206</v>
      </c>
      <c r="I13" t="n">
        <v>223</v>
      </c>
      <c r="J13" t="n">
        <v>235</v>
      </c>
      <c r="K13" t="n">
        <v>254</v>
      </c>
      <c r="L13" t="n">
        <v>277</v>
      </c>
      <c r="M13" t="n">
        <v>284</v>
      </c>
      <c r="N13" t="n">
        <v>293</v>
      </c>
      <c r="O13" t="n">
        <v>310</v>
      </c>
      <c r="P13" t="n">
        <v>333</v>
      </c>
      <c r="Q13" t="n">
        <v>348</v>
      </c>
      <c r="R13" t="n">
        <v>366</v>
      </c>
      <c r="S13" t="n">
        <v>395</v>
      </c>
      <c r="T13" t="n">
        <v>420</v>
      </c>
      <c r="U13" t="n">
        <v>434</v>
      </c>
      <c r="V13" t="n">
        <v>437</v>
      </c>
      <c r="W13" t="n">
        <v>437</v>
      </c>
      <c r="X13" t="n">
        <v>428</v>
      </c>
      <c r="Y13" t="n">
        <v>401</v>
      </c>
      <c r="Z13" t="n">
        <v>384</v>
      </c>
      <c r="AA13" t="n">
        <v>368</v>
      </c>
      <c r="AB13" t="n">
        <v>358</v>
      </c>
      <c r="AC13" t="n">
        <v>352</v>
      </c>
      <c r="AD13" t="n">
        <v>356</v>
      </c>
      <c r="AE13" t="n">
        <v>361</v>
      </c>
      <c r="AF13" t="n">
        <v>363</v>
      </c>
    </row>
    <row r="14">
      <c r="A14" t="s">
        <v>111</v>
      </c>
      <c r="B14" t="s">
        <v>298</v>
      </c>
      <c r="C14" t="s">
        <v>236</v>
      </c>
      <c r="D14" t="s">
        <v>299</v>
      </c>
      <c r="E14" t="s">
        <v>237</v>
      </c>
      <c r="F14" t="n">
        <v>1573</v>
      </c>
      <c r="G14" t="n">
        <v>1848</v>
      </c>
      <c r="H14" t="n">
        <v>2215</v>
      </c>
      <c r="I14" t="n">
        <v>2763</v>
      </c>
      <c r="J14" t="n">
        <v>3504</v>
      </c>
      <c r="K14" t="n">
        <v>4533</v>
      </c>
      <c r="L14" t="n">
        <v>5387</v>
      </c>
      <c r="M14" t="n">
        <v>6056</v>
      </c>
      <c r="N14" t="n">
        <v>6814</v>
      </c>
      <c r="O14" t="n">
        <v>7773</v>
      </c>
      <c r="P14" t="n">
        <v>8714</v>
      </c>
      <c r="Q14" t="n">
        <v>9448</v>
      </c>
      <c r="R14" t="n">
        <v>10214</v>
      </c>
      <c r="S14" t="n">
        <v>11692</v>
      </c>
      <c r="T14" t="n">
        <v>12510</v>
      </c>
      <c r="U14" t="n">
        <v>12905</v>
      </c>
      <c r="V14" t="n">
        <v>13075</v>
      </c>
      <c r="W14" t="n">
        <v>12458</v>
      </c>
      <c r="X14" t="n">
        <v>11773</v>
      </c>
      <c r="Y14" t="n">
        <v>10991</v>
      </c>
      <c r="Z14" t="n">
        <v>10049</v>
      </c>
      <c r="AA14" t="n">
        <v>9126</v>
      </c>
      <c r="AB14" t="n">
        <v>8220</v>
      </c>
      <c r="AC14" t="n">
        <v>7370</v>
      </c>
      <c r="AD14" t="n">
        <v>6987</v>
      </c>
      <c r="AE14" t="n">
        <v>6464</v>
      </c>
      <c r="AF14" t="n">
        <v>6198</v>
      </c>
    </row>
    <row r="15">
      <c r="A15" t="s">
        <v>111</v>
      </c>
      <c r="B15" t="s">
        <v>300</v>
      </c>
      <c r="C15" t="s">
        <v>236</v>
      </c>
      <c r="D15" t="s">
        <v>301</v>
      </c>
      <c r="E15" t="s">
        <v>237</v>
      </c>
      <c r="F15" t="n">
        <v>1826</v>
      </c>
      <c r="G15" t="n">
        <v>2119</v>
      </c>
      <c r="H15" t="n">
        <v>2496</v>
      </c>
      <c r="I15" t="n">
        <v>3065</v>
      </c>
      <c r="J15" t="n">
        <v>3820</v>
      </c>
      <c r="K15" t="n">
        <v>4874</v>
      </c>
      <c r="L15" t="n">
        <v>5748</v>
      </c>
      <c r="M15" t="n">
        <v>6441</v>
      </c>
      <c r="N15" t="n">
        <v>7223</v>
      </c>
      <c r="O15" t="n">
        <v>8218</v>
      </c>
      <c r="P15" t="n">
        <v>9193</v>
      </c>
      <c r="Q15" t="n">
        <v>9943</v>
      </c>
      <c r="R15" t="n">
        <v>10745</v>
      </c>
      <c r="S15" t="n">
        <v>12338</v>
      </c>
      <c r="T15" t="n">
        <v>13248</v>
      </c>
      <c r="U15" t="n">
        <v>13749</v>
      </c>
      <c r="V15" t="n">
        <v>14003</v>
      </c>
      <c r="W15" t="n">
        <v>13491</v>
      </c>
      <c r="X15" t="n">
        <v>12821</v>
      </c>
      <c r="Y15" t="n">
        <v>12113</v>
      </c>
      <c r="Z15" t="n">
        <v>11221</v>
      </c>
      <c r="AA15" t="n">
        <v>10317</v>
      </c>
      <c r="AB15" t="n">
        <v>9133</v>
      </c>
      <c r="AC15" t="n">
        <v>8294</v>
      </c>
      <c r="AD15" t="n">
        <v>7968</v>
      </c>
      <c r="AE15" t="n">
        <v>7465</v>
      </c>
      <c r="AF15" t="n">
        <v>7209</v>
      </c>
    </row>
    <row r="16">
      <c r="A16" t="s">
        <v>111</v>
      </c>
      <c r="B16" t="s">
        <v>302</v>
      </c>
      <c r="C16" t="s">
        <v>236</v>
      </c>
      <c r="D16" t="s">
        <v>303</v>
      </c>
      <c r="E16" t="s">
        <v>237</v>
      </c>
      <c r="F16" t="n">
        <v>253</v>
      </c>
      <c r="G16" t="n">
        <v>271</v>
      </c>
      <c r="H16" t="n">
        <v>281</v>
      </c>
      <c r="I16" t="n">
        <v>302</v>
      </c>
      <c r="J16" t="n">
        <v>316</v>
      </c>
      <c r="K16" t="n">
        <v>341</v>
      </c>
      <c r="L16" t="n">
        <v>361</v>
      </c>
      <c r="M16" t="n">
        <v>385</v>
      </c>
      <c r="N16" t="n">
        <v>409</v>
      </c>
      <c r="O16" t="n">
        <v>445</v>
      </c>
      <c r="P16" t="n">
        <v>479</v>
      </c>
      <c r="Q16" t="n">
        <v>495</v>
      </c>
      <c r="R16" t="n">
        <v>531</v>
      </c>
      <c r="S16" t="n">
        <v>646</v>
      </c>
      <c r="T16" t="n">
        <v>738</v>
      </c>
      <c r="U16" t="n">
        <v>844</v>
      </c>
      <c r="V16" t="n">
        <v>928</v>
      </c>
      <c r="W16" t="n">
        <v>1033</v>
      </c>
      <c r="X16" t="n">
        <v>1048</v>
      </c>
      <c r="Y16" t="n">
        <v>1122</v>
      </c>
      <c r="Z16" t="n">
        <v>1172</v>
      </c>
      <c r="AA16" t="n">
        <v>1191</v>
      </c>
      <c r="AB16" t="n">
        <v>913</v>
      </c>
      <c r="AC16" t="n">
        <v>924</v>
      </c>
      <c r="AD16" t="n">
        <v>981</v>
      </c>
      <c r="AE16" t="n">
        <v>1001</v>
      </c>
      <c r="AF16" t="n">
        <v>1011</v>
      </c>
    </row>
    <row r="17">
      <c r="A17" t="s">
        <v>111</v>
      </c>
      <c r="B17" t="s">
        <v>304</v>
      </c>
      <c r="C17" t="s">
        <v>236</v>
      </c>
      <c r="D17" t="s">
        <v>305</v>
      </c>
      <c r="E17" t="s">
        <v>237</v>
      </c>
      <c r="F17" t="n">
        <v>468</v>
      </c>
      <c r="G17" t="n">
        <v>515</v>
      </c>
      <c r="H17" t="n">
        <v>554</v>
      </c>
      <c r="I17" t="n">
        <v>609</v>
      </c>
      <c r="J17" t="n">
        <v>662</v>
      </c>
      <c r="K17" t="n">
        <v>723</v>
      </c>
      <c r="L17" t="n">
        <v>803</v>
      </c>
      <c r="M17" t="n">
        <v>864</v>
      </c>
      <c r="N17" t="n">
        <v>876</v>
      </c>
      <c r="O17" t="n">
        <v>895</v>
      </c>
      <c r="P17" t="n">
        <v>928</v>
      </c>
      <c r="Q17" t="n">
        <v>954</v>
      </c>
      <c r="R17" t="n">
        <v>1002</v>
      </c>
      <c r="S17" t="n">
        <v>1231</v>
      </c>
      <c r="T17" t="n">
        <v>1337</v>
      </c>
      <c r="U17" t="n">
        <v>1414</v>
      </c>
      <c r="V17" t="n">
        <v>1526</v>
      </c>
      <c r="W17" t="n">
        <v>1690</v>
      </c>
      <c r="X17" t="n">
        <v>1836</v>
      </c>
      <c r="Y17" t="n">
        <v>1925</v>
      </c>
      <c r="Z17" t="n">
        <v>2026</v>
      </c>
      <c r="AA17" t="n">
        <v>2162</v>
      </c>
      <c r="AB17" t="n">
        <v>2245</v>
      </c>
      <c r="AC17" t="n">
        <v>2392</v>
      </c>
      <c r="AD17" t="n">
        <v>2611</v>
      </c>
      <c r="AE17" t="n">
        <v>2760</v>
      </c>
      <c r="AF17" t="n">
        <v>2873</v>
      </c>
    </row>
    <row r="18">
      <c r="A18" t="s">
        <v>111</v>
      </c>
      <c r="B18" t="s">
        <v>306</v>
      </c>
      <c r="C18" t="s">
        <v>236</v>
      </c>
      <c r="D18" t="s">
        <v>307</v>
      </c>
      <c r="E18" t="s">
        <v>237</v>
      </c>
      <c r="F18" t="n">
        <v>77</v>
      </c>
      <c r="G18" t="n">
        <v>85</v>
      </c>
      <c r="H18" t="n">
        <v>92</v>
      </c>
      <c r="I18" t="n">
        <v>95</v>
      </c>
      <c r="J18" t="n">
        <v>101</v>
      </c>
      <c r="K18" t="n">
        <v>112</v>
      </c>
      <c r="L18" t="n">
        <v>119</v>
      </c>
      <c r="M18" t="n">
        <v>125</v>
      </c>
      <c r="N18" t="n">
        <v>126</v>
      </c>
      <c r="O18" t="n">
        <v>132</v>
      </c>
      <c r="P18" t="n">
        <v>139</v>
      </c>
      <c r="Q18" t="n">
        <v>154</v>
      </c>
      <c r="R18" t="n">
        <v>153</v>
      </c>
      <c r="S18" t="n">
        <v>169</v>
      </c>
      <c r="T18" t="n">
        <v>193</v>
      </c>
      <c r="U18" t="n">
        <v>200</v>
      </c>
      <c r="V18" t="n">
        <v>227</v>
      </c>
      <c r="W18" t="n">
        <v>258</v>
      </c>
      <c r="X18" t="n">
        <v>275</v>
      </c>
      <c r="Y18" t="n">
        <v>257</v>
      </c>
      <c r="Z18" t="n">
        <v>259</v>
      </c>
      <c r="AA18" t="n">
        <v>267</v>
      </c>
      <c r="AB18" t="n">
        <v>277</v>
      </c>
      <c r="AC18" t="n">
        <v>293</v>
      </c>
      <c r="AD18" t="n">
        <v>323</v>
      </c>
      <c r="AE18" t="n">
        <v>345</v>
      </c>
      <c r="AF18" t="n">
        <v>378</v>
      </c>
    </row>
    <row r="19">
      <c r="A19" t="s">
        <v>111</v>
      </c>
      <c r="B19" t="s">
        <v>308</v>
      </c>
      <c r="C19" t="s">
        <v>236</v>
      </c>
      <c r="D19" t="s">
        <v>309</v>
      </c>
      <c r="E19" t="s">
        <v>237</v>
      </c>
      <c r="F19" t="n">
        <v>314</v>
      </c>
      <c r="G19" t="n">
        <v>347</v>
      </c>
      <c r="H19" t="n">
        <v>381</v>
      </c>
      <c r="I19" t="n">
        <v>423</v>
      </c>
      <c r="J19" t="n">
        <v>472</v>
      </c>
      <c r="K19" t="n">
        <v>545</v>
      </c>
      <c r="L19" t="n">
        <v>625</v>
      </c>
      <c r="M19" t="n">
        <v>702</v>
      </c>
      <c r="N19" t="n">
        <v>749</v>
      </c>
      <c r="O19" t="n">
        <v>784</v>
      </c>
      <c r="P19" t="n">
        <v>800</v>
      </c>
      <c r="Q19" t="n">
        <v>828</v>
      </c>
      <c r="R19" t="n">
        <v>869</v>
      </c>
      <c r="S19" t="n">
        <v>777</v>
      </c>
      <c r="T19" t="n">
        <v>675</v>
      </c>
      <c r="U19" t="n">
        <v>577</v>
      </c>
      <c r="V19" t="n">
        <v>501</v>
      </c>
      <c r="W19" t="n">
        <v>439</v>
      </c>
      <c r="X19" t="n">
        <v>377</v>
      </c>
      <c r="Y19" t="n">
        <v>319</v>
      </c>
      <c r="Z19" t="n">
        <v>270</v>
      </c>
      <c r="AA19" t="n">
        <v>236</v>
      </c>
      <c r="AB19" t="n">
        <v>198</v>
      </c>
      <c r="AC19" t="n">
        <v>184</v>
      </c>
      <c r="AD19" t="n">
        <v>177</v>
      </c>
      <c r="AE19" t="n">
        <v>173</v>
      </c>
      <c r="AF19" t="n">
        <v>185</v>
      </c>
    </row>
    <row r="20">
      <c r="A20" t="s">
        <v>111</v>
      </c>
      <c r="B20" t="s">
        <v>310</v>
      </c>
      <c r="C20" t="s">
        <v>236</v>
      </c>
      <c r="D20" t="s">
        <v>311</v>
      </c>
      <c r="E20" t="s">
        <v>237</v>
      </c>
      <c r="F20" t="n">
        <v>52</v>
      </c>
      <c r="G20" t="n">
        <v>64</v>
      </c>
      <c r="H20" t="n">
        <v>83</v>
      </c>
      <c r="I20" t="n">
        <v>101</v>
      </c>
      <c r="J20" t="n">
        <v>108</v>
      </c>
      <c r="K20" t="n">
        <v>111</v>
      </c>
      <c r="L20" t="n">
        <v>122</v>
      </c>
      <c r="M20" t="n">
        <v>115</v>
      </c>
      <c r="N20" t="n">
        <v>102</v>
      </c>
      <c r="O20" t="n">
        <v>91</v>
      </c>
      <c r="P20" t="n">
        <v>87</v>
      </c>
      <c r="Q20" t="n">
        <v>95</v>
      </c>
      <c r="R20" t="n">
        <v>90</v>
      </c>
      <c r="S20" t="n">
        <v>90</v>
      </c>
      <c r="T20" t="n">
        <v>92</v>
      </c>
      <c r="U20" t="n">
        <v>98</v>
      </c>
      <c r="V20" t="n">
        <v>103</v>
      </c>
      <c r="W20" t="n">
        <v>115</v>
      </c>
      <c r="X20" t="n">
        <v>119</v>
      </c>
      <c r="Y20" t="n">
        <v>114</v>
      </c>
      <c r="Z20" t="n">
        <v>113</v>
      </c>
      <c r="AA20" t="n">
        <v>131</v>
      </c>
      <c r="AB20" t="n">
        <v>170</v>
      </c>
      <c r="AC20" t="n">
        <v>191</v>
      </c>
      <c r="AD20" t="n">
        <v>226</v>
      </c>
      <c r="AE20" t="n">
        <v>243</v>
      </c>
      <c r="AF20" t="n">
        <v>255</v>
      </c>
    </row>
    <row r="21">
      <c r="A21" t="s">
        <v>111</v>
      </c>
      <c r="B21" t="s">
        <v>312</v>
      </c>
      <c r="C21" t="s">
        <v>236</v>
      </c>
      <c r="D21" t="s">
        <v>313</v>
      </c>
      <c r="E21" t="s">
        <v>237</v>
      </c>
      <c r="F21" t="n">
        <v>56</v>
      </c>
      <c r="G21" t="n">
        <v>68</v>
      </c>
      <c r="H21" t="n">
        <v>87</v>
      </c>
      <c r="I21" t="n">
        <v>105</v>
      </c>
      <c r="J21" t="n">
        <v>114</v>
      </c>
      <c r="K21" t="n">
        <v>118</v>
      </c>
      <c r="L21" t="n">
        <v>131</v>
      </c>
      <c r="M21" t="n">
        <v>127</v>
      </c>
      <c r="N21" t="n">
        <v>117</v>
      </c>
      <c r="O21" t="n">
        <v>111</v>
      </c>
      <c r="P21" t="n">
        <v>110</v>
      </c>
      <c r="Q21" t="n">
        <v>127</v>
      </c>
      <c r="R21" t="n">
        <v>132</v>
      </c>
      <c r="S21" t="n">
        <v>137</v>
      </c>
      <c r="T21" t="n">
        <v>143</v>
      </c>
      <c r="U21" t="n">
        <v>157</v>
      </c>
      <c r="V21" t="n">
        <v>166</v>
      </c>
      <c r="W21" t="n">
        <v>190</v>
      </c>
      <c r="X21" t="n">
        <v>201</v>
      </c>
      <c r="Y21" t="n">
        <v>197</v>
      </c>
      <c r="Z21" t="n">
        <v>207</v>
      </c>
      <c r="AA21" t="n">
        <v>235</v>
      </c>
      <c r="AB21" t="n">
        <v>270</v>
      </c>
      <c r="AC21" t="n">
        <v>285</v>
      </c>
      <c r="AD21" t="n">
        <v>317</v>
      </c>
      <c r="AE21" t="n">
        <v>322</v>
      </c>
      <c r="AF21" t="n">
        <v>326</v>
      </c>
    </row>
    <row r="22">
      <c r="A22" t="s">
        <v>111</v>
      </c>
      <c r="B22" t="s">
        <v>314</v>
      </c>
      <c r="C22" t="s">
        <v>236</v>
      </c>
      <c r="D22" t="s">
        <v>315</v>
      </c>
      <c r="E22" t="s">
        <v>237</v>
      </c>
      <c r="F22" t="n">
        <v>4</v>
      </c>
      <c r="G22" t="n">
        <v>4</v>
      </c>
      <c r="H22" t="n">
        <v>4</v>
      </c>
      <c r="I22" t="n">
        <v>4</v>
      </c>
      <c r="J22" t="n">
        <v>6</v>
      </c>
      <c r="K22" t="n">
        <v>7</v>
      </c>
      <c r="L22" t="n">
        <v>9</v>
      </c>
      <c r="M22" t="n">
        <v>12</v>
      </c>
      <c r="N22" t="n">
        <v>15</v>
      </c>
      <c r="O22" t="n">
        <v>20</v>
      </c>
      <c r="P22" t="n">
        <v>23</v>
      </c>
      <c r="Q22" t="n">
        <v>32</v>
      </c>
      <c r="R22" t="n">
        <v>42</v>
      </c>
      <c r="S22" t="n">
        <v>47</v>
      </c>
      <c r="T22" t="n">
        <v>51</v>
      </c>
      <c r="U22" t="n">
        <v>59</v>
      </c>
      <c r="V22" t="n">
        <v>63</v>
      </c>
      <c r="W22" t="n">
        <v>75</v>
      </c>
      <c r="X22" t="n">
        <v>82</v>
      </c>
      <c r="Y22" t="n">
        <v>83</v>
      </c>
      <c r="Z22" t="n">
        <v>94</v>
      </c>
      <c r="AA22" t="n">
        <v>104</v>
      </c>
      <c r="AB22" t="n">
        <v>100</v>
      </c>
      <c r="AC22" t="n">
        <v>94</v>
      </c>
      <c r="AD22" t="n">
        <v>91</v>
      </c>
      <c r="AE22" t="n">
        <v>79</v>
      </c>
      <c r="AF22" t="n">
        <v>71</v>
      </c>
    </row>
    <row r="23">
      <c r="A23" t="s">
        <v>111</v>
      </c>
      <c r="B23" t="s">
        <v>316</v>
      </c>
      <c r="C23" t="s">
        <v>236</v>
      </c>
      <c r="D23" t="s">
        <v>317</v>
      </c>
      <c r="E23" t="s">
        <v>237</v>
      </c>
      <c r="F23" t="n">
        <v>37</v>
      </c>
      <c r="G23" t="n">
        <v>40</v>
      </c>
      <c r="H23" t="n">
        <v>42</v>
      </c>
      <c r="I23" t="n">
        <v>44</v>
      </c>
      <c r="J23" t="n">
        <v>54</v>
      </c>
      <c r="K23" t="n">
        <v>76</v>
      </c>
      <c r="L23" t="n">
        <v>86</v>
      </c>
      <c r="M23" t="n">
        <v>101</v>
      </c>
      <c r="N23" t="n">
        <v>115</v>
      </c>
      <c r="O23" t="n">
        <v>115</v>
      </c>
      <c r="P23" t="n">
        <v>114</v>
      </c>
      <c r="Q23" t="n">
        <v>112</v>
      </c>
      <c r="R23" t="n">
        <v>115</v>
      </c>
      <c r="S23" t="n">
        <v>127</v>
      </c>
      <c r="T23" t="n">
        <v>145</v>
      </c>
      <c r="U23" t="n">
        <v>167</v>
      </c>
      <c r="V23" t="n">
        <v>182</v>
      </c>
      <c r="W23" t="n">
        <v>193</v>
      </c>
      <c r="X23" t="n">
        <v>215</v>
      </c>
      <c r="Y23" t="n">
        <v>189</v>
      </c>
      <c r="Z23" t="n">
        <v>180</v>
      </c>
      <c r="AA23" t="n">
        <v>165</v>
      </c>
      <c r="AB23" t="n">
        <v>158</v>
      </c>
      <c r="AC23" t="n">
        <v>149</v>
      </c>
      <c r="AD23" t="n">
        <v>147</v>
      </c>
      <c r="AE23" t="n">
        <v>148</v>
      </c>
      <c r="AF23" t="n">
        <v>153</v>
      </c>
    </row>
    <row r="24">
      <c r="A24" t="s">
        <v>111</v>
      </c>
      <c r="B24" t="s">
        <v>318</v>
      </c>
      <c r="C24" t="s">
        <v>236</v>
      </c>
      <c r="D24" t="s">
        <v>319</v>
      </c>
      <c r="E24" t="s">
        <v>237</v>
      </c>
      <c r="F24" t="n">
        <v>168</v>
      </c>
      <c r="G24" t="n">
        <v>190</v>
      </c>
      <c r="H24" t="n">
        <v>216</v>
      </c>
      <c r="I24" t="n">
        <v>256</v>
      </c>
      <c r="J24" t="n">
        <v>294</v>
      </c>
      <c r="K24" t="n">
        <v>359</v>
      </c>
      <c r="L24" t="n">
        <v>418</v>
      </c>
      <c r="M24" t="n">
        <v>354</v>
      </c>
      <c r="N24" t="n">
        <v>294</v>
      </c>
      <c r="O24" t="n">
        <v>246</v>
      </c>
      <c r="P24" t="n">
        <v>209</v>
      </c>
      <c r="Q24" t="n">
        <v>171</v>
      </c>
      <c r="R24" t="n">
        <v>195</v>
      </c>
      <c r="S24" t="n">
        <v>203</v>
      </c>
      <c r="T24" t="n">
        <v>213</v>
      </c>
      <c r="U24" t="n">
        <v>224</v>
      </c>
      <c r="V24" t="n">
        <v>240</v>
      </c>
      <c r="W24" t="n">
        <v>286</v>
      </c>
      <c r="X24" t="n">
        <v>298</v>
      </c>
      <c r="Y24" t="n">
        <v>298</v>
      </c>
      <c r="Z24" t="n">
        <v>302</v>
      </c>
      <c r="AA24" t="n">
        <v>301</v>
      </c>
      <c r="AB24" t="n">
        <v>287</v>
      </c>
      <c r="AC24" t="n">
        <v>297</v>
      </c>
      <c r="AD24" t="n">
        <v>314</v>
      </c>
      <c r="AE24" t="n">
        <v>315</v>
      </c>
      <c r="AF24" t="n">
        <v>363</v>
      </c>
    </row>
    <row r="25">
      <c r="A25" t="s">
        <v>111</v>
      </c>
      <c r="B25" t="s">
        <v>320</v>
      </c>
      <c r="C25" t="s">
        <v>236</v>
      </c>
      <c r="D25" t="s">
        <v>321</v>
      </c>
      <c r="E25" t="s">
        <v>237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</v>
      </c>
      <c r="T25" t="n">
        <v>3</v>
      </c>
      <c r="U25" t="n">
        <v>2</v>
      </c>
      <c r="V25" t="n">
        <v>2</v>
      </c>
      <c r="W25" t="n">
        <v>3</v>
      </c>
      <c r="X25" t="n">
        <v>4</v>
      </c>
      <c r="Y25" t="n">
        <v>7</v>
      </c>
      <c r="Z25" t="n">
        <v>11</v>
      </c>
      <c r="AA25" t="n">
        <v>13</v>
      </c>
      <c r="AB25" t="n">
        <v>12</v>
      </c>
      <c r="AC25" t="n">
        <v>10</v>
      </c>
      <c r="AD25" t="n">
        <v>12</v>
      </c>
      <c r="AE25" t="n">
        <v>12</v>
      </c>
      <c r="AF25" t="n">
        <v>12</v>
      </c>
    </row>
    <row r="26">
      <c r="A26" t="s">
        <v>111</v>
      </c>
      <c r="B26" t="s">
        <v>322</v>
      </c>
      <c r="C26" t="s">
        <v>236</v>
      </c>
      <c r="D26" t="s">
        <v>323</v>
      </c>
      <c r="E26" t="s">
        <v>237</v>
      </c>
      <c r="F26" t="n">
        <v>168</v>
      </c>
      <c r="G26" t="n">
        <v>190</v>
      </c>
      <c r="H26" t="n">
        <v>216</v>
      </c>
      <c r="I26" t="n">
        <v>255</v>
      </c>
      <c r="J26" t="n">
        <v>292</v>
      </c>
      <c r="K26" t="n">
        <v>356</v>
      </c>
      <c r="L26" t="n">
        <v>413</v>
      </c>
      <c r="M26" t="n">
        <v>349</v>
      </c>
      <c r="N26" t="n">
        <v>290</v>
      </c>
      <c r="O26" t="n">
        <v>243</v>
      </c>
      <c r="P26" t="n">
        <v>206</v>
      </c>
      <c r="Q26" t="n">
        <v>169</v>
      </c>
      <c r="R26" t="n">
        <v>193</v>
      </c>
      <c r="S26" t="n">
        <v>197</v>
      </c>
      <c r="T26" t="n">
        <v>209</v>
      </c>
      <c r="U26" t="n">
        <v>217</v>
      </c>
      <c r="V26" t="n">
        <v>230</v>
      </c>
      <c r="W26" t="n">
        <v>274</v>
      </c>
      <c r="X26" t="n">
        <v>286</v>
      </c>
      <c r="Y26" t="n">
        <v>283</v>
      </c>
      <c r="Z26" t="n">
        <v>284</v>
      </c>
      <c r="AA26" t="n">
        <v>280</v>
      </c>
      <c r="AB26" t="n">
        <v>269</v>
      </c>
      <c r="AC26" t="n">
        <v>282</v>
      </c>
      <c r="AD26" t="n">
        <v>298</v>
      </c>
      <c r="AE26" t="n">
        <v>299</v>
      </c>
      <c r="AF26" t="n">
        <v>347</v>
      </c>
    </row>
    <row r="27">
      <c r="A27" t="s">
        <v>111</v>
      </c>
      <c r="B27" t="s">
        <v>324</v>
      </c>
      <c r="C27" t="s">
        <v>236</v>
      </c>
      <c r="D27" t="s">
        <v>325</v>
      </c>
      <c r="E27" t="s">
        <v>237</v>
      </c>
      <c r="F27" t="n">
        <v>0</v>
      </c>
      <c r="G27" t="n">
        <v>0</v>
      </c>
      <c r="H27" t="n">
        <v>0</v>
      </c>
      <c r="I27" t="n">
        <v>1</v>
      </c>
      <c r="J27" t="n">
        <v>2</v>
      </c>
      <c r="K27" t="n">
        <v>3</v>
      </c>
      <c r="L27" t="n">
        <v>5</v>
      </c>
      <c r="M27" t="n">
        <v>5</v>
      </c>
      <c r="N27" t="n">
        <v>4</v>
      </c>
      <c r="O27" t="n">
        <v>3</v>
      </c>
      <c r="P27" t="n">
        <v>3</v>
      </c>
      <c r="Q27" t="n">
        <v>2</v>
      </c>
      <c r="R27" t="n">
        <v>2</v>
      </c>
      <c r="S27" t="n">
        <v>2</v>
      </c>
      <c r="T27" t="n">
        <v>1</v>
      </c>
      <c r="U27" t="n">
        <v>5</v>
      </c>
      <c r="V27" t="n">
        <v>8</v>
      </c>
      <c r="W27" t="n">
        <v>9</v>
      </c>
      <c r="X27" t="n">
        <v>8</v>
      </c>
      <c r="Y27" t="n">
        <v>8</v>
      </c>
      <c r="Z27" t="n">
        <v>7</v>
      </c>
      <c r="AA27" t="n">
        <v>8</v>
      </c>
      <c r="AB27" t="n">
        <v>6</v>
      </c>
      <c r="AC27" t="n">
        <v>5</v>
      </c>
      <c r="AD27" t="n">
        <v>4</v>
      </c>
      <c r="AE27" t="n">
        <v>4</v>
      </c>
      <c r="AF27" t="n">
        <v>4</v>
      </c>
    </row>
    <row r="28">
      <c r="A28" t="s">
        <v>111</v>
      </c>
      <c r="B28" t="s">
        <v>326</v>
      </c>
      <c r="C28" t="s">
        <v>236</v>
      </c>
      <c r="D28" t="s">
        <v>327</v>
      </c>
      <c r="E28" t="s">
        <v>237</v>
      </c>
      <c r="F28" t="n">
        <v>32</v>
      </c>
      <c r="G28" t="n">
        <v>36</v>
      </c>
      <c r="H28" t="n">
        <v>38</v>
      </c>
      <c r="I28" t="n">
        <v>39</v>
      </c>
      <c r="J28" t="n">
        <v>48</v>
      </c>
      <c r="K28" t="n">
        <v>54</v>
      </c>
      <c r="L28" t="n">
        <v>75</v>
      </c>
      <c r="M28" t="n">
        <v>80</v>
      </c>
      <c r="N28" t="n">
        <v>86</v>
      </c>
      <c r="O28" t="n">
        <v>92</v>
      </c>
      <c r="P28" t="n">
        <v>99</v>
      </c>
      <c r="Q28" t="n">
        <v>107</v>
      </c>
      <c r="R28" t="n">
        <v>109</v>
      </c>
      <c r="S28" t="n">
        <v>111</v>
      </c>
      <c r="T28" t="n">
        <v>108</v>
      </c>
      <c r="U28" t="n">
        <v>96</v>
      </c>
      <c r="V28" t="n">
        <v>92</v>
      </c>
      <c r="W28" t="n">
        <v>86</v>
      </c>
      <c r="X28" t="n">
        <v>82</v>
      </c>
      <c r="Y28" t="n">
        <v>81</v>
      </c>
      <c r="Z28" t="n">
        <v>77</v>
      </c>
      <c r="AA28" t="n">
        <v>73</v>
      </c>
      <c r="AB28" t="n">
        <v>69</v>
      </c>
      <c r="AC28" t="n">
        <v>63</v>
      </c>
      <c r="AD28" t="n">
        <v>62</v>
      </c>
      <c r="AE28" t="n">
        <v>62</v>
      </c>
      <c r="AF28" t="n">
        <v>77</v>
      </c>
    </row>
    <row r="29">
      <c r="A29" t="s">
        <v>111</v>
      </c>
      <c r="B29" t="s">
        <v>328</v>
      </c>
      <c r="C29" t="s">
        <v>236</v>
      </c>
      <c r="D29" t="s">
        <v>329</v>
      </c>
      <c r="E29" t="s">
        <v>237</v>
      </c>
      <c r="F29" t="n">
        <v>15</v>
      </c>
      <c r="G29" t="n">
        <v>16</v>
      </c>
      <c r="H29" t="n">
        <v>16</v>
      </c>
      <c r="I29" t="n">
        <v>16</v>
      </c>
      <c r="J29" t="n">
        <v>20</v>
      </c>
      <c r="K29" t="n">
        <v>21</v>
      </c>
      <c r="L29" t="n">
        <v>28</v>
      </c>
      <c r="M29" t="n">
        <v>24</v>
      </c>
      <c r="N29" t="n">
        <v>24</v>
      </c>
      <c r="O29" t="n">
        <v>23</v>
      </c>
      <c r="P29" t="n">
        <v>21</v>
      </c>
      <c r="Q29" t="n">
        <v>19</v>
      </c>
      <c r="R29" t="n">
        <v>17</v>
      </c>
      <c r="S29" t="n">
        <v>13</v>
      </c>
      <c r="T29" t="n">
        <v>11</v>
      </c>
      <c r="U29" t="n">
        <v>10</v>
      </c>
      <c r="V29" t="n">
        <v>9</v>
      </c>
      <c r="W29" t="n">
        <v>7</v>
      </c>
      <c r="X29" t="n">
        <v>7</v>
      </c>
      <c r="Y29" t="n">
        <v>7</v>
      </c>
      <c r="Z29" t="n">
        <v>7</v>
      </c>
      <c r="AA29" t="n">
        <v>6</v>
      </c>
      <c r="AB29" t="n">
        <v>5</v>
      </c>
      <c r="AC29" t="n">
        <v>5</v>
      </c>
      <c r="AD29" t="n">
        <v>7</v>
      </c>
      <c r="AE29" t="n">
        <v>6</v>
      </c>
      <c r="AF29" t="n">
        <v>6</v>
      </c>
    </row>
    <row r="30">
      <c r="A30" t="s">
        <v>111</v>
      </c>
      <c r="B30" t="s">
        <v>330</v>
      </c>
      <c r="C30" t="s">
        <v>236</v>
      </c>
      <c r="D30" t="s">
        <v>331</v>
      </c>
      <c r="E30" t="s">
        <v>237</v>
      </c>
      <c r="F30" t="n">
        <v>0</v>
      </c>
      <c r="G30" t="n">
        <v>1</v>
      </c>
      <c r="H30" t="n">
        <v>2</v>
      </c>
      <c r="I30" t="n">
        <v>2</v>
      </c>
      <c r="J30" t="n">
        <v>3</v>
      </c>
      <c r="K30" t="n">
        <v>3</v>
      </c>
      <c r="L30" t="n">
        <v>5</v>
      </c>
      <c r="M30" t="n">
        <v>5</v>
      </c>
      <c r="N30" t="n">
        <v>5</v>
      </c>
      <c r="O30" t="n">
        <v>5</v>
      </c>
      <c r="P30" t="n">
        <v>5</v>
      </c>
      <c r="Q30" t="n">
        <v>4</v>
      </c>
      <c r="R30" t="n">
        <v>4</v>
      </c>
      <c r="S30" t="n">
        <v>5</v>
      </c>
      <c r="T30" t="n">
        <v>4</v>
      </c>
      <c r="U30" t="n">
        <v>3</v>
      </c>
      <c r="V30" t="n">
        <v>3</v>
      </c>
      <c r="W30" t="n">
        <v>3</v>
      </c>
      <c r="X30" t="n">
        <v>2</v>
      </c>
      <c r="Y30" t="n">
        <v>3</v>
      </c>
      <c r="Z30" t="n">
        <v>2</v>
      </c>
      <c r="AA30" t="n">
        <v>3</v>
      </c>
      <c r="AB30" t="n">
        <v>2</v>
      </c>
      <c r="AC30" t="n">
        <v>2</v>
      </c>
      <c r="AD30" t="n">
        <v>2</v>
      </c>
      <c r="AE30" t="n">
        <v>3</v>
      </c>
      <c r="AF30" t="n">
        <v>4</v>
      </c>
    </row>
    <row r="31">
      <c r="A31" t="s">
        <v>111</v>
      </c>
      <c r="B31" t="s">
        <v>332</v>
      </c>
      <c r="C31" t="s">
        <v>236</v>
      </c>
      <c r="D31" t="s">
        <v>333</v>
      </c>
      <c r="E31" t="s">
        <v>237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111</v>
      </c>
      <c r="B32" t="s">
        <v>334</v>
      </c>
      <c r="C32" t="s">
        <v>236</v>
      </c>
      <c r="D32" t="s">
        <v>335</v>
      </c>
      <c r="E32" t="s">
        <v>237</v>
      </c>
      <c r="F32" t="n">
        <v>0</v>
      </c>
      <c r="G32" t="n">
        <v>0</v>
      </c>
      <c r="H32" t="n">
        <v>0</v>
      </c>
      <c r="I32" t="n">
        <v>0</v>
      </c>
      <c r="J32" t="n">
        <v>3</v>
      </c>
      <c r="K32" t="n">
        <v>2</v>
      </c>
      <c r="L32" t="n">
        <v>2</v>
      </c>
      <c r="M32" t="n">
        <v>3</v>
      </c>
      <c r="N32" t="n">
        <v>3</v>
      </c>
      <c r="O32" t="n">
        <v>5</v>
      </c>
      <c r="P32" t="n">
        <v>6</v>
      </c>
      <c r="Q32" t="n">
        <v>7</v>
      </c>
      <c r="R32" t="n">
        <v>5</v>
      </c>
      <c r="S32" t="n">
        <v>6</v>
      </c>
      <c r="T32" t="n">
        <v>6</v>
      </c>
      <c r="U32" t="n">
        <v>5</v>
      </c>
      <c r="V32" t="n">
        <v>6</v>
      </c>
      <c r="W32" t="n">
        <v>6</v>
      </c>
      <c r="X32" t="n">
        <v>7</v>
      </c>
      <c r="Y32" t="n">
        <v>8</v>
      </c>
      <c r="Z32" t="n">
        <v>7</v>
      </c>
      <c r="AA32" t="n">
        <v>5</v>
      </c>
      <c r="AB32" t="n">
        <v>7</v>
      </c>
      <c r="AC32" t="n">
        <v>7</v>
      </c>
      <c r="AD32" t="n">
        <v>9</v>
      </c>
      <c r="AE32" t="n">
        <v>12</v>
      </c>
      <c r="AF32" t="n">
        <v>17</v>
      </c>
    </row>
    <row r="33">
      <c r="A33" t="s">
        <v>111</v>
      </c>
      <c r="B33" t="s">
        <v>336</v>
      </c>
      <c r="C33" t="s">
        <v>236</v>
      </c>
      <c r="D33" t="s">
        <v>337</v>
      </c>
      <c r="E33" t="s">
        <v>237</v>
      </c>
      <c r="F33" t="n">
        <v>17</v>
      </c>
      <c r="G33" t="n">
        <v>19</v>
      </c>
      <c r="H33" t="n">
        <v>20</v>
      </c>
      <c r="I33" t="n">
        <v>21</v>
      </c>
      <c r="J33" t="n">
        <v>22</v>
      </c>
      <c r="K33" t="n">
        <v>28</v>
      </c>
      <c r="L33" t="n">
        <v>40</v>
      </c>
      <c r="M33" t="n">
        <v>48</v>
      </c>
      <c r="N33" t="n">
        <v>54</v>
      </c>
      <c r="O33" t="n">
        <v>59</v>
      </c>
      <c r="P33" t="n">
        <v>67</v>
      </c>
      <c r="Q33" t="n">
        <v>77</v>
      </c>
      <c r="R33" t="n">
        <v>83</v>
      </c>
      <c r="S33" t="n">
        <v>87</v>
      </c>
      <c r="T33" t="n">
        <v>87</v>
      </c>
      <c r="U33" t="n">
        <v>78</v>
      </c>
      <c r="V33" t="n">
        <v>74</v>
      </c>
      <c r="W33" t="n">
        <v>70</v>
      </c>
      <c r="X33" t="n">
        <v>66</v>
      </c>
      <c r="Y33" t="n">
        <v>63</v>
      </c>
      <c r="Z33" t="n">
        <v>61</v>
      </c>
      <c r="AA33" t="n">
        <v>59</v>
      </c>
      <c r="AB33" t="n">
        <v>55</v>
      </c>
      <c r="AC33" t="n">
        <v>49</v>
      </c>
      <c r="AD33" t="n">
        <v>44</v>
      </c>
      <c r="AE33" t="n">
        <v>41</v>
      </c>
      <c r="AF33" t="n">
        <v>50</v>
      </c>
    </row>
    <row r="34">
      <c r="A34" t="s">
        <v>111</v>
      </c>
      <c r="B34" t="s">
        <v>338</v>
      </c>
      <c r="C34" t="s">
        <v>236</v>
      </c>
      <c r="D34" t="s">
        <v>339</v>
      </c>
      <c r="E34" t="s">
        <v>237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2</v>
      </c>
      <c r="W34" t="n">
        <v>2</v>
      </c>
      <c r="X34" t="n">
        <v>2</v>
      </c>
      <c r="Y34" t="n">
        <v>2</v>
      </c>
      <c r="Z34" t="n">
        <v>1</v>
      </c>
      <c r="AA34" t="n">
        <v>1</v>
      </c>
      <c r="AB34" t="n">
        <v>1</v>
      </c>
      <c r="AC34" t="n">
        <v>2</v>
      </c>
      <c r="AD34" t="n">
        <v>1</v>
      </c>
      <c r="AE34" t="n">
        <v>3</v>
      </c>
      <c r="AF34" t="n">
        <v>6</v>
      </c>
    </row>
    <row r="35">
      <c r="A35" t="s">
        <v>111</v>
      </c>
      <c r="B35" t="s">
        <v>340</v>
      </c>
      <c r="C35" t="s">
        <v>236</v>
      </c>
      <c r="D35" t="s">
        <v>341</v>
      </c>
      <c r="E35" t="s">
        <v>237</v>
      </c>
      <c r="F35" t="n">
        <v>154</v>
      </c>
      <c r="G35" t="n">
        <v>174</v>
      </c>
      <c r="H35" t="n">
        <v>196</v>
      </c>
      <c r="I35" t="n">
        <v>236</v>
      </c>
      <c r="J35" t="n">
        <v>314</v>
      </c>
      <c r="K35" t="n">
        <v>390</v>
      </c>
      <c r="L35" t="n">
        <v>439</v>
      </c>
      <c r="M35" t="n">
        <v>586</v>
      </c>
      <c r="N35" t="n">
        <v>679</v>
      </c>
      <c r="O35" t="n">
        <v>717</v>
      </c>
      <c r="P35" t="n">
        <v>786</v>
      </c>
      <c r="Q35" t="n">
        <v>753</v>
      </c>
      <c r="R35" t="n">
        <v>894</v>
      </c>
      <c r="S35" t="n">
        <v>967</v>
      </c>
      <c r="T35" t="n">
        <v>961</v>
      </c>
      <c r="U35" t="n">
        <v>965</v>
      </c>
      <c r="V35" t="n">
        <v>986</v>
      </c>
      <c r="W35" t="n">
        <v>1057</v>
      </c>
      <c r="X35" t="n">
        <v>1185</v>
      </c>
      <c r="Y35" t="n">
        <v>1212</v>
      </c>
      <c r="Z35" t="n">
        <v>1163</v>
      </c>
      <c r="AA35" t="n">
        <v>1133</v>
      </c>
      <c r="AB35" t="n">
        <v>1179</v>
      </c>
      <c r="AC35" t="n">
        <v>1127</v>
      </c>
      <c r="AD35" t="n">
        <v>1120</v>
      </c>
      <c r="AE35" t="n">
        <v>1147</v>
      </c>
      <c r="AF35" t="n">
        <v>1301</v>
      </c>
    </row>
    <row r="36">
      <c r="A36" t="s">
        <v>111</v>
      </c>
      <c r="B36" t="s">
        <v>342</v>
      </c>
      <c r="C36" t="s">
        <v>236</v>
      </c>
      <c r="D36" t="s">
        <v>343</v>
      </c>
      <c r="E36" t="s">
        <v>237</v>
      </c>
      <c r="F36" t="n">
        <v>15</v>
      </c>
      <c r="G36" t="n">
        <v>16</v>
      </c>
      <c r="H36" t="n">
        <v>18</v>
      </c>
      <c r="I36" t="n">
        <v>19</v>
      </c>
      <c r="J36" t="n">
        <v>20</v>
      </c>
      <c r="K36" t="n">
        <v>19</v>
      </c>
      <c r="L36" t="n">
        <v>21</v>
      </c>
      <c r="M36" t="n">
        <v>22</v>
      </c>
      <c r="N36" t="n">
        <v>24</v>
      </c>
      <c r="O36" t="n">
        <v>25</v>
      </c>
      <c r="P36" t="n">
        <v>24</v>
      </c>
      <c r="Q36" t="n">
        <v>24</v>
      </c>
      <c r="R36" t="n">
        <v>27</v>
      </c>
      <c r="S36" t="n">
        <v>35</v>
      </c>
      <c r="T36" t="n">
        <v>38</v>
      </c>
      <c r="U36" t="n">
        <v>81</v>
      </c>
      <c r="V36" t="n">
        <v>122</v>
      </c>
      <c r="W36" t="n">
        <v>153</v>
      </c>
      <c r="X36" t="n">
        <v>188</v>
      </c>
      <c r="Y36" t="n">
        <v>226</v>
      </c>
      <c r="Z36" t="n">
        <v>252</v>
      </c>
      <c r="AA36" t="n">
        <v>253</v>
      </c>
      <c r="AB36" t="n">
        <v>299</v>
      </c>
      <c r="AC36" t="n">
        <v>353</v>
      </c>
      <c r="AD36" t="n">
        <v>431</v>
      </c>
      <c r="AE36" t="n">
        <v>472</v>
      </c>
      <c r="AF36" t="n">
        <v>575</v>
      </c>
    </row>
    <row r="37">
      <c r="A37" t="s">
        <v>111</v>
      </c>
      <c r="B37" t="s">
        <v>344</v>
      </c>
      <c r="C37" t="s">
        <v>236</v>
      </c>
      <c r="D37" t="s">
        <v>345</v>
      </c>
      <c r="E37" t="s">
        <v>237</v>
      </c>
      <c r="F37" t="n">
        <v>124</v>
      </c>
      <c r="G37" t="n">
        <v>142</v>
      </c>
      <c r="H37" t="n">
        <v>162</v>
      </c>
      <c r="I37" t="n">
        <v>197</v>
      </c>
      <c r="J37" t="n">
        <v>246</v>
      </c>
      <c r="K37" t="n">
        <v>291</v>
      </c>
      <c r="L37" t="n">
        <v>310</v>
      </c>
      <c r="M37" t="n">
        <v>353</v>
      </c>
      <c r="N37" t="n">
        <v>348</v>
      </c>
      <c r="O37" t="n">
        <v>362</v>
      </c>
      <c r="P37" t="n">
        <v>374</v>
      </c>
      <c r="Q37" t="n">
        <v>367</v>
      </c>
      <c r="R37" t="n">
        <v>355</v>
      </c>
      <c r="S37" t="n">
        <v>359</v>
      </c>
      <c r="T37" t="n">
        <v>341</v>
      </c>
      <c r="U37" t="n">
        <v>318</v>
      </c>
      <c r="V37" t="n">
        <v>299</v>
      </c>
      <c r="W37" t="n">
        <v>271</v>
      </c>
      <c r="X37" t="n">
        <v>257</v>
      </c>
      <c r="Y37" t="n">
        <v>240</v>
      </c>
      <c r="Z37" t="n">
        <v>222</v>
      </c>
      <c r="AA37" t="n">
        <v>209</v>
      </c>
      <c r="AB37" t="n">
        <v>192</v>
      </c>
      <c r="AC37" t="n">
        <v>175</v>
      </c>
      <c r="AD37" t="n">
        <v>174</v>
      </c>
      <c r="AE37" t="n">
        <v>163</v>
      </c>
      <c r="AF37" t="n">
        <v>173</v>
      </c>
    </row>
    <row r="38">
      <c r="A38" t="s">
        <v>111</v>
      </c>
      <c r="B38" t="s">
        <v>346</v>
      </c>
      <c r="C38" t="s">
        <v>236</v>
      </c>
      <c r="D38" t="s">
        <v>347</v>
      </c>
      <c r="E38" t="s">
        <v>237</v>
      </c>
      <c r="F38" t="n">
        <v>15</v>
      </c>
      <c r="G38" t="n">
        <v>16</v>
      </c>
      <c r="H38" t="n">
        <v>16</v>
      </c>
      <c r="I38" t="n">
        <v>20</v>
      </c>
      <c r="J38" t="n">
        <v>48</v>
      </c>
      <c r="K38" t="n">
        <v>80</v>
      </c>
      <c r="L38" t="n">
        <v>108</v>
      </c>
      <c r="M38" t="n">
        <v>211</v>
      </c>
      <c r="N38" t="n">
        <v>307</v>
      </c>
      <c r="O38" t="n">
        <v>330</v>
      </c>
      <c r="P38" t="n">
        <v>388</v>
      </c>
      <c r="Q38" t="n">
        <v>362</v>
      </c>
      <c r="R38" t="n">
        <v>512</v>
      </c>
      <c r="S38" t="n">
        <v>573</v>
      </c>
      <c r="T38" t="n">
        <v>582</v>
      </c>
      <c r="U38" t="n">
        <v>566</v>
      </c>
      <c r="V38" t="n">
        <v>565</v>
      </c>
      <c r="W38" t="n">
        <v>633</v>
      </c>
      <c r="X38" t="n">
        <v>740</v>
      </c>
      <c r="Y38" t="n">
        <v>746</v>
      </c>
      <c r="Z38" t="n">
        <v>689</v>
      </c>
      <c r="AA38" t="n">
        <v>671</v>
      </c>
      <c r="AB38" t="n">
        <v>688</v>
      </c>
      <c r="AC38" t="n">
        <v>599</v>
      </c>
      <c r="AD38" t="n">
        <v>515</v>
      </c>
      <c r="AE38" t="n">
        <v>512</v>
      </c>
      <c r="AF38" t="n">
        <v>553</v>
      </c>
    </row>
    <row r="39">
      <c r="A39" t="s">
        <v>111</v>
      </c>
      <c r="B39" t="s">
        <v>348</v>
      </c>
      <c r="C39" t="s">
        <v>236</v>
      </c>
      <c r="D39" t="s">
        <v>349</v>
      </c>
      <c r="E39" t="s">
        <v>237</v>
      </c>
      <c r="F39" t="n">
        <v>0</v>
      </c>
      <c r="G39" t="n">
        <v>7</v>
      </c>
      <c r="H39" t="n">
        <v>20</v>
      </c>
      <c r="I39" t="n">
        <v>20</v>
      </c>
      <c r="J39" t="n">
        <v>20</v>
      </c>
      <c r="K39" t="n">
        <v>26</v>
      </c>
      <c r="L39" t="n">
        <v>71</v>
      </c>
      <c r="M39" t="n">
        <v>60</v>
      </c>
      <c r="N39" t="n">
        <v>49</v>
      </c>
      <c r="O39" t="n">
        <v>41</v>
      </c>
      <c r="P39" t="n">
        <v>34</v>
      </c>
      <c r="Q39" t="n">
        <v>29</v>
      </c>
      <c r="R39" t="n">
        <v>57</v>
      </c>
      <c r="S39" t="n">
        <v>122</v>
      </c>
      <c r="T39" t="n">
        <v>166</v>
      </c>
      <c r="U39" t="n">
        <v>203</v>
      </c>
      <c r="V39" t="n">
        <v>238</v>
      </c>
      <c r="W39" t="n">
        <v>280</v>
      </c>
      <c r="X39" t="n">
        <v>292</v>
      </c>
      <c r="Y39" t="n">
        <v>306</v>
      </c>
      <c r="Z39" t="n">
        <v>328</v>
      </c>
      <c r="AA39" t="n">
        <v>338</v>
      </c>
      <c r="AB39" t="n">
        <v>369</v>
      </c>
      <c r="AC39" t="n">
        <v>389</v>
      </c>
      <c r="AD39" t="n">
        <v>415</v>
      </c>
      <c r="AE39" t="n">
        <v>423</v>
      </c>
      <c r="AF39" t="n">
        <v>429</v>
      </c>
    </row>
    <row r="40">
      <c r="A40" t="s">
        <v>111</v>
      </c>
      <c r="B40" t="s">
        <v>350</v>
      </c>
      <c r="C40" t="s">
        <v>236</v>
      </c>
      <c r="D40" t="s">
        <v>351</v>
      </c>
      <c r="E40" t="s">
        <v>237</v>
      </c>
      <c r="F40" t="n">
        <v>8</v>
      </c>
      <c r="G40" t="n">
        <v>9</v>
      </c>
      <c r="H40" t="n">
        <v>10</v>
      </c>
      <c r="I40" t="n">
        <v>9</v>
      </c>
      <c r="J40" t="n">
        <v>9</v>
      </c>
      <c r="K40" t="n">
        <v>10</v>
      </c>
      <c r="L40" t="n">
        <v>10</v>
      </c>
      <c r="M40" t="n">
        <v>8</v>
      </c>
      <c r="N40" t="n">
        <v>7</v>
      </c>
      <c r="O40" t="n">
        <v>5</v>
      </c>
      <c r="P40" t="n">
        <v>4</v>
      </c>
      <c r="Q40" t="n">
        <v>4</v>
      </c>
      <c r="R40" t="n">
        <v>3</v>
      </c>
      <c r="S40" t="n">
        <v>2</v>
      </c>
      <c r="T40" t="n">
        <v>2</v>
      </c>
      <c r="U40" t="n">
        <v>5</v>
      </c>
      <c r="V40" t="n">
        <v>7</v>
      </c>
      <c r="W40" t="n">
        <v>9</v>
      </c>
      <c r="X40" t="n">
        <v>9</v>
      </c>
      <c r="Y40" t="n">
        <v>7</v>
      </c>
      <c r="Z40" t="n">
        <v>8</v>
      </c>
      <c r="AA40" t="n">
        <v>9</v>
      </c>
      <c r="AB40" t="n">
        <v>9</v>
      </c>
      <c r="AC40" t="n">
        <v>9</v>
      </c>
      <c r="AD40" t="n">
        <v>9</v>
      </c>
      <c r="AE40" t="n">
        <v>10</v>
      </c>
      <c r="AF40" t="n">
        <v>9</v>
      </c>
    </row>
    <row r="41">
      <c r="A41" t="s">
        <v>111</v>
      </c>
      <c r="B41" t="s">
        <v>352</v>
      </c>
      <c r="C41" t="s">
        <v>236</v>
      </c>
      <c r="D41" t="s">
        <v>353</v>
      </c>
      <c r="E41" t="s">
        <v>237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111</v>
      </c>
      <c r="B42" t="s">
        <v>354</v>
      </c>
      <c r="C42" t="s">
        <v>236</v>
      </c>
      <c r="D42" t="s">
        <v>355</v>
      </c>
      <c r="E42" t="s">
        <v>237</v>
      </c>
      <c r="F42" t="n">
        <v>1575</v>
      </c>
      <c r="G42" t="n">
        <v>1685</v>
      </c>
      <c r="H42" t="n">
        <v>1786</v>
      </c>
      <c r="I42" t="n">
        <v>1910</v>
      </c>
      <c r="J42" t="n">
        <v>2028</v>
      </c>
      <c r="K42" t="n">
        <v>2227</v>
      </c>
      <c r="L42" t="n">
        <v>2421</v>
      </c>
      <c r="M42" t="n">
        <v>2672</v>
      </c>
      <c r="N42" t="n">
        <v>2761</v>
      </c>
      <c r="O42" t="n">
        <v>2916</v>
      </c>
      <c r="P42" t="n">
        <v>3065</v>
      </c>
      <c r="Q42" t="n">
        <v>3200</v>
      </c>
      <c r="R42" t="n">
        <v>3272</v>
      </c>
      <c r="S42" t="n">
        <v>3460</v>
      </c>
      <c r="T42" t="n">
        <v>3599</v>
      </c>
      <c r="U42" t="n">
        <v>3660</v>
      </c>
      <c r="V42" t="n">
        <v>3700</v>
      </c>
      <c r="W42" t="n">
        <v>3782</v>
      </c>
      <c r="X42" t="n">
        <v>3816</v>
      </c>
      <c r="Y42" t="n">
        <v>3731</v>
      </c>
      <c r="Z42" t="n">
        <v>3674</v>
      </c>
      <c r="AA42" t="n">
        <v>3617</v>
      </c>
      <c r="AB42" t="n">
        <v>3471</v>
      </c>
      <c r="AC42" t="n">
        <v>3455</v>
      </c>
      <c r="AD42" t="n">
        <v>3612</v>
      </c>
      <c r="AE42" t="n">
        <v>3644</v>
      </c>
      <c r="AF42" t="n">
        <v>3785</v>
      </c>
    </row>
    <row r="43">
      <c r="A43" t="s">
        <v>111</v>
      </c>
      <c r="B43" t="s">
        <v>356</v>
      </c>
      <c r="C43" t="s">
        <v>236</v>
      </c>
      <c r="D43" t="s">
        <v>357</v>
      </c>
      <c r="E43" t="s">
        <v>237</v>
      </c>
      <c r="F43" t="n">
        <v>1580</v>
      </c>
      <c r="G43" t="n">
        <v>1691</v>
      </c>
      <c r="H43" t="n">
        <v>1794</v>
      </c>
      <c r="I43" t="n">
        <v>1919</v>
      </c>
      <c r="J43" t="n">
        <v>2038</v>
      </c>
      <c r="K43" t="n">
        <v>2236</v>
      </c>
      <c r="L43" t="n">
        <v>2430</v>
      </c>
      <c r="M43" t="n">
        <v>2685</v>
      </c>
      <c r="N43" t="n">
        <v>2775</v>
      </c>
      <c r="O43" t="n">
        <v>2936</v>
      </c>
      <c r="P43" t="n">
        <v>3090</v>
      </c>
      <c r="Q43" t="n">
        <v>3230</v>
      </c>
      <c r="R43" t="n">
        <v>3304</v>
      </c>
      <c r="S43" t="n">
        <v>3488</v>
      </c>
      <c r="T43" t="n">
        <v>3622</v>
      </c>
      <c r="U43" t="n">
        <v>3682</v>
      </c>
      <c r="V43" t="n">
        <v>3721</v>
      </c>
      <c r="W43" t="n">
        <v>3804</v>
      </c>
      <c r="X43" t="n">
        <v>3836</v>
      </c>
      <c r="Y43" t="n">
        <v>3756</v>
      </c>
      <c r="Z43" t="n">
        <v>3699</v>
      </c>
      <c r="AA43" t="n">
        <v>3651</v>
      </c>
      <c r="AB43" t="n">
        <v>3504</v>
      </c>
      <c r="AC43" t="n">
        <v>3488</v>
      </c>
      <c r="AD43" t="n">
        <v>3643</v>
      </c>
      <c r="AE43" t="n">
        <v>3686</v>
      </c>
      <c r="AF43" t="n">
        <v>3830</v>
      </c>
    </row>
    <row r="44">
      <c r="A44" t="s">
        <v>111</v>
      </c>
      <c r="B44" t="s">
        <v>358</v>
      </c>
      <c r="C44" t="s">
        <v>236</v>
      </c>
      <c r="D44" t="s">
        <v>359</v>
      </c>
      <c r="E44" t="s">
        <v>237</v>
      </c>
      <c r="F44" t="n">
        <v>6559</v>
      </c>
      <c r="G44" t="n">
        <v>7270</v>
      </c>
      <c r="H44" t="n">
        <v>8032</v>
      </c>
      <c r="I44" t="n">
        <v>9091</v>
      </c>
      <c r="J44" t="n">
        <v>10348</v>
      </c>
      <c r="K44" t="n">
        <v>12178</v>
      </c>
      <c r="L44" t="n">
        <v>13864</v>
      </c>
      <c r="M44" t="n">
        <v>15271</v>
      </c>
      <c r="N44" t="n">
        <v>16358</v>
      </c>
      <c r="O44" t="n">
        <v>17723</v>
      </c>
      <c r="P44" t="n">
        <v>19096</v>
      </c>
      <c r="Q44" t="n">
        <v>20119</v>
      </c>
      <c r="R44" t="n">
        <v>21473</v>
      </c>
      <c r="S44" t="n">
        <v>23919</v>
      </c>
      <c r="T44" t="n">
        <v>25260</v>
      </c>
      <c r="U44" t="n">
        <v>25981</v>
      </c>
      <c r="V44" t="n">
        <v>26519</v>
      </c>
      <c r="W44" t="n">
        <v>26551</v>
      </c>
      <c r="X44" t="n">
        <v>26301</v>
      </c>
      <c r="Y44" t="n">
        <v>25528</v>
      </c>
      <c r="Z44" t="n">
        <v>24643</v>
      </c>
      <c r="AA44" t="n">
        <v>23853</v>
      </c>
      <c r="AB44" t="n">
        <v>22731</v>
      </c>
      <c r="AC44" t="n">
        <v>22025</v>
      </c>
      <c r="AD44" t="n">
        <v>22307</v>
      </c>
      <c r="AE44" t="n">
        <v>22146</v>
      </c>
      <c r="AF44" t="n">
        <v>22581</v>
      </c>
    </row>
    <row r="45">
      <c r="A45" t="s">
        <v>111</v>
      </c>
      <c r="B45" t="s">
        <v>360</v>
      </c>
      <c r="C45" t="s">
        <v>236</v>
      </c>
      <c r="D45" t="s">
        <v>361</v>
      </c>
      <c r="E45" t="s">
        <v>237</v>
      </c>
      <c r="F45" t="n">
        <v>6549</v>
      </c>
      <c r="G45" t="n">
        <v>7261</v>
      </c>
      <c r="H45" t="n">
        <v>8025</v>
      </c>
      <c r="I45" t="n">
        <v>9082</v>
      </c>
      <c r="J45" t="n">
        <v>10338</v>
      </c>
      <c r="K45" t="n">
        <v>12168</v>
      </c>
      <c r="L45" t="n">
        <v>13856</v>
      </c>
      <c r="M45" t="n">
        <v>15263</v>
      </c>
      <c r="N45" t="n">
        <v>16351</v>
      </c>
      <c r="O45" t="n">
        <v>17718</v>
      </c>
      <c r="P45" t="n">
        <v>19091</v>
      </c>
      <c r="Q45" t="n">
        <v>20115</v>
      </c>
      <c r="R45" t="n">
        <v>21470</v>
      </c>
      <c r="S45" t="n">
        <v>23916</v>
      </c>
      <c r="T45" t="n">
        <v>25257</v>
      </c>
      <c r="U45" t="n">
        <v>25976</v>
      </c>
      <c r="V45" t="n">
        <v>26510</v>
      </c>
      <c r="W45" t="n">
        <v>26541</v>
      </c>
      <c r="X45" t="n">
        <v>26293</v>
      </c>
      <c r="Y45" t="n">
        <v>25519</v>
      </c>
      <c r="Z45" t="n">
        <v>24635</v>
      </c>
      <c r="AA45" t="n">
        <v>23844</v>
      </c>
      <c r="AB45" t="n">
        <v>22719</v>
      </c>
      <c r="AC45" t="n">
        <v>22004</v>
      </c>
      <c r="AD45" t="n">
        <v>22275</v>
      </c>
      <c r="AE45" t="n">
        <v>22107</v>
      </c>
      <c r="AF45" t="n">
        <v>22538</v>
      </c>
    </row>
    <row r="46">
      <c r="A46" t="s">
        <v>111</v>
      </c>
      <c r="B46" t="s">
        <v>362</v>
      </c>
      <c r="C46" t="s">
        <v>236</v>
      </c>
      <c r="D46" t="s">
        <v>363</v>
      </c>
      <c r="E46" t="s">
        <v>237</v>
      </c>
      <c r="F46" t="n">
        <v>5</v>
      </c>
      <c r="G46" t="n">
        <v>6</v>
      </c>
      <c r="H46" t="n">
        <v>8</v>
      </c>
      <c r="I46" t="n">
        <v>9</v>
      </c>
      <c r="J46" t="n">
        <v>10</v>
      </c>
      <c r="K46" t="n">
        <v>9</v>
      </c>
      <c r="L46" t="n">
        <v>9</v>
      </c>
      <c r="M46" t="n">
        <v>13</v>
      </c>
      <c r="N46" t="n">
        <v>14</v>
      </c>
      <c r="O46" t="n">
        <v>20</v>
      </c>
      <c r="P46" t="n">
        <v>25</v>
      </c>
      <c r="Q46" t="n">
        <v>30</v>
      </c>
      <c r="R46" t="n">
        <v>32</v>
      </c>
      <c r="S46" t="n">
        <v>28</v>
      </c>
      <c r="T46" t="n">
        <v>23</v>
      </c>
      <c r="U46" t="n">
        <v>22</v>
      </c>
      <c r="V46" t="n">
        <v>21</v>
      </c>
      <c r="W46" t="n">
        <v>22</v>
      </c>
      <c r="X46" t="n">
        <v>20</v>
      </c>
      <c r="Y46" t="n">
        <v>25</v>
      </c>
      <c r="Z46" t="n">
        <v>25</v>
      </c>
      <c r="AA46" t="n">
        <v>34</v>
      </c>
      <c r="AB46" t="n">
        <v>33</v>
      </c>
      <c r="AC46" t="n">
        <v>33</v>
      </c>
      <c r="AD46" t="n">
        <v>31</v>
      </c>
      <c r="AE46" t="n">
        <v>42</v>
      </c>
      <c r="AF46" t="n">
        <v>45</v>
      </c>
    </row>
    <row r="47">
      <c r="A47" t="s">
        <v>111</v>
      </c>
      <c r="B47" t="s">
        <v>364</v>
      </c>
      <c r="C47" t="s">
        <v>236</v>
      </c>
      <c r="D47" t="s">
        <v>365</v>
      </c>
      <c r="E47" t="s">
        <v>237</v>
      </c>
      <c r="F47" t="n">
        <v>126</v>
      </c>
      <c r="G47" t="n">
        <v>132</v>
      </c>
      <c r="H47" t="n">
        <v>137</v>
      </c>
      <c r="I47" t="n">
        <v>149</v>
      </c>
      <c r="J47" t="n">
        <v>165</v>
      </c>
      <c r="K47" t="n">
        <v>183</v>
      </c>
      <c r="L47" t="n">
        <v>192</v>
      </c>
      <c r="M47" t="n">
        <v>208</v>
      </c>
      <c r="N47" t="n">
        <v>215</v>
      </c>
      <c r="O47" t="n">
        <v>225</v>
      </c>
      <c r="P47" t="n">
        <v>234</v>
      </c>
      <c r="Q47" t="n">
        <v>252</v>
      </c>
      <c r="R47" t="n">
        <v>247</v>
      </c>
      <c r="S47" t="n">
        <v>251</v>
      </c>
      <c r="T47" t="n">
        <v>264</v>
      </c>
      <c r="U47" t="n">
        <v>265</v>
      </c>
      <c r="V47" t="n">
        <v>261</v>
      </c>
      <c r="W47" t="n">
        <v>281</v>
      </c>
      <c r="X47" t="n">
        <v>284</v>
      </c>
      <c r="Y47" t="n">
        <v>276</v>
      </c>
      <c r="Z47" t="n">
        <v>271</v>
      </c>
      <c r="AA47" t="n">
        <v>298</v>
      </c>
      <c r="AB47" t="n">
        <v>332</v>
      </c>
      <c r="AC47" t="n">
        <v>362</v>
      </c>
      <c r="AD47" t="n">
        <v>395</v>
      </c>
      <c r="AE47" t="n">
        <v>414</v>
      </c>
      <c r="AF47" t="n">
        <v>426</v>
      </c>
    </row>
    <row r="48">
      <c r="A48" t="s">
        <v>111</v>
      </c>
      <c r="B48" t="s">
        <v>366</v>
      </c>
      <c r="C48" t="s">
        <v>236</v>
      </c>
      <c r="D48" t="s">
        <v>367</v>
      </c>
      <c r="E48" t="s">
        <v>237</v>
      </c>
      <c r="F48" t="n">
        <v>1793</v>
      </c>
      <c r="G48" t="n">
        <v>2024</v>
      </c>
      <c r="H48" t="n">
        <v>2326</v>
      </c>
      <c r="I48" t="n">
        <v>2510</v>
      </c>
      <c r="J48" t="n">
        <v>2718</v>
      </c>
      <c r="K48" t="n">
        <v>2936</v>
      </c>
      <c r="L48" t="n">
        <v>3197</v>
      </c>
      <c r="M48" t="n">
        <v>3481</v>
      </c>
      <c r="N48" t="n">
        <v>3695</v>
      </c>
      <c r="O48" t="n">
        <v>3970</v>
      </c>
      <c r="P48" t="n">
        <v>4231</v>
      </c>
      <c r="Q48" t="n">
        <v>4436</v>
      </c>
      <c r="R48" t="n">
        <v>4671</v>
      </c>
      <c r="S48" t="n">
        <v>5023</v>
      </c>
      <c r="T48" t="n">
        <v>5329</v>
      </c>
      <c r="U48" t="n">
        <v>5604</v>
      </c>
      <c r="V48" t="n">
        <v>5866</v>
      </c>
      <c r="W48" t="n">
        <v>6135</v>
      </c>
      <c r="X48" t="n">
        <v>6283</v>
      </c>
      <c r="Y48" t="n">
        <v>6367</v>
      </c>
      <c r="Z48" t="n">
        <v>6321</v>
      </c>
      <c r="AA48" t="n">
        <v>6470</v>
      </c>
      <c r="AB48" t="n">
        <v>6578</v>
      </c>
      <c r="AC48" t="n">
        <v>6706</v>
      </c>
      <c r="AD48" t="n">
        <v>7094</v>
      </c>
      <c r="AE48" t="n">
        <v>7285</v>
      </c>
      <c r="AF48" t="n">
        <v>7466</v>
      </c>
    </row>
    <row r="49">
      <c r="A49" t="s">
        <v>111</v>
      </c>
      <c r="B49" t="s">
        <v>368</v>
      </c>
      <c r="C49" t="s">
        <v>236</v>
      </c>
      <c r="D49" t="s">
        <v>369</v>
      </c>
      <c r="E49" t="s">
        <v>237</v>
      </c>
      <c r="F49" t="n">
        <v>1659</v>
      </c>
      <c r="G49" t="n">
        <v>1882</v>
      </c>
      <c r="H49" t="n">
        <v>2178</v>
      </c>
      <c r="I49" t="n">
        <v>2347</v>
      </c>
      <c r="J49" t="n">
        <v>2536</v>
      </c>
      <c r="K49" t="n">
        <v>2733</v>
      </c>
      <c r="L49" t="n">
        <v>2982</v>
      </c>
      <c r="M49" t="n">
        <v>3249</v>
      </c>
      <c r="N49" t="n">
        <v>3455</v>
      </c>
      <c r="O49" t="n">
        <v>3718</v>
      </c>
      <c r="P49" t="n">
        <v>3970</v>
      </c>
      <c r="Q49" t="n">
        <v>4155</v>
      </c>
      <c r="R49" t="n">
        <v>4393</v>
      </c>
      <c r="S49" t="n">
        <v>4738</v>
      </c>
      <c r="T49" t="n">
        <v>5028</v>
      </c>
      <c r="U49" t="n">
        <v>5297</v>
      </c>
      <c r="V49" t="n">
        <v>5561</v>
      </c>
      <c r="W49" t="n">
        <v>5804</v>
      </c>
      <c r="X49" t="n">
        <v>5946</v>
      </c>
      <c r="Y49" t="n">
        <v>6034</v>
      </c>
      <c r="Z49" t="n">
        <v>5996</v>
      </c>
      <c r="AA49" t="n">
        <v>6116</v>
      </c>
      <c r="AB49" t="n">
        <v>6190</v>
      </c>
      <c r="AC49" t="n">
        <v>6279</v>
      </c>
      <c r="AD49" t="n">
        <v>6625</v>
      </c>
      <c r="AE49" t="n">
        <v>6788</v>
      </c>
      <c r="AF49" t="n">
        <v>6945</v>
      </c>
    </row>
    <row r="50">
      <c r="A50" t="s">
        <v>111</v>
      </c>
      <c r="B50" t="s">
        <v>370</v>
      </c>
      <c r="C50" t="s">
        <v>236</v>
      </c>
      <c r="D50" t="s">
        <v>371</v>
      </c>
      <c r="E50" t="s">
        <v>237</v>
      </c>
      <c r="F50" t="n">
        <v>8</v>
      </c>
      <c r="G50" t="n">
        <v>10</v>
      </c>
      <c r="H50" t="n">
        <v>11</v>
      </c>
      <c r="I50" t="n">
        <v>14</v>
      </c>
      <c r="J50" t="n">
        <v>17</v>
      </c>
      <c r="K50" t="n">
        <v>20</v>
      </c>
      <c r="L50" t="n">
        <v>23</v>
      </c>
      <c r="M50" t="n">
        <v>24</v>
      </c>
      <c r="N50" t="n">
        <v>25</v>
      </c>
      <c r="O50" t="n">
        <v>27</v>
      </c>
      <c r="P50" t="n">
        <v>27</v>
      </c>
      <c r="Q50" t="n">
        <v>29</v>
      </c>
      <c r="R50" t="n">
        <v>31</v>
      </c>
      <c r="S50" t="n">
        <v>34</v>
      </c>
      <c r="T50" t="n">
        <v>37</v>
      </c>
      <c r="U50" t="n">
        <v>42</v>
      </c>
      <c r="V50" t="n">
        <v>44</v>
      </c>
      <c r="W50" t="n">
        <v>50</v>
      </c>
      <c r="X50" t="n">
        <v>53</v>
      </c>
      <c r="Y50" t="n">
        <v>57</v>
      </c>
      <c r="Z50" t="n">
        <v>54</v>
      </c>
      <c r="AA50" t="n">
        <v>56</v>
      </c>
      <c r="AB50" t="n">
        <v>56</v>
      </c>
      <c r="AC50" t="n">
        <v>65</v>
      </c>
      <c r="AD50" t="n">
        <v>74</v>
      </c>
      <c r="AE50" t="n">
        <v>83</v>
      </c>
      <c r="AF50" t="n">
        <v>95</v>
      </c>
    </row>
    <row r="51">
      <c r="A51" t="s">
        <v>111</v>
      </c>
      <c r="B51" t="s">
        <v>372</v>
      </c>
      <c r="C51" t="s">
        <v>236</v>
      </c>
      <c r="D51" t="s">
        <v>373</v>
      </c>
      <c r="E51" t="s">
        <v>237</v>
      </c>
      <c r="F51" t="n">
        <v>8</v>
      </c>
      <c r="G51" t="n">
        <v>9</v>
      </c>
      <c r="H51" t="n">
        <v>9</v>
      </c>
      <c r="I51" t="n">
        <v>12</v>
      </c>
      <c r="J51" t="n">
        <v>14</v>
      </c>
      <c r="K51" t="n">
        <v>17</v>
      </c>
      <c r="L51" t="n">
        <v>19</v>
      </c>
      <c r="M51" t="n">
        <v>19</v>
      </c>
      <c r="N51" t="n">
        <v>19</v>
      </c>
      <c r="O51" t="n">
        <v>20</v>
      </c>
      <c r="P51" t="n">
        <v>20</v>
      </c>
      <c r="Q51" t="n">
        <v>21</v>
      </c>
      <c r="R51" t="n">
        <v>23</v>
      </c>
      <c r="S51" t="n">
        <v>25</v>
      </c>
      <c r="T51" t="n">
        <v>28</v>
      </c>
      <c r="U51" t="n">
        <v>30</v>
      </c>
      <c r="V51" t="n">
        <v>30</v>
      </c>
      <c r="W51" t="n">
        <v>33</v>
      </c>
      <c r="X51" t="n">
        <v>33</v>
      </c>
      <c r="Y51" t="n">
        <v>34</v>
      </c>
      <c r="Z51" t="n">
        <v>28</v>
      </c>
      <c r="AA51" t="n">
        <v>27</v>
      </c>
      <c r="AB51" t="n">
        <v>26</v>
      </c>
      <c r="AC51" t="n">
        <v>34</v>
      </c>
      <c r="AD51" t="n">
        <v>38</v>
      </c>
      <c r="AE51" t="n">
        <v>43</v>
      </c>
      <c r="AF51" t="n">
        <v>52</v>
      </c>
    </row>
    <row r="52">
      <c r="A52" t="s">
        <v>111</v>
      </c>
      <c r="B52" t="s">
        <v>374</v>
      </c>
      <c r="C52" t="s">
        <v>236</v>
      </c>
      <c r="D52" t="s">
        <v>375</v>
      </c>
      <c r="E52" t="s">
        <v>237</v>
      </c>
      <c r="F52" t="n">
        <v>0</v>
      </c>
      <c r="G52" t="n">
        <v>1</v>
      </c>
      <c r="H52" t="n">
        <v>2</v>
      </c>
      <c r="I52" t="n">
        <v>2</v>
      </c>
      <c r="J52" t="n">
        <v>3</v>
      </c>
      <c r="K52" t="n">
        <v>3</v>
      </c>
      <c r="L52" t="n">
        <v>4</v>
      </c>
      <c r="M52" t="n">
        <v>5</v>
      </c>
      <c r="N52" t="n">
        <v>6</v>
      </c>
      <c r="O52" t="n">
        <v>7</v>
      </c>
      <c r="P52" t="n">
        <v>7</v>
      </c>
      <c r="Q52" t="n">
        <v>8</v>
      </c>
      <c r="R52" t="n">
        <v>8</v>
      </c>
      <c r="S52" t="n">
        <v>9</v>
      </c>
      <c r="T52" t="n">
        <v>9</v>
      </c>
      <c r="U52" t="n">
        <v>12</v>
      </c>
      <c r="V52" t="n">
        <v>14</v>
      </c>
      <c r="W52" t="n">
        <v>17</v>
      </c>
      <c r="X52" t="n">
        <v>20</v>
      </c>
      <c r="Y52" t="n">
        <v>23</v>
      </c>
      <c r="Z52" t="n">
        <v>26</v>
      </c>
      <c r="AA52" t="n">
        <v>29</v>
      </c>
      <c r="AB52" t="n">
        <v>30</v>
      </c>
      <c r="AC52" t="n">
        <v>31</v>
      </c>
      <c r="AD52" t="n">
        <v>36</v>
      </c>
      <c r="AE52" t="n">
        <v>40</v>
      </c>
      <c r="AF52" t="n">
        <v>43</v>
      </c>
    </row>
    <row r="53">
      <c r="A53" t="s">
        <v>111</v>
      </c>
      <c r="B53" t="s">
        <v>376</v>
      </c>
      <c r="C53" t="s">
        <v>236</v>
      </c>
      <c r="D53" t="s">
        <v>377</v>
      </c>
      <c r="E53" t="s">
        <v>237</v>
      </c>
      <c r="F53" t="n">
        <v>6</v>
      </c>
      <c r="G53" t="n">
        <v>7</v>
      </c>
      <c r="H53" t="n">
        <v>8</v>
      </c>
      <c r="I53" t="n">
        <v>10</v>
      </c>
      <c r="J53" t="n">
        <v>11</v>
      </c>
      <c r="K53" t="n">
        <v>13</v>
      </c>
      <c r="L53" t="n">
        <v>14</v>
      </c>
      <c r="M53" t="n">
        <v>13</v>
      </c>
      <c r="N53" t="n">
        <v>13</v>
      </c>
      <c r="O53" t="n">
        <v>14</v>
      </c>
      <c r="P53" t="n">
        <v>14</v>
      </c>
      <c r="Q53" t="n">
        <v>14</v>
      </c>
      <c r="R53" t="n">
        <v>17</v>
      </c>
      <c r="S53" t="n">
        <v>19</v>
      </c>
      <c r="T53" t="n">
        <v>24</v>
      </c>
      <c r="U53" t="n">
        <v>30</v>
      </c>
      <c r="V53" t="n">
        <v>35</v>
      </c>
      <c r="W53" t="n">
        <v>43</v>
      </c>
      <c r="X53" t="n">
        <v>47</v>
      </c>
      <c r="Y53" t="n">
        <v>55</v>
      </c>
      <c r="Z53" t="n">
        <v>60</v>
      </c>
      <c r="AA53" t="n">
        <v>57</v>
      </c>
      <c r="AB53" t="n">
        <v>67</v>
      </c>
      <c r="AC53" t="n">
        <v>75</v>
      </c>
      <c r="AD53" t="n">
        <v>85</v>
      </c>
      <c r="AE53" t="n">
        <v>90</v>
      </c>
      <c r="AF53" t="n">
        <v>101</v>
      </c>
    </row>
    <row r="54">
      <c r="A54" t="s">
        <v>111</v>
      </c>
      <c r="B54" t="s">
        <v>378</v>
      </c>
      <c r="C54" t="s">
        <v>236</v>
      </c>
      <c r="D54" t="s">
        <v>379</v>
      </c>
      <c r="E54" t="s">
        <v>237</v>
      </c>
      <c r="F54" t="n">
        <v>27</v>
      </c>
      <c r="G54" t="n">
        <v>30</v>
      </c>
      <c r="H54" t="n">
        <v>31</v>
      </c>
      <c r="I54" t="n">
        <v>33</v>
      </c>
      <c r="J54" t="n">
        <v>33</v>
      </c>
      <c r="K54" t="n">
        <v>39</v>
      </c>
      <c r="L54" t="n">
        <v>44</v>
      </c>
      <c r="M54" t="n">
        <v>45</v>
      </c>
      <c r="N54" t="n">
        <v>48</v>
      </c>
      <c r="O54" t="n">
        <v>54</v>
      </c>
      <c r="P54" t="n">
        <v>55</v>
      </c>
      <c r="Q54" t="n">
        <v>55</v>
      </c>
      <c r="R54" t="n">
        <v>56</v>
      </c>
      <c r="S54" t="n">
        <v>56</v>
      </c>
      <c r="T54" t="n">
        <v>59</v>
      </c>
      <c r="U54" t="n">
        <v>64</v>
      </c>
      <c r="V54" t="n">
        <v>67</v>
      </c>
      <c r="W54" t="n">
        <v>77</v>
      </c>
      <c r="X54" t="n">
        <v>79</v>
      </c>
      <c r="Y54" t="n">
        <v>87</v>
      </c>
      <c r="Z54" t="n">
        <v>93</v>
      </c>
      <c r="AA54" t="n">
        <v>92</v>
      </c>
      <c r="AB54" t="n">
        <v>102</v>
      </c>
      <c r="AC54" t="n">
        <v>111</v>
      </c>
      <c r="AD54" t="n">
        <v>123</v>
      </c>
      <c r="AE54" t="n">
        <v>129</v>
      </c>
      <c r="AF54" t="n">
        <v>147</v>
      </c>
    </row>
    <row r="55">
      <c r="A55" t="s">
        <v>111</v>
      </c>
      <c r="B55" t="s">
        <v>380</v>
      </c>
      <c r="C55" t="s">
        <v>236</v>
      </c>
      <c r="D55" t="s">
        <v>381</v>
      </c>
      <c r="E55" t="s">
        <v>237</v>
      </c>
      <c r="F55" t="n">
        <v>21</v>
      </c>
      <c r="G55" t="n">
        <v>23</v>
      </c>
      <c r="H55" t="n">
        <v>23</v>
      </c>
      <c r="I55" t="n">
        <v>23</v>
      </c>
      <c r="J55" t="n">
        <v>22</v>
      </c>
      <c r="K55" t="n">
        <v>26</v>
      </c>
      <c r="L55" t="n">
        <v>30</v>
      </c>
      <c r="M55" t="n">
        <v>32</v>
      </c>
      <c r="N55" t="n">
        <v>35</v>
      </c>
      <c r="O55" t="n">
        <v>40</v>
      </c>
      <c r="P55" t="n">
        <v>41</v>
      </c>
      <c r="Q55" t="n">
        <v>41</v>
      </c>
      <c r="R55" t="n">
        <v>39</v>
      </c>
      <c r="S55" t="n">
        <v>37</v>
      </c>
      <c r="T55" t="n">
        <v>35</v>
      </c>
      <c r="U55" t="n">
        <v>34</v>
      </c>
      <c r="V55" t="n">
        <v>32</v>
      </c>
      <c r="W55" t="n">
        <v>34</v>
      </c>
      <c r="X55" t="n">
        <v>32</v>
      </c>
      <c r="Y55" t="n">
        <v>32</v>
      </c>
      <c r="Z55" t="n">
        <v>33</v>
      </c>
      <c r="AA55" t="n">
        <v>35</v>
      </c>
      <c r="AB55" t="n">
        <v>35</v>
      </c>
      <c r="AC55" t="n">
        <v>36</v>
      </c>
      <c r="AD55" t="n">
        <v>38</v>
      </c>
      <c r="AE55" t="n">
        <v>39</v>
      </c>
      <c r="AF55" t="n">
        <v>46</v>
      </c>
    </row>
    <row r="56">
      <c r="A56" t="s">
        <v>111</v>
      </c>
      <c r="B56" t="s">
        <v>382</v>
      </c>
      <c r="C56" t="s">
        <v>236</v>
      </c>
      <c r="D56" t="s">
        <v>383</v>
      </c>
      <c r="E56" t="s">
        <v>237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111</v>
      </c>
      <c r="B57" t="s">
        <v>384</v>
      </c>
      <c r="C57" t="s">
        <v>236</v>
      </c>
      <c r="D57" t="s">
        <v>385</v>
      </c>
      <c r="E57" t="s">
        <v>237</v>
      </c>
      <c r="F57" t="n">
        <v>8360</v>
      </c>
      <c r="G57" t="n">
        <v>9303</v>
      </c>
      <c r="H57" t="n">
        <v>10368</v>
      </c>
      <c r="I57" t="n">
        <v>11610</v>
      </c>
      <c r="J57" t="n">
        <v>13075</v>
      </c>
      <c r="K57" t="n">
        <v>15124</v>
      </c>
      <c r="L57" t="n">
        <v>17071</v>
      </c>
      <c r="M57" t="n">
        <v>18760</v>
      </c>
      <c r="N57" t="n">
        <v>20060</v>
      </c>
      <c r="O57" t="n">
        <v>21698</v>
      </c>
      <c r="P57" t="n">
        <v>23331</v>
      </c>
      <c r="Q57" t="n">
        <v>24559</v>
      </c>
      <c r="R57" t="n">
        <v>26147</v>
      </c>
      <c r="S57" t="n">
        <v>28944</v>
      </c>
      <c r="T57" t="n">
        <v>30591</v>
      </c>
      <c r="U57" t="n">
        <v>31590</v>
      </c>
      <c r="V57" t="n">
        <v>32392</v>
      </c>
      <c r="W57" t="n">
        <v>32695</v>
      </c>
      <c r="X57" t="n">
        <v>32593</v>
      </c>
      <c r="Y57" t="n">
        <v>31902</v>
      </c>
      <c r="Z57" t="n">
        <v>30972</v>
      </c>
      <c r="AA57" t="n">
        <v>30332</v>
      </c>
      <c r="AB57" t="n">
        <v>29318</v>
      </c>
      <c r="AC57" t="n">
        <v>28740</v>
      </c>
      <c r="AD57" t="n">
        <v>29410</v>
      </c>
      <c r="AE57" t="n">
        <v>29441</v>
      </c>
      <c r="AF57" t="n">
        <v>30056</v>
      </c>
    </row>
    <row r="58">
      <c r="A58" t="s">
        <v>111</v>
      </c>
      <c r="B58" t="s">
        <v>386</v>
      </c>
      <c r="C58" t="s">
        <v>236</v>
      </c>
      <c r="D58" t="s">
        <v>387</v>
      </c>
      <c r="E58" t="s">
        <v>237</v>
      </c>
      <c r="F58" t="n">
        <v>8360</v>
      </c>
      <c r="G58" t="n">
        <v>9303</v>
      </c>
      <c r="H58" t="n">
        <v>10368</v>
      </c>
      <c r="I58" t="n">
        <v>11610</v>
      </c>
      <c r="J58" t="n">
        <v>13075</v>
      </c>
      <c r="K58" t="n">
        <v>15124</v>
      </c>
      <c r="L58" t="n">
        <v>17071</v>
      </c>
      <c r="M58" t="n">
        <v>18760</v>
      </c>
      <c r="N58" t="n">
        <v>20060</v>
      </c>
      <c r="O58" t="n">
        <v>21698</v>
      </c>
      <c r="P58" t="n">
        <v>23331</v>
      </c>
      <c r="Q58" t="n">
        <v>24559</v>
      </c>
      <c r="R58" t="n">
        <v>26147</v>
      </c>
      <c r="S58" t="n">
        <v>28944</v>
      </c>
      <c r="T58" t="n">
        <v>30591</v>
      </c>
      <c r="U58" t="n">
        <v>31590</v>
      </c>
      <c r="V58" t="n">
        <v>32392</v>
      </c>
      <c r="W58" t="n">
        <v>32695</v>
      </c>
      <c r="X58" t="n">
        <v>32593</v>
      </c>
      <c r="Y58" t="n">
        <v>31902</v>
      </c>
      <c r="Z58" t="n">
        <v>30972</v>
      </c>
      <c r="AA58" t="n">
        <v>30332</v>
      </c>
      <c r="AB58" t="n">
        <v>29318</v>
      </c>
      <c r="AC58" t="n">
        <v>28740</v>
      </c>
      <c r="AD58" t="n">
        <v>29410</v>
      </c>
      <c r="AE58" t="n">
        <v>29441</v>
      </c>
      <c r="AF58" t="n">
        <v>30056</v>
      </c>
    </row>
    <row r="59">
      <c r="A59" t="s">
        <v>111</v>
      </c>
      <c r="B59" t="s">
        <v>388</v>
      </c>
      <c r="C59" t="s">
        <v>236</v>
      </c>
      <c r="D59" t="s">
        <v>389</v>
      </c>
      <c r="E59" t="s">
        <v>237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113</v>
      </c>
      <c r="B2" t="s">
        <v>197</v>
      </c>
      <c r="C2" t="s">
        <v>236</v>
      </c>
      <c r="D2" t="s">
        <v>199</v>
      </c>
      <c r="E2" t="s">
        <v>237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113</v>
      </c>
      <c r="B3" t="s">
        <v>276</v>
      </c>
      <c r="C3" t="s">
        <v>236</v>
      </c>
      <c r="D3" t="s">
        <v>277</v>
      </c>
      <c r="E3" t="s">
        <v>237</v>
      </c>
      <c r="F3" t="n">
        <v>118</v>
      </c>
      <c r="G3" t="n">
        <v>117</v>
      </c>
      <c r="H3" t="n">
        <v>114</v>
      </c>
      <c r="I3" t="n">
        <v>116</v>
      </c>
      <c r="J3" t="n">
        <v>121</v>
      </c>
      <c r="K3" t="n">
        <v>129</v>
      </c>
      <c r="L3" t="n">
        <v>154</v>
      </c>
      <c r="M3" t="n">
        <v>165</v>
      </c>
      <c r="N3" t="n">
        <v>173</v>
      </c>
      <c r="O3" t="n">
        <v>170</v>
      </c>
      <c r="P3" t="n">
        <v>177</v>
      </c>
      <c r="Q3" t="n">
        <v>182</v>
      </c>
      <c r="R3" t="n">
        <v>204</v>
      </c>
      <c r="S3" t="n">
        <v>234</v>
      </c>
      <c r="T3" t="n">
        <v>242</v>
      </c>
      <c r="U3" t="n">
        <v>254</v>
      </c>
      <c r="V3" t="n">
        <v>283</v>
      </c>
      <c r="W3" t="n">
        <v>317</v>
      </c>
      <c r="X3" t="n">
        <v>308</v>
      </c>
      <c r="Y3" t="n">
        <v>285</v>
      </c>
      <c r="Z3" t="n">
        <v>263</v>
      </c>
      <c r="AA3" t="n">
        <v>246</v>
      </c>
      <c r="AB3" t="n">
        <v>258</v>
      </c>
      <c r="AC3" t="n">
        <v>280</v>
      </c>
      <c r="AD3" t="n">
        <v>287</v>
      </c>
      <c r="AE3" t="n">
        <v>294</v>
      </c>
      <c r="AF3" t="n">
        <v>302</v>
      </c>
    </row>
    <row r="4">
      <c r="A4" t="s">
        <v>113</v>
      </c>
      <c r="B4" t="s">
        <v>278</v>
      </c>
      <c r="C4" t="s">
        <v>236</v>
      </c>
      <c r="D4" t="s">
        <v>279</v>
      </c>
      <c r="E4" t="s">
        <v>237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113</v>
      </c>
      <c r="B5" t="s">
        <v>280</v>
      </c>
      <c r="C5" t="s">
        <v>236</v>
      </c>
      <c r="D5" t="s">
        <v>281</v>
      </c>
      <c r="E5" t="s">
        <v>237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113</v>
      </c>
      <c r="B6" t="s">
        <v>282</v>
      </c>
      <c r="C6" t="s">
        <v>236</v>
      </c>
      <c r="D6" t="s">
        <v>283</v>
      </c>
      <c r="E6" t="s">
        <v>237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113</v>
      </c>
      <c r="B7" t="s">
        <v>284</v>
      </c>
      <c r="C7" t="s">
        <v>236</v>
      </c>
      <c r="D7" t="s">
        <v>285</v>
      </c>
      <c r="E7" t="s">
        <v>237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113</v>
      </c>
      <c r="B8" t="s">
        <v>286</v>
      </c>
      <c r="C8" t="s">
        <v>236</v>
      </c>
      <c r="D8" t="s">
        <v>287</v>
      </c>
      <c r="E8" t="s">
        <v>237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113</v>
      </c>
      <c r="B9" t="s">
        <v>288</v>
      </c>
      <c r="C9" t="s">
        <v>236</v>
      </c>
      <c r="D9" t="s">
        <v>289</v>
      </c>
      <c r="E9" t="s">
        <v>237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113</v>
      </c>
      <c r="B10" t="s">
        <v>290</v>
      </c>
      <c r="C10" t="s">
        <v>236</v>
      </c>
      <c r="D10" t="s">
        <v>291</v>
      </c>
      <c r="E10" t="s">
        <v>237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113</v>
      </c>
      <c r="B11" t="s">
        <v>292</v>
      </c>
      <c r="C11" t="s">
        <v>236</v>
      </c>
      <c r="D11" t="s">
        <v>293</v>
      </c>
      <c r="E11" t="s">
        <v>237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113</v>
      </c>
      <c r="B12" t="s">
        <v>294</v>
      </c>
      <c r="C12" t="s">
        <v>236</v>
      </c>
      <c r="D12" t="s">
        <v>295</v>
      </c>
      <c r="E12" t="s">
        <v>237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113</v>
      </c>
      <c r="B13" t="s">
        <v>296</v>
      </c>
      <c r="C13" t="s">
        <v>236</v>
      </c>
      <c r="D13" t="s">
        <v>297</v>
      </c>
      <c r="E13" t="s">
        <v>237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113</v>
      </c>
      <c r="B14" t="s">
        <v>298</v>
      </c>
      <c r="C14" t="s">
        <v>236</v>
      </c>
      <c r="D14" t="s">
        <v>299</v>
      </c>
      <c r="E14" t="s">
        <v>237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113</v>
      </c>
      <c r="B15" t="s">
        <v>300</v>
      </c>
      <c r="C15" t="s">
        <v>236</v>
      </c>
      <c r="D15" t="s">
        <v>301</v>
      </c>
      <c r="E15" t="s">
        <v>237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113</v>
      </c>
      <c r="B16" t="s">
        <v>302</v>
      </c>
      <c r="C16" t="s">
        <v>236</v>
      </c>
      <c r="D16" t="s">
        <v>303</v>
      </c>
      <c r="E16" t="s">
        <v>237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113</v>
      </c>
      <c r="B17" t="s">
        <v>304</v>
      </c>
      <c r="C17" t="s">
        <v>236</v>
      </c>
      <c r="D17" t="s">
        <v>305</v>
      </c>
      <c r="E17" t="s">
        <v>237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113</v>
      </c>
      <c r="B18" t="s">
        <v>306</v>
      </c>
      <c r="C18" t="s">
        <v>236</v>
      </c>
      <c r="D18" t="s">
        <v>307</v>
      </c>
      <c r="E18" t="s">
        <v>237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113</v>
      </c>
      <c r="B19" t="s">
        <v>308</v>
      </c>
      <c r="C19" t="s">
        <v>236</v>
      </c>
      <c r="D19" t="s">
        <v>309</v>
      </c>
      <c r="E19" t="s">
        <v>237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113</v>
      </c>
      <c r="B20" t="s">
        <v>310</v>
      </c>
      <c r="C20" t="s">
        <v>236</v>
      </c>
      <c r="D20" t="s">
        <v>311</v>
      </c>
      <c r="E20" t="s">
        <v>237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113</v>
      </c>
      <c r="B21" t="s">
        <v>312</v>
      </c>
      <c r="C21" t="s">
        <v>236</v>
      </c>
      <c r="D21" t="s">
        <v>313</v>
      </c>
      <c r="E21" t="s">
        <v>237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113</v>
      </c>
      <c r="B22" t="s">
        <v>314</v>
      </c>
      <c r="C22" t="s">
        <v>236</v>
      </c>
      <c r="D22" t="s">
        <v>315</v>
      </c>
      <c r="E22" t="s">
        <v>237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113</v>
      </c>
      <c r="B23" t="s">
        <v>316</v>
      </c>
      <c r="C23" t="s">
        <v>236</v>
      </c>
      <c r="D23" t="s">
        <v>317</v>
      </c>
      <c r="E23" t="s">
        <v>237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113</v>
      </c>
      <c r="B24" t="s">
        <v>318</v>
      </c>
      <c r="C24" t="s">
        <v>236</v>
      </c>
      <c r="D24" t="s">
        <v>319</v>
      </c>
      <c r="E24" t="s">
        <v>237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113</v>
      </c>
      <c r="B25" t="s">
        <v>320</v>
      </c>
      <c r="C25" t="s">
        <v>236</v>
      </c>
      <c r="D25" t="s">
        <v>321</v>
      </c>
      <c r="E25" t="s">
        <v>237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113</v>
      </c>
      <c r="B26" t="s">
        <v>322</v>
      </c>
      <c r="C26" t="s">
        <v>236</v>
      </c>
      <c r="D26" t="s">
        <v>323</v>
      </c>
      <c r="E26" t="s">
        <v>237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113</v>
      </c>
      <c r="B27" t="s">
        <v>324</v>
      </c>
      <c r="C27" t="s">
        <v>236</v>
      </c>
      <c r="D27" t="s">
        <v>325</v>
      </c>
      <c r="E27" t="s">
        <v>237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113</v>
      </c>
      <c r="B28" t="s">
        <v>326</v>
      </c>
      <c r="C28" t="s">
        <v>236</v>
      </c>
      <c r="D28" t="s">
        <v>327</v>
      </c>
      <c r="E28" t="s">
        <v>237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113</v>
      </c>
      <c r="B29" t="s">
        <v>328</v>
      </c>
      <c r="C29" t="s">
        <v>236</v>
      </c>
      <c r="D29" t="s">
        <v>329</v>
      </c>
      <c r="E29" t="s">
        <v>237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113</v>
      </c>
      <c r="B30" t="s">
        <v>330</v>
      </c>
      <c r="C30" t="s">
        <v>236</v>
      </c>
      <c r="D30" t="s">
        <v>331</v>
      </c>
      <c r="E30" t="s">
        <v>237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113</v>
      </c>
      <c r="B31" t="s">
        <v>332</v>
      </c>
      <c r="C31" t="s">
        <v>236</v>
      </c>
      <c r="D31" t="s">
        <v>333</v>
      </c>
      <c r="E31" t="s">
        <v>237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113</v>
      </c>
      <c r="B32" t="s">
        <v>334</v>
      </c>
      <c r="C32" t="s">
        <v>236</v>
      </c>
      <c r="D32" t="s">
        <v>335</v>
      </c>
      <c r="E32" t="s">
        <v>237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113</v>
      </c>
      <c r="B33" t="s">
        <v>336</v>
      </c>
      <c r="C33" t="s">
        <v>236</v>
      </c>
      <c r="D33" t="s">
        <v>337</v>
      </c>
      <c r="E33" t="s">
        <v>237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113</v>
      </c>
      <c r="B34" t="s">
        <v>338</v>
      </c>
      <c r="C34" t="s">
        <v>236</v>
      </c>
      <c r="D34" t="s">
        <v>339</v>
      </c>
      <c r="E34" t="s">
        <v>237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113</v>
      </c>
      <c r="B35" t="s">
        <v>340</v>
      </c>
      <c r="C35" t="s">
        <v>236</v>
      </c>
      <c r="D35" t="s">
        <v>341</v>
      </c>
      <c r="E35" t="s">
        <v>237</v>
      </c>
      <c r="F35" t="n">
        <v>777</v>
      </c>
      <c r="G35" t="n">
        <v>784</v>
      </c>
      <c r="H35" t="n">
        <v>805</v>
      </c>
      <c r="I35" t="n">
        <v>837</v>
      </c>
      <c r="J35" t="n">
        <v>844</v>
      </c>
      <c r="K35" t="n">
        <v>879</v>
      </c>
      <c r="L35" t="n">
        <v>945</v>
      </c>
      <c r="M35" t="n">
        <v>951</v>
      </c>
      <c r="N35" t="n">
        <v>935</v>
      </c>
      <c r="O35" t="n">
        <v>949</v>
      </c>
      <c r="P35" t="n">
        <v>970</v>
      </c>
      <c r="Q35" t="n">
        <v>1001</v>
      </c>
      <c r="R35" t="n">
        <v>1033</v>
      </c>
      <c r="S35" t="n">
        <v>1048</v>
      </c>
      <c r="T35" t="n">
        <v>1082</v>
      </c>
      <c r="U35" t="n">
        <v>1145</v>
      </c>
      <c r="V35" t="n">
        <v>1223</v>
      </c>
      <c r="W35" t="n">
        <v>1293</v>
      </c>
      <c r="X35" t="n">
        <v>1338</v>
      </c>
      <c r="Y35" t="n">
        <v>1362</v>
      </c>
      <c r="Z35" t="n">
        <v>1370</v>
      </c>
      <c r="AA35" t="n">
        <v>1452</v>
      </c>
      <c r="AB35" t="n">
        <v>1519</v>
      </c>
      <c r="AC35" t="n">
        <v>1583</v>
      </c>
      <c r="AD35" t="n">
        <v>1642</v>
      </c>
      <c r="AE35" t="n">
        <v>1694</v>
      </c>
      <c r="AF35" t="n">
        <v>1802</v>
      </c>
    </row>
    <row r="36">
      <c r="A36" t="s">
        <v>113</v>
      </c>
      <c r="B36" t="s">
        <v>342</v>
      </c>
      <c r="C36" t="s">
        <v>236</v>
      </c>
      <c r="D36" t="s">
        <v>343</v>
      </c>
      <c r="E36" t="s">
        <v>237</v>
      </c>
      <c r="F36" t="n">
        <v>777</v>
      </c>
      <c r="G36" t="n">
        <v>784</v>
      </c>
      <c r="H36" t="n">
        <v>805</v>
      </c>
      <c r="I36" t="n">
        <v>837</v>
      </c>
      <c r="J36" t="n">
        <v>844</v>
      </c>
      <c r="K36" t="n">
        <v>879</v>
      </c>
      <c r="L36" t="n">
        <v>945</v>
      </c>
      <c r="M36" t="n">
        <v>951</v>
      </c>
      <c r="N36" t="n">
        <v>935</v>
      </c>
      <c r="O36" t="n">
        <v>949</v>
      </c>
      <c r="P36" t="n">
        <v>970</v>
      </c>
      <c r="Q36" t="n">
        <v>1001</v>
      </c>
      <c r="R36" t="n">
        <v>1033</v>
      </c>
      <c r="S36" t="n">
        <v>1048</v>
      </c>
      <c r="T36" t="n">
        <v>1082</v>
      </c>
      <c r="U36" t="n">
        <v>1145</v>
      </c>
      <c r="V36" t="n">
        <v>1223</v>
      </c>
      <c r="W36" t="n">
        <v>1293</v>
      </c>
      <c r="X36" t="n">
        <v>1338</v>
      </c>
      <c r="Y36" t="n">
        <v>1362</v>
      </c>
      <c r="Z36" t="n">
        <v>1370</v>
      </c>
      <c r="AA36" t="n">
        <v>1452</v>
      </c>
      <c r="AB36" t="n">
        <v>1519</v>
      </c>
      <c r="AC36" t="n">
        <v>1583</v>
      </c>
      <c r="AD36" t="n">
        <v>1642</v>
      </c>
      <c r="AE36" t="n">
        <v>1694</v>
      </c>
      <c r="AF36" t="n">
        <v>1802</v>
      </c>
    </row>
    <row r="37">
      <c r="A37" t="s">
        <v>113</v>
      </c>
      <c r="B37" t="s">
        <v>344</v>
      </c>
      <c r="C37" t="s">
        <v>236</v>
      </c>
      <c r="D37" t="s">
        <v>345</v>
      </c>
      <c r="E37" t="s">
        <v>237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113</v>
      </c>
      <c r="B38" t="s">
        <v>346</v>
      </c>
      <c r="C38" t="s">
        <v>236</v>
      </c>
      <c r="D38" t="s">
        <v>347</v>
      </c>
      <c r="E38" t="s">
        <v>237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113</v>
      </c>
      <c r="B39" t="s">
        <v>348</v>
      </c>
      <c r="C39" t="s">
        <v>236</v>
      </c>
      <c r="D39" t="s">
        <v>349</v>
      </c>
      <c r="E39" t="s">
        <v>237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113</v>
      </c>
      <c r="B40" t="s">
        <v>350</v>
      </c>
      <c r="C40" t="s">
        <v>236</v>
      </c>
      <c r="D40" t="s">
        <v>351</v>
      </c>
      <c r="E40" t="s">
        <v>237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113</v>
      </c>
      <c r="B41" t="s">
        <v>352</v>
      </c>
      <c r="C41" t="s">
        <v>236</v>
      </c>
      <c r="D41" t="s">
        <v>353</v>
      </c>
      <c r="E41" t="s">
        <v>237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113</v>
      </c>
      <c r="B42" t="s">
        <v>354</v>
      </c>
      <c r="C42" t="s">
        <v>236</v>
      </c>
      <c r="D42" t="s">
        <v>355</v>
      </c>
      <c r="E42" t="s">
        <v>237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113</v>
      </c>
      <c r="B43" t="s">
        <v>356</v>
      </c>
      <c r="C43" t="s">
        <v>236</v>
      </c>
      <c r="D43" t="s">
        <v>357</v>
      </c>
      <c r="E43" t="s">
        <v>237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113</v>
      </c>
      <c r="B44" t="s">
        <v>358</v>
      </c>
      <c r="C44" t="s">
        <v>236</v>
      </c>
      <c r="D44" t="s">
        <v>359</v>
      </c>
      <c r="E44" t="s">
        <v>237</v>
      </c>
      <c r="F44" t="n">
        <v>998</v>
      </c>
      <c r="G44" t="n">
        <v>1003</v>
      </c>
      <c r="H44" t="n">
        <v>1022</v>
      </c>
      <c r="I44" t="n">
        <v>1059</v>
      </c>
      <c r="J44" t="n">
        <v>1072</v>
      </c>
      <c r="K44" t="n">
        <v>1121</v>
      </c>
      <c r="L44" t="n">
        <v>1219</v>
      </c>
      <c r="M44" t="n">
        <v>1237</v>
      </c>
      <c r="N44" t="n">
        <v>1229</v>
      </c>
      <c r="O44" t="n">
        <v>1245</v>
      </c>
      <c r="P44" t="n">
        <v>1279</v>
      </c>
      <c r="Q44" t="n">
        <v>1322</v>
      </c>
      <c r="R44" t="n">
        <v>1383</v>
      </c>
      <c r="S44" t="n">
        <v>1434</v>
      </c>
      <c r="T44" t="n">
        <v>1495</v>
      </c>
      <c r="U44" t="n">
        <v>1594</v>
      </c>
      <c r="V44" t="n">
        <v>1732</v>
      </c>
      <c r="W44" t="n">
        <v>1859</v>
      </c>
      <c r="X44" t="n">
        <v>1911</v>
      </c>
      <c r="Y44" t="n">
        <v>1923</v>
      </c>
      <c r="Z44" t="n">
        <v>1901</v>
      </c>
      <c r="AA44" t="n">
        <v>1984</v>
      </c>
      <c r="AB44" t="n">
        <v>2082</v>
      </c>
      <c r="AC44" t="n">
        <v>2198</v>
      </c>
      <c r="AD44" t="n">
        <v>2282</v>
      </c>
      <c r="AE44" t="n">
        <v>2363</v>
      </c>
      <c r="AF44" t="n">
        <v>2497</v>
      </c>
    </row>
    <row r="45">
      <c r="A45" t="s">
        <v>113</v>
      </c>
      <c r="B45" t="s">
        <v>360</v>
      </c>
      <c r="C45" t="s">
        <v>236</v>
      </c>
      <c r="D45" t="s">
        <v>361</v>
      </c>
      <c r="E45" t="s">
        <v>237</v>
      </c>
      <c r="F45" t="n">
        <v>998</v>
      </c>
      <c r="G45" t="n">
        <v>1003</v>
      </c>
      <c r="H45" t="n">
        <v>1022</v>
      </c>
      <c r="I45" t="n">
        <v>1059</v>
      </c>
      <c r="J45" t="n">
        <v>1072</v>
      </c>
      <c r="K45" t="n">
        <v>1121</v>
      </c>
      <c r="L45" t="n">
        <v>1219</v>
      </c>
      <c r="M45" t="n">
        <v>1237</v>
      </c>
      <c r="N45" t="n">
        <v>1229</v>
      </c>
      <c r="O45" t="n">
        <v>1245</v>
      </c>
      <c r="P45" t="n">
        <v>1279</v>
      </c>
      <c r="Q45" t="n">
        <v>1322</v>
      </c>
      <c r="R45" t="n">
        <v>1383</v>
      </c>
      <c r="S45" t="n">
        <v>1434</v>
      </c>
      <c r="T45" t="n">
        <v>1495</v>
      </c>
      <c r="U45" t="n">
        <v>1594</v>
      </c>
      <c r="V45" t="n">
        <v>1732</v>
      </c>
      <c r="W45" t="n">
        <v>1859</v>
      </c>
      <c r="X45" t="n">
        <v>1911</v>
      </c>
      <c r="Y45" t="n">
        <v>1923</v>
      </c>
      <c r="Z45" t="n">
        <v>1901</v>
      </c>
      <c r="AA45" t="n">
        <v>1984</v>
      </c>
      <c r="AB45" t="n">
        <v>2082</v>
      </c>
      <c r="AC45" t="n">
        <v>2198</v>
      </c>
      <c r="AD45" t="n">
        <v>2282</v>
      </c>
      <c r="AE45" t="n">
        <v>2363</v>
      </c>
      <c r="AF45" t="n">
        <v>2497</v>
      </c>
    </row>
    <row r="46">
      <c r="A46" t="s">
        <v>113</v>
      </c>
      <c r="B46" t="s">
        <v>362</v>
      </c>
      <c r="C46" t="s">
        <v>236</v>
      </c>
      <c r="D46" t="s">
        <v>363</v>
      </c>
      <c r="E46" t="s">
        <v>237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113</v>
      </c>
      <c r="B47" t="s">
        <v>364</v>
      </c>
      <c r="C47" t="s">
        <v>236</v>
      </c>
      <c r="D47" t="s">
        <v>365</v>
      </c>
      <c r="E47" t="s">
        <v>237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113</v>
      </c>
      <c r="B48" t="s">
        <v>366</v>
      </c>
      <c r="C48" t="s">
        <v>236</v>
      </c>
      <c r="D48" t="s">
        <v>367</v>
      </c>
      <c r="E48" t="s">
        <v>237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113</v>
      </c>
      <c r="B49" t="s">
        <v>368</v>
      </c>
      <c r="C49" t="s">
        <v>236</v>
      </c>
      <c r="D49" t="s">
        <v>369</v>
      </c>
      <c r="E49" t="s">
        <v>237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113</v>
      </c>
      <c r="B50" t="s">
        <v>370</v>
      </c>
      <c r="C50" t="s">
        <v>236</v>
      </c>
      <c r="D50" t="s">
        <v>371</v>
      </c>
      <c r="E50" t="s">
        <v>237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113</v>
      </c>
      <c r="B51" t="s">
        <v>372</v>
      </c>
      <c r="C51" t="s">
        <v>236</v>
      </c>
      <c r="D51" t="s">
        <v>373</v>
      </c>
      <c r="E51" t="s">
        <v>237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113</v>
      </c>
      <c r="B52" t="s">
        <v>374</v>
      </c>
      <c r="C52" t="s">
        <v>236</v>
      </c>
      <c r="D52" t="s">
        <v>375</v>
      </c>
      <c r="E52" t="s">
        <v>237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113</v>
      </c>
      <c r="B53" t="s">
        <v>376</v>
      </c>
      <c r="C53" t="s">
        <v>236</v>
      </c>
      <c r="D53" t="s">
        <v>377</v>
      </c>
      <c r="E53" t="s">
        <v>237</v>
      </c>
      <c r="F53" t="n">
        <v>103</v>
      </c>
      <c r="G53" t="n">
        <v>102</v>
      </c>
      <c r="H53" t="n">
        <v>103</v>
      </c>
      <c r="I53" t="n">
        <v>106</v>
      </c>
      <c r="J53" t="n">
        <v>107</v>
      </c>
      <c r="K53" t="n">
        <v>113</v>
      </c>
      <c r="L53" t="n">
        <v>120</v>
      </c>
      <c r="M53" t="n">
        <v>121</v>
      </c>
      <c r="N53" t="n">
        <v>121</v>
      </c>
      <c r="O53" t="n">
        <v>126</v>
      </c>
      <c r="P53" t="n">
        <v>132</v>
      </c>
      <c r="Q53" t="n">
        <v>139</v>
      </c>
      <c r="R53" t="n">
        <v>146</v>
      </c>
      <c r="S53" t="n">
        <v>152</v>
      </c>
      <c r="T53" t="n">
        <v>171</v>
      </c>
      <c r="U53" t="n">
        <v>195</v>
      </c>
      <c r="V53" t="n">
        <v>226</v>
      </c>
      <c r="W53" t="n">
        <v>249</v>
      </c>
      <c r="X53" t="n">
        <v>265</v>
      </c>
      <c r="Y53" t="n">
        <v>276</v>
      </c>
      <c r="Z53" t="n">
        <v>268</v>
      </c>
      <c r="AA53" t="n">
        <v>286</v>
      </c>
      <c r="AB53" t="n">
        <v>305</v>
      </c>
      <c r="AC53" t="n">
        <v>335</v>
      </c>
      <c r="AD53" t="n">
        <v>353</v>
      </c>
      <c r="AE53" t="n">
        <v>375</v>
      </c>
      <c r="AF53" t="n">
        <v>393</v>
      </c>
    </row>
    <row r="54">
      <c r="A54" t="s">
        <v>113</v>
      </c>
      <c r="B54" t="s">
        <v>378</v>
      </c>
      <c r="C54" t="s">
        <v>236</v>
      </c>
      <c r="D54" t="s">
        <v>379</v>
      </c>
      <c r="E54" t="s">
        <v>237</v>
      </c>
      <c r="F54" t="n">
        <v>103</v>
      </c>
      <c r="G54" t="n">
        <v>102</v>
      </c>
      <c r="H54" t="n">
        <v>103</v>
      </c>
      <c r="I54" t="n">
        <v>106</v>
      </c>
      <c r="J54" t="n">
        <v>107</v>
      </c>
      <c r="K54" t="n">
        <v>113</v>
      </c>
      <c r="L54" t="n">
        <v>120</v>
      </c>
      <c r="M54" t="n">
        <v>121</v>
      </c>
      <c r="N54" t="n">
        <v>121</v>
      </c>
      <c r="O54" t="n">
        <v>126</v>
      </c>
      <c r="P54" t="n">
        <v>132</v>
      </c>
      <c r="Q54" t="n">
        <v>139</v>
      </c>
      <c r="R54" t="n">
        <v>146</v>
      </c>
      <c r="S54" t="n">
        <v>152</v>
      </c>
      <c r="T54" t="n">
        <v>171</v>
      </c>
      <c r="U54" t="n">
        <v>195</v>
      </c>
      <c r="V54" t="n">
        <v>226</v>
      </c>
      <c r="W54" t="n">
        <v>249</v>
      </c>
      <c r="X54" t="n">
        <v>265</v>
      </c>
      <c r="Y54" t="n">
        <v>276</v>
      </c>
      <c r="Z54" t="n">
        <v>268</v>
      </c>
      <c r="AA54" t="n">
        <v>286</v>
      </c>
      <c r="AB54" t="n">
        <v>305</v>
      </c>
      <c r="AC54" t="n">
        <v>335</v>
      </c>
      <c r="AD54" t="n">
        <v>353</v>
      </c>
      <c r="AE54" t="n">
        <v>375</v>
      </c>
      <c r="AF54" t="n">
        <v>393</v>
      </c>
    </row>
    <row r="55">
      <c r="A55" t="s">
        <v>113</v>
      </c>
      <c r="B55" t="s">
        <v>380</v>
      </c>
      <c r="C55" t="s">
        <v>236</v>
      </c>
      <c r="D55" t="s">
        <v>381</v>
      </c>
      <c r="E55" t="s">
        <v>237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113</v>
      </c>
      <c r="B56" t="s">
        <v>382</v>
      </c>
      <c r="C56" t="s">
        <v>236</v>
      </c>
      <c r="D56" t="s">
        <v>383</v>
      </c>
      <c r="E56" t="s">
        <v>237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113</v>
      </c>
      <c r="B57" t="s">
        <v>384</v>
      </c>
      <c r="C57" t="s">
        <v>236</v>
      </c>
      <c r="D57" t="s">
        <v>385</v>
      </c>
      <c r="E57" t="s">
        <v>237</v>
      </c>
      <c r="F57" t="n">
        <v>998</v>
      </c>
      <c r="G57" t="n">
        <v>1003</v>
      </c>
      <c r="H57" t="n">
        <v>1022</v>
      </c>
      <c r="I57" t="n">
        <v>1059</v>
      </c>
      <c r="J57" t="n">
        <v>1072</v>
      </c>
      <c r="K57" t="n">
        <v>1121</v>
      </c>
      <c r="L57" t="n">
        <v>1219</v>
      </c>
      <c r="M57" t="n">
        <v>1237</v>
      </c>
      <c r="N57" t="n">
        <v>1229</v>
      </c>
      <c r="O57" t="n">
        <v>1245</v>
      </c>
      <c r="P57" t="n">
        <v>1279</v>
      </c>
      <c r="Q57" t="n">
        <v>1322</v>
      </c>
      <c r="R57" t="n">
        <v>1383</v>
      </c>
      <c r="S57" t="n">
        <v>1434</v>
      </c>
      <c r="T57" t="n">
        <v>1495</v>
      </c>
      <c r="U57" t="n">
        <v>1595</v>
      </c>
      <c r="V57" t="n">
        <v>1732</v>
      </c>
      <c r="W57" t="n">
        <v>1859</v>
      </c>
      <c r="X57" t="n">
        <v>1911</v>
      </c>
      <c r="Y57" t="n">
        <v>1923</v>
      </c>
      <c r="Z57" t="n">
        <v>1901</v>
      </c>
      <c r="AA57" t="n">
        <v>1984</v>
      </c>
      <c r="AB57" t="n">
        <v>2082</v>
      </c>
      <c r="AC57" t="n">
        <v>2198</v>
      </c>
      <c r="AD57" t="n">
        <v>2282</v>
      </c>
      <c r="AE57" t="n">
        <v>2363</v>
      </c>
      <c r="AF57" t="n">
        <v>2497</v>
      </c>
    </row>
    <row r="58">
      <c r="A58" t="s">
        <v>113</v>
      </c>
      <c r="B58" t="s">
        <v>386</v>
      </c>
      <c r="C58" t="s">
        <v>236</v>
      </c>
      <c r="D58" t="s">
        <v>387</v>
      </c>
      <c r="E58" t="s">
        <v>237</v>
      </c>
      <c r="F58" t="n">
        <v>998</v>
      </c>
      <c r="G58" t="n">
        <v>1003</v>
      </c>
      <c r="H58" t="n">
        <v>1022</v>
      </c>
      <c r="I58" t="n">
        <v>1059</v>
      </c>
      <c r="J58" t="n">
        <v>1072</v>
      </c>
      <c r="K58" t="n">
        <v>1121</v>
      </c>
      <c r="L58" t="n">
        <v>1219</v>
      </c>
      <c r="M58" t="n">
        <v>1237</v>
      </c>
      <c r="N58" t="n">
        <v>1229</v>
      </c>
      <c r="O58" t="n">
        <v>1245</v>
      </c>
      <c r="P58" t="n">
        <v>1279</v>
      </c>
      <c r="Q58" t="n">
        <v>1322</v>
      </c>
      <c r="R58" t="n">
        <v>1383</v>
      </c>
      <c r="S58" t="n">
        <v>1434</v>
      </c>
      <c r="T58" t="n">
        <v>1495</v>
      </c>
      <c r="U58" t="n">
        <v>1595</v>
      </c>
      <c r="V58" t="n">
        <v>1732</v>
      </c>
      <c r="W58" t="n">
        <v>1859</v>
      </c>
      <c r="X58" t="n">
        <v>1911</v>
      </c>
      <c r="Y58" t="n">
        <v>1923</v>
      </c>
      <c r="Z58" t="n">
        <v>1901</v>
      </c>
      <c r="AA58" t="n">
        <v>1984</v>
      </c>
      <c r="AB58" t="n">
        <v>2082</v>
      </c>
      <c r="AC58" t="n">
        <v>2198</v>
      </c>
      <c r="AD58" t="n">
        <v>2282</v>
      </c>
      <c r="AE58" t="n">
        <v>2363</v>
      </c>
      <c r="AF58" t="n">
        <v>2497</v>
      </c>
    </row>
    <row r="59">
      <c r="A59" t="s">
        <v>113</v>
      </c>
      <c r="B59" t="s">
        <v>388</v>
      </c>
      <c r="C59" t="s">
        <v>236</v>
      </c>
      <c r="D59" t="s">
        <v>389</v>
      </c>
      <c r="E59" t="s">
        <v>237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115</v>
      </c>
      <c r="B2" t="s">
        <v>197</v>
      </c>
      <c r="C2" t="s">
        <v>236</v>
      </c>
      <c r="D2" t="s">
        <v>199</v>
      </c>
      <c r="E2" t="s">
        <v>237</v>
      </c>
      <c r="F2" t="n">
        <v>12884</v>
      </c>
      <c r="G2" t="n">
        <v>12478</v>
      </c>
      <c r="H2" t="n">
        <v>12851</v>
      </c>
      <c r="I2" t="n">
        <v>12981</v>
      </c>
      <c r="J2" t="n">
        <v>13276</v>
      </c>
      <c r="K2" t="n">
        <v>13879</v>
      </c>
      <c r="L2" t="n">
        <v>14329</v>
      </c>
      <c r="M2" t="n">
        <v>14778</v>
      </c>
      <c r="N2" t="n">
        <v>15135</v>
      </c>
      <c r="O2" t="n">
        <v>15482</v>
      </c>
      <c r="P2" t="n">
        <v>16024</v>
      </c>
      <c r="Q2" t="n">
        <v>16801</v>
      </c>
      <c r="R2" t="n">
        <v>18165</v>
      </c>
      <c r="S2" t="n">
        <v>18638</v>
      </c>
      <c r="T2" t="n">
        <v>19103</v>
      </c>
      <c r="U2" t="n">
        <v>18742</v>
      </c>
      <c r="V2" t="n">
        <v>19148</v>
      </c>
      <c r="W2" t="n">
        <v>19905</v>
      </c>
      <c r="X2" t="n">
        <v>20259</v>
      </c>
      <c r="Y2" t="n">
        <v>20128</v>
      </c>
      <c r="Z2" t="n">
        <v>19882</v>
      </c>
      <c r="AA2" t="n">
        <v>19836</v>
      </c>
      <c r="AB2" t="n">
        <v>19934</v>
      </c>
      <c r="AC2" t="n">
        <v>20826</v>
      </c>
      <c r="AD2" t="n">
        <v>21327</v>
      </c>
      <c r="AE2" t="n">
        <v>21444</v>
      </c>
      <c r="AF2" t="n">
        <v>21634</v>
      </c>
    </row>
    <row r="3">
      <c r="A3" t="s">
        <v>115</v>
      </c>
      <c r="B3" t="s">
        <v>276</v>
      </c>
      <c r="C3" t="s">
        <v>236</v>
      </c>
      <c r="D3" t="s">
        <v>277</v>
      </c>
      <c r="E3" t="s">
        <v>237</v>
      </c>
      <c r="F3" t="n">
        <v>810</v>
      </c>
      <c r="G3" t="n">
        <v>813</v>
      </c>
      <c r="H3" t="n">
        <v>797</v>
      </c>
      <c r="I3" t="n">
        <v>805</v>
      </c>
      <c r="J3" t="n">
        <v>835</v>
      </c>
      <c r="K3" t="n">
        <v>879</v>
      </c>
      <c r="L3" t="n">
        <v>941</v>
      </c>
      <c r="M3" t="n">
        <v>962</v>
      </c>
      <c r="N3" t="n">
        <v>1029</v>
      </c>
      <c r="O3" t="n">
        <v>1039</v>
      </c>
      <c r="P3" t="n">
        <v>1082</v>
      </c>
      <c r="Q3" t="n">
        <v>1143</v>
      </c>
      <c r="R3" t="n">
        <v>1429</v>
      </c>
      <c r="S3" t="n">
        <v>2055</v>
      </c>
      <c r="T3" t="n">
        <v>2237</v>
      </c>
      <c r="U3" t="n">
        <v>2338</v>
      </c>
      <c r="V3" t="n">
        <v>2665</v>
      </c>
      <c r="W3" t="n">
        <v>2963</v>
      </c>
      <c r="X3" t="n">
        <v>3075</v>
      </c>
      <c r="Y3" t="n">
        <v>3109</v>
      </c>
      <c r="Z3" t="n">
        <v>3210</v>
      </c>
      <c r="AA3" t="n">
        <v>3211</v>
      </c>
      <c r="AB3" t="n">
        <v>3325</v>
      </c>
      <c r="AC3" t="n">
        <v>3524</v>
      </c>
      <c r="AD3" t="n">
        <v>3671</v>
      </c>
      <c r="AE3" t="n">
        <v>3857</v>
      </c>
      <c r="AF3" t="n">
        <v>4159</v>
      </c>
    </row>
    <row r="4">
      <c r="A4" t="s">
        <v>115</v>
      </c>
      <c r="B4" t="s">
        <v>278</v>
      </c>
      <c r="C4" t="s">
        <v>236</v>
      </c>
      <c r="D4" t="s">
        <v>279</v>
      </c>
      <c r="E4" t="s">
        <v>237</v>
      </c>
      <c r="F4" t="n">
        <v>40556</v>
      </c>
      <c r="G4" t="n">
        <v>41993</v>
      </c>
      <c r="H4" t="n">
        <v>43504</v>
      </c>
      <c r="I4" t="n">
        <v>45490</v>
      </c>
      <c r="J4" t="n">
        <v>47228</v>
      </c>
      <c r="K4" t="n">
        <v>49469</v>
      </c>
      <c r="L4" t="n">
        <v>52402</v>
      </c>
      <c r="M4" t="n">
        <v>53151</v>
      </c>
      <c r="N4" t="n">
        <v>53738</v>
      </c>
      <c r="O4" t="n">
        <v>54972</v>
      </c>
      <c r="P4" t="n">
        <v>56786</v>
      </c>
      <c r="Q4" t="n">
        <v>58055</v>
      </c>
      <c r="R4" t="n">
        <v>60906</v>
      </c>
      <c r="S4" t="n">
        <v>64289</v>
      </c>
      <c r="T4" t="n">
        <v>64359</v>
      </c>
      <c r="U4" t="n">
        <v>62453</v>
      </c>
      <c r="V4" t="n">
        <v>62453</v>
      </c>
      <c r="W4" t="n">
        <v>62573</v>
      </c>
      <c r="X4" t="n">
        <v>61308</v>
      </c>
      <c r="Y4" t="n">
        <v>59619</v>
      </c>
      <c r="Z4" t="n">
        <v>58578</v>
      </c>
      <c r="AA4" t="n">
        <v>57939</v>
      </c>
      <c r="AB4" t="n">
        <v>58105</v>
      </c>
      <c r="AC4" t="n">
        <v>58274</v>
      </c>
      <c r="AD4" t="n">
        <v>58948</v>
      </c>
      <c r="AE4" t="n">
        <v>58523</v>
      </c>
      <c r="AF4" t="n">
        <v>59986</v>
      </c>
    </row>
    <row r="5">
      <c r="A5" t="s">
        <v>115</v>
      </c>
      <c r="B5" t="s">
        <v>280</v>
      </c>
      <c r="C5" t="s">
        <v>236</v>
      </c>
      <c r="D5" t="s">
        <v>281</v>
      </c>
      <c r="E5" t="s">
        <v>237</v>
      </c>
      <c r="F5" t="n">
        <v>4284</v>
      </c>
      <c r="G5" t="n">
        <v>4319</v>
      </c>
      <c r="H5" t="n">
        <v>4328</v>
      </c>
      <c r="I5" t="n">
        <v>4404</v>
      </c>
      <c r="J5" t="n">
        <v>4468</v>
      </c>
      <c r="K5" t="n">
        <v>4527</v>
      </c>
      <c r="L5" t="n">
        <v>4693</v>
      </c>
      <c r="M5" t="n">
        <v>4721</v>
      </c>
      <c r="N5" t="n">
        <v>4734</v>
      </c>
      <c r="O5" t="n">
        <v>4719</v>
      </c>
      <c r="P5" t="n">
        <v>4860</v>
      </c>
      <c r="Q5" t="n">
        <v>4923</v>
      </c>
      <c r="R5" t="n">
        <v>5145</v>
      </c>
      <c r="S5" t="n">
        <v>5352</v>
      </c>
      <c r="T5" t="n">
        <v>5260</v>
      </c>
      <c r="U5" t="n">
        <v>4971</v>
      </c>
      <c r="V5" t="n">
        <v>4984</v>
      </c>
      <c r="W5" t="n">
        <v>5127</v>
      </c>
      <c r="X5" t="n">
        <v>5163</v>
      </c>
      <c r="Y5" t="n">
        <v>5216</v>
      </c>
      <c r="Z5" t="n">
        <v>5256</v>
      </c>
      <c r="AA5" t="n">
        <v>5396</v>
      </c>
      <c r="AB5" t="n">
        <v>5567</v>
      </c>
      <c r="AC5" t="n">
        <v>5640</v>
      </c>
      <c r="AD5" t="n">
        <v>5677</v>
      </c>
      <c r="AE5" t="n">
        <v>5706</v>
      </c>
      <c r="AF5" t="n">
        <v>5816</v>
      </c>
    </row>
    <row r="6">
      <c r="A6" t="s">
        <v>115</v>
      </c>
      <c r="B6" t="s">
        <v>282</v>
      </c>
      <c r="C6" t="s">
        <v>236</v>
      </c>
      <c r="D6" t="s">
        <v>283</v>
      </c>
      <c r="E6" t="s">
        <v>237</v>
      </c>
      <c r="F6" t="n">
        <v>744</v>
      </c>
      <c r="G6" t="n">
        <v>708</v>
      </c>
      <c r="H6" t="n">
        <v>696</v>
      </c>
      <c r="I6" t="n">
        <v>686</v>
      </c>
      <c r="J6" t="n">
        <v>665</v>
      </c>
      <c r="K6" t="n">
        <v>648</v>
      </c>
      <c r="L6" t="n">
        <v>649</v>
      </c>
      <c r="M6" t="n">
        <v>613</v>
      </c>
      <c r="N6" t="n">
        <v>582</v>
      </c>
      <c r="O6" t="n">
        <v>551</v>
      </c>
      <c r="P6" t="n">
        <v>534</v>
      </c>
      <c r="Q6" t="n">
        <v>519</v>
      </c>
      <c r="R6" t="n">
        <v>510</v>
      </c>
      <c r="S6" t="n">
        <v>496</v>
      </c>
      <c r="T6" t="n">
        <v>451</v>
      </c>
      <c r="U6" t="n">
        <v>402</v>
      </c>
      <c r="V6" t="n">
        <v>376</v>
      </c>
      <c r="W6" t="n">
        <v>368</v>
      </c>
      <c r="X6" t="n">
        <v>337</v>
      </c>
      <c r="Y6" t="n">
        <v>316</v>
      </c>
      <c r="Z6" t="n">
        <v>310</v>
      </c>
      <c r="AA6" t="n">
        <v>313</v>
      </c>
      <c r="AB6" t="n">
        <v>312</v>
      </c>
      <c r="AC6" t="n">
        <v>324</v>
      </c>
      <c r="AD6" t="n">
        <v>327</v>
      </c>
      <c r="AE6" t="n">
        <v>327</v>
      </c>
      <c r="AF6" t="n">
        <v>335</v>
      </c>
    </row>
    <row r="7">
      <c r="A7" t="s">
        <v>115</v>
      </c>
      <c r="B7" t="s">
        <v>284</v>
      </c>
      <c r="C7" t="s">
        <v>236</v>
      </c>
      <c r="D7" t="s">
        <v>285</v>
      </c>
      <c r="E7" t="s">
        <v>237</v>
      </c>
      <c r="F7" t="n">
        <v>14951</v>
      </c>
      <c r="G7" t="n">
        <v>15534</v>
      </c>
      <c r="H7" t="n">
        <v>15695</v>
      </c>
      <c r="I7" t="n">
        <v>15980</v>
      </c>
      <c r="J7" t="n">
        <v>15995</v>
      </c>
      <c r="K7" t="n">
        <v>16119</v>
      </c>
      <c r="L7" t="n">
        <v>16838</v>
      </c>
      <c r="M7" t="n">
        <v>16403</v>
      </c>
      <c r="N7" t="n">
        <v>16155</v>
      </c>
      <c r="O7" t="n">
        <v>15947</v>
      </c>
      <c r="P7" t="n">
        <v>16015</v>
      </c>
      <c r="Q7" t="n">
        <v>15891</v>
      </c>
      <c r="R7" t="n">
        <v>16052</v>
      </c>
      <c r="S7" t="n">
        <v>16319</v>
      </c>
      <c r="T7" t="n">
        <v>15442</v>
      </c>
      <c r="U7" t="n">
        <v>14384</v>
      </c>
      <c r="V7" t="n">
        <v>13997</v>
      </c>
      <c r="W7" t="n">
        <v>13807</v>
      </c>
      <c r="X7" t="n">
        <v>13428</v>
      </c>
      <c r="Y7" t="n">
        <v>12844</v>
      </c>
      <c r="Z7" t="n">
        <v>12431</v>
      </c>
      <c r="AA7" t="n">
        <v>12499</v>
      </c>
      <c r="AB7" t="n">
        <v>12929</v>
      </c>
      <c r="AC7" t="n">
        <v>12916</v>
      </c>
      <c r="AD7" t="n">
        <v>12942</v>
      </c>
      <c r="AE7" t="n">
        <v>12686</v>
      </c>
      <c r="AF7" t="n">
        <v>12836</v>
      </c>
    </row>
    <row r="8">
      <c r="A8" t="s">
        <v>115</v>
      </c>
      <c r="B8" t="s">
        <v>286</v>
      </c>
      <c r="C8" t="s">
        <v>236</v>
      </c>
      <c r="D8" t="s">
        <v>287</v>
      </c>
      <c r="E8" t="s">
        <v>237</v>
      </c>
      <c r="F8" t="n">
        <v>1294</v>
      </c>
      <c r="G8" t="n">
        <v>1279</v>
      </c>
      <c r="H8" t="n">
        <v>1373</v>
      </c>
      <c r="I8" t="n">
        <v>1342</v>
      </c>
      <c r="J8" t="n">
        <v>1349</v>
      </c>
      <c r="K8" t="n">
        <v>1345</v>
      </c>
      <c r="L8" t="n">
        <v>1398</v>
      </c>
      <c r="M8" t="n">
        <v>1334</v>
      </c>
      <c r="N8" t="n">
        <v>1339</v>
      </c>
      <c r="O8" t="n">
        <v>1328</v>
      </c>
      <c r="P8" t="n">
        <v>1480</v>
      </c>
      <c r="Q8" t="n">
        <v>1644</v>
      </c>
      <c r="R8" t="n">
        <v>2372</v>
      </c>
      <c r="S8" t="n">
        <v>2438</v>
      </c>
      <c r="T8" t="n">
        <v>2461</v>
      </c>
      <c r="U8" t="n">
        <v>2452</v>
      </c>
      <c r="V8" t="n">
        <v>2436</v>
      </c>
      <c r="W8" t="n">
        <v>2490</v>
      </c>
      <c r="X8" t="n">
        <v>2496</v>
      </c>
      <c r="Y8" t="n">
        <v>2496</v>
      </c>
      <c r="Z8" t="n">
        <v>2663</v>
      </c>
      <c r="AA8" t="n">
        <v>2562</v>
      </c>
      <c r="AB8" t="n">
        <v>2886</v>
      </c>
      <c r="AC8" t="n">
        <v>2986</v>
      </c>
      <c r="AD8" t="n">
        <v>2993</v>
      </c>
      <c r="AE8" t="n">
        <v>2898</v>
      </c>
      <c r="AF8" t="n">
        <v>3395</v>
      </c>
    </row>
    <row r="9">
      <c r="A9" t="s">
        <v>115</v>
      </c>
      <c r="B9" t="s">
        <v>288</v>
      </c>
      <c r="C9" t="s">
        <v>236</v>
      </c>
      <c r="D9" t="s">
        <v>289</v>
      </c>
      <c r="E9" t="s">
        <v>237</v>
      </c>
      <c r="F9" t="n">
        <v>3032</v>
      </c>
      <c r="G9" t="n">
        <v>3091</v>
      </c>
      <c r="H9" t="n">
        <v>3239</v>
      </c>
      <c r="I9" t="n">
        <v>3351</v>
      </c>
      <c r="J9" t="n">
        <v>3471</v>
      </c>
      <c r="K9" t="n">
        <v>3535</v>
      </c>
      <c r="L9" t="n">
        <v>3645</v>
      </c>
      <c r="M9" t="n">
        <v>3779</v>
      </c>
      <c r="N9" t="n">
        <v>3768</v>
      </c>
      <c r="O9" t="n">
        <v>3863</v>
      </c>
      <c r="P9" t="n">
        <v>3910</v>
      </c>
      <c r="Q9" t="n">
        <v>3969</v>
      </c>
      <c r="R9" t="n">
        <v>4197</v>
      </c>
      <c r="S9" t="n">
        <v>4419</v>
      </c>
      <c r="T9" t="n">
        <v>4553</v>
      </c>
      <c r="U9" t="n">
        <v>4355</v>
      </c>
      <c r="V9" t="n">
        <v>4366</v>
      </c>
      <c r="W9" t="n">
        <v>4440</v>
      </c>
      <c r="X9" t="n">
        <v>4524</v>
      </c>
      <c r="Y9" t="n">
        <v>4420</v>
      </c>
      <c r="Z9" t="n">
        <v>4473</v>
      </c>
      <c r="AA9" t="n">
        <v>4559</v>
      </c>
      <c r="AB9" t="n">
        <v>4828</v>
      </c>
      <c r="AC9" t="n">
        <v>4964</v>
      </c>
      <c r="AD9" t="n">
        <v>5082</v>
      </c>
      <c r="AE9" t="n">
        <v>5064</v>
      </c>
      <c r="AF9" t="n">
        <v>5278</v>
      </c>
    </row>
    <row r="10">
      <c r="A10" t="s">
        <v>115</v>
      </c>
      <c r="B10" t="s">
        <v>290</v>
      </c>
      <c r="C10" t="s">
        <v>236</v>
      </c>
      <c r="D10" t="s">
        <v>291</v>
      </c>
      <c r="E10" t="s">
        <v>237</v>
      </c>
      <c r="F10" t="n">
        <v>4021</v>
      </c>
      <c r="G10" t="n">
        <v>4113</v>
      </c>
      <c r="H10" t="n">
        <v>4287</v>
      </c>
      <c r="I10" t="n">
        <v>4456</v>
      </c>
      <c r="J10" t="n">
        <v>4613</v>
      </c>
      <c r="K10" t="n">
        <v>4764</v>
      </c>
      <c r="L10" t="n">
        <v>4962</v>
      </c>
      <c r="M10" t="n">
        <v>5229</v>
      </c>
      <c r="N10" t="n">
        <v>5266</v>
      </c>
      <c r="O10" t="n">
        <v>5410</v>
      </c>
      <c r="P10" t="n">
        <v>5505</v>
      </c>
      <c r="Q10" t="n">
        <v>5601</v>
      </c>
      <c r="R10" t="n">
        <v>5918</v>
      </c>
      <c r="S10" t="n">
        <v>6272</v>
      </c>
      <c r="T10" t="n">
        <v>6489</v>
      </c>
      <c r="U10" t="n">
        <v>6309</v>
      </c>
      <c r="V10" t="n">
        <v>6368</v>
      </c>
      <c r="W10" t="n">
        <v>6575</v>
      </c>
      <c r="X10" t="n">
        <v>6818</v>
      </c>
      <c r="Y10" t="n">
        <v>6802</v>
      </c>
      <c r="Z10" t="n">
        <v>6922</v>
      </c>
      <c r="AA10" t="n">
        <v>7090</v>
      </c>
      <c r="AB10" t="n">
        <v>7420</v>
      </c>
      <c r="AC10" t="n">
        <v>7597</v>
      </c>
      <c r="AD10" t="n">
        <v>7779</v>
      </c>
      <c r="AE10" t="n">
        <v>7806</v>
      </c>
      <c r="AF10" t="n">
        <v>8209</v>
      </c>
    </row>
    <row r="11">
      <c r="A11" t="s">
        <v>115</v>
      </c>
      <c r="B11" t="s">
        <v>292</v>
      </c>
      <c r="C11" t="s">
        <v>236</v>
      </c>
      <c r="D11" t="s">
        <v>293</v>
      </c>
      <c r="E11" t="s">
        <v>237</v>
      </c>
      <c r="F11" t="n">
        <v>989</v>
      </c>
      <c r="G11" t="n">
        <v>1022</v>
      </c>
      <c r="H11" t="n">
        <v>1048</v>
      </c>
      <c r="I11" t="n">
        <v>1105</v>
      </c>
      <c r="J11" t="n">
        <v>1142</v>
      </c>
      <c r="K11" t="n">
        <v>1229</v>
      </c>
      <c r="L11" t="n">
        <v>1317</v>
      </c>
      <c r="M11" t="n">
        <v>1450</v>
      </c>
      <c r="N11" t="n">
        <v>1498</v>
      </c>
      <c r="O11" t="n">
        <v>1547</v>
      </c>
      <c r="P11" t="n">
        <v>1595</v>
      </c>
      <c r="Q11" t="n">
        <v>1632</v>
      </c>
      <c r="R11" t="n">
        <v>1721</v>
      </c>
      <c r="S11" t="n">
        <v>1853</v>
      </c>
      <c r="T11" t="n">
        <v>1936</v>
      </c>
      <c r="U11" t="n">
        <v>1954</v>
      </c>
      <c r="V11" t="n">
        <v>2002</v>
      </c>
      <c r="W11" t="n">
        <v>2135</v>
      </c>
      <c r="X11" t="n">
        <v>2294</v>
      </c>
      <c r="Y11" t="n">
        <v>2382</v>
      </c>
      <c r="Z11" t="n">
        <v>2449</v>
      </c>
      <c r="AA11" t="n">
        <v>2531</v>
      </c>
      <c r="AB11" t="n">
        <v>2592</v>
      </c>
      <c r="AC11" t="n">
        <v>2633</v>
      </c>
      <c r="AD11" t="n">
        <v>2697</v>
      </c>
      <c r="AE11" t="n">
        <v>2742</v>
      </c>
      <c r="AF11" t="n">
        <v>2931</v>
      </c>
    </row>
    <row r="12">
      <c r="A12" t="s">
        <v>115</v>
      </c>
      <c r="B12" t="s">
        <v>294</v>
      </c>
      <c r="C12" t="s">
        <v>236</v>
      </c>
      <c r="D12" t="s">
        <v>295</v>
      </c>
      <c r="E12" t="s">
        <v>237</v>
      </c>
      <c r="F12" t="n">
        <v>2413</v>
      </c>
      <c r="G12" t="n">
        <v>2423</v>
      </c>
      <c r="H12" t="n">
        <v>2474</v>
      </c>
      <c r="I12" t="n">
        <v>2616</v>
      </c>
      <c r="J12" t="n">
        <v>2750</v>
      </c>
      <c r="K12" t="n">
        <v>2864</v>
      </c>
      <c r="L12" t="n">
        <v>2948</v>
      </c>
      <c r="M12" t="n">
        <v>2944</v>
      </c>
      <c r="N12" t="n">
        <v>2956</v>
      </c>
      <c r="O12" t="n">
        <v>2999</v>
      </c>
      <c r="P12" t="n">
        <v>3091</v>
      </c>
      <c r="Q12" t="n">
        <v>3198</v>
      </c>
      <c r="R12" t="n">
        <v>3272</v>
      </c>
      <c r="S12" t="n">
        <v>3385</v>
      </c>
      <c r="T12" t="n">
        <v>3344</v>
      </c>
      <c r="U12" t="n">
        <v>3174</v>
      </c>
      <c r="V12" t="n">
        <v>3183</v>
      </c>
      <c r="W12" t="n">
        <v>3198</v>
      </c>
      <c r="X12" t="n">
        <v>3147</v>
      </c>
      <c r="Y12" t="n">
        <v>3078</v>
      </c>
      <c r="Z12" t="n">
        <v>3108</v>
      </c>
      <c r="AA12" t="n">
        <v>3151</v>
      </c>
      <c r="AB12" t="n">
        <v>3189</v>
      </c>
      <c r="AC12" t="n">
        <v>3318</v>
      </c>
      <c r="AD12" t="n">
        <v>3463</v>
      </c>
      <c r="AE12" t="n">
        <v>3578</v>
      </c>
      <c r="AF12" t="n">
        <v>3714</v>
      </c>
    </row>
    <row r="13">
      <c r="A13" t="s">
        <v>115</v>
      </c>
      <c r="B13" t="s">
        <v>296</v>
      </c>
      <c r="C13" t="s">
        <v>236</v>
      </c>
      <c r="D13" t="s">
        <v>297</v>
      </c>
      <c r="E13" t="s">
        <v>237</v>
      </c>
      <c r="F13" t="n">
        <v>4074</v>
      </c>
      <c r="G13" t="n">
        <v>4311</v>
      </c>
      <c r="H13" t="n">
        <v>4659</v>
      </c>
      <c r="I13" t="n">
        <v>4943</v>
      </c>
      <c r="J13" t="n">
        <v>5019</v>
      </c>
      <c r="K13" t="n">
        <v>5228</v>
      </c>
      <c r="L13" t="n">
        <v>5440</v>
      </c>
      <c r="M13" t="n">
        <v>5777</v>
      </c>
      <c r="N13" t="n">
        <v>5839</v>
      </c>
      <c r="O13" t="n">
        <v>6191</v>
      </c>
      <c r="P13" t="n">
        <v>6294</v>
      </c>
      <c r="Q13" t="n">
        <v>6308</v>
      </c>
      <c r="R13" t="n">
        <v>6590</v>
      </c>
      <c r="S13" t="n">
        <v>6977</v>
      </c>
      <c r="T13" t="n">
        <v>7101</v>
      </c>
      <c r="U13" t="n">
        <v>6895</v>
      </c>
      <c r="V13" t="n">
        <v>6952</v>
      </c>
      <c r="W13" t="n">
        <v>7376</v>
      </c>
      <c r="X13" t="n">
        <v>7184</v>
      </c>
      <c r="Y13" t="n">
        <v>7046</v>
      </c>
      <c r="Z13" t="n">
        <v>6996</v>
      </c>
      <c r="AA13" t="n">
        <v>6910</v>
      </c>
      <c r="AB13" t="n">
        <v>6879</v>
      </c>
      <c r="AC13" t="n">
        <v>7002</v>
      </c>
      <c r="AD13" t="n">
        <v>7230</v>
      </c>
      <c r="AE13" t="n">
        <v>7171</v>
      </c>
      <c r="AF13" t="n">
        <v>7242</v>
      </c>
    </row>
    <row r="14">
      <c r="A14" t="s">
        <v>115</v>
      </c>
      <c r="B14" t="s">
        <v>298</v>
      </c>
      <c r="C14" t="s">
        <v>236</v>
      </c>
      <c r="D14" t="s">
        <v>299</v>
      </c>
      <c r="E14" t="s">
        <v>237</v>
      </c>
      <c r="F14" t="n">
        <v>2798</v>
      </c>
      <c r="G14" t="n">
        <v>3196</v>
      </c>
      <c r="H14" t="n">
        <v>3686</v>
      </c>
      <c r="I14" t="n">
        <v>4477</v>
      </c>
      <c r="J14" t="n">
        <v>5578</v>
      </c>
      <c r="K14" t="n">
        <v>6939</v>
      </c>
      <c r="L14" t="n">
        <v>8125</v>
      </c>
      <c r="M14" t="n">
        <v>8773</v>
      </c>
      <c r="N14" t="n">
        <v>9475</v>
      </c>
      <c r="O14" t="n">
        <v>10426</v>
      </c>
      <c r="P14" t="n">
        <v>11458</v>
      </c>
      <c r="Q14" t="n">
        <v>12270</v>
      </c>
      <c r="R14" t="n">
        <v>13025</v>
      </c>
      <c r="S14" t="n">
        <v>14499</v>
      </c>
      <c r="T14" t="n">
        <v>15135</v>
      </c>
      <c r="U14" t="n">
        <v>15436</v>
      </c>
      <c r="V14" t="n">
        <v>15604</v>
      </c>
      <c r="W14" t="n">
        <v>14762</v>
      </c>
      <c r="X14" t="n">
        <v>13861</v>
      </c>
      <c r="Y14" t="n">
        <v>12954</v>
      </c>
      <c r="Z14" t="n">
        <v>11933</v>
      </c>
      <c r="AA14" t="n">
        <v>10908</v>
      </c>
      <c r="AB14" t="n">
        <v>9972</v>
      </c>
      <c r="AC14" t="n">
        <v>9092</v>
      </c>
      <c r="AD14" t="n">
        <v>8687</v>
      </c>
      <c r="AE14" t="n">
        <v>8192</v>
      </c>
      <c r="AF14" t="n">
        <v>7901</v>
      </c>
    </row>
    <row r="15">
      <c r="A15" t="s">
        <v>115</v>
      </c>
      <c r="B15" t="s">
        <v>300</v>
      </c>
      <c r="C15" t="s">
        <v>236</v>
      </c>
      <c r="D15" t="s">
        <v>301</v>
      </c>
      <c r="E15" t="s">
        <v>237</v>
      </c>
      <c r="F15" t="n">
        <v>3611</v>
      </c>
      <c r="G15" t="n">
        <v>4044</v>
      </c>
      <c r="H15" t="n">
        <v>4567</v>
      </c>
      <c r="I15" t="n">
        <v>5409</v>
      </c>
      <c r="J15" t="n">
        <v>6535</v>
      </c>
      <c r="K15" t="n">
        <v>7921</v>
      </c>
      <c r="L15" t="n">
        <v>9139</v>
      </c>
      <c r="M15" t="n">
        <v>9780</v>
      </c>
      <c r="N15" t="n">
        <v>10504</v>
      </c>
      <c r="O15" t="n">
        <v>11478</v>
      </c>
      <c r="P15" t="n">
        <v>12548</v>
      </c>
      <c r="Q15" t="n">
        <v>13381</v>
      </c>
      <c r="R15" t="n">
        <v>14221</v>
      </c>
      <c r="S15" t="n">
        <v>15870</v>
      </c>
      <c r="T15" t="n">
        <v>16603</v>
      </c>
      <c r="U15" t="n">
        <v>16986</v>
      </c>
      <c r="V15" t="n">
        <v>17233</v>
      </c>
      <c r="W15" t="n">
        <v>16500</v>
      </c>
      <c r="X15" t="n">
        <v>15594</v>
      </c>
      <c r="Y15" t="n">
        <v>14735</v>
      </c>
      <c r="Z15" t="n">
        <v>13797</v>
      </c>
      <c r="AA15" t="n">
        <v>12820</v>
      </c>
      <c r="AB15" t="n">
        <v>11608</v>
      </c>
      <c r="AC15" t="n">
        <v>10771</v>
      </c>
      <c r="AD15" t="n">
        <v>10487</v>
      </c>
      <c r="AE15" t="n">
        <v>10021</v>
      </c>
      <c r="AF15" t="n">
        <v>9771</v>
      </c>
    </row>
    <row r="16">
      <c r="A16" t="s">
        <v>115</v>
      </c>
      <c r="B16" t="s">
        <v>302</v>
      </c>
      <c r="C16" t="s">
        <v>236</v>
      </c>
      <c r="D16" t="s">
        <v>303</v>
      </c>
      <c r="E16" t="s">
        <v>237</v>
      </c>
      <c r="F16" t="n">
        <v>813</v>
      </c>
      <c r="G16" t="n">
        <v>848</v>
      </c>
      <c r="H16" t="n">
        <v>881</v>
      </c>
      <c r="I16" t="n">
        <v>932</v>
      </c>
      <c r="J16" t="n">
        <v>957</v>
      </c>
      <c r="K16" t="n">
        <v>982</v>
      </c>
      <c r="L16" t="n">
        <v>1014</v>
      </c>
      <c r="M16" t="n">
        <v>1007</v>
      </c>
      <c r="N16" t="n">
        <v>1029</v>
      </c>
      <c r="O16" t="n">
        <v>1052</v>
      </c>
      <c r="P16" t="n">
        <v>1090</v>
      </c>
      <c r="Q16" t="n">
        <v>1111</v>
      </c>
      <c r="R16" t="n">
        <v>1196</v>
      </c>
      <c r="S16" t="n">
        <v>1371</v>
      </c>
      <c r="T16" t="n">
        <v>1468</v>
      </c>
      <c r="U16" t="n">
        <v>1550</v>
      </c>
      <c r="V16" t="n">
        <v>1629</v>
      </c>
      <c r="W16" t="n">
        <v>1738</v>
      </c>
      <c r="X16" t="n">
        <v>1733</v>
      </c>
      <c r="Y16" t="n">
        <v>1781</v>
      </c>
      <c r="Z16" t="n">
        <v>1864</v>
      </c>
      <c r="AA16" t="n">
        <v>1912</v>
      </c>
      <c r="AB16" t="n">
        <v>1636</v>
      </c>
      <c r="AC16" t="n">
        <v>1679</v>
      </c>
      <c r="AD16" t="n">
        <v>1800</v>
      </c>
      <c r="AE16" t="n">
        <v>1829</v>
      </c>
      <c r="AF16" t="n">
        <v>1870</v>
      </c>
    </row>
    <row r="17">
      <c r="A17" t="s">
        <v>115</v>
      </c>
      <c r="B17" t="s">
        <v>304</v>
      </c>
      <c r="C17" t="s">
        <v>236</v>
      </c>
      <c r="D17" t="s">
        <v>305</v>
      </c>
      <c r="E17" t="s">
        <v>237</v>
      </c>
      <c r="F17" t="n">
        <v>2214</v>
      </c>
      <c r="G17" t="n">
        <v>2299</v>
      </c>
      <c r="H17" t="n">
        <v>2405</v>
      </c>
      <c r="I17" t="n">
        <v>2506</v>
      </c>
      <c r="J17" t="n">
        <v>2574</v>
      </c>
      <c r="K17" t="n">
        <v>2664</v>
      </c>
      <c r="L17" t="n">
        <v>2789</v>
      </c>
      <c r="M17" t="n">
        <v>2794</v>
      </c>
      <c r="N17" t="n">
        <v>2843</v>
      </c>
      <c r="O17" t="n">
        <v>2830</v>
      </c>
      <c r="P17" t="n">
        <v>2890</v>
      </c>
      <c r="Q17" t="n">
        <v>2960</v>
      </c>
      <c r="R17" t="n">
        <v>3101</v>
      </c>
      <c r="S17" t="n">
        <v>3473</v>
      </c>
      <c r="T17" t="n">
        <v>3690</v>
      </c>
      <c r="U17" t="n">
        <v>3639</v>
      </c>
      <c r="V17" t="n">
        <v>3770</v>
      </c>
      <c r="W17" t="n">
        <v>4001</v>
      </c>
      <c r="X17" t="n">
        <v>4121</v>
      </c>
      <c r="Y17" t="n">
        <v>4252</v>
      </c>
      <c r="Z17" t="n">
        <v>4391</v>
      </c>
      <c r="AA17" t="n">
        <v>4508</v>
      </c>
      <c r="AB17" t="n">
        <v>4601</v>
      </c>
      <c r="AC17" t="n">
        <v>4867</v>
      </c>
      <c r="AD17" t="n">
        <v>5172</v>
      </c>
      <c r="AE17" t="n">
        <v>5389</v>
      </c>
      <c r="AF17" t="n">
        <v>5518</v>
      </c>
    </row>
    <row r="18">
      <c r="A18" t="s">
        <v>115</v>
      </c>
      <c r="B18" t="s">
        <v>306</v>
      </c>
      <c r="C18" t="s">
        <v>236</v>
      </c>
      <c r="D18" t="s">
        <v>307</v>
      </c>
      <c r="E18" t="s">
        <v>237</v>
      </c>
      <c r="F18" t="n">
        <v>1524</v>
      </c>
      <c r="G18" t="n">
        <v>1495</v>
      </c>
      <c r="H18" t="n">
        <v>1466</v>
      </c>
      <c r="I18" t="n">
        <v>1484</v>
      </c>
      <c r="J18" t="n">
        <v>1489</v>
      </c>
      <c r="K18" t="n">
        <v>1484</v>
      </c>
      <c r="L18" t="n">
        <v>1520</v>
      </c>
      <c r="M18" t="n">
        <v>1469</v>
      </c>
      <c r="N18" t="n">
        <v>1421</v>
      </c>
      <c r="O18" t="n">
        <v>1414</v>
      </c>
      <c r="P18" t="n">
        <v>1436</v>
      </c>
      <c r="Q18" t="n">
        <v>1478</v>
      </c>
      <c r="R18" t="n">
        <v>1506</v>
      </c>
      <c r="S18" t="n">
        <v>1552</v>
      </c>
      <c r="T18" t="n">
        <v>1535</v>
      </c>
      <c r="U18" t="n">
        <v>1443</v>
      </c>
      <c r="V18" t="n">
        <v>1456</v>
      </c>
      <c r="W18" t="n">
        <v>1509</v>
      </c>
      <c r="X18" t="n">
        <v>1525</v>
      </c>
      <c r="Y18" t="n">
        <v>1446</v>
      </c>
      <c r="Z18" t="n">
        <v>1384</v>
      </c>
      <c r="AA18" t="n">
        <v>1369</v>
      </c>
      <c r="AB18" t="n">
        <v>1435</v>
      </c>
      <c r="AC18" t="n">
        <v>1555</v>
      </c>
      <c r="AD18" t="n">
        <v>1558</v>
      </c>
      <c r="AE18" t="n">
        <v>1582</v>
      </c>
      <c r="AF18" t="n">
        <v>1666</v>
      </c>
    </row>
    <row r="19">
      <c r="A19" t="s">
        <v>115</v>
      </c>
      <c r="B19" t="s">
        <v>308</v>
      </c>
      <c r="C19" t="s">
        <v>236</v>
      </c>
      <c r="D19" t="s">
        <v>309</v>
      </c>
      <c r="E19" t="s">
        <v>237</v>
      </c>
      <c r="F19" t="n">
        <v>1426</v>
      </c>
      <c r="G19" t="n">
        <v>1468</v>
      </c>
      <c r="H19" t="n">
        <v>1554</v>
      </c>
      <c r="I19" t="n">
        <v>1664</v>
      </c>
      <c r="J19" t="n">
        <v>1771</v>
      </c>
      <c r="K19" t="n">
        <v>1905</v>
      </c>
      <c r="L19" t="n">
        <v>2026</v>
      </c>
      <c r="M19" t="n">
        <v>2087</v>
      </c>
      <c r="N19" t="n">
        <v>2099</v>
      </c>
      <c r="O19" t="n">
        <v>2105</v>
      </c>
      <c r="P19" t="n">
        <v>2133</v>
      </c>
      <c r="Q19" t="n">
        <v>2152</v>
      </c>
      <c r="R19" t="n">
        <v>2219</v>
      </c>
      <c r="S19" t="n">
        <v>2155</v>
      </c>
      <c r="T19" t="n">
        <v>1983</v>
      </c>
      <c r="U19" t="n">
        <v>1798</v>
      </c>
      <c r="V19" t="n">
        <v>1698</v>
      </c>
      <c r="W19" t="n">
        <v>1622</v>
      </c>
      <c r="X19" t="n">
        <v>1495</v>
      </c>
      <c r="Y19" t="n">
        <v>1388</v>
      </c>
      <c r="Z19" t="n">
        <v>1320</v>
      </c>
      <c r="AA19" t="n">
        <v>1321</v>
      </c>
      <c r="AB19" t="n">
        <v>1279</v>
      </c>
      <c r="AC19" t="n">
        <v>1298</v>
      </c>
      <c r="AD19" t="n">
        <v>1320</v>
      </c>
      <c r="AE19" t="n">
        <v>1359</v>
      </c>
      <c r="AF19" t="n">
        <v>1484</v>
      </c>
    </row>
    <row r="20">
      <c r="A20" t="s">
        <v>115</v>
      </c>
      <c r="B20" t="s">
        <v>310</v>
      </c>
      <c r="C20" t="s">
        <v>236</v>
      </c>
      <c r="D20" t="s">
        <v>311</v>
      </c>
      <c r="E20" t="s">
        <v>237</v>
      </c>
      <c r="F20" t="n">
        <v>13316</v>
      </c>
      <c r="G20" t="n">
        <v>13375</v>
      </c>
      <c r="H20" t="n">
        <v>13777</v>
      </c>
      <c r="I20" t="n">
        <v>13849</v>
      </c>
      <c r="J20" t="n">
        <v>13938</v>
      </c>
      <c r="K20" t="n">
        <v>14408</v>
      </c>
      <c r="L20" t="n">
        <v>14832</v>
      </c>
      <c r="M20" t="n">
        <v>14915</v>
      </c>
      <c r="N20" t="n">
        <v>15011</v>
      </c>
      <c r="O20" t="n">
        <v>15674</v>
      </c>
      <c r="P20" t="n">
        <v>16400</v>
      </c>
      <c r="Q20" t="n">
        <v>17132</v>
      </c>
      <c r="R20" t="n">
        <v>18154</v>
      </c>
      <c r="S20" t="n">
        <v>19737</v>
      </c>
      <c r="T20" t="n">
        <v>20258</v>
      </c>
      <c r="U20" t="n">
        <v>20742</v>
      </c>
      <c r="V20" t="n">
        <v>22023</v>
      </c>
      <c r="W20" t="n">
        <v>23383</v>
      </c>
      <c r="X20" t="n">
        <v>24309</v>
      </c>
      <c r="Y20" t="n">
        <v>25473</v>
      </c>
      <c r="Z20" t="n">
        <v>26628</v>
      </c>
      <c r="AA20" t="n">
        <v>28027</v>
      </c>
      <c r="AB20" t="n">
        <v>29921</v>
      </c>
      <c r="AC20" t="n">
        <v>31378</v>
      </c>
      <c r="AD20" t="n">
        <v>32557</v>
      </c>
      <c r="AE20" t="n">
        <v>33027</v>
      </c>
      <c r="AF20" t="n">
        <v>35725</v>
      </c>
    </row>
    <row r="21">
      <c r="A21" t="s">
        <v>115</v>
      </c>
      <c r="B21" t="s">
        <v>312</v>
      </c>
      <c r="C21" t="s">
        <v>236</v>
      </c>
      <c r="D21" t="s">
        <v>313</v>
      </c>
      <c r="E21" t="s">
        <v>237</v>
      </c>
      <c r="F21" t="n">
        <v>17868</v>
      </c>
      <c r="G21" t="n">
        <v>17963</v>
      </c>
      <c r="H21" t="n">
        <v>18539</v>
      </c>
      <c r="I21" t="n">
        <v>18749</v>
      </c>
      <c r="J21" t="n">
        <v>19028</v>
      </c>
      <c r="K21" t="n">
        <v>19811</v>
      </c>
      <c r="L21" t="n">
        <v>20454</v>
      </c>
      <c r="M21" t="n">
        <v>20656</v>
      </c>
      <c r="N21" t="n">
        <v>20941</v>
      </c>
      <c r="O21" t="n">
        <v>21840</v>
      </c>
      <c r="P21" t="n">
        <v>22931</v>
      </c>
      <c r="Q21" t="n">
        <v>24154</v>
      </c>
      <c r="R21" t="n">
        <v>25781</v>
      </c>
      <c r="S21" t="n">
        <v>28085</v>
      </c>
      <c r="T21" t="n">
        <v>28639</v>
      </c>
      <c r="U21" t="n">
        <v>29359</v>
      </c>
      <c r="V21" t="n">
        <v>31141</v>
      </c>
      <c r="W21" t="n">
        <v>33024</v>
      </c>
      <c r="X21" t="n">
        <v>34070</v>
      </c>
      <c r="Y21" t="n">
        <v>35315</v>
      </c>
      <c r="Z21" t="n">
        <v>36315</v>
      </c>
      <c r="AA21" t="n">
        <v>37729</v>
      </c>
      <c r="AB21" t="n">
        <v>39912</v>
      </c>
      <c r="AC21" t="n">
        <v>41825</v>
      </c>
      <c r="AD21" t="n">
        <v>43258</v>
      </c>
      <c r="AE21" t="n">
        <v>43927</v>
      </c>
      <c r="AF21" t="n">
        <v>47614</v>
      </c>
    </row>
    <row r="22">
      <c r="A22" t="s">
        <v>115</v>
      </c>
      <c r="B22" t="s">
        <v>314</v>
      </c>
      <c r="C22" t="s">
        <v>236</v>
      </c>
      <c r="D22" t="s">
        <v>315</v>
      </c>
      <c r="E22" t="s">
        <v>237</v>
      </c>
      <c r="F22" t="n">
        <v>4552</v>
      </c>
      <c r="G22" t="n">
        <v>4588</v>
      </c>
      <c r="H22" t="n">
        <v>4762</v>
      </c>
      <c r="I22" t="n">
        <v>4900</v>
      </c>
      <c r="J22" t="n">
        <v>5090</v>
      </c>
      <c r="K22" t="n">
        <v>5403</v>
      </c>
      <c r="L22" t="n">
        <v>5622</v>
      </c>
      <c r="M22" t="n">
        <v>5741</v>
      </c>
      <c r="N22" t="n">
        <v>5930</v>
      </c>
      <c r="O22" t="n">
        <v>6166</v>
      </c>
      <c r="P22" t="n">
        <v>6531</v>
      </c>
      <c r="Q22" t="n">
        <v>7022</v>
      </c>
      <c r="R22" t="n">
        <v>7627</v>
      </c>
      <c r="S22" t="n">
        <v>8348</v>
      </c>
      <c r="T22" t="n">
        <v>8381</v>
      </c>
      <c r="U22" t="n">
        <v>8617</v>
      </c>
      <c r="V22" t="n">
        <v>9118</v>
      </c>
      <c r="W22" t="n">
        <v>9641</v>
      </c>
      <c r="X22" t="n">
        <v>9761</v>
      </c>
      <c r="Y22" t="n">
        <v>9842</v>
      </c>
      <c r="Z22" t="n">
        <v>9687</v>
      </c>
      <c r="AA22" t="n">
        <v>9702</v>
      </c>
      <c r="AB22" t="n">
        <v>9991</v>
      </c>
      <c r="AC22" t="n">
        <v>10447</v>
      </c>
      <c r="AD22" t="n">
        <v>10701</v>
      </c>
      <c r="AE22" t="n">
        <v>10900</v>
      </c>
      <c r="AF22" t="n">
        <v>11889</v>
      </c>
    </row>
    <row r="23">
      <c r="A23" t="s">
        <v>115</v>
      </c>
      <c r="B23" t="s">
        <v>316</v>
      </c>
      <c r="C23" t="s">
        <v>236</v>
      </c>
      <c r="D23" t="s">
        <v>317</v>
      </c>
      <c r="E23" t="s">
        <v>237</v>
      </c>
      <c r="F23" t="n">
        <v>2089</v>
      </c>
      <c r="G23" t="n">
        <v>2108</v>
      </c>
      <c r="H23" t="n">
        <v>2184</v>
      </c>
      <c r="I23" t="n">
        <v>2250</v>
      </c>
      <c r="J23" t="n">
        <v>2434</v>
      </c>
      <c r="K23" t="n">
        <v>2675</v>
      </c>
      <c r="L23" t="n">
        <v>2849</v>
      </c>
      <c r="M23" t="n">
        <v>2934</v>
      </c>
      <c r="N23" t="n">
        <v>3062</v>
      </c>
      <c r="O23" t="n">
        <v>3209</v>
      </c>
      <c r="P23" t="n">
        <v>3439</v>
      </c>
      <c r="Q23" t="n">
        <v>3695</v>
      </c>
      <c r="R23" t="n">
        <v>4068</v>
      </c>
      <c r="S23" t="n">
        <v>4501</v>
      </c>
      <c r="T23" t="n">
        <v>4542</v>
      </c>
      <c r="U23" t="n">
        <v>4536</v>
      </c>
      <c r="V23" t="n">
        <v>4734</v>
      </c>
      <c r="W23" t="n">
        <v>5033</v>
      </c>
      <c r="X23" t="n">
        <v>5132</v>
      </c>
      <c r="Y23" t="n">
        <v>5177</v>
      </c>
      <c r="Z23" t="n">
        <v>5278</v>
      </c>
      <c r="AA23" t="n">
        <v>5454</v>
      </c>
      <c r="AB23" t="n">
        <v>5721</v>
      </c>
      <c r="AC23" t="n">
        <v>6083</v>
      </c>
      <c r="AD23" t="n">
        <v>6532</v>
      </c>
      <c r="AE23" t="n">
        <v>6889</v>
      </c>
      <c r="AF23" t="n">
        <v>7395</v>
      </c>
    </row>
    <row r="24">
      <c r="A24" t="s">
        <v>115</v>
      </c>
      <c r="B24" t="s">
        <v>318</v>
      </c>
      <c r="C24" t="s">
        <v>236</v>
      </c>
      <c r="D24" t="s">
        <v>319</v>
      </c>
      <c r="E24" t="s">
        <v>237</v>
      </c>
      <c r="F24" t="n">
        <v>12878</v>
      </c>
      <c r="G24" t="n">
        <v>12645</v>
      </c>
      <c r="H24" t="n">
        <v>12596</v>
      </c>
      <c r="I24" t="n">
        <v>12874</v>
      </c>
      <c r="J24" t="n">
        <v>13307</v>
      </c>
      <c r="K24" t="n">
        <v>13700</v>
      </c>
      <c r="L24" t="n">
        <v>14165</v>
      </c>
      <c r="M24" t="n">
        <v>13791</v>
      </c>
      <c r="N24" t="n">
        <v>13612</v>
      </c>
      <c r="O24" t="n">
        <v>13643</v>
      </c>
      <c r="P24" t="n">
        <v>13808</v>
      </c>
      <c r="Q24" t="n">
        <v>13606</v>
      </c>
      <c r="R24" t="n">
        <v>14140</v>
      </c>
      <c r="S24" t="n">
        <v>14687</v>
      </c>
      <c r="T24" t="n">
        <v>14415</v>
      </c>
      <c r="U24" t="n">
        <v>13648</v>
      </c>
      <c r="V24" t="n">
        <v>13785</v>
      </c>
      <c r="W24" t="n">
        <v>14605</v>
      </c>
      <c r="X24" t="n">
        <v>14691</v>
      </c>
      <c r="Y24" t="n">
        <v>14665</v>
      </c>
      <c r="Z24" t="n">
        <v>14389</v>
      </c>
      <c r="AA24" t="n">
        <v>14673</v>
      </c>
      <c r="AB24" t="n">
        <v>14991</v>
      </c>
      <c r="AC24" t="n">
        <v>15629</v>
      </c>
      <c r="AD24" t="n">
        <v>16091</v>
      </c>
      <c r="AE24" t="n">
        <v>16205</v>
      </c>
      <c r="AF24" t="n">
        <v>16691</v>
      </c>
    </row>
    <row r="25">
      <c r="A25" t="s">
        <v>115</v>
      </c>
      <c r="B25" t="s">
        <v>320</v>
      </c>
      <c r="C25" t="s">
        <v>236</v>
      </c>
      <c r="D25" t="s">
        <v>321</v>
      </c>
      <c r="E25" t="s">
        <v>237</v>
      </c>
      <c r="F25" t="n">
        <v>1740</v>
      </c>
      <c r="G25" t="n">
        <v>1680</v>
      </c>
      <c r="H25" t="n">
        <v>1661</v>
      </c>
      <c r="I25" t="n">
        <v>1690</v>
      </c>
      <c r="J25" t="n">
        <v>1742</v>
      </c>
      <c r="K25" t="n">
        <v>1770</v>
      </c>
      <c r="L25" t="n">
        <v>1815</v>
      </c>
      <c r="M25" t="n">
        <v>1768</v>
      </c>
      <c r="N25" t="n">
        <v>1734</v>
      </c>
      <c r="O25" t="n">
        <v>1745</v>
      </c>
      <c r="P25" t="n">
        <v>1780</v>
      </c>
      <c r="Q25" t="n">
        <v>1838</v>
      </c>
      <c r="R25" t="n">
        <v>1878</v>
      </c>
      <c r="S25" t="n">
        <v>1961</v>
      </c>
      <c r="T25" t="n">
        <v>1919</v>
      </c>
      <c r="U25" t="n">
        <v>1855</v>
      </c>
      <c r="V25" t="n">
        <v>1889</v>
      </c>
      <c r="W25" t="n">
        <v>1963</v>
      </c>
      <c r="X25" t="n">
        <v>1933</v>
      </c>
      <c r="Y25" t="n">
        <v>1909</v>
      </c>
      <c r="Z25" t="n">
        <v>1873</v>
      </c>
      <c r="AA25" t="n">
        <v>1923</v>
      </c>
      <c r="AB25" t="n">
        <v>1908</v>
      </c>
      <c r="AC25" t="n">
        <v>1978</v>
      </c>
      <c r="AD25" t="n">
        <v>2072</v>
      </c>
      <c r="AE25" t="n">
        <v>2100</v>
      </c>
      <c r="AF25" t="n">
        <v>2171</v>
      </c>
    </row>
    <row r="26">
      <c r="A26" t="s">
        <v>115</v>
      </c>
      <c r="B26" t="s">
        <v>322</v>
      </c>
      <c r="C26" t="s">
        <v>236</v>
      </c>
      <c r="D26" t="s">
        <v>323</v>
      </c>
      <c r="E26" t="s">
        <v>237</v>
      </c>
      <c r="F26" t="n">
        <v>6738</v>
      </c>
      <c r="G26" t="n">
        <v>6668</v>
      </c>
      <c r="H26" t="n">
        <v>6654</v>
      </c>
      <c r="I26" t="n">
        <v>6788</v>
      </c>
      <c r="J26" t="n">
        <v>6984</v>
      </c>
      <c r="K26" t="n">
        <v>7186</v>
      </c>
      <c r="L26" t="n">
        <v>7440</v>
      </c>
      <c r="M26" t="n">
        <v>7163</v>
      </c>
      <c r="N26" t="n">
        <v>6909</v>
      </c>
      <c r="O26" t="n">
        <v>6771</v>
      </c>
      <c r="P26" t="n">
        <v>6764</v>
      </c>
      <c r="Q26" t="n">
        <v>6508</v>
      </c>
      <c r="R26" t="n">
        <v>6759</v>
      </c>
      <c r="S26" t="n">
        <v>7001</v>
      </c>
      <c r="T26" t="n">
        <v>6758</v>
      </c>
      <c r="U26" t="n">
        <v>6267</v>
      </c>
      <c r="V26" t="n">
        <v>6324</v>
      </c>
      <c r="W26" t="n">
        <v>6694</v>
      </c>
      <c r="X26" t="n">
        <v>6687</v>
      </c>
      <c r="Y26" t="n">
        <v>6689</v>
      </c>
      <c r="Z26" t="n">
        <v>6412</v>
      </c>
      <c r="AA26" t="n">
        <v>6520</v>
      </c>
      <c r="AB26" t="n">
        <v>6729</v>
      </c>
      <c r="AC26" t="n">
        <v>7072</v>
      </c>
      <c r="AD26" t="n">
        <v>7200</v>
      </c>
      <c r="AE26" t="n">
        <v>7144</v>
      </c>
      <c r="AF26" t="n">
        <v>7160</v>
      </c>
    </row>
    <row r="27">
      <c r="A27" t="s">
        <v>115</v>
      </c>
      <c r="B27" t="s">
        <v>324</v>
      </c>
      <c r="C27" t="s">
        <v>236</v>
      </c>
      <c r="D27" t="s">
        <v>325</v>
      </c>
      <c r="E27" t="s">
        <v>237</v>
      </c>
      <c r="F27" t="n">
        <v>4400</v>
      </c>
      <c r="G27" t="n">
        <v>4297</v>
      </c>
      <c r="H27" t="n">
        <v>4281</v>
      </c>
      <c r="I27" t="n">
        <v>4396</v>
      </c>
      <c r="J27" t="n">
        <v>4581</v>
      </c>
      <c r="K27" t="n">
        <v>4744</v>
      </c>
      <c r="L27" t="n">
        <v>4910</v>
      </c>
      <c r="M27" t="n">
        <v>4860</v>
      </c>
      <c r="N27" t="n">
        <v>4969</v>
      </c>
      <c r="O27" t="n">
        <v>5127</v>
      </c>
      <c r="P27" t="n">
        <v>5264</v>
      </c>
      <c r="Q27" t="n">
        <v>5260</v>
      </c>
      <c r="R27" t="n">
        <v>5503</v>
      </c>
      <c r="S27" t="n">
        <v>5725</v>
      </c>
      <c r="T27" t="n">
        <v>5738</v>
      </c>
      <c r="U27" t="n">
        <v>5526</v>
      </c>
      <c r="V27" t="n">
        <v>5572</v>
      </c>
      <c r="W27" t="n">
        <v>5948</v>
      </c>
      <c r="X27" t="n">
        <v>6071</v>
      </c>
      <c r="Y27" t="n">
        <v>6067</v>
      </c>
      <c r="Z27" t="n">
        <v>6104</v>
      </c>
      <c r="AA27" t="n">
        <v>6230</v>
      </c>
      <c r="AB27" t="n">
        <v>6354</v>
      </c>
      <c r="AC27" t="n">
        <v>6579</v>
      </c>
      <c r="AD27" t="n">
        <v>6819</v>
      </c>
      <c r="AE27" t="n">
        <v>6961</v>
      </c>
      <c r="AF27" t="n">
        <v>7360</v>
      </c>
    </row>
    <row r="28">
      <c r="A28" t="s">
        <v>115</v>
      </c>
      <c r="B28" t="s">
        <v>326</v>
      </c>
      <c r="C28" t="s">
        <v>236</v>
      </c>
      <c r="D28" t="s">
        <v>327</v>
      </c>
      <c r="E28" t="s">
        <v>237</v>
      </c>
      <c r="F28" t="n">
        <v>11404</v>
      </c>
      <c r="G28" t="n">
        <v>11406</v>
      </c>
      <c r="H28" t="n">
        <v>11919</v>
      </c>
      <c r="I28" t="n">
        <v>12491</v>
      </c>
      <c r="J28" t="n">
        <v>13010</v>
      </c>
      <c r="K28" t="n">
        <v>13671</v>
      </c>
      <c r="L28" t="n">
        <v>14273</v>
      </c>
      <c r="M28" t="n">
        <v>14071</v>
      </c>
      <c r="N28" t="n">
        <v>13884</v>
      </c>
      <c r="O28" t="n">
        <v>14252</v>
      </c>
      <c r="P28" t="n">
        <v>14475</v>
      </c>
      <c r="Q28" t="n">
        <v>14877</v>
      </c>
      <c r="R28" t="n">
        <v>15421</v>
      </c>
      <c r="S28" t="n">
        <v>15815</v>
      </c>
      <c r="T28" t="n">
        <v>15925</v>
      </c>
      <c r="U28" t="n">
        <v>15604</v>
      </c>
      <c r="V28" t="n">
        <v>15998</v>
      </c>
      <c r="W28" t="n">
        <v>16488</v>
      </c>
      <c r="X28" t="n">
        <v>16431</v>
      </c>
      <c r="Y28" t="n">
        <v>16367</v>
      </c>
      <c r="Z28" t="n">
        <v>16419</v>
      </c>
      <c r="AA28" t="n">
        <v>16698</v>
      </c>
      <c r="AB28" t="n">
        <v>17180</v>
      </c>
      <c r="AC28" t="n">
        <v>16576</v>
      </c>
      <c r="AD28" t="n">
        <v>18511</v>
      </c>
      <c r="AE28" t="n">
        <v>18492</v>
      </c>
      <c r="AF28" t="n">
        <v>18791</v>
      </c>
    </row>
    <row r="29">
      <c r="A29" t="s">
        <v>115</v>
      </c>
      <c r="B29" t="s">
        <v>328</v>
      </c>
      <c r="C29" t="s">
        <v>236</v>
      </c>
      <c r="D29" t="s">
        <v>329</v>
      </c>
      <c r="E29" t="s">
        <v>237</v>
      </c>
      <c r="F29" t="n">
        <v>3404</v>
      </c>
      <c r="G29" t="n">
        <v>3521</v>
      </c>
      <c r="H29" t="n">
        <v>3717</v>
      </c>
      <c r="I29" t="n">
        <v>3917</v>
      </c>
      <c r="J29" t="n">
        <v>4107</v>
      </c>
      <c r="K29" t="n">
        <v>4348</v>
      </c>
      <c r="L29" t="n">
        <v>4545</v>
      </c>
      <c r="M29" t="n">
        <v>4533</v>
      </c>
      <c r="N29" t="n">
        <v>4584</v>
      </c>
      <c r="O29" t="n">
        <v>4694</v>
      </c>
      <c r="P29" t="n">
        <v>4815</v>
      </c>
      <c r="Q29" t="n">
        <v>4834</v>
      </c>
      <c r="R29" t="n">
        <v>4817</v>
      </c>
      <c r="S29" t="n">
        <v>4962</v>
      </c>
      <c r="T29" t="n">
        <v>4914</v>
      </c>
      <c r="U29" t="n">
        <v>4815</v>
      </c>
      <c r="V29" t="n">
        <v>4972</v>
      </c>
      <c r="W29" t="n">
        <v>4952</v>
      </c>
      <c r="X29" t="n">
        <v>4769</v>
      </c>
      <c r="Y29" t="n">
        <v>4785</v>
      </c>
      <c r="Z29" t="n">
        <v>4833</v>
      </c>
      <c r="AA29" t="n">
        <v>4991</v>
      </c>
      <c r="AB29" t="n">
        <v>5216</v>
      </c>
      <c r="AC29" t="n">
        <v>4303</v>
      </c>
      <c r="AD29" t="n">
        <v>5606</v>
      </c>
      <c r="AE29" t="n">
        <v>5667</v>
      </c>
      <c r="AF29" t="n">
        <v>5912</v>
      </c>
    </row>
    <row r="30">
      <c r="A30" t="s">
        <v>115</v>
      </c>
      <c r="B30" t="s">
        <v>330</v>
      </c>
      <c r="C30" t="s">
        <v>236</v>
      </c>
      <c r="D30" t="s">
        <v>331</v>
      </c>
      <c r="E30" t="s">
        <v>237</v>
      </c>
      <c r="F30" t="n">
        <v>3510</v>
      </c>
      <c r="G30" t="n">
        <v>3329</v>
      </c>
      <c r="H30" t="n">
        <v>3505</v>
      </c>
      <c r="I30" t="n">
        <v>3552</v>
      </c>
      <c r="J30" t="n">
        <v>3503</v>
      </c>
      <c r="K30" t="n">
        <v>3577</v>
      </c>
      <c r="L30" t="n">
        <v>3691</v>
      </c>
      <c r="M30" t="n">
        <v>3547</v>
      </c>
      <c r="N30" t="n">
        <v>3260</v>
      </c>
      <c r="O30" t="n">
        <v>3369</v>
      </c>
      <c r="P30" t="n">
        <v>3269</v>
      </c>
      <c r="Q30" t="n">
        <v>3240</v>
      </c>
      <c r="R30" t="n">
        <v>3347</v>
      </c>
      <c r="S30" t="n">
        <v>3094</v>
      </c>
      <c r="T30" t="n">
        <v>2985</v>
      </c>
      <c r="U30" t="n">
        <v>2815</v>
      </c>
      <c r="V30" t="n">
        <v>2878</v>
      </c>
      <c r="W30" t="n">
        <v>3088</v>
      </c>
      <c r="X30" t="n">
        <v>3214</v>
      </c>
      <c r="Y30" t="n">
        <v>3010</v>
      </c>
      <c r="Z30" t="n">
        <v>2840</v>
      </c>
      <c r="AA30" t="n">
        <v>2702</v>
      </c>
      <c r="AB30" t="n">
        <v>2474</v>
      </c>
      <c r="AC30" t="n">
        <v>2460</v>
      </c>
      <c r="AD30" t="n">
        <v>2394</v>
      </c>
      <c r="AE30" t="n">
        <v>2294</v>
      </c>
      <c r="AF30" t="n">
        <v>2188</v>
      </c>
    </row>
    <row r="31">
      <c r="A31" t="s">
        <v>115</v>
      </c>
      <c r="B31" t="s">
        <v>332</v>
      </c>
      <c r="C31" t="s">
        <v>236</v>
      </c>
      <c r="D31" t="s">
        <v>333</v>
      </c>
      <c r="E31" t="s">
        <v>237</v>
      </c>
      <c r="F31" t="n">
        <v>1033</v>
      </c>
      <c r="G31" t="n">
        <v>1042</v>
      </c>
      <c r="H31" t="n">
        <v>1019</v>
      </c>
      <c r="I31" t="n">
        <v>1040</v>
      </c>
      <c r="J31" t="n">
        <v>1208</v>
      </c>
      <c r="K31" t="n">
        <v>1289</v>
      </c>
      <c r="L31" t="n">
        <v>1404</v>
      </c>
      <c r="M31" t="n">
        <v>1321</v>
      </c>
      <c r="N31" t="n">
        <v>1207</v>
      </c>
      <c r="O31" t="n">
        <v>1182</v>
      </c>
      <c r="P31" t="n">
        <v>1264</v>
      </c>
      <c r="Q31" t="n">
        <v>1391</v>
      </c>
      <c r="R31" t="n">
        <v>1493</v>
      </c>
      <c r="S31" t="n">
        <v>1519</v>
      </c>
      <c r="T31" t="n">
        <v>1719</v>
      </c>
      <c r="U31" t="n">
        <v>1641</v>
      </c>
      <c r="V31" t="n">
        <v>1548</v>
      </c>
      <c r="W31" t="n">
        <v>1557</v>
      </c>
      <c r="X31" t="n">
        <v>1570</v>
      </c>
      <c r="Y31" t="n">
        <v>1616</v>
      </c>
      <c r="Z31" t="n">
        <v>1858</v>
      </c>
      <c r="AA31" t="n">
        <v>1954</v>
      </c>
      <c r="AB31" t="n">
        <v>2056</v>
      </c>
      <c r="AC31" t="n">
        <v>2036</v>
      </c>
      <c r="AD31" t="n">
        <v>2263</v>
      </c>
      <c r="AE31" t="n">
        <v>2146</v>
      </c>
      <c r="AF31" t="n">
        <v>1620</v>
      </c>
    </row>
    <row r="32">
      <c r="A32" t="s">
        <v>115</v>
      </c>
      <c r="B32" t="s">
        <v>334</v>
      </c>
      <c r="C32" t="s">
        <v>236</v>
      </c>
      <c r="D32" t="s">
        <v>335</v>
      </c>
      <c r="E32" t="s">
        <v>237</v>
      </c>
      <c r="F32" t="n">
        <v>2975</v>
      </c>
      <c r="G32" t="n">
        <v>3023</v>
      </c>
      <c r="H32" t="n">
        <v>3161</v>
      </c>
      <c r="I32" t="n">
        <v>3407</v>
      </c>
      <c r="J32" t="n">
        <v>3570</v>
      </c>
      <c r="K32" t="n">
        <v>3789</v>
      </c>
      <c r="L32" t="n">
        <v>3938</v>
      </c>
      <c r="M32" t="n">
        <v>3990</v>
      </c>
      <c r="N32" t="n">
        <v>4165</v>
      </c>
      <c r="O32" t="n">
        <v>4350</v>
      </c>
      <c r="P32" t="n">
        <v>4484</v>
      </c>
      <c r="Q32" t="n">
        <v>4759</v>
      </c>
      <c r="R32" t="n">
        <v>5117</v>
      </c>
      <c r="S32" t="n">
        <v>5560</v>
      </c>
      <c r="T32" t="n">
        <v>5607</v>
      </c>
      <c r="U32" t="n">
        <v>5660</v>
      </c>
      <c r="V32" t="n">
        <v>5937</v>
      </c>
      <c r="W32" t="n">
        <v>6194</v>
      </c>
      <c r="X32" t="n">
        <v>6200</v>
      </c>
      <c r="Y32" t="n">
        <v>6282</v>
      </c>
      <c r="Z32" t="n">
        <v>6312</v>
      </c>
      <c r="AA32" t="n">
        <v>6537</v>
      </c>
      <c r="AB32" t="n">
        <v>6936</v>
      </c>
      <c r="AC32" t="n">
        <v>7294</v>
      </c>
      <c r="AD32" t="n">
        <v>7788</v>
      </c>
      <c r="AE32" t="n">
        <v>7938</v>
      </c>
      <c r="AF32" t="n">
        <v>8625</v>
      </c>
    </row>
    <row r="33">
      <c r="A33" t="s">
        <v>115</v>
      </c>
      <c r="B33" t="s">
        <v>336</v>
      </c>
      <c r="C33" t="s">
        <v>236</v>
      </c>
      <c r="D33" t="s">
        <v>337</v>
      </c>
      <c r="E33" t="s">
        <v>237</v>
      </c>
      <c r="F33" t="n">
        <v>482</v>
      </c>
      <c r="G33" t="n">
        <v>491</v>
      </c>
      <c r="H33" t="n">
        <v>517</v>
      </c>
      <c r="I33" t="n">
        <v>575</v>
      </c>
      <c r="J33" t="n">
        <v>622</v>
      </c>
      <c r="K33" t="n">
        <v>668</v>
      </c>
      <c r="L33" t="n">
        <v>695</v>
      </c>
      <c r="M33" t="n">
        <v>680</v>
      </c>
      <c r="N33" t="n">
        <v>668</v>
      </c>
      <c r="O33" t="n">
        <v>657</v>
      </c>
      <c r="P33" t="n">
        <v>643</v>
      </c>
      <c r="Q33" t="n">
        <v>653</v>
      </c>
      <c r="R33" t="n">
        <v>647</v>
      </c>
      <c r="S33" t="n">
        <v>680</v>
      </c>
      <c r="T33" t="n">
        <v>700</v>
      </c>
      <c r="U33" t="n">
        <v>673</v>
      </c>
      <c r="V33" t="n">
        <v>663</v>
      </c>
      <c r="W33" t="n">
        <v>697</v>
      </c>
      <c r="X33" t="n">
        <v>678</v>
      </c>
      <c r="Y33" t="n">
        <v>674</v>
      </c>
      <c r="Z33" t="n">
        <v>576</v>
      </c>
      <c r="AA33" t="n">
        <v>514</v>
      </c>
      <c r="AB33" t="n">
        <v>498</v>
      </c>
      <c r="AC33" t="n">
        <v>483</v>
      </c>
      <c r="AD33" t="n">
        <v>460</v>
      </c>
      <c r="AE33" t="n">
        <v>447</v>
      </c>
      <c r="AF33" t="n">
        <v>446</v>
      </c>
    </row>
    <row r="34">
      <c r="A34" t="s">
        <v>115</v>
      </c>
      <c r="B34" t="s">
        <v>338</v>
      </c>
      <c r="C34" t="s">
        <v>236</v>
      </c>
      <c r="D34" t="s">
        <v>339</v>
      </c>
      <c r="E34" t="s">
        <v>237</v>
      </c>
      <c r="F34" t="n">
        <v>1632</v>
      </c>
      <c r="G34" t="n">
        <v>1621</v>
      </c>
      <c r="H34" t="n">
        <v>1638</v>
      </c>
      <c r="I34" t="n">
        <v>1703</v>
      </c>
      <c r="J34" t="n">
        <v>1771</v>
      </c>
      <c r="K34" t="n">
        <v>1813</v>
      </c>
      <c r="L34" t="n">
        <v>1861</v>
      </c>
      <c r="M34" t="n">
        <v>1846</v>
      </c>
      <c r="N34" t="n">
        <v>1824</v>
      </c>
      <c r="O34" t="n">
        <v>1846</v>
      </c>
      <c r="P34" t="n">
        <v>1911</v>
      </c>
      <c r="Q34" t="n">
        <v>2002</v>
      </c>
      <c r="R34" t="n">
        <v>2114</v>
      </c>
      <c r="S34" t="n">
        <v>2233</v>
      </c>
      <c r="T34" t="n">
        <v>2228</v>
      </c>
      <c r="U34" t="n">
        <v>2149</v>
      </c>
      <c r="V34" t="n">
        <v>2187</v>
      </c>
      <c r="W34" t="n">
        <v>2303</v>
      </c>
      <c r="X34" t="n">
        <v>2292</v>
      </c>
      <c r="Y34" t="n">
        <v>2272</v>
      </c>
      <c r="Z34" t="n">
        <v>2282</v>
      </c>
      <c r="AA34" t="n">
        <v>2360</v>
      </c>
      <c r="AB34" t="n">
        <v>2431</v>
      </c>
      <c r="AC34" t="n">
        <v>2577</v>
      </c>
      <c r="AD34" t="n">
        <v>2709</v>
      </c>
      <c r="AE34" t="n">
        <v>2802</v>
      </c>
      <c r="AF34" t="n">
        <v>2905</v>
      </c>
    </row>
    <row r="35">
      <c r="A35" t="s">
        <v>115</v>
      </c>
      <c r="B35" t="s">
        <v>340</v>
      </c>
      <c r="C35" t="s">
        <v>236</v>
      </c>
      <c r="D35" t="s">
        <v>341</v>
      </c>
      <c r="E35" t="s">
        <v>237</v>
      </c>
      <c r="F35" t="n">
        <v>6085</v>
      </c>
      <c r="G35" t="n">
        <v>6336</v>
      </c>
      <c r="H35" t="n">
        <v>6738</v>
      </c>
      <c r="I35" t="n">
        <v>7122</v>
      </c>
      <c r="J35" t="n">
        <v>7663</v>
      </c>
      <c r="K35" t="n">
        <v>8439</v>
      </c>
      <c r="L35" t="n">
        <v>9139</v>
      </c>
      <c r="M35" t="n">
        <v>9492</v>
      </c>
      <c r="N35" t="n">
        <v>9591</v>
      </c>
      <c r="O35" t="n">
        <v>9583</v>
      </c>
      <c r="P35" t="n">
        <v>9703</v>
      </c>
      <c r="Q35" t="n">
        <v>9755</v>
      </c>
      <c r="R35" t="n">
        <v>9991</v>
      </c>
      <c r="S35" t="n">
        <v>10216</v>
      </c>
      <c r="T35" t="n">
        <v>9820</v>
      </c>
      <c r="U35" t="n">
        <v>9693</v>
      </c>
      <c r="V35" t="n">
        <v>9835</v>
      </c>
      <c r="W35" t="n">
        <v>10029</v>
      </c>
      <c r="X35" t="n">
        <v>10133</v>
      </c>
      <c r="Y35" t="n">
        <v>10347</v>
      </c>
      <c r="Z35" t="n">
        <v>10518</v>
      </c>
      <c r="AA35" t="n">
        <v>10633</v>
      </c>
      <c r="AB35" t="n">
        <v>10891</v>
      </c>
      <c r="AC35" t="n">
        <v>11606</v>
      </c>
      <c r="AD35" t="n">
        <v>11727</v>
      </c>
      <c r="AE35" t="n">
        <v>12153</v>
      </c>
      <c r="AF35" t="n">
        <v>12854</v>
      </c>
    </row>
    <row r="36">
      <c r="A36" t="s">
        <v>115</v>
      </c>
      <c r="B36" t="s">
        <v>342</v>
      </c>
      <c r="C36" t="s">
        <v>236</v>
      </c>
      <c r="D36" t="s">
        <v>343</v>
      </c>
      <c r="E36" t="s">
        <v>237</v>
      </c>
      <c r="F36" t="n">
        <v>1615</v>
      </c>
      <c r="G36" t="n">
        <v>1626</v>
      </c>
      <c r="H36" t="n">
        <v>1706</v>
      </c>
      <c r="I36" t="n">
        <v>1789</v>
      </c>
      <c r="J36" t="n">
        <v>1788</v>
      </c>
      <c r="K36" t="n">
        <v>1852</v>
      </c>
      <c r="L36" t="n">
        <v>1946</v>
      </c>
      <c r="M36" t="n">
        <v>1922</v>
      </c>
      <c r="N36" t="n">
        <v>1890</v>
      </c>
      <c r="O36" t="n">
        <v>1905</v>
      </c>
      <c r="P36" t="n">
        <v>1947</v>
      </c>
      <c r="Q36" t="n">
        <v>1973</v>
      </c>
      <c r="R36" t="n">
        <v>2041</v>
      </c>
      <c r="S36" t="n">
        <v>2069</v>
      </c>
      <c r="T36" t="n">
        <v>2107</v>
      </c>
      <c r="U36" t="n">
        <v>2207</v>
      </c>
      <c r="V36" t="n">
        <v>2348</v>
      </c>
      <c r="W36" t="n">
        <v>2485</v>
      </c>
      <c r="X36" t="n">
        <v>2566</v>
      </c>
      <c r="Y36" t="n">
        <v>2490</v>
      </c>
      <c r="Z36" t="n">
        <v>2535</v>
      </c>
      <c r="AA36" t="n">
        <v>2630</v>
      </c>
      <c r="AB36" t="n">
        <v>2773</v>
      </c>
      <c r="AC36" t="n">
        <v>2918</v>
      </c>
      <c r="AD36" t="n">
        <v>3043</v>
      </c>
      <c r="AE36" t="n">
        <v>3164</v>
      </c>
      <c r="AF36" t="n">
        <v>3341</v>
      </c>
    </row>
    <row r="37">
      <c r="A37" t="s">
        <v>115</v>
      </c>
      <c r="B37" t="s">
        <v>344</v>
      </c>
      <c r="C37" t="s">
        <v>236</v>
      </c>
      <c r="D37" t="s">
        <v>345</v>
      </c>
      <c r="E37" t="s">
        <v>237</v>
      </c>
      <c r="F37" t="n">
        <v>3960</v>
      </c>
      <c r="G37" t="n">
        <v>4181</v>
      </c>
      <c r="H37" t="n">
        <v>4473</v>
      </c>
      <c r="I37" t="n">
        <v>4710</v>
      </c>
      <c r="J37" t="n">
        <v>5141</v>
      </c>
      <c r="K37" t="n">
        <v>5719</v>
      </c>
      <c r="L37" t="n">
        <v>6184</v>
      </c>
      <c r="M37" t="n">
        <v>6429</v>
      </c>
      <c r="N37" t="n">
        <v>6454</v>
      </c>
      <c r="O37" t="n">
        <v>6433</v>
      </c>
      <c r="P37" t="n">
        <v>6392</v>
      </c>
      <c r="Q37" t="n">
        <v>6346</v>
      </c>
      <c r="R37" t="n">
        <v>6322</v>
      </c>
      <c r="S37" t="n">
        <v>6404</v>
      </c>
      <c r="T37" t="n">
        <v>6044</v>
      </c>
      <c r="U37" t="n">
        <v>5838</v>
      </c>
      <c r="V37" t="n">
        <v>5802</v>
      </c>
      <c r="W37" t="n">
        <v>5727</v>
      </c>
      <c r="X37" t="n">
        <v>5541</v>
      </c>
      <c r="Y37" t="n">
        <v>5288</v>
      </c>
      <c r="Z37" t="n">
        <v>5063</v>
      </c>
      <c r="AA37" t="n">
        <v>4957</v>
      </c>
      <c r="AB37" t="n">
        <v>4939</v>
      </c>
      <c r="AC37" t="n">
        <v>4962</v>
      </c>
      <c r="AD37" t="n">
        <v>4850</v>
      </c>
      <c r="AE37" t="n">
        <v>4855</v>
      </c>
      <c r="AF37" t="n">
        <v>5202</v>
      </c>
    </row>
    <row r="38">
      <c r="A38" t="s">
        <v>115</v>
      </c>
      <c r="B38" t="s">
        <v>346</v>
      </c>
      <c r="C38" t="s">
        <v>236</v>
      </c>
      <c r="D38" t="s">
        <v>347</v>
      </c>
      <c r="E38" t="s">
        <v>237</v>
      </c>
      <c r="F38" t="n">
        <v>510</v>
      </c>
      <c r="G38" t="n">
        <v>529</v>
      </c>
      <c r="H38" t="n">
        <v>559</v>
      </c>
      <c r="I38" t="n">
        <v>623</v>
      </c>
      <c r="J38" t="n">
        <v>734</v>
      </c>
      <c r="K38" t="n">
        <v>868</v>
      </c>
      <c r="L38" t="n">
        <v>1009</v>
      </c>
      <c r="M38" t="n">
        <v>1141</v>
      </c>
      <c r="N38" t="n">
        <v>1247</v>
      </c>
      <c r="O38" t="n">
        <v>1245</v>
      </c>
      <c r="P38" t="n">
        <v>1364</v>
      </c>
      <c r="Q38" t="n">
        <v>1436</v>
      </c>
      <c r="R38" t="n">
        <v>1628</v>
      </c>
      <c r="S38" t="n">
        <v>1743</v>
      </c>
      <c r="T38" t="n">
        <v>1669</v>
      </c>
      <c r="U38" t="n">
        <v>1648</v>
      </c>
      <c r="V38" t="n">
        <v>1685</v>
      </c>
      <c r="W38" t="n">
        <v>1817</v>
      </c>
      <c r="X38" t="n">
        <v>2026</v>
      </c>
      <c r="Y38" t="n">
        <v>2569</v>
      </c>
      <c r="Z38" t="n">
        <v>2920</v>
      </c>
      <c r="AA38" t="n">
        <v>3046</v>
      </c>
      <c r="AB38" t="n">
        <v>3179</v>
      </c>
      <c r="AC38" t="n">
        <v>3726</v>
      </c>
      <c r="AD38" t="n">
        <v>3834</v>
      </c>
      <c r="AE38" t="n">
        <v>4134</v>
      </c>
      <c r="AF38" t="n">
        <v>4311</v>
      </c>
    </row>
    <row r="39">
      <c r="A39" t="s">
        <v>115</v>
      </c>
      <c r="B39" t="s">
        <v>348</v>
      </c>
      <c r="C39" t="s">
        <v>236</v>
      </c>
      <c r="D39" t="s">
        <v>349</v>
      </c>
      <c r="E39" t="s">
        <v>237</v>
      </c>
      <c r="F39" t="n">
        <v>2464</v>
      </c>
      <c r="G39" t="n">
        <v>2303</v>
      </c>
      <c r="H39" t="n">
        <v>2116</v>
      </c>
      <c r="I39" t="n">
        <v>2020</v>
      </c>
      <c r="J39" t="n">
        <v>1953</v>
      </c>
      <c r="K39" t="n">
        <v>1923</v>
      </c>
      <c r="L39" t="n">
        <v>1895</v>
      </c>
      <c r="M39" t="n">
        <v>1821</v>
      </c>
      <c r="N39" t="n">
        <v>1671</v>
      </c>
      <c r="O39" t="n">
        <v>1530</v>
      </c>
      <c r="P39" t="n">
        <v>1491</v>
      </c>
      <c r="Q39" t="n">
        <v>1482</v>
      </c>
      <c r="R39" t="n">
        <v>1666</v>
      </c>
      <c r="S39" t="n">
        <v>1841</v>
      </c>
      <c r="T39" t="n">
        <v>1914</v>
      </c>
      <c r="U39" t="n">
        <v>1791</v>
      </c>
      <c r="V39" t="n">
        <v>1774</v>
      </c>
      <c r="W39" t="n">
        <v>1751</v>
      </c>
      <c r="X39" t="n">
        <v>1723</v>
      </c>
      <c r="Y39" t="n">
        <v>1761</v>
      </c>
      <c r="Z39" t="n">
        <v>1761</v>
      </c>
      <c r="AA39" t="n">
        <v>1776</v>
      </c>
      <c r="AB39" t="n">
        <v>2187</v>
      </c>
      <c r="AC39" t="n">
        <v>2129</v>
      </c>
      <c r="AD39" t="n">
        <v>2195</v>
      </c>
      <c r="AE39" t="n">
        <v>2112</v>
      </c>
      <c r="AF39" t="n">
        <v>2039</v>
      </c>
    </row>
    <row r="40">
      <c r="A40" t="s">
        <v>115</v>
      </c>
      <c r="B40" t="s">
        <v>350</v>
      </c>
      <c r="C40" t="s">
        <v>236</v>
      </c>
      <c r="D40" t="s">
        <v>351</v>
      </c>
      <c r="E40" t="s">
        <v>237</v>
      </c>
      <c r="F40" t="n">
        <v>143225</v>
      </c>
      <c r="G40" t="n">
        <v>143669</v>
      </c>
      <c r="H40" t="n">
        <v>150978</v>
      </c>
      <c r="I40" t="n">
        <v>163396</v>
      </c>
      <c r="J40" t="n">
        <v>176310</v>
      </c>
      <c r="K40" t="n">
        <v>193946</v>
      </c>
      <c r="L40" t="n">
        <v>208405</v>
      </c>
      <c r="M40" t="n">
        <v>209056</v>
      </c>
      <c r="N40" t="n">
        <v>215701</v>
      </c>
      <c r="O40" t="n">
        <v>227133</v>
      </c>
      <c r="P40" t="n">
        <v>246222</v>
      </c>
      <c r="Q40" t="n">
        <v>263678</v>
      </c>
      <c r="R40" t="n">
        <v>290629</v>
      </c>
      <c r="S40" t="n">
        <v>315018</v>
      </c>
      <c r="T40" t="n">
        <v>311626</v>
      </c>
      <c r="U40" t="n">
        <v>305881</v>
      </c>
      <c r="V40" t="n">
        <v>323560</v>
      </c>
      <c r="W40" t="n">
        <v>349037</v>
      </c>
      <c r="X40" t="n">
        <v>361974</v>
      </c>
      <c r="Y40" t="n">
        <v>369356</v>
      </c>
      <c r="Z40" t="n">
        <v>376391</v>
      </c>
      <c r="AA40" t="n">
        <v>392670</v>
      </c>
      <c r="AB40" t="n">
        <v>412035</v>
      </c>
      <c r="AC40" t="n">
        <v>438466</v>
      </c>
      <c r="AD40" t="n">
        <v>467249</v>
      </c>
      <c r="AE40" t="n">
        <v>483514</v>
      </c>
      <c r="AF40" t="n">
        <v>500969</v>
      </c>
    </row>
    <row r="41">
      <c r="A41" t="s">
        <v>115</v>
      </c>
      <c r="B41" t="s">
        <v>352</v>
      </c>
      <c r="C41" t="s">
        <v>236</v>
      </c>
      <c r="D41" t="s">
        <v>353</v>
      </c>
      <c r="E41" t="s">
        <v>237</v>
      </c>
      <c r="F41" t="n">
        <v>79863</v>
      </c>
      <c r="G41" t="n">
        <v>80387</v>
      </c>
      <c r="H41" t="n">
        <v>85500</v>
      </c>
      <c r="I41" t="n">
        <v>93176</v>
      </c>
      <c r="J41" t="n">
        <v>99785</v>
      </c>
      <c r="K41" t="n">
        <v>110306</v>
      </c>
      <c r="L41" t="n">
        <v>117536</v>
      </c>
      <c r="M41" t="n">
        <v>117734</v>
      </c>
      <c r="N41" t="n">
        <v>121151</v>
      </c>
      <c r="O41" t="n">
        <v>128253</v>
      </c>
      <c r="P41" t="n">
        <v>139691</v>
      </c>
      <c r="Q41" t="n">
        <v>150361</v>
      </c>
      <c r="R41" t="n">
        <v>165766</v>
      </c>
      <c r="S41" t="n">
        <v>178959</v>
      </c>
      <c r="T41" t="n">
        <v>176766</v>
      </c>
      <c r="U41" t="n">
        <v>175628</v>
      </c>
      <c r="V41" t="n">
        <v>187388</v>
      </c>
      <c r="W41" t="n">
        <v>202198</v>
      </c>
      <c r="X41" t="n">
        <v>211344</v>
      </c>
      <c r="Y41" t="n">
        <v>217029</v>
      </c>
      <c r="Z41" t="n">
        <v>222060</v>
      </c>
      <c r="AA41" t="n">
        <v>232545</v>
      </c>
      <c r="AB41" t="n">
        <v>245704</v>
      </c>
      <c r="AC41" t="n">
        <v>262103</v>
      </c>
      <c r="AD41" t="n">
        <v>279307</v>
      </c>
      <c r="AE41" t="n">
        <v>289340</v>
      </c>
      <c r="AF41" t="n">
        <v>301003</v>
      </c>
    </row>
    <row r="42">
      <c r="A42" t="s">
        <v>115</v>
      </c>
      <c r="B42" t="s">
        <v>354</v>
      </c>
      <c r="C42" t="s">
        <v>236</v>
      </c>
      <c r="D42" t="s">
        <v>355</v>
      </c>
      <c r="E42" t="s">
        <v>237</v>
      </c>
      <c r="F42" t="n">
        <v>3047</v>
      </c>
      <c r="G42" t="n">
        <v>3194</v>
      </c>
      <c r="H42" t="n">
        <v>3376</v>
      </c>
      <c r="I42" t="n">
        <v>3600</v>
      </c>
      <c r="J42" t="n">
        <v>3837</v>
      </c>
      <c r="K42" t="n">
        <v>4160</v>
      </c>
      <c r="L42" t="n">
        <v>4444</v>
      </c>
      <c r="M42" t="n">
        <v>4733</v>
      </c>
      <c r="N42" t="n">
        <v>4862</v>
      </c>
      <c r="O42" t="n">
        <v>5086</v>
      </c>
      <c r="P42" t="n">
        <v>5328</v>
      </c>
      <c r="Q42" t="n">
        <v>5510</v>
      </c>
      <c r="R42" t="n">
        <v>5821</v>
      </c>
      <c r="S42" t="n">
        <v>6194</v>
      </c>
      <c r="T42" t="n">
        <v>6221</v>
      </c>
      <c r="U42" t="n">
        <v>6282</v>
      </c>
      <c r="V42" t="n">
        <v>6551</v>
      </c>
      <c r="W42" t="n">
        <v>6737</v>
      </c>
      <c r="X42" t="n">
        <v>6747</v>
      </c>
      <c r="Y42" t="n">
        <v>6680</v>
      </c>
      <c r="Z42" t="n">
        <v>6652</v>
      </c>
      <c r="AA42" t="n">
        <v>6602</v>
      </c>
      <c r="AB42" t="n">
        <v>6521</v>
      </c>
      <c r="AC42" t="n">
        <v>6606</v>
      </c>
      <c r="AD42" t="n">
        <v>7008</v>
      </c>
      <c r="AE42" t="n">
        <v>7193</v>
      </c>
      <c r="AF42" t="n">
        <v>7603</v>
      </c>
    </row>
    <row r="43">
      <c r="A43" t="s">
        <v>115</v>
      </c>
      <c r="B43" t="s">
        <v>356</v>
      </c>
      <c r="C43" t="s">
        <v>236</v>
      </c>
      <c r="D43" t="s">
        <v>357</v>
      </c>
      <c r="E43" t="s">
        <v>237</v>
      </c>
      <c r="F43" t="n">
        <v>4022</v>
      </c>
      <c r="G43" t="n">
        <v>4286</v>
      </c>
      <c r="H43" t="n">
        <v>4526</v>
      </c>
      <c r="I43" t="n">
        <v>4858</v>
      </c>
      <c r="J43" t="n">
        <v>5189</v>
      </c>
      <c r="K43" t="n">
        <v>5695</v>
      </c>
      <c r="L43" t="n">
        <v>6139</v>
      </c>
      <c r="M43" t="n">
        <v>6621</v>
      </c>
      <c r="N43" t="n">
        <v>6913</v>
      </c>
      <c r="O43" t="n">
        <v>7284</v>
      </c>
      <c r="P43" t="n">
        <v>7675</v>
      </c>
      <c r="Q43" t="n">
        <v>8114</v>
      </c>
      <c r="R43" t="n">
        <v>8665</v>
      </c>
      <c r="S43" t="n">
        <v>9348</v>
      </c>
      <c r="T43" t="n">
        <v>9363</v>
      </c>
      <c r="U43" t="n">
        <v>9399</v>
      </c>
      <c r="V43" t="n">
        <v>9805</v>
      </c>
      <c r="W43" t="n">
        <v>10177</v>
      </c>
      <c r="X43" t="n">
        <v>10254</v>
      </c>
      <c r="Y43" t="n">
        <v>10262</v>
      </c>
      <c r="Z43" t="n">
        <v>10067</v>
      </c>
      <c r="AA43" t="n">
        <v>10125</v>
      </c>
      <c r="AB43" t="n">
        <v>10231</v>
      </c>
      <c r="AC43" t="n">
        <v>10527</v>
      </c>
      <c r="AD43" t="n">
        <v>11140</v>
      </c>
      <c r="AE43" t="n">
        <v>11434</v>
      </c>
      <c r="AF43" t="n">
        <v>12415</v>
      </c>
    </row>
    <row r="44">
      <c r="A44" t="s">
        <v>115</v>
      </c>
      <c r="B44" t="s">
        <v>358</v>
      </c>
      <c r="C44" t="s">
        <v>236</v>
      </c>
      <c r="D44" t="s">
        <v>359</v>
      </c>
      <c r="E44" t="s">
        <v>237</v>
      </c>
      <c r="F44" t="n">
        <v>121042</v>
      </c>
      <c r="G44" t="n">
        <v>122366</v>
      </c>
      <c r="H44" t="n">
        <v>126070</v>
      </c>
      <c r="I44" t="n">
        <v>130383</v>
      </c>
      <c r="J44" t="n">
        <v>135182</v>
      </c>
      <c r="K44" t="n">
        <v>141946</v>
      </c>
      <c r="L44" t="n">
        <v>149051</v>
      </c>
      <c r="M44" t="n">
        <v>150766</v>
      </c>
      <c r="N44" t="n">
        <v>152253</v>
      </c>
      <c r="O44" t="n">
        <v>155996</v>
      </c>
      <c r="P44" t="n">
        <v>161253</v>
      </c>
      <c r="Q44" t="n">
        <v>166252</v>
      </c>
      <c r="R44" t="n">
        <v>175823</v>
      </c>
      <c r="S44" t="n">
        <v>186116</v>
      </c>
      <c r="T44" t="n">
        <v>186918</v>
      </c>
      <c r="U44" t="n">
        <v>183796</v>
      </c>
      <c r="V44" t="n">
        <v>188141</v>
      </c>
      <c r="W44" t="n">
        <v>194237</v>
      </c>
      <c r="X44" t="n">
        <v>195103</v>
      </c>
      <c r="Y44" t="n">
        <v>194843</v>
      </c>
      <c r="Z44" t="n">
        <v>194508</v>
      </c>
      <c r="AA44" t="n">
        <v>196315</v>
      </c>
      <c r="AB44" t="n">
        <v>201564</v>
      </c>
      <c r="AC44" t="n">
        <v>207033</v>
      </c>
      <c r="AD44" t="n">
        <v>214392</v>
      </c>
      <c r="AE44" t="n">
        <v>216360</v>
      </c>
      <c r="AF44" t="n">
        <v>225825</v>
      </c>
    </row>
    <row r="45">
      <c r="A45" t="s">
        <v>115</v>
      </c>
      <c r="B45" t="s">
        <v>360</v>
      </c>
      <c r="C45" t="s">
        <v>236</v>
      </c>
      <c r="D45" t="s">
        <v>361</v>
      </c>
      <c r="E45" t="s">
        <v>237</v>
      </c>
      <c r="F45" t="n">
        <v>108158</v>
      </c>
      <c r="G45" t="n">
        <v>109888</v>
      </c>
      <c r="H45" t="n">
        <v>113219</v>
      </c>
      <c r="I45" t="n">
        <v>117402</v>
      </c>
      <c r="J45" t="n">
        <v>121906</v>
      </c>
      <c r="K45" t="n">
        <v>128067</v>
      </c>
      <c r="L45" t="n">
        <v>134722</v>
      </c>
      <c r="M45" t="n">
        <v>135988</v>
      </c>
      <c r="N45" t="n">
        <v>137118</v>
      </c>
      <c r="O45" t="n">
        <v>140514</v>
      </c>
      <c r="P45" t="n">
        <v>145229</v>
      </c>
      <c r="Q45" t="n">
        <v>149451</v>
      </c>
      <c r="R45" t="n">
        <v>157658</v>
      </c>
      <c r="S45" t="n">
        <v>167478</v>
      </c>
      <c r="T45" t="n">
        <v>167815</v>
      </c>
      <c r="U45" t="n">
        <v>165054</v>
      </c>
      <c r="V45" t="n">
        <v>168993</v>
      </c>
      <c r="W45" t="n">
        <v>174332</v>
      </c>
      <c r="X45" t="n">
        <v>174844</v>
      </c>
      <c r="Y45" t="n">
        <v>174715</v>
      </c>
      <c r="Z45" t="n">
        <v>174626</v>
      </c>
      <c r="AA45" t="n">
        <v>176479</v>
      </c>
      <c r="AB45" t="n">
        <v>181630</v>
      </c>
      <c r="AC45" t="n">
        <v>186207</v>
      </c>
      <c r="AD45" t="n">
        <v>193065</v>
      </c>
      <c r="AE45" t="n">
        <v>194916</v>
      </c>
      <c r="AF45" t="n">
        <v>204191</v>
      </c>
    </row>
    <row r="46">
      <c r="A46" t="s">
        <v>115</v>
      </c>
      <c r="B46" t="s">
        <v>362</v>
      </c>
      <c r="C46" t="s">
        <v>236</v>
      </c>
      <c r="D46" t="s">
        <v>363</v>
      </c>
      <c r="E46" t="s">
        <v>237</v>
      </c>
      <c r="F46" t="n">
        <v>975</v>
      </c>
      <c r="G46" t="n">
        <v>1092</v>
      </c>
      <c r="H46" t="n">
        <v>1150</v>
      </c>
      <c r="I46" t="n">
        <v>1258</v>
      </c>
      <c r="J46" t="n">
        <v>1352</v>
      </c>
      <c r="K46" t="n">
        <v>1535</v>
      </c>
      <c r="L46" t="n">
        <v>1695</v>
      </c>
      <c r="M46" t="n">
        <v>1888</v>
      </c>
      <c r="N46" t="n">
        <v>2051</v>
      </c>
      <c r="O46" t="n">
        <v>2198</v>
      </c>
      <c r="P46" t="n">
        <v>2347</v>
      </c>
      <c r="Q46" t="n">
        <v>2604</v>
      </c>
      <c r="R46" t="n">
        <v>2844</v>
      </c>
      <c r="S46" t="n">
        <v>3154</v>
      </c>
      <c r="T46" t="n">
        <v>3142</v>
      </c>
      <c r="U46" t="n">
        <v>3117</v>
      </c>
      <c r="V46" t="n">
        <v>3254</v>
      </c>
      <c r="W46" t="n">
        <v>3440</v>
      </c>
      <c r="X46" t="n">
        <v>3507</v>
      </c>
      <c r="Y46" t="n">
        <v>3582</v>
      </c>
      <c r="Z46" t="n">
        <v>3415</v>
      </c>
      <c r="AA46" t="n">
        <v>3523</v>
      </c>
      <c r="AB46" t="n">
        <v>3710</v>
      </c>
      <c r="AC46" t="n">
        <v>3921</v>
      </c>
      <c r="AD46" t="n">
        <v>4132</v>
      </c>
      <c r="AE46" t="n">
        <v>4241</v>
      </c>
      <c r="AF46" t="n">
        <v>4812</v>
      </c>
    </row>
    <row r="47">
      <c r="A47" t="s">
        <v>115</v>
      </c>
      <c r="B47" t="s">
        <v>364</v>
      </c>
      <c r="C47" t="s">
        <v>236</v>
      </c>
      <c r="D47" t="s">
        <v>365</v>
      </c>
      <c r="E47" t="s">
        <v>237</v>
      </c>
      <c r="F47" t="n">
        <v>37157</v>
      </c>
      <c r="G47" t="n">
        <v>37602</v>
      </c>
      <c r="H47" t="n">
        <v>39064</v>
      </c>
      <c r="I47" t="n">
        <v>40291</v>
      </c>
      <c r="J47" t="n">
        <v>41894</v>
      </c>
      <c r="K47" t="n">
        <v>44033</v>
      </c>
      <c r="L47" t="n">
        <v>44941</v>
      </c>
      <c r="M47" t="n">
        <v>45044</v>
      </c>
      <c r="N47" t="n">
        <v>44320</v>
      </c>
      <c r="O47" t="n">
        <v>46398</v>
      </c>
      <c r="P47" t="n">
        <v>48980</v>
      </c>
      <c r="Q47" t="n">
        <v>51592</v>
      </c>
      <c r="R47" t="n">
        <v>54821</v>
      </c>
      <c r="S47" t="n">
        <v>58893</v>
      </c>
      <c r="T47" t="n">
        <v>58524</v>
      </c>
      <c r="U47" t="n">
        <v>59266</v>
      </c>
      <c r="V47" t="n">
        <v>62235</v>
      </c>
      <c r="W47" t="n">
        <v>65204</v>
      </c>
      <c r="X47" t="n">
        <v>66604</v>
      </c>
      <c r="Y47" t="n">
        <v>67732</v>
      </c>
      <c r="Z47" t="n">
        <v>67330</v>
      </c>
      <c r="AA47" t="n">
        <v>66913</v>
      </c>
      <c r="AB47" t="n">
        <v>69175</v>
      </c>
      <c r="AC47" t="n">
        <v>71510</v>
      </c>
      <c r="AD47" t="n">
        <v>73075</v>
      </c>
      <c r="AE47" t="n">
        <v>72928</v>
      </c>
      <c r="AF47" t="n">
        <v>77096</v>
      </c>
    </row>
    <row r="48">
      <c r="A48" t="s">
        <v>115</v>
      </c>
      <c r="B48" t="s">
        <v>366</v>
      </c>
      <c r="C48" t="s">
        <v>236</v>
      </c>
      <c r="D48" t="s">
        <v>367</v>
      </c>
      <c r="E48" t="s">
        <v>237</v>
      </c>
      <c r="F48" t="n">
        <v>57275</v>
      </c>
      <c r="G48" t="n">
        <v>58040</v>
      </c>
      <c r="H48" t="n">
        <v>59946</v>
      </c>
      <c r="I48" t="n">
        <v>62194</v>
      </c>
      <c r="J48" t="n">
        <v>63234</v>
      </c>
      <c r="K48" t="n">
        <v>66427</v>
      </c>
      <c r="L48" t="n">
        <v>69111</v>
      </c>
      <c r="M48" t="n">
        <v>69819</v>
      </c>
      <c r="N48" t="n">
        <v>69799</v>
      </c>
      <c r="O48" t="n">
        <v>73145</v>
      </c>
      <c r="P48" t="n">
        <v>77370</v>
      </c>
      <c r="Q48" t="n">
        <v>81534</v>
      </c>
      <c r="R48" t="n">
        <v>87083</v>
      </c>
      <c r="S48" t="n">
        <v>93564</v>
      </c>
      <c r="T48" t="n">
        <v>93678</v>
      </c>
      <c r="U48" t="n">
        <v>93541</v>
      </c>
      <c r="V48" t="n">
        <v>98034</v>
      </c>
      <c r="W48" t="n">
        <v>103326</v>
      </c>
      <c r="X48" t="n">
        <v>106219</v>
      </c>
      <c r="Y48" t="n">
        <v>108251</v>
      </c>
      <c r="Z48" t="n">
        <v>108544</v>
      </c>
      <c r="AA48" t="n">
        <v>109852</v>
      </c>
      <c r="AB48" t="n">
        <v>114125</v>
      </c>
      <c r="AC48" t="n">
        <v>118648</v>
      </c>
      <c r="AD48" t="n">
        <v>123545</v>
      </c>
      <c r="AE48" t="n">
        <v>125703</v>
      </c>
      <c r="AF48" t="n">
        <v>132162</v>
      </c>
    </row>
    <row r="49">
      <c r="A49" t="s">
        <v>115</v>
      </c>
      <c r="B49" t="s">
        <v>368</v>
      </c>
      <c r="C49" t="s">
        <v>236</v>
      </c>
      <c r="D49" t="s">
        <v>369</v>
      </c>
      <c r="E49" t="s">
        <v>237</v>
      </c>
      <c r="F49" t="n">
        <v>11273</v>
      </c>
      <c r="G49" t="n">
        <v>11557</v>
      </c>
      <c r="H49" t="n">
        <v>11975</v>
      </c>
      <c r="I49" t="n">
        <v>12637</v>
      </c>
      <c r="J49" t="n">
        <v>11537</v>
      </c>
      <c r="K49" t="n">
        <v>12164</v>
      </c>
      <c r="L49" t="n">
        <v>13169</v>
      </c>
      <c r="M49" t="n">
        <v>13667</v>
      </c>
      <c r="N49" t="n">
        <v>14194</v>
      </c>
      <c r="O49" t="n">
        <v>15014</v>
      </c>
      <c r="P49" t="n">
        <v>15945</v>
      </c>
      <c r="Q49" t="n">
        <v>16741</v>
      </c>
      <c r="R49" t="n">
        <v>17919</v>
      </c>
      <c r="S49" t="n">
        <v>19204</v>
      </c>
      <c r="T49" t="n">
        <v>19466</v>
      </c>
      <c r="U49" t="n">
        <v>19148</v>
      </c>
      <c r="V49" t="n">
        <v>20011</v>
      </c>
      <c r="W49" t="n">
        <v>21068</v>
      </c>
      <c r="X49" t="n">
        <v>21678</v>
      </c>
      <c r="Y49" t="n">
        <v>22029</v>
      </c>
      <c r="Z49" t="n">
        <v>22423</v>
      </c>
      <c r="AA49" t="n">
        <v>23279</v>
      </c>
      <c r="AB49" t="n">
        <v>24139</v>
      </c>
      <c r="AC49" t="n">
        <v>25078</v>
      </c>
      <c r="AD49" t="n">
        <v>26795</v>
      </c>
      <c r="AE49" t="n">
        <v>27991</v>
      </c>
      <c r="AF49" t="n">
        <v>29150</v>
      </c>
    </row>
    <row r="50">
      <c r="A50" t="s">
        <v>115</v>
      </c>
      <c r="B50" t="s">
        <v>370</v>
      </c>
      <c r="C50" t="s">
        <v>236</v>
      </c>
      <c r="D50" t="s">
        <v>371</v>
      </c>
      <c r="E50" t="s">
        <v>237</v>
      </c>
      <c r="F50" t="n">
        <v>8845</v>
      </c>
      <c r="G50" t="n">
        <v>8881</v>
      </c>
      <c r="H50" t="n">
        <v>8907</v>
      </c>
      <c r="I50" t="n">
        <v>9266</v>
      </c>
      <c r="J50" t="n">
        <v>9803</v>
      </c>
      <c r="K50" t="n">
        <v>10230</v>
      </c>
      <c r="L50" t="n">
        <v>11001</v>
      </c>
      <c r="M50" t="n">
        <v>11108</v>
      </c>
      <c r="N50" t="n">
        <v>11285</v>
      </c>
      <c r="O50" t="n">
        <v>11733</v>
      </c>
      <c r="P50" t="n">
        <v>12445</v>
      </c>
      <c r="Q50" t="n">
        <v>13201</v>
      </c>
      <c r="R50" t="n">
        <v>14343</v>
      </c>
      <c r="S50" t="n">
        <v>15467</v>
      </c>
      <c r="T50" t="n">
        <v>15688</v>
      </c>
      <c r="U50" t="n">
        <v>15127</v>
      </c>
      <c r="V50" t="n">
        <v>15788</v>
      </c>
      <c r="W50" t="n">
        <v>17054</v>
      </c>
      <c r="X50" t="n">
        <v>17937</v>
      </c>
      <c r="Y50" t="n">
        <v>18490</v>
      </c>
      <c r="Z50" t="n">
        <v>18791</v>
      </c>
      <c r="AA50" t="n">
        <v>19660</v>
      </c>
      <c r="AB50" t="n">
        <v>20811</v>
      </c>
      <c r="AC50" t="n">
        <v>22060</v>
      </c>
      <c r="AD50" t="n">
        <v>23675</v>
      </c>
      <c r="AE50" t="n">
        <v>24784</v>
      </c>
      <c r="AF50" t="n">
        <v>25916</v>
      </c>
    </row>
    <row r="51">
      <c r="A51" t="s">
        <v>115</v>
      </c>
      <c r="B51" t="s">
        <v>372</v>
      </c>
      <c r="C51" t="s">
        <v>236</v>
      </c>
      <c r="D51" t="s">
        <v>373</v>
      </c>
      <c r="E51" t="s">
        <v>237</v>
      </c>
      <c r="F51" t="n">
        <v>5236</v>
      </c>
      <c r="G51" t="n">
        <v>5227</v>
      </c>
      <c r="H51" t="n">
        <v>5238</v>
      </c>
      <c r="I51" t="n">
        <v>5425</v>
      </c>
      <c r="J51" t="n">
        <v>5697</v>
      </c>
      <c r="K51" t="n">
        <v>5913</v>
      </c>
      <c r="L51" t="n">
        <v>6318</v>
      </c>
      <c r="M51" t="n">
        <v>6412</v>
      </c>
      <c r="N51" t="n">
        <v>6513</v>
      </c>
      <c r="O51" t="n">
        <v>6753</v>
      </c>
      <c r="P51" t="n">
        <v>7165</v>
      </c>
      <c r="Q51" t="n">
        <v>7622</v>
      </c>
      <c r="R51" t="n">
        <v>8235</v>
      </c>
      <c r="S51" t="n">
        <v>8819</v>
      </c>
      <c r="T51" t="n">
        <v>8961</v>
      </c>
      <c r="U51" t="n">
        <v>8652</v>
      </c>
      <c r="V51" t="n">
        <v>9036</v>
      </c>
      <c r="W51" t="n">
        <v>9775</v>
      </c>
      <c r="X51" t="n">
        <v>10329</v>
      </c>
      <c r="Y51" t="n">
        <v>10670</v>
      </c>
      <c r="Z51" t="n">
        <v>10833</v>
      </c>
      <c r="AA51" t="n">
        <v>11355</v>
      </c>
      <c r="AB51" t="n">
        <v>12132</v>
      </c>
      <c r="AC51" t="n">
        <v>12986</v>
      </c>
      <c r="AD51" t="n">
        <v>14042</v>
      </c>
      <c r="AE51" t="n">
        <v>14825</v>
      </c>
      <c r="AF51" t="n">
        <v>15655</v>
      </c>
    </row>
    <row r="52">
      <c r="A52" t="s">
        <v>115</v>
      </c>
      <c r="B52" t="s">
        <v>374</v>
      </c>
      <c r="C52" t="s">
        <v>236</v>
      </c>
      <c r="D52" t="s">
        <v>375</v>
      </c>
      <c r="E52" t="s">
        <v>237</v>
      </c>
      <c r="F52" t="n">
        <v>3609</v>
      </c>
      <c r="G52" t="n">
        <v>3654</v>
      </c>
      <c r="H52" t="n">
        <v>3669</v>
      </c>
      <c r="I52" t="n">
        <v>3841</v>
      </c>
      <c r="J52" t="n">
        <v>4106</v>
      </c>
      <c r="K52" t="n">
        <v>4317</v>
      </c>
      <c r="L52" t="n">
        <v>4683</v>
      </c>
      <c r="M52" t="n">
        <v>4696</v>
      </c>
      <c r="N52" t="n">
        <v>4772</v>
      </c>
      <c r="O52" t="n">
        <v>4980</v>
      </c>
      <c r="P52" t="n">
        <v>5280</v>
      </c>
      <c r="Q52" t="n">
        <v>5579</v>
      </c>
      <c r="R52" t="n">
        <v>6108</v>
      </c>
      <c r="S52" t="n">
        <v>6648</v>
      </c>
      <c r="T52" t="n">
        <v>6727</v>
      </c>
      <c r="U52" t="n">
        <v>6475</v>
      </c>
      <c r="V52" t="n">
        <v>6752</v>
      </c>
      <c r="W52" t="n">
        <v>7279</v>
      </c>
      <c r="X52" t="n">
        <v>7608</v>
      </c>
      <c r="Y52" t="n">
        <v>7820</v>
      </c>
      <c r="Z52" t="n">
        <v>7958</v>
      </c>
      <c r="AA52" t="n">
        <v>8305</v>
      </c>
      <c r="AB52" t="n">
        <v>8679</v>
      </c>
      <c r="AC52" t="n">
        <v>9074</v>
      </c>
      <c r="AD52" t="n">
        <v>9633</v>
      </c>
      <c r="AE52" t="n">
        <v>9959</v>
      </c>
      <c r="AF52" t="n">
        <v>10261</v>
      </c>
    </row>
    <row r="53">
      <c r="A53" t="s">
        <v>115</v>
      </c>
      <c r="B53" t="s">
        <v>376</v>
      </c>
      <c r="C53" t="s">
        <v>236</v>
      </c>
      <c r="D53" t="s">
        <v>377</v>
      </c>
      <c r="E53" t="s">
        <v>237</v>
      </c>
      <c r="F53" t="n">
        <v>6002</v>
      </c>
      <c r="G53" t="n">
        <v>6067</v>
      </c>
      <c r="H53" t="n">
        <v>6297</v>
      </c>
      <c r="I53" t="n">
        <v>6550</v>
      </c>
      <c r="J53" t="n">
        <v>6815</v>
      </c>
      <c r="K53" t="n">
        <v>7207</v>
      </c>
      <c r="L53" t="n">
        <v>7644</v>
      </c>
      <c r="M53" t="n">
        <v>7704</v>
      </c>
      <c r="N53" t="n">
        <v>7891</v>
      </c>
      <c r="O53" t="n">
        <v>8228</v>
      </c>
      <c r="P53" t="n">
        <v>8662</v>
      </c>
      <c r="Q53" t="n">
        <v>9182</v>
      </c>
      <c r="R53" t="n">
        <v>9850</v>
      </c>
      <c r="S53" t="n">
        <v>10559</v>
      </c>
      <c r="T53" t="n">
        <v>10475</v>
      </c>
      <c r="U53" t="n">
        <v>10297</v>
      </c>
      <c r="V53" t="n">
        <v>10729</v>
      </c>
      <c r="W53" t="n">
        <v>11324</v>
      </c>
      <c r="X53" t="n">
        <v>11601</v>
      </c>
      <c r="Y53" t="n">
        <v>11694</v>
      </c>
      <c r="Z53" t="n">
        <v>11684</v>
      </c>
      <c r="AA53" t="n">
        <v>11705</v>
      </c>
      <c r="AB53" t="n">
        <v>12410</v>
      </c>
      <c r="AC53" t="n">
        <v>13136</v>
      </c>
      <c r="AD53" t="n">
        <v>13840</v>
      </c>
      <c r="AE53" t="n">
        <v>14055</v>
      </c>
      <c r="AF53" t="n">
        <v>14739</v>
      </c>
    </row>
    <row r="54">
      <c r="A54" t="s">
        <v>115</v>
      </c>
      <c r="B54" t="s">
        <v>378</v>
      </c>
      <c r="C54" t="s">
        <v>236</v>
      </c>
      <c r="D54" t="s">
        <v>379</v>
      </c>
      <c r="E54" t="s">
        <v>237</v>
      </c>
      <c r="F54" t="n">
        <v>8350</v>
      </c>
      <c r="G54" t="n">
        <v>8414</v>
      </c>
      <c r="H54" t="n">
        <v>8662</v>
      </c>
      <c r="I54" t="n">
        <v>9040</v>
      </c>
      <c r="J54" t="n">
        <v>9488</v>
      </c>
      <c r="K54" t="n">
        <v>9992</v>
      </c>
      <c r="L54" t="n">
        <v>10604</v>
      </c>
      <c r="M54" t="n">
        <v>10643</v>
      </c>
      <c r="N54" t="n">
        <v>10853</v>
      </c>
      <c r="O54" t="n">
        <v>11316</v>
      </c>
      <c r="P54" t="n">
        <v>11928</v>
      </c>
      <c r="Q54" t="n">
        <v>12568</v>
      </c>
      <c r="R54" t="n">
        <v>13477</v>
      </c>
      <c r="S54" t="n">
        <v>14408</v>
      </c>
      <c r="T54" t="n">
        <v>14373</v>
      </c>
      <c r="U54" t="n">
        <v>14084</v>
      </c>
      <c r="V54" t="n">
        <v>14616</v>
      </c>
      <c r="W54" t="n">
        <v>15386</v>
      </c>
      <c r="X54" t="n">
        <v>15735</v>
      </c>
      <c r="Y54" t="n">
        <v>15821</v>
      </c>
      <c r="Z54" t="n">
        <v>15809</v>
      </c>
      <c r="AA54" t="n">
        <v>15881</v>
      </c>
      <c r="AB54" t="n">
        <v>16656</v>
      </c>
      <c r="AC54" t="n">
        <v>17457</v>
      </c>
      <c r="AD54" t="n">
        <v>18283</v>
      </c>
      <c r="AE54" t="n">
        <v>18522</v>
      </c>
      <c r="AF54" t="n">
        <v>19342</v>
      </c>
    </row>
    <row r="55">
      <c r="A55" t="s">
        <v>115</v>
      </c>
      <c r="B55" t="s">
        <v>380</v>
      </c>
      <c r="C55" t="s">
        <v>236</v>
      </c>
      <c r="D55" t="s">
        <v>381</v>
      </c>
      <c r="E55" t="s">
        <v>237</v>
      </c>
      <c r="F55" t="n">
        <v>2348</v>
      </c>
      <c r="G55" t="n">
        <v>2347</v>
      </c>
      <c r="H55" t="n">
        <v>2365</v>
      </c>
      <c r="I55" t="n">
        <v>2490</v>
      </c>
      <c r="J55" t="n">
        <v>2673</v>
      </c>
      <c r="K55" t="n">
        <v>2785</v>
      </c>
      <c r="L55" t="n">
        <v>2960</v>
      </c>
      <c r="M55" t="n">
        <v>2939</v>
      </c>
      <c r="N55" t="n">
        <v>2962</v>
      </c>
      <c r="O55" t="n">
        <v>3088</v>
      </c>
      <c r="P55" t="n">
        <v>3266</v>
      </c>
      <c r="Q55" t="n">
        <v>3386</v>
      </c>
      <c r="R55" t="n">
        <v>3627</v>
      </c>
      <c r="S55" t="n">
        <v>3849</v>
      </c>
      <c r="T55" t="n">
        <v>3898</v>
      </c>
      <c r="U55" t="n">
        <v>3787</v>
      </c>
      <c r="V55" t="n">
        <v>3887</v>
      </c>
      <c r="W55" t="n">
        <v>4062</v>
      </c>
      <c r="X55" t="n">
        <v>4134</v>
      </c>
      <c r="Y55" t="n">
        <v>4127</v>
      </c>
      <c r="Z55" t="n">
        <v>4125</v>
      </c>
      <c r="AA55" t="n">
        <v>4176</v>
      </c>
      <c r="AB55" t="n">
        <v>4246</v>
      </c>
      <c r="AC55" t="n">
        <v>4321</v>
      </c>
      <c r="AD55" t="n">
        <v>4443</v>
      </c>
      <c r="AE55" t="n">
        <v>4467</v>
      </c>
      <c r="AF55" t="n">
        <v>4603</v>
      </c>
    </row>
    <row r="56">
      <c r="A56" t="s">
        <v>115</v>
      </c>
      <c r="B56" t="s">
        <v>382</v>
      </c>
      <c r="C56" t="s">
        <v>236</v>
      </c>
      <c r="D56" t="s">
        <v>383</v>
      </c>
      <c r="E56" t="s">
        <v>237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115</v>
      </c>
      <c r="B57" t="s">
        <v>384</v>
      </c>
      <c r="C57" t="s">
        <v>236</v>
      </c>
      <c r="D57" t="s">
        <v>385</v>
      </c>
      <c r="E57" t="s">
        <v>237</v>
      </c>
      <c r="F57" t="n">
        <v>321542</v>
      </c>
      <c r="G57" t="n">
        <v>324075</v>
      </c>
      <c r="H57" t="n">
        <v>336994</v>
      </c>
      <c r="I57" t="n">
        <v>355973</v>
      </c>
      <c r="J57" t="n">
        <v>374726</v>
      </c>
      <c r="K57" t="n">
        <v>402319</v>
      </c>
      <c r="L57" t="n">
        <v>426567</v>
      </c>
      <c r="M57" t="n">
        <v>429641</v>
      </c>
      <c r="N57" t="n">
        <v>437753</v>
      </c>
      <c r="O57" t="n">
        <v>456274</v>
      </c>
      <c r="P57" t="n">
        <v>484845</v>
      </c>
      <c r="Q57" t="n">
        <v>511464</v>
      </c>
      <c r="R57" t="n">
        <v>553535</v>
      </c>
      <c r="S57" t="n">
        <v>594698</v>
      </c>
      <c r="T57" t="n">
        <v>592222</v>
      </c>
      <c r="U57" t="n">
        <v>583218</v>
      </c>
      <c r="V57" t="n">
        <v>609735</v>
      </c>
      <c r="W57" t="n">
        <v>646600</v>
      </c>
      <c r="X57" t="n">
        <v>663296</v>
      </c>
      <c r="Y57" t="n">
        <v>672450</v>
      </c>
      <c r="Z57" t="n">
        <v>679443</v>
      </c>
      <c r="AA57" t="n">
        <v>698837</v>
      </c>
      <c r="AB57" t="n">
        <v>727724</v>
      </c>
      <c r="AC57" t="n">
        <v>764147</v>
      </c>
      <c r="AD57" t="n">
        <v>805186</v>
      </c>
      <c r="AE57" t="n">
        <v>825577</v>
      </c>
      <c r="AF57" t="n">
        <v>858956</v>
      </c>
    </row>
    <row r="58">
      <c r="A58" t="s">
        <v>115</v>
      </c>
      <c r="B58" t="s">
        <v>386</v>
      </c>
      <c r="C58" t="s">
        <v>236</v>
      </c>
      <c r="D58" t="s">
        <v>387</v>
      </c>
      <c r="E58" t="s">
        <v>237</v>
      </c>
      <c r="F58" t="n">
        <v>321542</v>
      </c>
      <c r="G58" t="n">
        <v>324075</v>
      </c>
      <c r="H58" t="n">
        <v>336994</v>
      </c>
      <c r="I58" t="n">
        <v>355973</v>
      </c>
      <c r="J58" t="n">
        <v>374726</v>
      </c>
      <c r="K58" t="n">
        <v>402319</v>
      </c>
      <c r="L58" t="n">
        <v>426567</v>
      </c>
      <c r="M58" t="n">
        <v>429641</v>
      </c>
      <c r="N58" t="n">
        <v>437753</v>
      </c>
      <c r="O58" t="n">
        <v>456274</v>
      </c>
      <c r="P58" t="n">
        <v>484845</v>
      </c>
      <c r="Q58" t="n">
        <v>511464</v>
      </c>
      <c r="R58" t="n">
        <v>553535</v>
      </c>
      <c r="S58" t="n">
        <v>594698</v>
      </c>
      <c r="T58" t="n">
        <v>592222</v>
      </c>
      <c r="U58" t="n">
        <v>583218</v>
      </c>
      <c r="V58" t="n">
        <v>609735</v>
      </c>
      <c r="W58" t="n">
        <v>646600</v>
      </c>
      <c r="X58" t="n">
        <v>663296</v>
      </c>
      <c r="Y58" t="n">
        <v>672450</v>
      </c>
      <c r="Z58" t="n">
        <v>679443</v>
      </c>
      <c r="AA58" t="n">
        <v>698837</v>
      </c>
      <c r="AB58" t="n">
        <v>727724</v>
      </c>
      <c r="AC58" t="n">
        <v>764147</v>
      </c>
      <c r="AD58" t="n">
        <v>805186</v>
      </c>
      <c r="AE58" t="n">
        <v>825577</v>
      </c>
      <c r="AF58" t="n">
        <v>858956</v>
      </c>
    </row>
    <row r="59">
      <c r="A59" t="s">
        <v>115</v>
      </c>
      <c r="B59" t="s">
        <v>388</v>
      </c>
      <c r="C59" t="s">
        <v>236</v>
      </c>
      <c r="D59" t="s">
        <v>389</v>
      </c>
      <c r="E59" t="s">
        <v>237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118</v>
      </c>
      <c r="B2" t="s">
        <v>197</v>
      </c>
      <c r="C2" t="s">
        <v>236</v>
      </c>
      <c r="D2" t="s">
        <v>199</v>
      </c>
      <c r="E2" t="s">
        <v>237</v>
      </c>
      <c r="F2" t="n">
        <v>77</v>
      </c>
      <c r="G2" t="n">
        <v>66</v>
      </c>
      <c r="H2" t="n">
        <v>63</v>
      </c>
      <c r="I2" t="n">
        <v>68</v>
      </c>
      <c r="J2" t="n">
        <v>70</v>
      </c>
      <c r="K2" t="n">
        <v>59</v>
      </c>
      <c r="L2" t="n">
        <v>44</v>
      </c>
      <c r="M2" t="n">
        <v>37</v>
      </c>
      <c r="N2" t="n">
        <v>34</v>
      </c>
      <c r="O2" t="n">
        <v>35</v>
      </c>
      <c r="P2" t="n">
        <v>37</v>
      </c>
      <c r="Q2" t="n">
        <v>36</v>
      </c>
      <c r="R2" t="n">
        <v>36</v>
      </c>
      <c r="S2" t="n">
        <v>36</v>
      </c>
      <c r="T2" t="n">
        <v>37</v>
      </c>
      <c r="U2" t="n">
        <v>38</v>
      </c>
      <c r="V2" t="n">
        <v>39</v>
      </c>
      <c r="W2" t="n">
        <v>39</v>
      </c>
      <c r="X2" t="n">
        <v>39</v>
      </c>
      <c r="Y2" t="n">
        <v>40</v>
      </c>
      <c r="Z2" t="n">
        <v>39</v>
      </c>
      <c r="AA2" t="n">
        <v>40</v>
      </c>
      <c r="AB2" t="n">
        <v>40</v>
      </c>
      <c r="AC2" t="n">
        <v>38</v>
      </c>
      <c r="AD2" t="n">
        <v>35</v>
      </c>
      <c r="AE2" t="n">
        <v>33</v>
      </c>
      <c r="AF2" t="n">
        <v>31</v>
      </c>
    </row>
    <row r="3">
      <c r="A3" t="s">
        <v>118</v>
      </c>
      <c r="B3" t="s">
        <v>276</v>
      </c>
      <c r="C3" t="s">
        <v>236</v>
      </c>
      <c r="D3" t="s">
        <v>277</v>
      </c>
      <c r="E3" t="s">
        <v>237</v>
      </c>
      <c r="F3" t="n">
        <v>4</v>
      </c>
      <c r="G3" t="n">
        <v>5</v>
      </c>
      <c r="H3" t="n">
        <v>4</v>
      </c>
      <c r="I3" t="n">
        <v>4</v>
      </c>
      <c r="J3" t="n">
        <v>4</v>
      </c>
      <c r="K3" t="n">
        <v>4</v>
      </c>
      <c r="L3" t="n">
        <v>3</v>
      </c>
      <c r="M3" t="n">
        <v>3</v>
      </c>
      <c r="N3" t="n">
        <v>4</v>
      </c>
      <c r="O3" t="n">
        <v>3</v>
      </c>
      <c r="P3" t="n">
        <v>3</v>
      </c>
      <c r="Q3" t="n">
        <v>3</v>
      </c>
      <c r="R3" t="n">
        <v>2</v>
      </c>
      <c r="S3" t="n">
        <v>3</v>
      </c>
      <c r="T3" t="n">
        <v>3</v>
      </c>
      <c r="U3" t="n">
        <v>3</v>
      </c>
      <c r="V3" t="n">
        <v>3</v>
      </c>
      <c r="W3" t="n">
        <v>5</v>
      </c>
      <c r="X3" t="n">
        <v>9</v>
      </c>
      <c r="Y3" t="n">
        <v>9</v>
      </c>
      <c r="Z3" t="n">
        <v>9</v>
      </c>
      <c r="AA3" t="n">
        <v>8</v>
      </c>
      <c r="AB3" t="n">
        <v>8</v>
      </c>
      <c r="AC3" t="n">
        <v>8</v>
      </c>
      <c r="AD3" t="n">
        <v>8</v>
      </c>
      <c r="AE3" t="n">
        <v>11</v>
      </c>
      <c r="AF3" t="n">
        <v>15</v>
      </c>
    </row>
    <row r="4">
      <c r="A4" t="s">
        <v>118</v>
      </c>
      <c r="B4" t="s">
        <v>278</v>
      </c>
      <c r="C4" t="s">
        <v>236</v>
      </c>
      <c r="D4" t="s">
        <v>279</v>
      </c>
      <c r="E4" t="s">
        <v>237</v>
      </c>
      <c r="F4" t="n">
        <v>461</v>
      </c>
      <c r="G4" t="n">
        <v>477</v>
      </c>
      <c r="H4" t="n">
        <v>443</v>
      </c>
      <c r="I4" t="n">
        <v>486</v>
      </c>
      <c r="J4" t="n">
        <v>475</v>
      </c>
      <c r="K4" t="n">
        <v>410</v>
      </c>
      <c r="L4" t="n">
        <v>329</v>
      </c>
      <c r="M4" t="n">
        <v>265</v>
      </c>
      <c r="N4" t="n">
        <v>234</v>
      </c>
      <c r="O4" t="n">
        <v>230</v>
      </c>
      <c r="P4" t="n">
        <v>220</v>
      </c>
      <c r="Q4" t="n">
        <v>268</v>
      </c>
      <c r="R4" t="n">
        <v>345</v>
      </c>
      <c r="S4" t="n">
        <v>345</v>
      </c>
      <c r="T4" t="n">
        <v>340</v>
      </c>
      <c r="U4" t="n">
        <v>298</v>
      </c>
      <c r="V4" t="n">
        <v>278</v>
      </c>
      <c r="W4" t="n">
        <v>285</v>
      </c>
      <c r="X4" t="n">
        <v>253</v>
      </c>
      <c r="Y4" t="n">
        <v>246</v>
      </c>
      <c r="Z4" t="n">
        <v>271</v>
      </c>
      <c r="AA4" t="n">
        <v>266</v>
      </c>
      <c r="AB4" t="n">
        <v>291</v>
      </c>
      <c r="AC4" t="n">
        <v>294</v>
      </c>
      <c r="AD4" t="n">
        <v>290</v>
      </c>
      <c r="AE4" t="n">
        <v>287</v>
      </c>
      <c r="AF4" t="n">
        <v>290</v>
      </c>
    </row>
    <row r="5">
      <c r="A5" t="s">
        <v>118</v>
      </c>
      <c r="B5" t="s">
        <v>280</v>
      </c>
      <c r="C5" t="s">
        <v>236</v>
      </c>
      <c r="D5" t="s">
        <v>281</v>
      </c>
      <c r="E5" t="s">
        <v>237</v>
      </c>
      <c r="F5" t="n">
        <v>57</v>
      </c>
      <c r="G5" t="n">
        <v>54</v>
      </c>
      <c r="H5" t="n">
        <v>48</v>
      </c>
      <c r="I5" t="n">
        <v>55</v>
      </c>
      <c r="J5" t="n">
        <v>53</v>
      </c>
      <c r="K5" t="n">
        <v>44</v>
      </c>
      <c r="L5" t="n">
        <v>36</v>
      </c>
      <c r="M5" t="n">
        <v>31</v>
      </c>
      <c r="N5" t="n">
        <v>30</v>
      </c>
      <c r="O5" t="n">
        <v>30</v>
      </c>
      <c r="P5" t="n">
        <v>28</v>
      </c>
      <c r="Q5" t="n">
        <v>31</v>
      </c>
      <c r="R5" t="n">
        <v>36</v>
      </c>
      <c r="S5" t="n">
        <v>37</v>
      </c>
      <c r="T5" t="n">
        <v>39</v>
      </c>
      <c r="U5" t="n">
        <v>35</v>
      </c>
      <c r="V5" t="n">
        <v>32</v>
      </c>
      <c r="W5" t="n">
        <v>33</v>
      </c>
      <c r="X5" t="n">
        <v>30</v>
      </c>
      <c r="Y5" t="n">
        <v>32</v>
      </c>
      <c r="Z5" t="n">
        <v>34</v>
      </c>
      <c r="AA5" t="n">
        <v>34</v>
      </c>
      <c r="AB5" t="n">
        <v>46</v>
      </c>
      <c r="AC5" t="n">
        <v>44</v>
      </c>
      <c r="AD5" t="n">
        <v>39</v>
      </c>
      <c r="AE5" t="n">
        <v>38</v>
      </c>
      <c r="AF5" t="n">
        <v>37</v>
      </c>
    </row>
    <row r="6">
      <c r="A6" t="s">
        <v>118</v>
      </c>
      <c r="B6" t="s">
        <v>282</v>
      </c>
      <c r="C6" t="s">
        <v>236</v>
      </c>
      <c r="D6" t="s">
        <v>283</v>
      </c>
      <c r="E6" t="s">
        <v>237</v>
      </c>
      <c r="F6" t="n">
        <v>12</v>
      </c>
      <c r="G6" t="n">
        <v>11</v>
      </c>
      <c r="H6" t="n">
        <v>9</v>
      </c>
      <c r="I6" t="n">
        <v>10</v>
      </c>
      <c r="J6" t="n">
        <v>8</v>
      </c>
      <c r="K6" t="n">
        <v>7</v>
      </c>
      <c r="L6" t="n">
        <v>5</v>
      </c>
      <c r="M6" t="n">
        <v>5</v>
      </c>
      <c r="N6" t="n">
        <v>3</v>
      </c>
      <c r="O6" t="n">
        <v>3</v>
      </c>
      <c r="P6" t="n">
        <v>3</v>
      </c>
      <c r="Q6" t="n">
        <v>4</v>
      </c>
      <c r="R6" t="n">
        <v>4</v>
      </c>
      <c r="S6" t="n">
        <v>5</v>
      </c>
      <c r="T6" t="n">
        <v>3</v>
      </c>
      <c r="U6" t="n">
        <v>2</v>
      </c>
      <c r="V6" t="n">
        <v>1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118</v>
      </c>
      <c r="B7" t="s">
        <v>284</v>
      </c>
      <c r="C7" t="s">
        <v>236</v>
      </c>
      <c r="D7" t="s">
        <v>285</v>
      </c>
      <c r="E7" t="s">
        <v>237</v>
      </c>
      <c r="F7" t="n">
        <v>132</v>
      </c>
      <c r="G7" t="n">
        <v>171</v>
      </c>
      <c r="H7" t="n">
        <v>152</v>
      </c>
      <c r="I7" t="n">
        <v>168</v>
      </c>
      <c r="J7" t="n">
        <v>160</v>
      </c>
      <c r="K7" t="n">
        <v>132</v>
      </c>
      <c r="L7" t="n">
        <v>109</v>
      </c>
      <c r="M7" t="n">
        <v>84</v>
      </c>
      <c r="N7" t="n">
        <v>79</v>
      </c>
      <c r="O7" t="n">
        <v>67</v>
      </c>
      <c r="P7" t="n">
        <v>63</v>
      </c>
      <c r="Q7" t="n">
        <v>67</v>
      </c>
      <c r="R7" t="n">
        <v>70</v>
      </c>
      <c r="S7" t="n">
        <v>72</v>
      </c>
      <c r="T7" t="n">
        <v>61</v>
      </c>
      <c r="U7" t="n">
        <v>51</v>
      </c>
      <c r="V7" t="n">
        <v>48</v>
      </c>
      <c r="W7" t="n">
        <v>46</v>
      </c>
      <c r="X7" t="n">
        <v>42</v>
      </c>
      <c r="Y7" t="n">
        <v>39</v>
      </c>
      <c r="Z7" t="n">
        <v>42</v>
      </c>
      <c r="AA7" t="n">
        <v>47</v>
      </c>
      <c r="AB7" t="n">
        <v>67</v>
      </c>
      <c r="AC7" t="n">
        <v>64</v>
      </c>
      <c r="AD7" t="n">
        <v>63</v>
      </c>
      <c r="AE7" t="n">
        <v>60</v>
      </c>
      <c r="AF7" t="n">
        <v>59</v>
      </c>
    </row>
    <row r="8">
      <c r="A8" t="s">
        <v>118</v>
      </c>
      <c r="B8" t="s">
        <v>286</v>
      </c>
      <c r="C8" t="s">
        <v>236</v>
      </c>
      <c r="D8" t="s">
        <v>287</v>
      </c>
      <c r="E8" t="s">
        <v>237</v>
      </c>
      <c r="F8" t="n">
        <v>6</v>
      </c>
      <c r="G8" t="n">
        <v>6</v>
      </c>
      <c r="H8" t="n">
        <v>11</v>
      </c>
      <c r="I8" t="n">
        <v>9</v>
      </c>
      <c r="J8" t="n">
        <v>9</v>
      </c>
      <c r="K8" t="n">
        <v>8</v>
      </c>
      <c r="L8" t="n">
        <v>8</v>
      </c>
      <c r="M8" t="n">
        <v>5</v>
      </c>
      <c r="N8" t="n">
        <v>5</v>
      </c>
      <c r="O8" t="n">
        <v>4</v>
      </c>
      <c r="P8" t="n">
        <v>8</v>
      </c>
      <c r="Q8" t="n">
        <v>14</v>
      </c>
      <c r="R8" t="n">
        <v>37</v>
      </c>
      <c r="S8" t="n">
        <v>32</v>
      </c>
      <c r="T8" t="n">
        <v>25</v>
      </c>
      <c r="U8" t="n">
        <v>24</v>
      </c>
      <c r="V8" t="n">
        <v>19</v>
      </c>
      <c r="W8" t="n">
        <v>19</v>
      </c>
      <c r="X8" t="n">
        <v>18</v>
      </c>
      <c r="Y8" t="n">
        <v>18</v>
      </c>
      <c r="Z8" t="n">
        <v>28</v>
      </c>
      <c r="AA8" t="n">
        <v>15</v>
      </c>
      <c r="AB8" t="n">
        <v>0</v>
      </c>
      <c r="AC8" t="n">
        <v>0</v>
      </c>
      <c r="AD8" t="n">
        <v>0</v>
      </c>
      <c r="AE8" t="n">
        <v>0</v>
      </c>
      <c r="AF8" t="n">
        <v>2</v>
      </c>
    </row>
    <row r="9">
      <c r="A9" t="s">
        <v>118</v>
      </c>
      <c r="B9" t="s">
        <v>288</v>
      </c>
      <c r="C9" t="s">
        <v>236</v>
      </c>
      <c r="D9" t="s">
        <v>289</v>
      </c>
      <c r="E9" t="s">
        <v>237</v>
      </c>
      <c r="F9" t="n">
        <v>41</v>
      </c>
      <c r="G9" t="n">
        <v>32</v>
      </c>
      <c r="H9" t="n">
        <v>29</v>
      </c>
      <c r="I9" t="n">
        <v>29</v>
      </c>
      <c r="J9" t="n">
        <v>30</v>
      </c>
      <c r="K9" t="n">
        <v>23</v>
      </c>
      <c r="L9" t="n">
        <v>18</v>
      </c>
      <c r="M9" t="n">
        <v>16</v>
      </c>
      <c r="N9" t="n">
        <v>14</v>
      </c>
      <c r="O9" t="n">
        <v>14</v>
      </c>
      <c r="P9" t="n">
        <v>14</v>
      </c>
      <c r="Q9" t="n">
        <v>15</v>
      </c>
      <c r="R9" t="n">
        <v>24</v>
      </c>
      <c r="S9" t="n">
        <v>22</v>
      </c>
      <c r="T9" t="n">
        <v>22</v>
      </c>
      <c r="U9" t="n">
        <v>17</v>
      </c>
      <c r="V9" t="n">
        <v>16</v>
      </c>
      <c r="W9" t="n">
        <v>17</v>
      </c>
      <c r="X9" t="n">
        <v>20</v>
      </c>
      <c r="Y9" t="n">
        <v>19</v>
      </c>
      <c r="Z9" t="n">
        <v>24</v>
      </c>
      <c r="AA9" t="n">
        <v>30</v>
      </c>
      <c r="AB9" t="n">
        <v>38</v>
      </c>
      <c r="AC9" t="n">
        <v>40</v>
      </c>
      <c r="AD9" t="n">
        <v>39</v>
      </c>
      <c r="AE9" t="n">
        <v>39</v>
      </c>
      <c r="AF9" t="n">
        <v>43</v>
      </c>
    </row>
    <row r="10">
      <c r="A10" t="s">
        <v>118</v>
      </c>
      <c r="B10" t="s">
        <v>290</v>
      </c>
      <c r="C10" t="s">
        <v>236</v>
      </c>
      <c r="D10" t="s">
        <v>291</v>
      </c>
      <c r="E10" t="s">
        <v>237</v>
      </c>
      <c r="F10" t="n">
        <v>45</v>
      </c>
      <c r="G10" t="n">
        <v>35</v>
      </c>
      <c r="H10" t="n">
        <v>32</v>
      </c>
      <c r="I10" t="n">
        <v>32</v>
      </c>
      <c r="J10" t="n">
        <v>33</v>
      </c>
      <c r="K10" t="n">
        <v>26</v>
      </c>
      <c r="L10" t="n">
        <v>20</v>
      </c>
      <c r="M10" t="n">
        <v>18</v>
      </c>
      <c r="N10" t="n">
        <v>15</v>
      </c>
      <c r="O10" t="n">
        <v>15</v>
      </c>
      <c r="P10" t="n">
        <v>14</v>
      </c>
      <c r="Q10" t="n">
        <v>16</v>
      </c>
      <c r="R10" t="n">
        <v>26</v>
      </c>
      <c r="S10" t="n">
        <v>24</v>
      </c>
      <c r="T10" t="n">
        <v>24</v>
      </c>
      <c r="U10" t="n">
        <v>19</v>
      </c>
      <c r="V10" t="n">
        <v>18</v>
      </c>
      <c r="W10" t="n">
        <v>20</v>
      </c>
      <c r="X10" t="n">
        <v>23</v>
      </c>
      <c r="Y10" t="n">
        <v>22</v>
      </c>
      <c r="Z10" t="n">
        <v>27</v>
      </c>
      <c r="AA10" t="n">
        <v>33</v>
      </c>
      <c r="AB10" t="n">
        <v>41</v>
      </c>
      <c r="AC10" t="n">
        <v>44</v>
      </c>
      <c r="AD10" t="n">
        <v>43</v>
      </c>
      <c r="AE10" t="n">
        <v>43</v>
      </c>
      <c r="AF10" t="n">
        <v>48</v>
      </c>
    </row>
    <row r="11">
      <c r="A11" t="s">
        <v>118</v>
      </c>
      <c r="B11" t="s">
        <v>292</v>
      </c>
      <c r="C11" t="s">
        <v>236</v>
      </c>
      <c r="D11" t="s">
        <v>293</v>
      </c>
      <c r="E11" t="s">
        <v>237</v>
      </c>
      <c r="F11" t="n">
        <v>4</v>
      </c>
      <c r="G11" t="n">
        <v>3</v>
      </c>
      <c r="H11" t="n">
        <v>3</v>
      </c>
      <c r="I11" t="n">
        <v>3</v>
      </c>
      <c r="J11" t="n">
        <v>3</v>
      </c>
      <c r="K11" t="n">
        <v>3</v>
      </c>
      <c r="L11" t="n">
        <v>2</v>
      </c>
      <c r="M11" t="n">
        <v>2</v>
      </c>
      <c r="N11" t="n">
        <v>1</v>
      </c>
      <c r="O11" t="n">
        <v>1</v>
      </c>
      <c r="P11" t="n">
        <v>0</v>
      </c>
      <c r="Q11" t="n">
        <v>1</v>
      </c>
      <c r="R11" t="n">
        <v>2</v>
      </c>
      <c r="S11" t="n">
        <v>2</v>
      </c>
      <c r="T11" t="n">
        <v>2</v>
      </c>
      <c r="U11" t="n">
        <v>2</v>
      </c>
      <c r="V11" t="n">
        <v>2</v>
      </c>
      <c r="W11" t="n">
        <v>3</v>
      </c>
      <c r="X11" t="n">
        <v>3</v>
      </c>
      <c r="Y11" t="n">
        <v>3</v>
      </c>
      <c r="Z11" t="n">
        <v>3</v>
      </c>
      <c r="AA11" t="n">
        <v>3</v>
      </c>
      <c r="AB11" t="n">
        <v>3</v>
      </c>
      <c r="AC11" t="n">
        <v>4</v>
      </c>
      <c r="AD11" t="n">
        <v>4</v>
      </c>
      <c r="AE11" t="n">
        <v>4</v>
      </c>
      <c r="AF11" t="n">
        <v>5</v>
      </c>
    </row>
    <row r="12">
      <c r="A12" t="s">
        <v>118</v>
      </c>
      <c r="B12" t="s">
        <v>294</v>
      </c>
      <c r="C12" t="s">
        <v>236</v>
      </c>
      <c r="D12" t="s">
        <v>295</v>
      </c>
      <c r="E12" t="s">
        <v>237</v>
      </c>
      <c r="F12" t="n">
        <v>32</v>
      </c>
      <c r="G12" t="n">
        <v>28</v>
      </c>
      <c r="H12" t="n">
        <v>26</v>
      </c>
      <c r="I12" t="n">
        <v>34</v>
      </c>
      <c r="J12" t="n">
        <v>36</v>
      </c>
      <c r="K12" t="n">
        <v>33</v>
      </c>
      <c r="L12" t="n">
        <v>25</v>
      </c>
      <c r="M12" t="n">
        <v>19</v>
      </c>
      <c r="N12" t="n">
        <v>17</v>
      </c>
      <c r="O12" t="n">
        <v>18</v>
      </c>
      <c r="P12" t="n">
        <v>19</v>
      </c>
      <c r="Q12" t="n">
        <v>23</v>
      </c>
      <c r="R12" t="n">
        <v>30</v>
      </c>
      <c r="S12" t="n">
        <v>28</v>
      </c>
      <c r="T12" t="n">
        <v>31</v>
      </c>
      <c r="U12" t="n">
        <v>26</v>
      </c>
      <c r="V12" t="n">
        <v>25</v>
      </c>
      <c r="W12" t="n">
        <v>25</v>
      </c>
      <c r="X12" t="n">
        <v>21</v>
      </c>
      <c r="Y12" t="n">
        <v>20</v>
      </c>
      <c r="Z12" t="n">
        <v>20</v>
      </c>
      <c r="AA12" t="n">
        <v>18</v>
      </c>
      <c r="AB12" t="n">
        <v>16</v>
      </c>
      <c r="AC12" t="n">
        <v>15</v>
      </c>
      <c r="AD12" t="n">
        <v>15</v>
      </c>
      <c r="AE12" t="n">
        <v>15</v>
      </c>
      <c r="AF12" t="n">
        <v>15</v>
      </c>
    </row>
    <row r="13">
      <c r="A13" t="s">
        <v>118</v>
      </c>
      <c r="B13" t="s">
        <v>296</v>
      </c>
      <c r="C13" t="s">
        <v>236</v>
      </c>
      <c r="D13" t="s">
        <v>297</v>
      </c>
      <c r="E13" t="s">
        <v>237</v>
      </c>
      <c r="F13" t="n">
        <v>83</v>
      </c>
      <c r="G13" t="n">
        <v>78</v>
      </c>
      <c r="H13" t="n">
        <v>77</v>
      </c>
      <c r="I13" t="n">
        <v>83</v>
      </c>
      <c r="J13" t="n">
        <v>72</v>
      </c>
      <c r="K13" t="n">
        <v>64</v>
      </c>
      <c r="L13" t="n">
        <v>50</v>
      </c>
      <c r="M13" t="n">
        <v>47</v>
      </c>
      <c r="N13" t="n">
        <v>38</v>
      </c>
      <c r="O13" t="n">
        <v>47</v>
      </c>
      <c r="P13" t="n">
        <v>41</v>
      </c>
      <c r="Q13" t="n">
        <v>41</v>
      </c>
      <c r="R13" t="n">
        <v>49</v>
      </c>
      <c r="S13" t="n">
        <v>47</v>
      </c>
      <c r="T13" t="n">
        <v>56</v>
      </c>
      <c r="U13" t="n">
        <v>51</v>
      </c>
      <c r="V13" t="n">
        <v>43</v>
      </c>
      <c r="W13" t="n">
        <v>53</v>
      </c>
      <c r="X13" t="n">
        <v>43</v>
      </c>
      <c r="Y13" t="n">
        <v>39</v>
      </c>
      <c r="Z13" t="n">
        <v>39</v>
      </c>
      <c r="AA13" t="n">
        <v>39</v>
      </c>
      <c r="AB13" t="n">
        <v>40</v>
      </c>
      <c r="AC13" t="n">
        <v>43</v>
      </c>
      <c r="AD13" t="n">
        <v>47</v>
      </c>
      <c r="AE13" t="n">
        <v>45</v>
      </c>
      <c r="AF13" t="n">
        <v>42</v>
      </c>
    </row>
    <row r="14">
      <c r="A14" t="s">
        <v>118</v>
      </c>
      <c r="B14" t="s">
        <v>298</v>
      </c>
      <c r="C14" t="s">
        <v>236</v>
      </c>
      <c r="D14" t="s">
        <v>299</v>
      </c>
      <c r="E14" t="s">
        <v>237</v>
      </c>
      <c r="F14" t="n">
        <v>40</v>
      </c>
      <c r="G14" t="n">
        <v>33</v>
      </c>
      <c r="H14" t="n">
        <v>30</v>
      </c>
      <c r="I14" t="n">
        <v>36</v>
      </c>
      <c r="J14" t="n">
        <v>44</v>
      </c>
      <c r="K14" t="n">
        <v>43</v>
      </c>
      <c r="L14" t="n">
        <v>34</v>
      </c>
      <c r="M14" t="n">
        <v>26</v>
      </c>
      <c r="N14" t="n">
        <v>20</v>
      </c>
      <c r="O14" t="n">
        <v>20</v>
      </c>
      <c r="P14" t="n">
        <v>19</v>
      </c>
      <c r="Q14" t="n">
        <v>43</v>
      </c>
      <c r="R14" t="n">
        <v>57</v>
      </c>
      <c r="S14" t="n">
        <v>60</v>
      </c>
      <c r="T14" t="n">
        <v>55</v>
      </c>
      <c r="U14" t="n">
        <v>53</v>
      </c>
      <c r="V14" t="n">
        <v>55</v>
      </c>
      <c r="W14" t="n">
        <v>53</v>
      </c>
      <c r="X14" t="n">
        <v>45</v>
      </c>
      <c r="Y14" t="n">
        <v>45</v>
      </c>
      <c r="Z14" t="n">
        <v>51</v>
      </c>
      <c r="AA14" t="n">
        <v>51</v>
      </c>
      <c r="AB14" t="n">
        <v>54</v>
      </c>
      <c r="AC14" t="n">
        <v>54</v>
      </c>
      <c r="AD14" t="n">
        <v>53</v>
      </c>
      <c r="AE14" t="n">
        <v>59</v>
      </c>
      <c r="AF14" t="n">
        <v>61</v>
      </c>
    </row>
    <row r="15">
      <c r="A15" t="s">
        <v>118</v>
      </c>
      <c r="B15" t="s">
        <v>300</v>
      </c>
      <c r="C15" t="s">
        <v>236</v>
      </c>
      <c r="D15" t="s">
        <v>301</v>
      </c>
      <c r="E15" t="s">
        <v>237</v>
      </c>
      <c r="F15" t="n">
        <v>49</v>
      </c>
      <c r="G15" t="n">
        <v>44</v>
      </c>
      <c r="H15" t="n">
        <v>40</v>
      </c>
      <c r="I15" t="n">
        <v>47</v>
      </c>
      <c r="J15" t="n">
        <v>55</v>
      </c>
      <c r="K15" t="n">
        <v>53</v>
      </c>
      <c r="L15" t="n">
        <v>42</v>
      </c>
      <c r="M15" t="n">
        <v>30</v>
      </c>
      <c r="N15" t="n">
        <v>25</v>
      </c>
      <c r="O15" t="n">
        <v>23</v>
      </c>
      <c r="P15" t="n">
        <v>23</v>
      </c>
      <c r="Q15" t="n">
        <v>48</v>
      </c>
      <c r="R15" t="n">
        <v>64</v>
      </c>
      <c r="S15" t="n">
        <v>68</v>
      </c>
      <c r="T15" t="n">
        <v>65</v>
      </c>
      <c r="U15" t="n">
        <v>62</v>
      </c>
      <c r="V15" t="n">
        <v>65</v>
      </c>
      <c r="W15" t="n">
        <v>61</v>
      </c>
      <c r="X15" t="n">
        <v>54</v>
      </c>
      <c r="Y15" t="n">
        <v>53</v>
      </c>
      <c r="Z15" t="n">
        <v>58</v>
      </c>
      <c r="AA15" t="n">
        <v>57</v>
      </c>
      <c r="AB15" t="n">
        <v>60</v>
      </c>
      <c r="AC15" t="n">
        <v>61</v>
      </c>
      <c r="AD15" t="n">
        <v>59</v>
      </c>
      <c r="AE15" t="n">
        <v>65</v>
      </c>
      <c r="AF15" t="n">
        <v>67</v>
      </c>
    </row>
    <row r="16">
      <c r="A16" t="s">
        <v>118</v>
      </c>
      <c r="B16" t="s">
        <v>302</v>
      </c>
      <c r="C16" t="s">
        <v>236</v>
      </c>
      <c r="D16" t="s">
        <v>303</v>
      </c>
      <c r="E16" t="s">
        <v>237</v>
      </c>
      <c r="F16" t="n">
        <v>9</v>
      </c>
      <c r="G16" t="n">
        <v>11</v>
      </c>
      <c r="H16" t="n">
        <v>10</v>
      </c>
      <c r="I16" t="n">
        <v>11</v>
      </c>
      <c r="J16" t="n">
        <v>11</v>
      </c>
      <c r="K16" t="n">
        <v>10</v>
      </c>
      <c r="L16" t="n">
        <v>8</v>
      </c>
      <c r="M16" t="n">
        <v>4</v>
      </c>
      <c r="N16" t="n">
        <v>5</v>
      </c>
      <c r="O16" t="n">
        <v>3</v>
      </c>
      <c r="P16" t="n">
        <v>4</v>
      </c>
      <c r="Q16" t="n">
        <v>5</v>
      </c>
      <c r="R16" t="n">
        <v>7</v>
      </c>
      <c r="S16" t="n">
        <v>8</v>
      </c>
      <c r="T16" t="n">
        <v>10</v>
      </c>
      <c r="U16" t="n">
        <v>9</v>
      </c>
      <c r="V16" t="n">
        <v>10</v>
      </c>
      <c r="W16" t="n">
        <v>8</v>
      </c>
      <c r="X16" t="n">
        <v>9</v>
      </c>
      <c r="Y16" t="n">
        <v>8</v>
      </c>
      <c r="Z16" t="n">
        <v>7</v>
      </c>
      <c r="AA16" t="n">
        <v>6</v>
      </c>
      <c r="AB16" t="n">
        <v>6</v>
      </c>
      <c r="AC16" t="n">
        <v>7</v>
      </c>
      <c r="AD16" t="n">
        <v>6</v>
      </c>
      <c r="AE16" t="n">
        <v>6</v>
      </c>
      <c r="AF16" t="n">
        <v>6</v>
      </c>
    </row>
    <row r="17">
      <c r="A17" t="s">
        <v>118</v>
      </c>
      <c r="B17" t="s">
        <v>304</v>
      </c>
      <c r="C17" t="s">
        <v>236</v>
      </c>
      <c r="D17" t="s">
        <v>305</v>
      </c>
      <c r="E17" t="s">
        <v>237</v>
      </c>
      <c r="F17" t="n">
        <v>26</v>
      </c>
      <c r="G17" t="n">
        <v>29</v>
      </c>
      <c r="H17" t="n">
        <v>27</v>
      </c>
      <c r="I17" t="n">
        <v>26</v>
      </c>
      <c r="J17" t="n">
        <v>25</v>
      </c>
      <c r="K17" t="n">
        <v>22</v>
      </c>
      <c r="L17" t="n">
        <v>16</v>
      </c>
      <c r="M17" t="n">
        <v>12</v>
      </c>
      <c r="N17" t="n">
        <v>12</v>
      </c>
      <c r="O17" t="n">
        <v>12</v>
      </c>
      <c r="P17" t="n">
        <v>11</v>
      </c>
      <c r="Q17" t="n">
        <v>13</v>
      </c>
      <c r="R17" t="n">
        <v>16</v>
      </c>
      <c r="S17" t="n">
        <v>18</v>
      </c>
      <c r="T17" t="n">
        <v>21</v>
      </c>
      <c r="U17" t="n">
        <v>15</v>
      </c>
      <c r="V17" t="n">
        <v>15</v>
      </c>
      <c r="W17" t="n">
        <v>14</v>
      </c>
      <c r="X17" t="n">
        <v>12</v>
      </c>
      <c r="Y17" t="n">
        <v>12</v>
      </c>
      <c r="Z17" t="n">
        <v>12</v>
      </c>
      <c r="AA17" t="n">
        <v>12</v>
      </c>
      <c r="AB17" t="n">
        <v>11</v>
      </c>
      <c r="AC17" t="n">
        <v>13</v>
      </c>
      <c r="AD17" t="n">
        <v>15</v>
      </c>
      <c r="AE17" t="n">
        <v>14</v>
      </c>
      <c r="AF17" t="n">
        <v>14</v>
      </c>
    </row>
    <row r="18">
      <c r="A18" t="s">
        <v>118</v>
      </c>
      <c r="B18" t="s">
        <v>306</v>
      </c>
      <c r="C18" t="s">
        <v>236</v>
      </c>
      <c r="D18" t="s">
        <v>307</v>
      </c>
      <c r="E18" t="s">
        <v>237</v>
      </c>
      <c r="F18" t="n">
        <v>8</v>
      </c>
      <c r="G18" t="n">
        <v>9</v>
      </c>
      <c r="H18" t="n">
        <v>7</v>
      </c>
      <c r="I18" t="n">
        <v>7</v>
      </c>
      <c r="J18" t="n">
        <v>8</v>
      </c>
      <c r="K18" t="n">
        <v>7</v>
      </c>
      <c r="L18" t="n">
        <v>7</v>
      </c>
      <c r="M18" t="n">
        <v>5</v>
      </c>
      <c r="N18" t="n">
        <v>4</v>
      </c>
      <c r="O18" t="n">
        <v>5</v>
      </c>
      <c r="P18" t="n">
        <v>5</v>
      </c>
      <c r="Q18" t="n">
        <v>5</v>
      </c>
      <c r="R18" t="n">
        <v>5</v>
      </c>
      <c r="S18" t="n">
        <v>5</v>
      </c>
      <c r="T18" t="n">
        <v>7</v>
      </c>
      <c r="U18" t="n">
        <v>6</v>
      </c>
      <c r="V18" t="n">
        <v>6</v>
      </c>
      <c r="W18" t="n">
        <v>6</v>
      </c>
      <c r="X18" t="n">
        <v>4</v>
      </c>
      <c r="Y18" t="n">
        <v>3</v>
      </c>
      <c r="Z18" t="n">
        <v>3</v>
      </c>
      <c r="AA18" t="n">
        <v>1</v>
      </c>
      <c r="AB18" t="n">
        <v>1</v>
      </c>
      <c r="AC18" t="n">
        <v>1</v>
      </c>
      <c r="AD18" t="n">
        <v>0</v>
      </c>
      <c r="AE18" t="n">
        <v>0</v>
      </c>
      <c r="AF18" t="n">
        <v>0</v>
      </c>
    </row>
    <row r="19">
      <c r="A19" t="s">
        <v>118</v>
      </c>
      <c r="B19" t="s">
        <v>308</v>
      </c>
      <c r="C19" t="s">
        <v>236</v>
      </c>
      <c r="D19" t="s">
        <v>309</v>
      </c>
      <c r="E19" t="s">
        <v>237</v>
      </c>
      <c r="F19" t="n">
        <v>11</v>
      </c>
      <c r="G19" t="n">
        <v>12</v>
      </c>
      <c r="H19" t="n">
        <v>14</v>
      </c>
      <c r="I19" t="n">
        <v>15</v>
      </c>
      <c r="J19" t="n">
        <v>16</v>
      </c>
      <c r="K19" t="n">
        <v>14</v>
      </c>
      <c r="L19" t="n">
        <v>11</v>
      </c>
      <c r="M19" t="n">
        <v>9</v>
      </c>
      <c r="N19" t="n">
        <v>6</v>
      </c>
      <c r="O19" t="n">
        <v>6</v>
      </c>
      <c r="P19" t="n">
        <v>5</v>
      </c>
      <c r="Q19" t="n">
        <v>6</v>
      </c>
      <c r="R19" t="n">
        <v>8</v>
      </c>
      <c r="S19" t="n">
        <v>9</v>
      </c>
      <c r="T19" t="n">
        <v>8</v>
      </c>
      <c r="U19" t="n">
        <v>7</v>
      </c>
      <c r="V19" t="n">
        <v>6</v>
      </c>
      <c r="W19" t="n">
        <v>7</v>
      </c>
      <c r="X19" t="n">
        <v>6</v>
      </c>
      <c r="Y19" t="n">
        <v>8</v>
      </c>
      <c r="Z19" t="n">
        <v>8</v>
      </c>
      <c r="AA19" t="n">
        <v>10</v>
      </c>
      <c r="AB19" t="n">
        <v>9</v>
      </c>
      <c r="AC19" t="n">
        <v>9</v>
      </c>
      <c r="AD19" t="n">
        <v>9</v>
      </c>
      <c r="AE19" t="n">
        <v>7</v>
      </c>
      <c r="AF19" t="n">
        <v>6</v>
      </c>
    </row>
    <row r="20">
      <c r="A20" t="s">
        <v>118</v>
      </c>
      <c r="B20" t="s">
        <v>310</v>
      </c>
      <c r="C20" t="s">
        <v>236</v>
      </c>
      <c r="D20" t="s">
        <v>311</v>
      </c>
      <c r="E20" t="s">
        <v>237</v>
      </c>
      <c r="F20" t="n">
        <v>91</v>
      </c>
      <c r="G20" t="n">
        <v>77</v>
      </c>
      <c r="H20" t="n">
        <v>77</v>
      </c>
      <c r="I20" t="n">
        <v>69</v>
      </c>
      <c r="J20" t="n">
        <v>62</v>
      </c>
      <c r="K20" t="n">
        <v>59</v>
      </c>
      <c r="L20" t="n">
        <v>45</v>
      </c>
      <c r="M20" t="n">
        <v>41</v>
      </c>
      <c r="N20" t="n">
        <v>37</v>
      </c>
      <c r="O20" t="n">
        <v>42</v>
      </c>
      <c r="P20" t="n">
        <v>45</v>
      </c>
      <c r="Q20" t="n">
        <v>41</v>
      </c>
      <c r="R20" t="n">
        <v>43</v>
      </c>
      <c r="S20" t="n">
        <v>37</v>
      </c>
      <c r="T20" t="n">
        <v>43</v>
      </c>
      <c r="U20" t="n">
        <v>36</v>
      </c>
      <c r="V20" t="n">
        <v>33</v>
      </c>
      <c r="W20" t="n">
        <v>29</v>
      </c>
      <c r="X20" t="n">
        <v>27</v>
      </c>
      <c r="Y20" t="n">
        <v>25</v>
      </c>
      <c r="Z20" t="n">
        <v>26</v>
      </c>
      <c r="AA20" t="n">
        <v>29</v>
      </c>
      <c r="AB20" t="n">
        <v>29</v>
      </c>
      <c r="AC20" t="n">
        <v>29</v>
      </c>
      <c r="AD20" t="n">
        <v>28</v>
      </c>
      <c r="AE20" t="n">
        <v>28</v>
      </c>
      <c r="AF20" t="n">
        <v>27</v>
      </c>
    </row>
    <row r="21">
      <c r="A21" t="s">
        <v>118</v>
      </c>
      <c r="B21" t="s">
        <v>312</v>
      </c>
      <c r="C21" t="s">
        <v>236</v>
      </c>
      <c r="D21" t="s">
        <v>313</v>
      </c>
      <c r="E21" t="s">
        <v>237</v>
      </c>
      <c r="F21" t="n">
        <v>97</v>
      </c>
      <c r="G21" t="n">
        <v>82</v>
      </c>
      <c r="H21" t="n">
        <v>81</v>
      </c>
      <c r="I21" t="n">
        <v>73</v>
      </c>
      <c r="J21" t="n">
        <v>65</v>
      </c>
      <c r="K21" t="n">
        <v>63</v>
      </c>
      <c r="L21" t="n">
        <v>48</v>
      </c>
      <c r="M21" t="n">
        <v>42</v>
      </c>
      <c r="N21" t="n">
        <v>39</v>
      </c>
      <c r="O21" t="n">
        <v>43</v>
      </c>
      <c r="P21" t="n">
        <v>48</v>
      </c>
      <c r="Q21" t="n">
        <v>44</v>
      </c>
      <c r="R21" t="n">
        <v>47</v>
      </c>
      <c r="S21" t="n">
        <v>41</v>
      </c>
      <c r="T21" t="n">
        <v>46</v>
      </c>
      <c r="U21" t="n">
        <v>40</v>
      </c>
      <c r="V21" t="n">
        <v>39</v>
      </c>
      <c r="W21" t="n">
        <v>36</v>
      </c>
      <c r="X21" t="n">
        <v>35</v>
      </c>
      <c r="Y21" t="n">
        <v>33</v>
      </c>
      <c r="Z21" t="n">
        <v>35</v>
      </c>
      <c r="AA21" t="n">
        <v>40</v>
      </c>
      <c r="AB21" t="n">
        <v>41</v>
      </c>
      <c r="AC21" t="n">
        <v>42</v>
      </c>
      <c r="AD21" t="n">
        <v>41</v>
      </c>
      <c r="AE21" t="n">
        <v>41</v>
      </c>
      <c r="AF21" t="n">
        <v>40</v>
      </c>
    </row>
    <row r="22">
      <c r="A22" t="s">
        <v>118</v>
      </c>
      <c r="B22" t="s">
        <v>314</v>
      </c>
      <c r="C22" t="s">
        <v>236</v>
      </c>
      <c r="D22" t="s">
        <v>315</v>
      </c>
      <c r="E22" t="s">
        <v>237</v>
      </c>
      <c r="F22" t="n">
        <v>6</v>
      </c>
      <c r="G22" t="n">
        <v>5</v>
      </c>
      <c r="H22" t="n">
        <v>4</v>
      </c>
      <c r="I22" t="n">
        <v>4</v>
      </c>
      <c r="J22" t="n">
        <v>3</v>
      </c>
      <c r="K22" t="n">
        <v>4</v>
      </c>
      <c r="L22" t="n">
        <v>3</v>
      </c>
      <c r="M22" t="n">
        <v>1</v>
      </c>
      <c r="N22" t="n">
        <v>2</v>
      </c>
      <c r="O22" t="n">
        <v>1</v>
      </c>
      <c r="P22" t="n">
        <v>3</v>
      </c>
      <c r="Q22" t="n">
        <v>3</v>
      </c>
      <c r="R22" t="n">
        <v>4</v>
      </c>
      <c r="S22" t="n">
        <v>4</v>
      </c>
      <c r="T22" t="n">
        <v>3</v>
      </c>
      <c r="U22" t="n">
        <v>4</v>
      </c>
      <c r="V22" t="n">
        <v>6</v>
      </c>
      <c r="W22" t="n">
        <v>7</v>
      </c>
      <c r="X22" t="n">
        <v>8</v>
      </c>
      <c r="Y22" t="n">
        <v>8</v>
      </c>
      <c r="Z22" t="n">
        <v>9</v>
      </c>
      <c r="AA22" t="n">
        <v>11</v>
      </c>
      <c r="AB22" t="n">
        <v>12</v>
      </c>
      <c r="AC22" t="n">
        <v>13</v>
      </c>
      <c r="AD22" t="n">
        <v>13</v>
      </c>
      <c r="AE22" t="n">
        <v>13</v>
      </c>
      <c r="AF22" t="n">
        <v>13</v>
      </c>
    </row>
    <row r="23">
      <c r="A23" t="s">
        <v>118</v>
      </c>
      <c r="B23" t="s">
        <v>316</v>
      </c>
      <c r="C23" t="s">
        <v>236</v>
      </c>
      <c r="D23" t="s">
        <v>317</v>
      </c>
      <c r="E23" t="s">
        <v>237</v>
      </c>
      <c r="F23" t="n">
        <v>31</v>
      </c>
      <c r="G23" t="n">
        <v>31</v>
      </c>
      <c r="H23" t="n">
        <v>33</v>
      </c>
      <c r="I23" t="n">
        <v>33</v>
      </c>
      <c r="J23" t="n">
        <v>41</v>
      </c>
      <c r="K23" t="n">
        <v>40</v>
      </c>
      <c r="L23" t="n">
        <v>32</v>
      </c>
      <c r="M23" t="n">
        <v>27</v>
      </c>
      <c r="N23" t="n">
        <v>28</v>
      </c>
      <c r="O23" t="n">
        <v>30</v>
      </c>
      <c r="P23" t="n">
        <v>35</v>
      </c>
      <c r="Q23" t="n">
        <v>32</v>
      </c>
      <c r="R23" t="n">
        <v>33</v>
      </c>
      <c r="S23" t="n">
        <v>34</v>
      </c>
      <c r="T23" t="n">
        <v>31</v>
      </c>
      <c r="U23" t="n">
        <v>26</v>
      </c>
      <c r="V23" t="n">
        <v>25</v>
      </c>
      <c r="W23" t="n">
        <v>23</v>
      </c>
      <c r="X23" t="n">
        <v>21</v>
      </c>
      <c r="Y23" t="n">
        <v>20</v>
      </c>
      <c r="Z23" t="n">
        <v>18</v>
      </c>
      <c r="AA23" t="n">
        <v>15</v>
      </c>
      <c r="AB23" t="n">
        <v>13</v>
      </c>
      <c r="AC23" t="n">
        <v>13</v>
      </c>
      <c r="AD23" t="n">
        <v>11</v>
      </c>
      <c r="AE23" t="n">
        <v>10</v>
      </c>
      <c r="AF23" t="n">
        <v>8</v>
      </c>
    </row>
    <row r="24">
      <c r="A24" t="s">
        <v>118</v>
      </c>
      <c r="B24" t="s">
        <v>318</v>
      </c>
      <c r="C24" t="s">
        <v>236</v>
      </c>
      <c r="D24" t="s">
        <v>319</v>
      </c>
      <c r="E24" t="s">
        <v>237</v>
      </c>
      <c r="F24" t="n">
        <v>109</v>
      </c>
      <c r="G24" t="n">
        <v>105</v>
      </c>
      <c r="H24" t="n">
        <v>115</v>
      </c>
      <c r="I24" t="n">
        <v>134</v>
      </c>
      <c r="J24" t="n">
        <v>146</v>
      </c>
      <c r="K24" t="n">
        <v>128</v>
      </c>
      <c r="L24" t="n">
        <v>97</v>
      </c>
      <c r="M24" t="n">
        <v>80</v>
      </c>
      <c r="N24" t="n">
        <v>75</v>
      </c>
      <c r="O24" t="n">
        <v>70</v>
      </c>
      <c r="P24" t="n">
        <v>72</v>
      </c>
      <c r="Q24" t="n">
        <v>65</v>
      </c>
      <c r="R24" t="n">
        <v>72</v>
      </c>
      <c r="S24" t="n">
        <v>91</v>
      </c>
      <c r="T24" t="n">
        <v>89</v>
      </c>
      <c r="U24" t="n">
        <v>84</v>
      </c>
      <c r="V24" t="n">
        <v>83</v>
      </c>
      <c r="W24" t="n">
        <v>90</v>
      </c>
      <c r="X24" t="n">
        <v>88</v>
      </c>
      <c r="Y24" t="n">
        <v>93</v>
      </c>
      <c r="Z24" t="n">
        <v>94</v>
      </c>
      <c r="AA24" t="n">
        <v>102</v>
      </c>
      <c r="AB24" t="n">
        <v>97</v>
      </c>
      <c r="AC24" t="n">
        <v>98</v>
      </c>
      <c r="AD24" t="n">
        <v>88</v>
      </c>
      <c r="AE24" t="n">
        <v>76</v>
      </c>
      <c r="AF24" t="n">
        <v>63</v>
      </c>
    </row>
    <row r="25">
      <c r="A25" t="s">
        <v>118</v>
      </c>
      <c r="B25" t="s">
        <v>320</v>
      </c>
      <c r="C25" t="s">
        <v>236</v>
      </c>
      <c r="D25" t="s">
        <v>321</v>
      </c>
      <c r="E25" t="s">
        <v>237</v>
      </c>
      <c r="F25" t="n">
        <v>12</v>
      </c>
      <c r="G25" t="n">
        <v>11</v>
      </c>
      <c r="H25" t="n">
        <v>13</v>
      </c>
      <c r="I25" t="n">
        <v>16</v>
      </c>
      <c r="J25" t="n">
        <v>17</v>
      </c>
      <c r="K25" t="n">
        <v>14</v>
      </c>
      <c r="L25" t="n">
        <v>10</v>
      </c>
      <c r="M25" t="n">
        <v>8</v>
      </c>
      <c r="N25" t="n">
        <v>7</v>
      </c>
      <c r="O25" t="n">
        <v>7</v>
      </c>
      <c r="P25" t="n">
        <v>7</v>
      </c>
      <c r="Q25" t="n">
        <v>7</v>
      </c>
      <c r="R25" t="n">
        <v>6</v>
      </c>
      <c r="S25" t="n">
        <v>12</v>
      </c>
      <c r="T25" t="n">
        <v>11</v>
      </c>
      <c r="U25" t="n">
        <v>11</v>
      </c>
      <c r="V25" t="n">
        <v>12</v>
      </c>
      <c r="W25" t="n">
        <v>10</v>
      </c>
      <c r="X25" t="n">
        <v>10</v>
      </c>
      <c r="Y25" t="n">
        <v>11</v>
      </c>
      <c r="Z25" t="n">
        <v>11</v>
      </c>
      <c r="AA25" t="n">
        <v>14</v>
      </c>
      <c r="AB25" t="n">
        <v>13</v>
      </c>
      <c r="AC25" t="n">
        <v>13</v>
      </c>
      <c r="AD25" t="n">
        <v>12</v>
      </c>
      <c r="AE25" t="n">
        <v>10</v>
      </c>
      <c r="AF25" t="n">
        <v>9</v>
      </c>
    </row>
    <row r="26">
      <c r="A26" t="s">
        <v>118</v>
      </c>
      <c r="B26" t="s">
        <v>322</v>
      </c>
      <c r="C26" t="s">
        <v>236</v>
      </c>
      <c r="D26" t="s">
        <v>323</v>
      </c>
      <c r="E26" t="s">
        <v>237</v>
      </c>
      <c r="F26" t="n">
        <v>59</v>
      </c>
      <c r="G26" t="n">
        <v>59</v>
      </c>
      <c r="H26" t="n">
        <v>68</v>
      </c>
      <c r="I26" t="n">
        <v>78</v>
      </c>
      <c r="J26" t="n">
        <v>82</v>
      </c>
      <c r="K26" t="n">
        <v>73</v>
      </c>
      <c r="L26" t="n">
        <v>56</v>
      </c>
      <c r="M26" t="n">
        <v>46</v>
      </c>
      <c r="N26" t="n">
        <v>42</v>
      </c>
      <c r="O26" t="n">
        <v>39</v>
      </c>
      <c r="P26" t="n">
        <v>40</v>
      </c>
      <c r="Q26" t="n">
        <v>34</v>
      </c>
      <c r="R26" t="n">
        <v>40</v>
      </c>
      <c r="S26" t="n">
        <v>49</v>
      </c>
      <c r="T26" t="n">
        <v>48</v>
      </c>
      <c r="U26" t="n">
        <v>44</v>
      </c>
      <c r="V26" t="n">
        <v>43</v>
      </c>
      <c r="W26" t="n">
        <v>47</v>
      </c>
      <c r="X26" t="n">
        <v>44</v>
      </c>
      <c r="Y26" t="n">
        <v>47</v>
      </c>
      <c r="Z26" t="n">
        <v>46</v>
      </c>
      <c r="AA26" t="n">
        <v>50</v>
      </c>
      <c r="AB26" t="n">
        <v>48</v>
      </c>
      <c r="AC26" t="n">
        <v>49</v>
      </c>
      <c r="AD26" t="n">
        <v>44</v>
      </c>
      <c r="AE26" t="n">
        <v>37</v>
      </c>
      <c r="AF26" t="n">
        <v>29</v>
      </c>
    </row>
    <row r="27">
      <c r="A27" t="s">
        <v>118</v>
      </c>
      <c r="B27" t="s">
        <v>324</v>
      </c>
      <c r="C27" t="s">
        <v>236</v>
      </c>
      <c r="D27" t="s">
        <v>325</v>
      </c>
      <c r="E27" t="s">
        <v>237</v>
      </c>
      <c r="F27" t="n">
        <v>38</v>
      </c>
      <c r="G27" t="n">
        <v>35</v>
      </c>
      <c r="H27" t="n">
        <v>34</v>
      </c>
      <c r="I27" t="n">
        <v>40</v>
      </c>
      <c r="J27" t="n">
        <v>47</v>
      </c>
      <c r="K27" t="n">
        <v>41</v>
      </c>
      <c r="L27" t="n">
        <v>31</v>
      </c>
      <c r="M27" t="n">
        <v>26</v>
      </c>
      <c r="N27" t="n">
        <v>26</v>
      </c>
      <c r="O27" t="n">
        <v>24</v>
      </c>
      <c r="P27" t="n">
        <v>25</v>
      </c>
      <c r="Q27" t="n">
        <v>24</v>
      </c>
      <c r="R27" t="n">
        <v>26</v>
      </c>
      <c r="S27" t="n">
        <v>30</v>
      </c>
      <c r="T27" t="n">
        <v>30</v>
      </c>
      <c r="U27" t="n">
        <v>29</v>
      </c>
      <c r="V27" t="n">
        <v>28</v>
      </c>
      <c r="W27" t="n">
        <v>33</v>
      </c>
      <c r="X27" t="n">
        <v>34</v>
      </c>
      <c r="Y27" t="n">
        <v>35</v>
      </c>
      <c r="Z27" t="n">
        <v>37</v>
      </c>
      <c r="AA27" t="n">
        <v>38</v>
      </c>
      <c r="AB27" t="n">
        <v>36</v>
      </c>
      <c r="AC27" t="n">
        <v>36</v>
      </c>
      <c r="AD27" t="n">
        <v>32</v>
      </c>
      <c r="AE27" t="n">
        <v>29</v>
      </c>
      <c r="AF27" t="n">
        <v>25</v>
      </c>
    </row>
    <row r="28">
      <c r="A28" t="s">
        <v>118</v>
      </c>
      <c r="B28" t="s">
        <v>326</v>
      </c>
      <c r="C28" t="s">
        <v>236</v>
      </c>
      <c r="D28" t="s">
        <v>327</v>
      </c>
      <c r="E28" t="s">
        <v>237</v>
      </c>
      <c r="F28" t="n">
        <v>73</v>
      </c>
      <c r="G28" t="n">
        <v>60</v>
      </c>
      <c r="H28" t="n">
        <v>45</v>
      </c>
      <c r="I28" t="n">
        <v>45</v>
      </c>
      <c r="J28" t="n">
        <v>44</v>
      </c>
      <c r="K28" t="n">
        <v>37</v>
      </c>
      <c r="L28" t="n">
        <v>24</v>
      </c>
      <c r="M28" t="n">
        <v>16</v>
      </c>
      <c r="N28" t="n">
        <v>15</v>
      </c>
      <c r="O28" t="n">
        <v>14</v>
      </c>
      <c r="P28" t="n">
        <v>15</v>
      </c>
      <c r="Q28" t="n">
        <v>17</v>
      </c>
      <c r="R28" t="n">
        <v>22</v>
      </c>
      <c r="S28" t="n">
        <v>25</v>
      </c>
      <c r="T28" t="n">
        <v>27</v>
      </c>
      <c r="U28" t="n">
        <v>27</v>
      </c>
      <c r="V28" t="n">
        <v>27</v>
      </c>
      <c r="W28" t="n">
        <v>28</v>
      </c>
      <c r="X28" t="n">
        <v>28</v>
      </c>
      <c r="Y28" t="n">
        <v>30</v>
      </c>
      <c r="Z28" t="n">
        <v>30</v>
      </c>
      <c r="AA28" t="n">
        <v>35</v>
      </c>
      <c r="AB28" t="n">
        <v>33</v>
      </c>
      <c r="AC28" t="n">
        <v>32</v>
      </c>
      <c r="AD28" t="n">
        <v>34</v>
      </c>
      <c r="AE28" t="n">
        <v>30</v>
      </c>
      <c r="AF28" t="n">
        <v>29</v>
      </c>
    </row>
    <row r="29">
      <c r="A29" t="s">
        <v>118</v>
      </c>
      <c r="B29" t="s">
        <v>328</v>
      </c>
      <c r="C29" t="s">
        <v>236</v>
      </c>
      <c r="D29" t="s">
        <v>329</v>
      </c>
      <c r="E29" t="s">
        <v>237</v>
      </c>
      <c r="F29" t="n">
        <v>8</v>
      </c>
      <c r="G29" t="n">
        <v>8</v>
      </c>
      <c r="H29" t="n">
        <v>4</v>
      </c>
      <c r="I29" t="n">
        <v>4</v>
      </c>
      <c r="J29" t="n">
        <v>3</v>
      </c>
      <c r="K29" t="n">
        <v>2</v>
      </c>
      <c r="L29" t="n">
        <v>1</v>
      </c>
      <c r="M29" t="n">
        <v>0</v>
      </c>
      <c r="N29" t="n">
        <v>0</v>
      </c>
      <c r="O29" t="n">
        <v>0</v>
      </c>
      <c r="P29" t="n">
        <v>1</v>
      </c>
      <c r="Q29" t="n">
        <v>2</v>
      </c>
      <c r="R29" t="n">
        <v>2</v>
      </c>
      <c r="S29" t="n">
        <v>2</v>
      </c>
      <c r="T29" t="n">
        <v>2</v>
      </c>
      <c r="U29" t="n">
        <v>2</v>
      </c>
      <c r="V29" t="n">
        <v>3</v>
      </c>
      <c r="W29" t="n">
        <v>3</v>
      </c>
      <c r="X29" t="n">
        <v>3</v>
      </c>
      <c r="Y29" t="n">
        <v>3</v>
      </c>
      <c r="Z29" t="n">
        <v>3</v>
      </c>
      <c r="AA29" t="n">
        <v>7</v>
      </c>
      <c r="AB29" t="n">
        <v>7</v>
      </c>
      <c r="AC29" t="n">
        <v>8</v>
      </c>
      <c r="AD29" t="n">
        <v>11</v>
      </c>
      <c r="AE29" t="n">
        <v>9</v>
      </c>
      <c r="AF29" t="n">
        <v>10</v>
      </c>
    </row>
    <row r="30">
      <c r="A30" t="s">
        <v>118</v>
      </c>
      <c r="B30" t="s">
        <v>330</v>
      </c>
      <c r="C30" t="s">
        <v>236</v>
      </c>
      <c r="D30" t="s">
        <v>331</v>
      </c>
      <c r="E30" t="s">
        <v>237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  <c r="Q30" t="n">
        <v>2</v>
      </c>
      <c r="R30" t="n">
        <v>3</v>
      </c>
      <c r="S30" t="n">
        <v>3</v>
      </c>
      <c r="T30" t="n">
        <v>3</v>
      </c>
      <c r="U30" t="n">
        <v>3</v>
      </c>
      <c r="V30" t="n">
        <v>6</v>
      </c>
      <c r="W30" t="n">
        <v>7</v>
      </c>
      <c r="X30" t="n">
        <v>7</v>
      </c>
      <c r="Y30" t="n">
        <v>7</v>
      </c>
      <c r="Z30" t="n">
        <v>6</v>
      </c>
      <c r="AA30" t="n">
        <v>6</v>
      </c>
      <c r="AB30" t="n">
        <v>5</v>
      </c>
      <c r="AC30" t="n">
        <v>5</v>
      </c>
      <c r="AD30" t="n">
        <v>4</v>
      </c>
      <c r="AE30" t="n">
        <v>5</v>
      </c>
      <c r="AF30" t="n">
        <v>3</v>
      </c>
    </row>
    <row r="31">
      <c r="A31" t="s">
        <v>118</v>
      </c>
      <c r="B31" t="s">
        <v>332</v>
      </c>
      <c r="C31" t="s">
        <v>236</v>
      </c>
      <c r="D31" t="s">
        <v>333</v>
      </c>
      <c r="E31" t="s">
        <v>237</v>
      </c>
      <c r="F31" t="n">
        <v>2</v>
      </c>
      <c r="G31" t="n">
        <v>1</v>
      </c>
      <c r="H31" t="n">
        <v>1</v>
      </c>
      <c r="I31" t="n">
        <v>1</v>
      </c>
      <c r="J31" t="n">
        <v>2</v>
      </c>
      <c r="K31" t="n">
        <v>1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</v>
      </c>
      <c r="T31" t="n">
        <v>1</v>
      </c>
      <c r="U31" t="n">
        <v>1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118</v>
      </c>
      <c r="B32" t="s">
        <v>334</v>
      </c>
      <c r="C32" t="s">
        <v>236</v>
      </c>
      <c r="D32" t="s">
        <v>335</v>
      </c>
      <c r="E32" t="s">
        <v>237</v>
      </c>
      <c r="F32" t="n">
        <v>42</v>
      </c>
      <c r="G32" t="n">
        <v>36</v>
      </c>
      <c r="H32" t="n">
        <v>28</v>
      </c>
      <c r="I32" t="n">
        <v>27</v>
      </c>
      <c r="J32" t="n">
        <v>24</v>
      </c>
      <c r="K32" t="n">
        <v>21</v>
      </c>
      <c r="L32" t="n">
        <v>13</v>
      </c>
      <c r="M32" t="n">
        <v>10</v>
      </c>
      <c r="N32" t="n">
        <v>10</v>
      </c>
      <c r="O32" t="n">
        <v>11</v>
      </c>
      <c r="P32" t="n">
        <v>11</v>
      </c>
      <c r="Q32" t="n">
        <v>12</v>
      </c>
      <c r="R32" t="n">
        <v>15</v>
      </c>
      <c r="S32" t="n">
        <v>16</v>
      </c>
      <c r="T32" t="n">
        <v>18</v>
      </c>
      <c r="U32" t="n">
        <v>16</v>
      </c>
      <c r="V32" t="n">
        <v>14</v>
      </c>
      <c r="W32" t="n">
        <v>14</v>
      </c>
      <c r="X32" t="n">
        <v>15</v>
      </c>
      <c r="Y32" t="n">
        <v>16</v>
      </c>
      <c r="Z32" t="n">
        <v>17</v>
      </c>
      <c r="AA32" t="n">
        <v>18</v>
      </c>
      <c r="AB32" t="n">
        <v>15</v>
      </c>
      <c r="AC32" t="n">
        <v>13</v>
      </c>
      <c r="AD32" t="n">
        <v>14</v>
      </c>
      <c r="AE32" t="n">
        <v>12</v>
      </c>
      <c r="AF32" t="n">
        <v>12</v>
      </c>
    </row>
    <row r="33">
      <c r="A33" t="s">
        <v>118</v>
      </c>
      <c r="B33" t="s">
        <v>336</v>
      </c>
      <c r="C33" t="s">
        <v>236</v>
      </c>
      <c r="D33" t="s">
        <v>337</v>
      </c>
      <c r="E33" t="s">
        <v>237</v>
      </c>
      <c r="F33" t="n">
        <v>21</v>
      </c>
      <c r="G33" t="n">
        <v>15</v>
      </c>
      <c r="H33" t="n">
        <v>12</v>
      </c>
      <c r="I33" t="n">
        <v>13</v>
      </c>
      <c r="J33" t="n">
        <v>15</v>
      </c>
      <c r="K33" t="n">
        <v>13</v>
      </c>
      <c r="L33" t="n">
        <v>9</v>
      </c>
      <c r="M33" t="n">
        <v>6</v>
      </c>
      <c r="N33" t="n">
        <v>5</v>
      </c>
      <c r="O33" t="n">
        <v>3</v>
      </c>
      <c r="P33" t="n">
        <v>2</v>
      </c>
      <c r="Q33" t="n">
        <v>1</v>
      </c>
      <c r="R33" t="n">
        <v>2</v>
      </c>
      <c r="S33" t="n">
        <v>2</v>
      </c>
      <c r="T33" t="n">
        <v>3</v>
      </c>
      <c r="U33" t="n">
        <v>5</v>
      </c>
      <c r="V33" t="n">
        <v>4</v>
      </c>
      <c r="W33" t="n">
        <v>4</v>
      </c>
      <c r="X33" t="n">
        <v>3</v>
      </c>
      <c r="Y33" t="n">
        <v>4</v>
      </c>
      <c r="Z33" t="n">
        <v>4</v>
      </c>
      <c r="AA33" t="n">
        <v>4</v>
      </c>
      <c r="AB33" t="n">
        <v>6</v>
      </c>
      <c r="AC33" t="n">
        <v>6</v>
      </c>
      <c r="AD33" t="n">
        <v>5</v>
      </c>
      <c r="AE33" t="n">
        <v>4</v>
      </c>
      <c r="AF33" t="n">
        <v>4</v>
      </c>
    </row>
    <row r="34">
      <c r="A34" t="s">
        <v>118</v>
      </c>
      <c r="B34" t="s">
        <v>338</v>
      </c>
      <c r="C34" t="s">
        <v>236</v>
      </c>
      <c r="D34" t="s">
        <v>339</v>
      </c>
      <c r="E34" t="s">
        <v>237</v>
      </c>
      <c r="F34" t="n">
        <v>11</v>
      </c>
      <c r="G34" t="n">
        <v>13</v>
      </c>
      <c r="H34" t="n">
        <v>14</v>
      </c>
      <c r="I34" t="n">
        <v>19</v>
      </c>
      <c r="J34" t="n">
        <v>19</v>
      </c>
      <c r="K34" t="n">
        <v>17</v>
      </c>
      <c r="L34" t="n">
        <v>12</v>
      </c>
      <c r="M34" t="n">
        <v>11</v>
      </c>
      <c r="N34" t="n">
        <v>10</v>
      </c>
      <c r="O34" t="n">
        <v>10</v>
      </c>
      <c r="P34" t="n">
        <v>10</v>
      </c>
      <c r="Q34" t="n">
        <v>9</v>
      </c>
      <c r="R34" t="n">
        <v>11</v>
      </c>
      <c r="S34" t="n">
        <v>14</v>
      </c>
      <c r="T34" t="n">
        <v>16</v>
      </c>
      <c r="U34" t="n">
        <v>13</v>
      </c>
      <c r="V34" t="n">
        <v>13</v>
      </c>
      <c r="W34" t="n">
        <v>13</v>
      </c>
      <c r="X34" t="n">
        <v>11</v>
      </c>
      <c r="Y34" t="n">
        <v>11</v>
      </c>
      <c r="Z34" t="n">
        <v>10</v>
      </c>
      <c r="AA34" t="n">
        <v>11</v>
      </c>
      <c r="AB34" t="n">
        <v>9</v>
      </c>
      <c r="AC34" t="n">
        <v>10</v>
      </c>
      <c r="AD34" t="n">
        <v>9</v>
      </c>
      <c r="AE34" t="n">
        <v>8</v>
      </c>
      <c r="AF34" t="n">
        <v>8</v>
      </c>
    </row>
    <row r="35">
      <c r="A35" t="s">
        <v>118</v>
      </c>
      <c r="B35" t="s">
        <v>340</v>
      </c>
      <c r="C35" t="s">
        <v>236</v>
      </c>
      <c r="D35" t="s">
        <v>341</v>
      </c>
      <c r="E35" t="s">
        <v>237</v>
      </c>
      <c r="F35" t="n">
        <v>200</v>
      </c>
      <c r="G35" t="n">
        <v>215</v>
      </c>
      <c r="H35" t="n">
        <v>229</v>
      </c>
      <c r="I35" t="n">
        <v>270</v>
      </c>
      <c r="J35" t="n">
        <v>295</v>
      </c>
      <c r="K35" t="n">
        <v>289</v>
      </c>
      <c r="L35" t="n">
        <v>229</v>
      </c>
      <c r="M35" t="n">
        <v>201</v>
      </c>
      <c r="N35" t="n">
        <v>177</v>
      </c>
      <c r="O35" t="n">
        <v>183</v>
      </c>
      <c r="P35" t="n">
        <v>232</v>
      </c>
      <c r="Q35" t="n">
        <v>241</v>
      </c>
      <c r="R35" t="n">
        <v>251</v>
      </c>
      <c r="S35" t="n">
        <v>272</v>
      </c>
      <c r="T35" t="n">
        <v>250</v>
      </c>
      <c r="U35" t="n">
        <v>274</v>
      </c>
      <c r="V35" t="n">
        <v>308</v>
      </c>
      <c r="W35" t="n">
        <v>340</v>
      </c>
      <c r="X35" t="n">
        <v>357</v>
      </c>
      <c r="Y35" t="n">
        <v>435</v>
      </c>
      <c r="Z35" t="n">
        <v>609</v>
      </c>
      <c r="AA35" t="n">
        <v>714</v>
      </c>
      <c r="AB35" t="n">
        <v>829</v>
      </c>
      <c r="AC35" t="n">
        <v>1205</v>
      </c>
      <c r="AD35" t="n">
        <v>1094</v>
      </c>
      <c r="AE35" t="n">
        <v>982</v>
      </c>
      <c r="AF35" t="n">
        <v>912</v>
      </c>
    </row>
    <row r="36">
      <c r="A36" t="s">
        <v>118</v>
      </c>
      <c r="B36" t="s">
        <v>342</v>
      </c>
      <c r="C36" t="s">
        <v>236</v>
      </c>
      <c r="D36" t="s">
        <v>343</v>
      </c>
      <c r="E36" t="s">
        <v>237</v>
      </c>
      <c r="F36" t="n">
        <v>22</v>
      </c>
      <c r="G36" t="n">
        <v>21</v>
      </c>
      <c r="H36" t="n">
        <v>25</v>
      </c>
      <c r="I36" t="n">
        <v>26</v>
      </c>
      <c r="J36" t="n">
        <v>22</v>
      </c>
      <c r="K36" t="n">
        <v>21</v>
      </c>
      <c r="L36" t="n">
        <v>17</v>
      </c>
      <c r="M36" t="n">
        <v>13</v>
      </c>
      <c r="N36" t="n">
        <v>11</v>
      </c>
      <c r="O36" t="n">
        <v>10</v>
      </c>
      <c r="P36" t="n">
        <v>12</v>
      </c>
      <c r="Q36" t="n">
        <v>10</v>
      </c>
      <c r="R36" t="n">
        <v>11</v>
      </c>
      <c r="S36" t="n">
        <v>20</v>
      </c>
      <c r="T36" t="n">
        <v>18</v>
      </c>
      <c r="U36" t="n">
        <v>18</v>
      </c>
      <c r="V36" t="n">
        <v>15</v>
      </c>
      <c r="W36" t="n">
        <v>16</v>
      </c>
      <c r="X36" t="n">
        <v>14</v>
      </c>
      <c r="Y36" t="n">
        <v>13</v>
      </c>
      <c r="Z36" t="n">
        <v>35</v>
      </c>
      <c r="AA36" t="n">
        <v>54</v>
      </c>
      <c r="AB36" t="n">
        <v>70</v>
      </c>
      <c r="AC36" t="n">
        <v>70</v>
      </c>
      <c r="AD36" t="n">
        <v>59</v>
      </c>
      <c r="AE36" t="n">
        <v>47</v>
      </c>
      <c r="AF36" t="n">
        <v>45</v>
      </c>
    </row>
    <row r="37">
      <c r="A37" t="s">
        <v>118</v>
      </c>
      <c r="B37" t="s">
        <v>344</v>
      </c>
      <c r="C37" t="s">
        <v>236</v>
      </c>
      <c r="D37" t="s">
        <v>345</v>
      </c>
      <c r="E37" t="s">
        <v>237</v>
      </c>
      <c r="F37" t="n">
        <v>140</v>
      </c>
      <c r="G37" t="n">
        <v>150</v>
      </c>
      <c r="H37" t="n">
        <v>154</v>
      </c>
      <c r="I37" t="n">
        <v>182</v>
      </c>
      <c r="J37" t="n">
        <v>195</v>
      </c>
      <c r="K37" t="n">
        <v>183</v>
      </c>
      <c r="L37" t="n">
        <v>140</v>
      </c>
      <c r="M37" t="n">
        <v>121</v>
      </c>
      <c r="N37" t="n">
        <v>100</v>
      </c>
      <c r="O37" t="n">
        <v>102</v>
      </c>
      <c r="P37" t="n">
        <v>146</v>
      </c>
      <c r="Q37" t="n">
        <v>126</v>
      </c>
      <c r="R37" t="n">
        <v>113</v>
      </c>
      <c r="S37" t="n">
        <v>111</v>
      </c>
      <c r="T37" t="n">
        <v>95</v>
      </c>
      <c r="U37" t="n">
        <v>92</v>
      </c>
      <c r="V37" t="n">
        <v>107</v>
      </c>
      <c r="W37" t="n">
        <v>118</v>
      </c>
      <c r="X37" t="n">
        <v>127</v>
      </c>
      <c r="Y37" t="n">
        <v>134</v>
      </c>
      <c r="Z37" t="n">
        <v>141</v>
      </c>
      <c r="AA37" t="n">
        <v>150</v>
      </c>
      <c r="AB37" t="n">
        <v>147</v>
      </c>
      <c r="AC37" t="n">
        <v>156</v>
      </c>
      <c r="AD37" t="n">
        <v>151</v>
      </c>
      <c r="AE37" t="n">
        <v>158</v>
      </c>
      <c r="AF37" t="n">
        <v>161</v>
      </c>
    </row>
    <row r="38">
      <c r="A38" t="s">
        <v>118</v>
      </c>
      <c r="B38" t="s">
        <v>346</v>
      </c>
      <c r="C38" t="s">
        <v>236</v>
      </c>
      <c r="D38" t="s">
        <v>347</v>
      </c>
      <c r="E38" t="s">
        <v>237</v>
      </c>
      <c r="F38" t="n">
        <v>38</v>
      </c>
      <c r="G38" t="n">
        <v>44</v>
      </c>
      <c r="H38" t="n">
        <v>50</v>
      </c>
      <c r="I38" t="n">
        <v>62</v>
      </c>
      <c r="J38" t="n">
        <v>78</v>
      </c>
      <c r="K38" t="n">
        <v>85</v>
      </c>
      <c r="L38" t="n">
        <v>72</v>
      </c>
      <c r="M38" t="n">
        <v>67</v>
      </c>
      <c r="N38" t="n">
        <v>66</v>
      </c>
      <c r="O38" t="n">
        <v>71</v>
      </c>
      <c r="P38" t="n">
        <v>74</v>
      </c>
      <c r="Q38" t="n">
        <v>105</v>
      </c>
      <c r="R38" t="n">
        <v>127</v>
      </c>
      <c r="S38" t="n">
        <v>141</v>
      </c>
      <c r="T38" t="n">
        <v>137</v>
      </c>
      <c r="U38" t="n">
        <v>164</v>
      </c>
      <c r="V38" t="n">
        <v>186</v>
      </c>
      <c r="W38" t="n">
        <v>206</v>
      </c>
      <c r="X38" t="n">
        <v>216</v>
      </c>
      <c r="Y38" t="n">
        <v>288</v>
      </c>
      <c r="Z38" t="n">
        <v>433</v>
      </c>
      <c r="AA38" t="n">
        <v>510</v>
      </c>
      <c r="AB38" t="n">
        <v>612</v>
      </c>
      <c r="AC38" t="n">
        <v>979</v>
      </c>
      <c r="AD38" t="n">
        <v>884</v>
      </c>
      <c r="AE38" t="n">
        <v>777</v>
      </c>
      <c r="AF38" t="n">
        <v>706</v>
      </c>
    </row>
    <row r="39">
      <c r="A39" t="s">
        <v>118</v>
      </c>
      <c r="B39" t="s">
        <v>348</v>
      </c>
      <c r="C39" t="s">
        <v>236</v>
      </c>
      <c r="D39" t="s">
        <v>349</v>
      </c>
      <c r="E39" t="s">
        <v>237</v>
      </c>
      <c r="F39" t="n">
        <v>18</v>
      </c>
      <c r="G39" t="n">
        <v>34</v>
      </c>
      <c r="H39" t="n">
        <v>46</v>
      </c>
      <c r="I39" t="n">
        <v>53</v>
      </c>
      <c r="J39" t="n">
        <v>53</v>
      </c>
      <c r="K39" t="n">
        <v>79</v>
      </c>
      <c r="L39" t="n">
        <v>80</v>
      </c>
      <c r="M39" t="n">
        <v>88</v>
      </c>
      <c r="N39" t="n">
        <v>101</v>
      </c>
      <c r="O39" t="n">
        <v>82</v>
      </c>
      <c r="P39" t="n">
        <v>95</v>
      </c>
      <c r="Q39" t="n">
        <v>71</v>
      </c>
      <c r="R39" t="n">
        <v>84</v>
      </c>
      <c r="S39" t="n">
        <v>103</v>
      </c>
      <c r="T39" t="n">
        <v>98</v>
      </c>
      <c r="U39" t="n">
        <v>96</v>
      </c>
      <c r="V39" t="n">
        <v>98</v>
      </c>
      <c r="W39" t="n">
        <v>100</v>
      </c>
      <c r="X39" t="n">
        <v>105</v>
      </c>
      <c r="Y39" t="n">
        <v>114</v>
      </c>
      <c r="Z39" t="n">
        <v>112</v>
      </c>
      <c r="AA39" t="n">
        <v>112</v>
      </c>
      <c r="AB39" t="n">
        <v>173</v>
      </c>
      <c r="AC39" t="n">
        <v>179</v>
      </c>
      <c r="AD39" t="n">
        <v>214</v>
      </c>
      <c r="AE39" t="n">
        <v>224</v>
      </c>
      <c r="AF39" t="n">
        <v>222</v>
      </c>
    </row>
    <row r="40">
      <c r="A40" t="s">
        <v>118</v>
      </c>
      <c r="B40" t="s">
        <v>350</v>
      </c>
      <c r="C40" t="s">
        <v>236</v>
      </c>
      <c r="D40" t="s">
        <v>351</v>
      </c>
      <c r="E40" t="s">
        <v>237</v>
      </c>
      <c r="F40" t="n">
        <v>2</v>
      </c>
      <c r="G40" t="n">
        <v>3</v>
      </c>
      <c r="H40" t="n">
        <v>3</v>
      </c>
      <c r="I40" t="n">
        <v>3</v>
      </c>
      <c r="J40" t="n">
        <v>3</v>
      </c>
      <c r="K40" t="n">
        <v>3</v>
      </c>
      <c r="L40" t="n">
        <v>2</v>
      </c>
      <c r="M40" t="n">
        <v>1</v>
      </c>
      <c r="N40" t="n">
        <v>2</v>
      </c>
      <c r="O40" t="n">
        <v>2</v>
      </c>
      <c r="P40" t="n">
        <v>3</v>
      </c>
      <c r="Q40" t="n">
        <v>4</v>
      </c>
      <c r="R40" t="n">
        <v>4</v>
      </c>
      <c r="S40" t="n">
        <v>13</v>
      </c>
      <c r="T40" t="n">
        <v>13</v>
      </c>
      <c r="U40" t="n">
        <v>11</v>
      </c>
      <c r="V40" t="n">
        <v>10</v>
      </c>
      <c r="W40" t="n">
        <v>11</v>
      </c>
      <c r="X40" t="n">
        <v>12</v>
      </c>
      <c r="Y40" t="n">
        <v>12</v>
      </c>
      <c r="Z40" t="n">
        <v>13</v>
      </c>
      <c r="AA40" t="n">
        <v>14</v>
      </c>
      <c r="AB40" t="n">
        <v>15</v>
      </c>
      <c r="AC40" t="n">
        <v>16</v>
      </c>
      <c r="AD40" t="n">
        <v>16</v>
      </c>
      <c r="AE40" t="n">
        <v>16</v>
      </c>
      <c r="AF40" t="n">
        <v>15</v>
      </c>
    </row>
    <row r="41">
      <c r="A41" t="s">
        <v>118</v>
      </c>
      <c r="B41" t="s">
        <v>352</v>
      </c>
      <c r="C41" t="s">
        <v>236</v>
      </c>
      <c r="D41" t="s">
        <v>353</v>
      </c>
      <c r="E41" t="s">
        <v>237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118</v>
      </c>
      <c r="B42" t="s">
        <v>354</v>
      </c>
      <c r="C42" t="s">
        <v>236</v>
      </c>
      <c r="D42" t="s">
        <v>355</v>
      </c>
      <c r="E42" t="s">
        <v>237</v>
      </c>
      <c r="F42" t="n">
        <v>56</v>
      </c>
      <c r="G42" t="n">
        <v>60</v>
      </c>
      <c r="H42" t="n">
        <v>48</v>
      </c>
      <c r="I42" t="n">
        <v>50</v>
      </c>
      <c r="J42" t="n">
        <v>48</v>
      </c>
      <c r="K42" t="n">
        <v>41</v>
      </c>
      <c r="L42" t="n">
        <v>26</v>
      </c>
      <c r="M42" t="n">
        <v>19</v>
      </c>
      <c r="N42" t="n">
        <v>20</v>
      </c>
      <c r="O42" t="n">
        <v>21</v>
      </c>
      <c r="P42" t="n">
        <v>21</v>
      </c>
      <c r="Q42" t="n">
        <v>26</v>
      </c>
      <c r="R42" t="n">
        <v>36</v>
      </c>
      <c r="S42" t="n">
        <v>68</v>
      </c>
      <c r="T42" t="n">
        <v>53</v>
      </c>
      <c r="U42" t="n">
        <v>50</v>
      </c>
      <c r="V42" t="n">
        <v>118</v>
      </c>
      <c r="W42" t="n">
        <v>117</v>
      </c>
      <c r="X42" t="n">
        <v>108</v>
      </c>
      <c r="Y42" t="n">
        <v>102</v>
      </c>
      <c r="Z42" t="n">
        <v>97</v>
      </c>
      <c r="AA42" t="n">
        <v>102</v>
      </c>
      <c r="AB42" t="n">
        <v>109</v>
      </c>
      <c r="AC42" t="n">
        <v>104</v>
      </c>
      <c r="AD42" t="n">
        <v>100</v>
      </c>
      <c r="AE42" t="n">
        <v>91</v>
      </c>
      <c r="AF42" t="n">
        <v>81</v>
      </c>
    </row>
    <row r="43">
      <c r="A43" t="s">
        <v>118</v>
      </c>
      <c r="B43" t="s">
        <v>356</v>
      </c>
      <c r="C43" t="s">
        <v>236</v>
      </c>
      <c r="D43" t="s">
        <v>357</v>
      </c>
      <c r="E43" t="s">
        <v>237</v>
      </c>
      <c r="F43" t="n">
        <v>65</v>
      </c>
      <c r="G43" t="n">
        <v>68</v>
      </c>
      <c r="H43" t="n">
        <v>53</v>
      </c>
      <c r="I43" t="n">
        <v>57</v>
      </c>
      <c r="J43" t="n">
        <v>54</v>
      </c>
      <c r="K43" t="n">
        <v>47</v>
      </c>
      <c r="L43" t="n">
        <v>30</v>
      </c>
      <c r="M43" t="n">
        <v>21</v>
      </c>
      <c r="N43" t="n">
        <v>21</v>
      </c>
      <c r="O43" t="n">
        <v>21</v>
      </c>
      <c r="P43" t="n">
        <v>22</v>
      </c>
      <c r="Q43" t="n">
        <v>31</v>
      </c>
      <c r="R43" t="n">
        <v>110</v>
      </c>
      <c r="S43" t="n">
        <v>220</v>
      </c>
      <c r="T43" t="n">
        <v>208</v>
      </c>
      <c r="U43" t="n">
        <v>188</v>
      </c>
      <c r="V43" t="n">
        <v>267</v>
      </c>
      <c r="W43" t="n">
        <v>274</v>
      </c>
      <c r="X43" t="n">
        <v>263</v>
      </c>
      <c r="Y43" t="n">
        <v>250</v>
      </c>
      <c r="Z43" t="n">
        <v>221</v>
      </c>
      <c r="AA43" t="n">
        <v>217</v>
      </c>
      <c r="AB43" t="n">
        <v>213</v>
      </c>
      <c r="AC43" t="n">
        <v>201</v>
      </c>
      <c r="AD43" t="n">
        <v>191</v>
      </c>
      <c r="AE43" t="n">
        <v>175</v>
      </c>
      <c r="AF43" t="n">
        <v>157</v>
      </c>
    </row>
    <row r="44">
      <c r="A44" t="s">
        <v>118</v>
      </c>
      <c r="B44" t="s">
        <v>358</v>
      </c>
      <c r="C44" t="s">
        <v>236</v>
      </c>
      <c r="D44" t="s">
        <v>359</v>
      </c>
      <c r="E44" t="s">
        <v>237</v>
      </c>
      <c r="F44" t="n">
        <v>1173</v>
      </c>
      <c r="G44" t="n">
        <v>1184</v>
      </c>
      <c r="H44" t="n">
        <v>1155</v>
      </c>
      <c r="I44" t="n">
        <v>1277</v>
      </c>
      <c r="J44" t="n">
        <v>1294</v>
      </c>
      <c r="K44" t="n">
        <v>1200</v>
      </c>
      <c r="L44" t="n">
        <v>953</v>
      </c>
      <c r="M44" t="n">
        <v>812</v>
      </c>
      <c r="N44" t="n">
        <v>760</v>
      </c>
      <c r="O44" t="n">
        <v>743</v>
      </c>
      <c r="P44" t="n">
        <v>811</v>
      </c>
      <c r="Q44" t="n">
        <v>844</v>
      </c>
      <c r="R44" t="n">
        <v>1038</v>
      </c>
      <c r="S44" t="n">
        <v>1210</v>
      </c>
      <c r="T44" t="n">
        <v>1170</v>
      </c>
      <c r="U44" t="n">
        <v>1111</v>
      </c>
      <c r="V44" t="n">
        <v>1206</v>
      </c>
      <c r="W44" t="n">
        <v>1262</v>
      </c>
      <c r="X44" t="n">
        <v>1240</v>
      </c>
      <c r="Y44" t="n">
        <v>1310</v>
      </c>
      <c r="Z44" t="n">
        <v>1478</v>
      </c>
      <c r="AA44" t="n">
        <v>1591</v>
      </c>
      <c r="AB44" t="n">
        <v>1779</v>
      </c>
      <c r="AC44" t="n">
        <v>2150</v>
      </c>
      <c r="AD44" t="n">
        <v>2043</v>
      </c>
      <c r="AE44" t="n">
        <v>1899</v>
      </c>
      <c r="AF44" t="n">
        <v>1793</v>
      </c>
    </row>
    <row r="45">
      <c r="A45" t="s">
        <v>118</v>
      </c>
      <c r="B45" t="s">
        <v>360</v>
      </c>
      <c r="C45" t="s">
        <v>236</v>
      </c>
      <c r="D45" t="s">
        <v>361</v>
      </c>
      <c r="E45" t="s">
        <v>237</v>
      </c>
      <c r="F45" t="n">
        <v>1096</v>
      </c>
      <c r="G45" t="n">
        <v>1118</v>
      </c>
      <c r="H45" t="n">
        <v>1092</v>
      </c>
      <c r="I45" t="n">
        <v>1209</v>
      </c>
      <c r="J45" t="n">
        <v>1224</v>
      </c>
      <c r="K45" t="n">
        <v>1141</v>
      </c>
      <c r="L45" t="n">
        <v>909</v>
      </c>
      <c r="M45" t="n">
        <v>775</v>
      </c>
      <c r="N45" t="n">
        <v>726</v>
      </c>
      <c r="O45" t="n">
        <v>708</v>
      </c>
      <c r="P45" t="n">
        <v>774</v>
      </c>
      <c r="Q45" t="n">
        <v>808</v>
      </c>
      <c r="R45" t="n">
        <v>1002</v>
      </c>
      <c r="S45" t="n">
        <v>1174</v>
      </c>
      <c r="T45" t="n">
        <v>1133</v>
      </c>
      <c r="U45" t="n">
        <v>1073</v>
      </c>
      <c r="V45" t="n">
        <v>1167</v>
      </c>
      <c r="W45" t="n">
        <v>1223</v>
      </c>
      <c r="X45" t="n">
        <v>1201</v>
      </c>
      <c r="Y45" t="n">
        <v>1270</v>
      </c>
      <c r="Z45" t="n">
        <v>1439</v>
      </c>
      <c r="AA45" t="n">
        <v>1551</v>
      </c>
      <c r="AB45" t="n">
        <v>1739</v>
      </c>
      <c r="AC45" t="n">
        <v>2112</v>
      </c>
      <c r="AD45" t="n">
        <v>2008</v>
      </c>
      <c r="AE45" t="n">
        <v>1866</v>
      </c>
      <c r="AF45" t="n">
        <v>1762</v>
      </c>
    </row>
    <row r="46">
      <c r="A46" t="s">
        <v>118</v>
      </c>
      <c r="B46" t="s">
        <v>362</v>
      </c>
      <c r="C46" t="s">
        <v>236</v>
      </c>
      <c r="D46" t="s">
        <v>363</v>
      </c>
      <c r="E46" t="s">
        <v>237</v>
      </c>
      <c r="F46" t="n">
        <v>9</v>
      </c>
      <c r="G46" t="n">
        <v>8</v>
      </c>
      <c r="H46" t="n">
        <v>5</v>
      </c>
      <c r="I46" t="n">
        <v>7</v>
      </c>
      <c r="J46" t="n">
        <v>6</v>
      </c>
      <c r="K46" t="n">
        <v>6</v>
      </c>
      <c r="L46" t="n">
        <v>4</v>
      </c>
      <c r="M46" t="n">
        <v>2</v>
      </c>
      <c r="N46" t="n">
        <v>1</v>
      </c>
      <c r="O46" t="n">
        <v>0</v>
      </c>
      <c r="P46" t="n">
        <v>1</v>
      </c>
      <c r="Q46" t="n">
        <v>5</v>
      </c>
      <c r="R46" t="n">
        <v>74</v>
      </c>
      <c r="S46" t="n">
        <v>152</v>
      </c>
      <c r="T46" t="n">
        <v>155</v>
      </c>
      <c r="U46" t="n">
        <v>138</v>
      </c>
      <c r="V46" t="n">
        <v>149</v>
      </c>
      <c r="W46" t="n">
        <v>157</v>
      </c>
      <c r="X46" t="n">
        <v>155</v>
      </c>
      <c r="Y46" t="n">
        <v>148</v>
      </c>
      <c r="Z46" t="n">
        <v>124</v>
      </c>
      <c r="AA46" t="n">
        <v>115</v>
      </c>
      <c r="AB46" t="n">
        <v>104</v>
      </c>
      <c r="AC46" t="n">
        <v>97</v>
      </c>
      <c r="AD46" t="n">
        <v>91</v>
      </c>
      <c r="AE46" t="n">
        <v>84</v>
      </c>
      <c r="AF46" t="n">
        <v>76</v>
      </c>
    </row>
    <row r="47">
      <c r="A47" t="s">
        <v>118</v>
      </c>
      <c r="B47" t="s">
        <v>364</v>
      </c>
      <c r="C47" t="s">
        <v>236</v>
      </c>
      <c r="D47" t="s">
        <v>365</v>
      </c>
      <c r="E47" t="s">
        <v>237</v>
      </c>
      <c r="F47" t="n">
        <v>137</v>
      </c>
      <c r="G47" t="n">
        <v>139</v>
      </c>
      <c r="H47" t="n">
        <v>130</v>
      </c>
      <c r="I47" t="n">
        <v>143</v>
      </c>
      <c r="J47" t="n">
        <v>166</v>
      </c>
      <c r="K47" t="n">
        <v>156</v>
      </c>
      <c r="L47" t="n">
        <v>123</v>
      </c>
      <c r="M47" t="n">
        <v>105</v>
      </c>
      <c r="N47" t="n">
        <v>99</v>
      </c>
      <c r="O47" t="n">
        <v>98</v>
      </c>
      <c r="P47" t="n">
        <v>101</v>
      </c>
      <c r="Q47" t="n">
        <v>85</v>
      </c>
      <c r="R47" t="n">
        <v>77</v>
      </c>
      <c r="S47" t="n">
        <v>74</v>
      </c>
      <c r="T47" t="n">
        <v>75</v>
      </c>
      <c r="U47" t="n">
        <v>82</v>
      </c>
      <c r="V47" t="n">
        <v>82</v>
      </c>
      <c r="W47" t="n">
        <v>86</v>
      </c>
      <c r="X47" t="n">
        <v>79</v>
      </c>
      <c r="Y47" t="n">
        <v>78</v>
      </c>
      <c r="Z47" t="n">
        <v>82</v>
      </c>
      <c r="AA47" t="n">
        <v>87</v>
      </c>
      <c r="AB47" t="n">
        <v>93</v>
      </c>
      <c r="AC47" t="n">
        <v>104</v>
      </c>
      <c r="AD47" t="n">
        <v>120</v>
      </c>
      <c r="AE47" t="n">
        <v>161</v>
      </c>
      <c r="AF47" t="n">
        <v>163</v>
      </c>
    </row>
    <row r="48">
      <c r="A48" t="s">
        <v>118</v>
      </c>
      <c r="B48" t="s">
        <v>366</v>
      </c>
      <c r="C48" t="s">
        <v>236</v>
      </c>
      <c r="D48" t="s">
        <v>367</v>
      </c>
      <c r="E48" t="s">
        <v>237</v>
      </c>
      <c r="F48" t="n">
        <v>197</v>
      </c>
      <c r="G48" t="n">
        <v>198</v>
      </c>
      <c r="H48" t="n">
        <v>187</v>
      </c>
      <c r="I48" t="n">
        <v>205</v>
      </c>
      <c r="J48" t="n">
        <v>232</v>
      </c>
      <c r="K48" t="n">
        <v>218</v>
      </c>
      <c r="L48" t="n">
        <v>173</v>
      </c>
      <c r="M48" t="n">
        <v>151</v>
      </c>
      <c r="N48" t="n">
        <v>141</v>
      </c>
      <c r="O48" t="n">
        <v>142</v>
      </c>
      <c r="P48" t="n">
        <v>147</v>
      </c>
      <c r="Q48" t="n">
        <v>144</v>
      </c>
      <c r="R48" t="n">
        <v>157</v>
      </c>
      <c r="S48" t="n">
        <v>168</v>
      </c>
      <c r="T48" t="n">
        <v>185</v>
      </c>
      <c r="U48" t="n">
        <v>182</v>
      </c>
      <c r="V48" t="n">
        <v>183</v>
      </c>
      <c r="W48" t="n">
        <v>191</v>
      </c>
      <c r="X48" t="n">
        <v>189</v>
      </c>
      <c r="Y48" t="n">
        <v>186</v>
      </c>
      <c r="Z48" t="n">
        <v>189</v>
      </c>
      <c r="AA48" t="n">
        <v>192</v>
      </c>
      <c r="AB48" t="n">
        <v>200</v>
      </c>
      <c r="AC48" t="n">
        <v>218</v>
      </c>
      <c r="AD48" t="n">
        <v>233</v>
      </c>
      <c r="AE48" t="n">
        <v>274</v>
      </c>
      <c r="AF48" t="n">
        <v>268</v>
      </c>
    </row>
    <row r="49">
      <c r="A49" t="s">
        <v>118</v>
      </c>
      <c r="B49" t="s">
        <v>368</v>
      </c>
      <c r="C49" t="s">
        <v>236</v>
      </c>
      <c r="D49" t="s">
        <v>369</v>
      </c>
      <c r="E49" t="s">
        <v>237</v>
      </c>
      <c r="F49" t="n">
        <v>31</v>
      </c>
      <c r="G49" t="n">
        <v>29</v>
      </c>
      <c r="H49" t="n">
        <v>26</v>
      </c>
      <c r="I49" t="n">
        <v>27</v>
      </c>
      <c r="J49" t="n">
        <v>28</v>
      </c>
      <c r="K49" t="n">
        <v>26</v>
      </c>
      <c r="L49" t="n">
        <v>20</v>
      </c>
      <c r="M49" t="n">
        <v>18</v>
      </c>
      <c r="N49" t="n">
        <v>17</v>
      </c>
      <c r="O49" t="n">
        <v>17</v>
      </c>
      <c r="P49" t="n">
        <v>16</v>
      </c>
      <c r="Q49" t="n">
        <v>31</v>
      </c>
      <c r="R49" t="n">
        <v>46</v>
      </c>
      <c r="S49" t="n">
        <v>57</v>
      </c>
      <c r="T49" t="n">
        <v>70</v>
      </c>
      <c r="U49" t="n">
        <v>62</v>
      </c>
      <c r="V49" t="n">
        <v>62</v>
      </c>
      <c r="W49" t="n">
        <v>65</v>
      </c>
      <c r="X49" t="n">
        <v>68</v>
      </c>
      <c r="Y49" t="n">
        <v>69</v>
      </c>
      <c r="Z49" t="n">
        <v>67</v>
      </c>
      <c r="AA49" t="n">
        <v>65</v>
      </c>
      <c r="AB49" t="n">
        <v>65</v>
      </c>
      <c r="AC49" t="n">
        <v>65</v>
      </c>
      <c r="AD49" t="n">
        <v>63</v>
      </c>
      <c r="AE49" t="n">
        <v>62</v>
      </c>
      <c r="AF49" t="n">
        <v>58</v>
      </c>
    </row>
    <row r="50">
      <c r="A50" t="s">
        <v>118</v>
      </c>
      <c r="B50" t="s">
        <v>370</v>
      </c>
      <c r="C50" t="s">
        <v>236</v>
      </c>
      <c r="D50" t="s">
        <v>371</v>
      </c>
      <c r="E50" t="s">
        <v>237</v>
      </c>
      <c r="F50" t="n">
        <v>29</v>
      </c>
      <c r="G50" t="n">
        <v>30</v>
      </c>
      <c r="H50" t="n">
        <v>31</v>
      </c>
      <c r="I50" t="n">
        <v>35</v>
      </c>
      <c r="J50" t="n">
        <v>38</v>
      </c>
      <c r="K50" t="n">
        <v>36</v>
      </c>
      <c r="L50" t="n">
        <v>30</v>
      </c>
      <c r="M50" t="n">
        <v>28</v>
      </c>
      <c r="N50" t="n">
        <v>25</v>
      </c>
      <c r="O50" t="n">
        <v>27</v>
      </c>
      <c r="P50" t="n">
        <v>30</v>
      </c>
      <c r="Q50" t="n">
        <v>28</v>
      </c>
      <c r="R50" t="n">
        <v>34</v>
      </c>
      <c r="S50" t="n">
        <v>37</v>
      </c>
      <c r="T50" t="n">
        <v>40</v>
      </c>
      <c r="U50" t="n">
        <v>38</v>
      </c>
      <c r="V50" t="n">
        <v>39</v>
      </c>
      <c r="W50" t="n">
        <v>40</v>
      </c>
      <c r="X50" t="n">
        <v>42</v>
      </c>
      <c r="Y50" t="n">
        <v>39</v>
      </c>
      <c r="Z50" t="n">
        <v>40</v>
      </c>
      <c r="AA50" t="n">
        <v>40</v>
      </c>
      <c r="AB50" t="n">
        <v>42</v>
      </c>
      <c r="AC50" t="n">
        <v>49</v>
      </c>
      <c r="AD50" t="n">
        <v>50</v>
      </c>
      <c r="AE50" t="n">
        <v>51</v>
      </c>
      <c r="AF50" t="n">
        <v>47</v>
      </c>
    </row>
    <row r="51">
      <c r="A51" t="s">
        <v>118</v>
      </c>
      <c r="B51" t="s">
        <v>372</v>
      </c>
      <c r="C51" t="s">
        <v>236</v>
      </c>
      <c r="D51" t="s">
        <v>373</v>
      </c>
      <c r="E51" t="s">
        <v>237</v>
      </c>
      <c r="F51" t="n">
        <v>27</v>
      </c>
      <c r="G51" t="n">
        <v>28</v>
      </c>
      <c r="H51" t="n">
        <v>29</v>
      </c>
      <c r="I51" t="n">
        <v>33</v>
      </c>
      <c r="J51" t="n">
        <v>36</v>
      </c>
      <c r="K51" t="n">
        <v>34</v>
      </c>
      <c r="L51" t="n">
        <v>28</v>
      </c>
      <c r="M51" t="n">
        <v>27</v>
      </c>
      <c r="N51" t="n">
        <v>25</v>
      </c>
      <c r="O51" t="n">
        <v>26</v>
      </c>
      <c r="P51" t="n">
        <v>28</v>
      </c>
      <c r="Q51" t="n">
        <v>26</v>
      </c>
      <c r="R51" t="n">
        <v>30</v>
      </c>
      <c r="S51" t="n">
        <v>31</v>
      </c>
      <c r="T51" t="n">
        <v>33</v>
      </c>
      <c r="U51" t="n">
        <v>30</v>
      </c>
      <c r="V51" t="n">
        <v>31</v>
      </c>
      <c r="W51" t="n">
        <v>32</v>
      </c>
      <c r="X51" t="n">
        <v>34</v>
      </c>
      <c r="Y51" t="n">
        <v>33</v>
      </c>
      <c r="Z51" t="n">
        <v>34</v>
      </c>
      <c r="AA51" t="n">
        <v>34</v>
      </c>
      <c r="AB51" t="n">
        <v>35</v>
      </c>
      <c r="AC51" t="n">
        <v>37</v>
      </c>
      <c r="AD51" t="n">
        <v>38</v>
      </c>
      <c r="AE51" t="n">
        <v>36</v>
      </c>
      <c r="AF51" t="n">
        <v>33</v>
      </c>
    </row>
    <row r="52">
      <c r="A52" t="s">
        <v>118</v>
      </c>
      <c r="B52" t="s">
        <v>374</v>
      </c>
      <c r="C52" t="s">
        <v>236</v>
      </c>
      <c r="D52" t="s">
        <v>375</v>
      </c>
      <c r="E52" t="s">
        <v>237</v>
      </c>
      <c r="F52" t="n">
        <v>2</v>
      </c>
      <c r="G52" t="n">
        <v>2</v>
      </c>
      <c r="H52" t="n">
        <v>2</v>
      </c>
      <c r="I52" t="n">
        <v>2</v>
      </c>
      <c r="J52" t="n">
        <v>2</v>
      </c>
      <c r="K52" t="n">
        <v>2</v>
      </c>
      <c r="L52" t="n">
        <v>2</v>
      </c>
      <c r="M52" t="n">
        <v>1</v>
      </c>
      <c r="N52" t="n">
        <v>0</v>
      </c>
      <c r="O52" t="n">
        <v>1</v>
      </c>
      <c r="P52" t="n">
        <v>2</v>
      </c>
      <c r="Q52" t="n">
        <v>2</v>
      </c>
      <c r="R52" t="n">
        <v>4</v>
      </c>
      <c r="S52" t="n">
        <v>6</v>
      </c>
      <c r="T52" t="n">
        <v>7</v>
      </c>
      <c r="U52" t="n">
        <v>8</v>
      </c>
      <c r="V52" t="n">
        <v>8</v>
      </c>
      <c r="W52" t="n">
        <v>8</v>
      </c>
      <c r="X52" t="n">
        <v>8</v>
      </c>
      <c r="Y52" t="n">
        <v>6</v>
      </c>
      <c r="Z52" t="n">
        <v>6</v>
      </c>
      <c r="AA52" t="n">
        <v>6</v>
      </c>
      <c r="AB52" t="n">
        <v>7</v>
      </c>
      <c r="AC52" t="n">
        <v>12</v>
      </c>
      <c r="AD52" t="n">
        <v>12</v>
      </c>
      <c r="AE52" t="n">
        <v>15</v>
      </c>
      <c r="AF52" t="n">
        <v>14</v>
      </c>
    </row>
    <row r="53">
      <c r="A53" t="s">
        <v>118</v>
      </c>
      <c r="B53" t="s">
        <v>376</v>
      </c>
      <c r="C53" t="s">
        <v>236</v>
      </c>
      <c r="D53" t="s">
        <v>377</v>
      </c>
      <c r="E53" t="s">
        <v>237</v>
      </c>
      <c r="F53" t="n">
        <v>16</v>
      </c>
      <c r="G53" t="n">
        <v>18</v>
      </c>
      <c r="H53" t="n">
        <v>21</v>
      </c>
      <c r="I53" t="n">
        <v>25</v>
      </c>
      <c r="J53" t="n">
        <v>16</v>
      </c>
      <c r="K53" t="n">
        <v>17</v>
      </c>
      <c r="L53" t="n">
        <v>15</v>
      </c>
      <c r="M53" t="n">
        <v>14</v>
      </c>
      <c r="N53" t="n">
        <v>13</v>
      </c>
      <c r="O53" t="n">
        <v>15</v>
      </c>
      <c r="P53" t="n">
        <v>13</v>
      </c>
      <c r="Q53" t="n">
        <v>15</v>
      </c>
      <c r="R53" t="n">
        <v>14</v>
      </c>
      <c r="S53" t="n">
        <v>14</v>
      </c>
      <c r="T53" t="n">
        <v>14</v>
      </c>
      <c r="U53" t="n">
        <v>11</v>
      </c>
      <c r="V53" t="n">
        <v>14</v>
      </c>
      <c r="W53" t="n">
        <v>15</v>
      </c>
      <c r="X53" t="n">
        <v>17</v>
      </c>
      <c r="Y53" t="n">
        <v>16</v>
      </c>
      <c r="Z53" t="n">
        <v>17</v>
      </c>
      <c r="AA53" t="n">
        <v>18</v>
      </c>
      <c r="AB53" t="n">
        <v>19</v>
      </c>
      <c r="AC53" t="n">
        <v>19</v>
      </c>
      <c r="AD53" t="n">
        <v>18</v>
      </c>
      <c r="AE53" t="n">
        <v>16</v>
      </c>
      <c r="AF53" t="n">
        <v>13</v>
      </c>
    </row>
    <row r="54">
      <c r="A54" t="s">
        <v>118</v>
      </c>
      <c r="B54" t="s">
        <v>378</v>
      </c>
      <c r="C54" t="s">
        <v>236</v>
      </c>
      <c r="D54" t="s">
        <v>379</v>
      </c>
      <c r="E54" t="s">
        <v>237</v>
      </c>
      <c r="F54" t="n">
        <v>27</v>
      </c>
      <c r="G54" t="n">
        <v>28</v>
      </c>
      <c r="H54" t="n">
        <v>29</v>
      </c>
      <c r="I54" t="n">
        <v>35</v>
      </c>
      <c r="J54" t="n">
        <v>28</v>
      </c>
      <c r="K54" t="n">
        <v>27</v>
      </c>
      <c r="L54" t="n">
        <v>25</v>
      </c>
      <c r="M54" t="n">
        <v>21</v>
      </c>
      <c r="N54" t="n">
        <v>22</v>
      </c>
      <c r="O54" t="n">
        <v>22</v>
      </c>
      <c r="P54" t="n">
        <v>22</v>
      </c>
      <c r="Q54" t="n">
        <v>27</v>
      </c>
      <c r="R54" t="n">
        <v>25</v>
      </c>
      <c r="S54" t="n">
        <v>26</v>
      </c>
      <c r="T54" t="n">
        <v>25</v>
      </c>
      <c r="U54" t="n">
        <v>24</v>
      </c>
      <c r="V54" t="n">
        <v>26</v>
      </c>
      <c r="W54" t="n">
        <v>29</v>
      </c>
      <c r="X54" t="n">
        <v>31</v>
      </c>
      <c r="Y54" t="n">
        <v>29</v>
      </c>
      <c r="Z54" t="n">
        <v>30</v>
      </c>
      <c r="AA54" t="n">
        <v>31</v>
      </c>
      <c r="AB54" t="n">
        <v>32</v>
      </c>
      <c r="AC54" t="n">
        <v>30</v>
      </c>
      <c r="AD54" t="n">
        <v>28</v>
      </c>
      <c r="AE54" t="n">
        <v>22</v>
      </c>
      <c r="AF54" t="n">
        <v>18</v>
      </c>
    </row>
    <row r="55">
      <c r="A55" t="s">
        <v>118</v>
      </c>
      <c r="B55" t="s">
        <v>380</v>
      </c>
      <c r="C55" t="s">
        <v>236</v>
      </c>
      <c r="D55" t="s">
        <v>381</v>
      </c>
      <c r="E55" t="s">
        <v>237</v>
      </c>
      <c r="F55" t="n">
        <v>11</v>
      </c>
      <c r="G55" t="n">
        <v>10</v>
      </c>
      <c r="H55" t="n">
        <v>8</v>
      </c>
      <c r="I55" t="n">
        <v>10</v>
      </c>
      <c r="J55" t="n">
        <v>12</v>
      </c>
      <c r="K55" t="n">
        <v>10</v>
      </c>
      <c r="L55" t="n">
        <v>10</v>
      </c>
      <c r="M55" t="n">
        <v>7</v>
      </c>
      <c r="N55" t="n">
        <v>9</v>
      </c>
      <c r="O55" t="n">
        <v>7</v>
      </c>
      <c r="P55" t="n">
        <v>9</v>
      </c>
      <c r="Q55" t="n">
        <v>12</v>
      </c>
      <c r="R55" t="n">
        <v>11</v>
      </c>
      <c r="S55" t="n">
        <v>12</v>
      </c>
      <c r="T55" t="n">
        <v>11</v>
      </c>
      <c r="U55" t="n">
        <v>13</v>
      </c>
      <c r="V55" t="n">
        <v>12</v>
      </c>
      <c r="W55" t="n">
        <v>14</v>
      </c>
      <c r="X55" t="n">
        <v>14</v>
      </c>
      <c r="Y55" t="n">
        <v>13</v>
      </c>
      <c r="Z55" t="n">
        <v>13</v>
      </c>
      <c r="AA55" t="n">
        <v>13</v>
      </c>
      <c r="AB55" t="n">
        <v>13</v>
      </c>
      <c r="AC55" t="n">
        <v>11</v>
      </c>
      <c r="AD55" t="n">
        <v>10</v>
      </c>
      <c r="AE55" t="n">
        <v>6</v>
      </c>
      <c r="AF55" t="n">
        <v>5</v>
      </c>
    </row>
    <row r="56">
      <c r="A56" t="s">
        <v>118</v>
      </c>
      <c r="B56" t="s">
        <v>382</v>
      </c>
      <c r="C56" t="s">
        <v>236</v>
      </c>
      <c r="D56" t="s">
        <v>383</v>
      </c>
      <c r="E56" t="s">
        <v>237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118</v>
      </c>
      <c r="B57" t="s">
        <v>384</v>
      </c>
      <c r="C57" t="s">
        <v>236</v>
      </c>
      <c r="D57" t="s">
        <v>385</v>
      </c>
      <c r="E57" t="s">
        <v>237</v>
      </c>
      <c r="F57" t="n">
        <v>1372</v>
      </c>
      <c r="G57" t="n">
        <v>1385</v>
      </c>
      <c r="H57" t="n">
        <v>1345</v>
      </c>
      <c r="I57" t="n">
        <v>1485</v>
      </c>
      <c r="J57" t="n">
        <v>1529</v>
      </c>
      <c r="K57" t="n">
        <v>1421</v>
      </c>
      <c r="L57" t="n">
        <v>1128</v>
      </c>
      <c r="M57" t="n">
        <v>964</v>
      </c>
      <c r="N57" t="n">
        <v>903</v>
      </c>
      <c r="O57" t="n">
        <v>887</v>
      </c>
      <c r="P57" t="n">
        <v>961</v>
      </c>
      <c r="Q57" t="n">
        <v>992</v>
      </c>
      <c r="R57" t="n">
        <v>1199</v>
      </c>
      <c r="S57" t="n">
        <v>1391</v>
      </c>
      <c r="T57" t="n">
        <v>1368</v>
      </c>
      <c r="U57" t="n">
        <v>1304</v>
      </c>
      <c r="V57" t="n">
        <v>1399</v>
      </c>
      <c r="W57" t="n">
        <v>1464</v>
      </c>
      <c r="X57" t="n">
        <v>1441</v>
      </c>
      <c r="Y57" t="n">
        <v>1508</v>
      </c>
      <c r="Z57" t="n">
        <v>1680</v>
      </c>
      <c r="AA57" t="n">
        <v>1797</v>
      </c>
      <c r="AB57" t="n">
        <v>1994</v>
      </c>
      <c r="AC57" t="n">
        <v>2384</v>
      </c>
      <c r="AD57" t="n">
        <v>2292</v>
      </c>
      <c r="AE57" t="n">
        <v>2189</v>
      </c>
      <c r="AF57" t="n">
        <v>2076</v>
      </c>
    </row>
    <row r="58">
      <c r="A58" t="s">
        <v>118</v>
      </c>
      <c r="B58" t="s">
        <v>386</v>
      </c>
      <c r="C58" t="s">
        <v>236</v>
      </c>
      <c r="D58" t="s">
        <v>387</v>
      </c>
      <c r="E58" t="s">
        <v>237</v>
      </c>
      <c r="F58" t="n">
        <v>1372</v>
      </c>
      <c r="G58" t="n">
        <v>1385</v>
      </c>
      <c r="H58" t="n">
        <v>1345</v>
      </c>
      <c r="I58" t="n">
        <v>1485</v>
      </c>
      <c r="J58" t="n">
        <v>1529</v>
      </c>
      <c r="K58" t="n">
        <v>1421</v>
      </c>
      <c r="L58" t="n">
        <v>1128</v>
      </c>
      <c r="M58" t="n">
        <v>964</v>
      </c>
      <c r="N58" t="n">
        <v>903</v>
      </c>
      <c r="O58" t="n">
        <v>887</v>
      </c>
      <c r="P58" t="n">
        <v>961</v>
      </c>
      <c r="Q58" t="n">
        <v>992</v>
      </c>
      <c r="R58" t="n">
        <v>1199</v>
      </c>
      <c r="S58" t="n">
        <v>1391</v>
      </c>
      <c r="T58" t="n">
        <v>1368</v>
      </c>
      <c r="U58" t="n">
        <v>1304</v>
      </c>
      <c r="V58" t="n">
        <v>1399</v>
      </c>
      <c r="W58" t="n">
        <v>1464</v>
      </c>
      <c r="X58" t="n">
        <v>1441</v>
      </c>
      <c r="Y58" t="n">
        <v>1508</v>
      </c>
      <c r="Z58" t="n">
        <v>1680</v>
      </c>
      <c r="AA58" t="n">
        <v>1797</v>
      </c>
      <c r="AB58" t="n">
        <v>1994</v>
      </c>
      <c r="AC58" t="n">
        <v>2384</v>
      </c>
      <c r="AD58" t="n">
        <v>2292</v>
      </c>
      <c r="AE58" t="n">
        <v>2189</v>
      </c>
      <c r="AF58" t="n">
        <v>2076</v>
      </c>
    </row>
    <row r="59">
      <c r="A59" t="s">
        <v>118</v>
      </c>
      <c r="B59" t="s">
        <v>388</v>
      </c>
      <c r="C59" t="s">
        <v>236</v>
      </c>
      <c r="D59" t="s">
        <v>389</v>
      </c>
      <c r="E59" t="s">
        <v>237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120</v>
      </c>
      <c r="B2" t="s">
        <v>197</v>
      </c>
      <c r="C2" t="s">
        <v>236</v>
      </c>
      <c r="D2" t="s">
        <v>199</v>
      </c>
      <c r="E2" t="s">
        <v>237</v>
      </c>
      <c r="F2" t="n">
        <v>26</v>
      </c>
      <c r="G2" t="n">
        <v>31</v>
      </c>
      <c r="H2" t="n">
        <v>38</v>
      </c>
      <c r="I2" t="n">
        <v>49</v>
      </c>
      <c r="J2" t="n">
        <v>58</v>
      </c>
      <c r="K2" t="n">
        <v>61</v>
      </c>
      <c r="L2" t="n">
        <v>64</v>
      </c>
      <c r="M2" t="n">
        <v>62</v>
      </c>
      <c r="N2" t="n">
        <v>68</v>
      </c>
      <c r="O2" t="n">
        <v>76</v>
      </c>
      <c r="P2" t="n">
        <v>79</v>
      </c>
      <c r="Q2" t="n">
        <v>77</v>
      </c>
      <c r="R2" t="n">
        <v>76</v>
      </c>
      <c r="S2" t="n">
        <v>67</v>
      </c>
      <c r="T2" t="n">
        <v>63</v>
      </c>
      <c r="U2" t="n">
        <v>61</v>
      </c>
      <c r="V2" t="n">
        <v>53</v>
      </c>
      <c r="W2" t="n">
        <v>53</v>
      </c>
      <c r="X2" t="n">
        <v>53</v>
      </c>
      <c r="Y2" t="n">
        <v>56</v>
      </c>
      <c r="Z2" t="n">
        <v>55</v>
      </c>
      <c r="AA2" t="n">
        <v>56</v>
      </c>
      <c r="AB2" t="n">
        <v>57</v>
      </c>
      <c r="AC2" t="n">
        <v>59</v>
      </c>
      <c r="AD2" t="n">
        <v>54</v>
      </c>
      <c r="AE2" t="n">
        <v>55</v>
      </c>
      <c r="AF2" t="n">
        <v>56</v>
      </c>
    </row>
    <row r="3">
      <c r="A3" t="s">
        <v>120</v>
      </c>
      <c r="B3" t="s">
        <v>276</v>
      </c>
      <c r="C3" t="s">
        <v>236</v>
      </c>
      <c r="D3" t="s">
        <v>277</v>
      </c>
      <c r="E3" t="s">
        <v>237</v>
      </c>
      <c r="F3" t="n">
        <v>1</v>
      </c>
      <c r="G3" t="n">
        <v>2</v>
      </c>
      <c r="H3" t="n">
        <v>2</v>
      </c>
      <c r="I3" t="n">
        <v>3</v>
      </c>
      <c r="J3" t="n">
        <v>3</v>
      </c>
      <c r="K3" t="n">
        <v>4</v>
      </c>
      <c r="L3" t="n">
        <v>4</v>
      </c>
      <c r="M3" t="n">
        <v>4</v>
      </c>
      <c r="N3" t="n">
        <v>6</v>
      </c>
      <c r="O3" t="n">
        <v>7</v>
      </c>
      <c r="P3" t="n">
        <v>8</v>
      </c>
      <c r="Q3" t="n">
        <v>16</v>
      </c>
      <c r="R3" t="n">
        <v>25</v>
      </c>
      <c r="S3" t="n">
        <v>31</v>
      </c>
      <c r="T3" t="n">
        <v>33</v>
      </c>
      <c r="U3" t="n">
        <v>34</v>
      </c>
      <c r="V3" t="n">
        <v>35</v>
      </c>
      <c r="W3" t="n">
        <v>41</v>
      </c>
      <c r="X3" t="n">
        <v>47</v>
      </c>
      <c r="Y3" t="n">
        <v>53</v>
      </c>
      <c r="Z3" t="n">
        <v>50</v>
      </c>
      <c r="AA3" t="n">
        <v>51</v>
      </c>
      <c r="AB3" t="n">
        <v>50</v>
      </c>
      <c r="AC3" t="n">
        <v>47</v>
      </c>
      <c r="AD3" t="n">
        <v>45</v>
      </c>
      <c r="AE3" t="n">
        <v>46</v>
      </c>
      <c r="AF3" t="n">
        <v>51</v>
      </c>
    </row>
    <row r="4">
      <c r="A4" t="s">
        <v>120</v>
      </c>
      <c r="B4" t="s">
        <v>278</v>
      </c>
      <c r="C4" t="s">
        <v>236</v>
      </c>
      <c r="D4" t="s">
        <v>279</v>
      </c>
      <c r="E4" t="s">
        <v>237</v>
      </c>
      <c r="F4" t="n">
        <v>224</v>
      </c>
      <c r="G4" t="n">
        <v>289</v>
      </c>
      <c r="H4" t="n">
        <v>366</v>
      </c>
      <c r="I4" t="n">
        <v>448</v>
      </c>
      <c r="J4" t="n">
        <v>533</v>
      </c>
      <c r="K4" t="n">
        <v>571</v>
      </c>
      <c r="L4" t="n">
        <v>648</v>
      </c>
      <c r="M4" t="n">
        <v>625</v>
      </c>
      <c r="N4" t="n">
        <v>670</v>
      </c>
      <c r="O4" t="n">
        <v>722</v>
      </c>
      <c r="P4" t="n">
        <v>724</v>
      </c>
      <c r="Q4" t="n">
        <v>864</v>
      </c>
      <c r="R4" t="n">
        <v>1061</v>
      </c>
      <c r="S4" t="n">
        <v>1103</v>
      </c>
      <c r="T4" t="n">
        <v>1090</v>
      </c>
      <c r="U4" t="n">
        <v>1082</v>
      </c>
      <c r="V4" t="n">
        <v>998</v>
      </c>
      <c r="W4" t="n">
        <v>1008</v>
      </c>
      <c r="X4" t="n">
        <v>1008</v>
      </c>
      <c r="Y4" t="n">
        <v>1042</v>
      </c>
      <c r="Z4" t="n">
        <v>1067</v>
      </c>
      <c r="AA4" t="n">
        <v>1119</v>
      </c>
      <c r="AB4" t="n">
        <v>1210</v>
      </c>
      <c r="AC4" t="n">
        <v>1239</v>
      </c>
      <c r="AD4" t="n">
        <v>1214</v>
      </c>
      <c r="AE4" t="n">
        <v>1220</v>
      </c>
      <c r="AF4" t="n">
        <v>1236</v>
      </c>
    </row>
    <row r="5">
      <c r="A5" t="s">
        <v>120</v>
      </c>
      <c r="B5" t="s">
        <v>280</v>
      </c>
      <c r="C5" t="s">
        <v>236</v>
      </c>
      <c r="D5" t="s">
        <v>281</v>
      </c>
      <c r="E5" t="s">
        <v>237</v>
      </c>
      <c r="F5" t="n">
        <v>19</v>
      </c>
      <c r="G5" t="n">
        <v>23</v>
      </c>
      <c r="H5" t="n">
        <v>27</v>
      </c>
      <c r="I5" t="n">
        <v>34</v>
      </c>
      <c r="J5" t="n">
        <v>39</v>
      </c>
      <c r="K5" t="n">
        <v>41</v>
      </c>
      <c r="L5" t="n">
        <v>42</v>
      </c>
      <c r="M5" t="n">
        <v>43</v>
      </c>
      <c r="N5" t="n">
        <v>50</v>
      </c>
      <c r="O5" t="n">
        <v>55</v>
      </c>
      <c r="P5" t="n">
        <v>53</v>
      </c>
      <c r="Q5" t="n">
        <v>67</v>
      </c>
      <c r="R5" t="n">
        <v>79</v>
      </c>
      <c r="S5" t="n">
        <v>86</v>
      </c>
      <c r="T5" t="n">
        <v>91</v>
      </c>
      <c r="U5" t="n">
        <v>92</v>
      </c>
      <c r="V5" t="n">
        <v>86</v>
      </c>
      <c r="W5" t="n">
        <v>86</v>
      </c>
      <c r="X5" t="n">
        <v>86</v>
      </c>
      <c r="Y5" t="n">
        <v>92</v>
      </c>
      <c r="Z5" t="n">
        <v>93</v>
      </c>
      <c r="AA5" t="n">
        <v>95</v>
      </c>
      <c r="AB5" t="n">
        <v>109</v>
      </c>
      <c r="AC5" t="n">
        <v>109</v>
      </c>
      <c r="AD5" t="n">
        <v>105</v>
      </c>
      <c r="AE5" t="n">
        <v>104</v>
      </c>
      <c r="AF5" t="n">
        <v>101</v>
      </c>
    </row>
    <row r="6">
      <c r="A6" t="s">
        <v>120</v>
      </c>
      <c r="B6" t="s">
        <v>282</v>
      </c>
      <c r="C6" t="s">
        <v>236</v>
      </c>
      <c r="D6" t="s">
        <v>283</v>
      </c>
      <c r="E6" t="s">
        <v>237</v>
      </c>
      <c r="F6" t="n">
        <v>1</v>
      </c>
      <c r="G6" t="n">
        <v>1</v>
      </c>
      <c r="H6" t="n">
        <v>3</v>
      </c>
      <c r="I6" t="n">
        <v>3</v>
      </c>
      <c r="J6" t="n">
        <v>3</v>
      </c>
      <c r="K6" t="n">
        <v>4</v>
      </c>
      <c r="L6" t="n">
        <v>4</v>
      </c>
      <c r="M6" t="n">
        <v>3</v>
      </c>
      <c r="N6" t="n">
        <v>3</v>
      </c>
      <c r="O6" t="n">
        <v>3</v>
      </c>
      <c r="P6" t="n">
        <v>4</v>
      </c>
      <c r="Q6" t="n">
        <v>4</v>
      </c>
      <c r="R6" t="n">
        <v>5</v>
      </c>
      <c r="S6" t="n">
        <v>5</v>
      </c>
      <c r="T6" t="n">
        <v>4</v>
      </c>
      <c r="U6" t="n">
        <v>3</v>
      </c>
      <c r="V6" t="n">
        <v>2</v>
      </c>
      <c r="W6" t="n">
        <v>2</v>
      </c>
      <c r="X6" t="n">
        <v>2</v>
      </c>
      <c r="Y6" t="n">
        <v>2</v>
      </c>
      <c r="Z6" t="n">
        <v>1</v>
      </c>
      <c r="AA6" t="n">
        <v>1</v>
      </c>
      <c r="AB6" t="n">
        <v>1</v>
      </c>
      <c r="AC6" t="n">
        <v>1</v>
      </c>
      <c r="AD6" t="n">
        <v>0</v>
      </c>
      <c r="AE6" t="n">
        <v>0</v>
      </c>
      <c r="AF6" t="n">
        <v>0</v>
      </c>
    </row>
    <row r="7">
      <c r="A7" t="s">
        <v>120</v>
      </c>
      <c r="B7" t="s">
        <v>284</v>
      </c>
      <c r="C7" t="s">
        <v>236</v>
      </c>
      <c r="D7" t="s">
        <v>285</v>
      </c>
      <c r="E7" t="s">
        <v>237</v>
      </c>
      <c r="F7" t="n">
        <v>60</v>
      </c>
      <c r="G7" t="n">
        <v>94</v>
      </c>
      <c r="H7" t="n">
        <v>115</v>
      </c>
      <c r="I7" t="n">
        <v>147</v>
      </c>
      <c r="J7" t="n">
        <v>166</v>
      </c>
      <c r="K7" t="n">
        <v>173</v>
      </c>
      <c r="L7" t="n">
        <v>203</v>
      </c>
      <c r="M7" t="n">
        <v>193</v>
      </c>
      <c r="N7" t="n">
        <v>211</v>
      </c>
      <c r="O7" t="n">
        <v>222</v>
      </c>
      <c r="P7" t="n">
        <v>216</v>
      </c>
      <c r="Q7" t="n">
        <v>253</v>
      </c>
      <c r="R7" t="n">
        <v>297</v>
      </c>
      <c r="S7" t="n">
        <v>303</v>
      </c>
      <c r="T7" t="n">
        <v>276</v>
      </c>
      <c r="U7" t="n">
        <v>263</v>
      </c>
      <c r="V7" t="n">
        <v>245</v>
      </c>
      <c r="W7" t="n">
        <v>233</v>
      </c>
      <c r="X7" t="n">
        <v>232</v>
      </c>
      <c r="Y7" t="n">
        <v>231</v>
      </c>
      <c r="Z7" t="n">
        <v>229</v>
      </c>
      <c r="AA7" t="n">
        <v>242</v>
      </c>
      <c r="AB7" t="n">
        <v>295</v>
      </c>
      <c r="AC7" t="n">
        <v>286</v>
      </c>
      <c r="AD7" t="n">
        <v>279</v>
      </c>
      <c r="AE7" t="n">
        <v>269</v>
      </c>
      <c r="AF7" t="n">
        <v>260</v>
      </c>
    </row>
    <row r="8">
      <c r="A8" t="s">
        <v>120</v>
      </c>
      <c r="B8" t="s">
        <v>286</v>
      </c>
      <c r="C8" t="s">
        <v>236</v>
      </c>
      <c r="D8" t="s">
        <v>287</v>
      </c>
      <c r="E8" t="s">
        <v>237</v>
      </c>
      <c r="F8" t="n">
        <v>3</v>
      </c>
      <c r="G8" t="n">
        <v>3</v>
      </c>
      <c r="H8" t="n">
        <v>9</v>
      </c>
      <c r="I8" t="n">
        <v>8</v>
      </c>
      <c r="J8" t="n">
        <v>10</v>
      </c>
      <c r="K8" t="n">
        <v>10</v>
      </c>
      <c r="L8" t="n">
        <v>14</v>
      </c>
      <c r="M8" t="n">
        <v>12</v>
      </c>
      <c r="N8" t="n">
        <v>13</v>
      </c>
      <c r="O8" t="n">
        <v>13</v>
      </c>
      <c r="P8" t="n">
        <v>20</v>
      </c>
      <c r="Q8" t="n">
        <v>29</v>
      </c>
      <c r="R8" t="n">
        <v>68</v>
      </c>
      <c r="S8" t="n">
        <v>67</v>
      </c>
      <c r="T8" t="n">
        <v>61</v>
      </c>
      <c r="U8" t="n">
        <v>62</v>
      </c>
      <c r="V8" t="n">
        <v>51</v>
      </c>
      <c r="W8" t="n">
        <v>49</v>
      </c>
      <c r="X8" t="n">
        <v>49</v>
      </c>
      <c r="Y8" t="n">
        <v>51</v>
      </c>
      <c r="Z8" t="n">
        <v>59</v>
      </c>
      <c r="AA8" t="n">
        <v>48</v>
      </c>
      <c r="AB8" t="n">
        <v>9</v>
      </c>
      <c r="AC8" t="n">
        <v>10</v>
      </c>
      <c r="AD8" t="n">
        <v>10</v>
      </c>
      <c r="AE8" t="n">
        <v>9</v>
      </c>
      <c r="AF8" t="n">
        <v>15</v>
      </c>
    </row>
    <row r="9">
      <c r="A9" t="s">
        <v>120</v>
      </c>
      <c r="B9" t="s">
        <v>288</v>
      </c>
      <c r="C9" t="s">
        <v>236</v>
      </c>
      <c r="D9" t="s">
        <v>289</v>
      </c>
      <c r="E9" t="s">
        <v>237</v>
      </c>
      <c r="F9" t="n">
        <v>38</v>
      </c>
      <c r="G9" t="n">
        <v>42</v>
      </c>
      <c r="H9" t="n">
        <v>52</v>
      </c>
      <c r="I9" t="n">
        <v>57</v>
      </c>
      <c r="J9" t="n">
        <v>66</v>
      </c>
      <c r="K9" t="n">
        <v>66</v>
      </c>
      <c r="L9" t="n">
        <v>70</v>
      </c>
      <c r="M9" t="n">
        <v>70</v>
      </c>
      <c r="N9" t="n">
        <v>73</v>
      </c>
      <c r="O9" t="n">
        <v>82</v>
      </c>
      <c r="P9" t="n">
        <v>80</v>
      </c>
      <c r="Q9" t="n">
        <v>94</v>
      </c>
      <c r="R9" t="n">
        <v>135</v>
      </c>
      <c r="S9" t="n">
        <v>141</v>
      </c>
      <c r="T9" t="n">
        <v>137</v>
      </c>
      <c r="U9" t="n">
        <v>131</v>
      </c>
      <c r="V9" t="n">
        <v>122</v>
      </c>
      <c r="W9" t="n">
        <v>128</v>
      </c>
      <c r="X9" t="n">
        <v>142</v>
      </c>
      <c r="Y9" t="n">
        <v>149</v>
      </c>
      <c r="Z9" t="n">
        <v>171</v>
      </c>
      <c r="AA9" t="n">
        <v>213</v>
      </c>
      <c r="AB9" t="n">
        <v>270</v>
      </c>
      <c r="AC9" t="n">
        <v>298</v>
      </c>
      <c r="AD9" t="n">
        <v>304</v>
      </c>
      <c r="AE9" t="n">
        <v>316</v>
      </c>
      <c r="AF9" t="n">
        <v>346</v>
      </c>
    </row>
    <row r="10">
      <c r="A10" t="s">
        <v>120</v>
      </c>
      <c r="B10" t="s">
        <v>290</v>
      </c>
      <c r="C10" t="s">
        <v>236</v>
      </c>
      <c r="D10" t="s">
        <v>291</v>
      </c>
      <c r="E10" t="s">
        <v>237</v>
      </c>
      <c r="F10" t="n">
        <v>42</v>
      </c>
      <c r="G10" t="n">
        <v>47</v>
      </c>
      <c r="H10" t="n">
        <v>57</v>
      </c>
      <c r="I10" t="n">
        <v>63</v>
      </c>
      <c r="J10" t="n">
        <v>72</v>
      </c>
      <c r="K10" t="n">
        <v>72</v>
      </c>
      <c r="L10" t="n">
        <v>77</v>
      </c>
      <c r="M10" t="n">
        <v>78</v>
      </c>
      <c r="N10" t="n">
        <v>81</v>
      </c>
      <c r="O10" t="n">
        <v>91</v>
      </c>
      <c r="P10" t="n">
        <v>88</v>
      </c>
      <c r="Q10" t="n">
        <v>104</v>
      </c>
      <c r="R10" t="n">
        <v>148</v>
      </c>
      <c r="S10" t="n">
        <v>155</v>
      </c>
      <c r="T10" t="n">
        <v>153</v>
      </c>
      <c r="U10" t="n">
        <v>150</v>
      </c>
      <c r="V10" t="n">
        <v>141</v>
      </c>
      <c r="W10" t="n">
        <v>150</v>
      </c>
      <c r="X10" t="n">
        <v>168</v>
      </c>
      <c r="Y10" t="n">
        <v>179</v>
      </c>
      <c r="Z10" t="n">
        <v>202</v>
      </c>
      <c r="AA10" t="n">
        <v>245</v>
      </c>
      <c r="AB10" t="n">
        <v>302</v>
      </c>
      <c r="AC10" t="n">
        <v>332</v>
      </c>
      <c r="AD10" t="n">
        <v>340</v>
      </c>
      <c r="AE10" t="n">
        <v>352</v>
      </c>
      <c r="AF10" t="n">
        <v>383</v>
      </c>
    </row>
    <row r="11">
      <c r="A11" t="s">
        <v>120</v>
      </c>
      <c r="B11" t="s">
        <v>292</v>
      </c>
      <c r="C11" t="s">
        <v>236</v>
      </c>
      <c r="D11" t="s">
        <v>293</v>
      </c>
      <c r="E11" t="s">
        <v>237</v>
      </c>
      <c r="F11" t="n">
        <v>4</v>
      </c>
      <c r="G11" t="n">
        <v>5</v>
      </c>
      <c r="H11" t="n">
        <v>5</v>
      </c>
      <c r="I11" t="n">
        <v>6</v>
      </c>
      <c r="J11" t="n">
        <v>6</v>
      </c>
      <c r="K11" t="n">
        <v>6</v>
      </c>
      <c r="L11" t="n">
        <v>7</v>
      </c>
      <c r="M11" t="n">
        <v>8</v>
      </c>
      <c r="N11" t="n">
        <v>8</v>
      </c>
      <c r="O11" t="n">
        <v>9</v>
      </c>
      <c r="P11" t="n">
        <v>8</v>
      </c>
      <c r="Q11" t="n">
        <v>10</v>
      </c>
      <c r="R11" t="n">
        <v>13</v>
      </c>
      <c r="S11" t="n">
        <v>14</v>
      </c>
      <c r="T11" t="n">
        <v>16</v>
      </c>
      <c r="U11" t="n">
        <v>19</v>
      </c>
      <c r="V11" t="n">
        <v>19</v>
      </c>
      <c r="W11" t="n">
        <v>22</v>
      </c>
      <c r="X11" t="n">
        <v>26</v>
      </c>
      <c r="Y11" t="n">
        <v>30</v>
      </c>
      <c r="Z11" t="n">
        <v>31</v>
      </c>
      <c r="AA11" t="n">
        <v>32</v>
      </c>
      <c r="AB11" t="n">
        <v>32</v>
      </c>
      <c r="AC11" t="n">
        <v>34</v>
      </c>
      <c r="AD11" t="n">
        <v>36</v>
      </c>
      <c r="AE11" t="n">
        <v>36</v>
      </c>
      <c r="AF11" t="n">
        <v>37</v>
      </c>
    </row>
    <row r="12">
      <c r="A12" t="s">
        <v>120</v>
      </c>
      <c r="B12" t="s">
        <v>294</v>
      </c>
      <c r="C12" t="s">
        <v>236</v>
      </c>
      <c r="D12" t="s">
        <v>295</v>
      </c>
      <c r="E12" t="s">
        <v>237</v>
      </c>
      <c r="F12" t="n">
        <v>13</v>
      </c>
      <c r="G12" t="n">
        <v>17</v>
      </c>
      <c r="H12" t="n">
        <v>23</v>
      </c>
      <c r="I12" t="n">
        <v>28</v>
      </c>
      <c r="J12" t="n">
        <v>36</v>
      </c>
      <c r="K12" t="n">
        <v>40</v>
      </c>
      <c r="L12" t="n">
        <v>43</v>
      </c>
      <c r="M12" t="n">
        <v>42</v>
      </c>
      <c r="N12" t="n">
        <v>47</v>
      </c>
      <c r="O12" t="n">
        <v>53</v>
      </c>
      <c r="P12" t="n">
        <v>56</v>
      </c>
      <c r="Q12" t="n">
        <v>67</v>
      </c>
      <c r="R12" t="n">
        <v>77</v>
      </c>
      <c r="S12" t="n">
        <v>78</v>
      </c>
      <c r="T12" t="n">
        <v>79</v>
      </c>
      <c r="U12" t="n">
        <v>76</v>
      </c>
      <c r="V12" t="n">
        <v>70</v>
      </c>
      <c r="W12" t="n">
        <v>69</v>
      </c>
      <c r="X12" t="n">
        <v>68</v>
      </c>
      <c r="Y12" t="n">
        <v>70</v>
      </c>
      <c r="Z12" t="n">
        <v>70</v>
      </c>
      <c r="AA12" t="n">
        <v>70</v>
      </c>
      <c r="AB12" t="n">
        <v>67</v>
      </c>
      <c r="AC12" t="n">
        <v>66</v>
      </c>
      <c r="AD12" t="n">
        <v>58</v>
      </c>
      <c r="AE12" t="n">
        <v>58</v>
      </c>
      <c r="AF12" t="n">
        <v>54</v>
      </c>
    </row>
    <row r="13">
      <c r="A13" t="s">
        <v>120</v>
      </c>
      <c r="B13" t="s">
        <v>296</v>
      </c>
      <c r="C13" t="s">
        <v>236</v>
      </c>
      <c r="D13" t="s">
        <v>297</v>
      </c>
      <c r="E13" t="s">
        <v>237</v>
      </c>
      <c r="F13" t="n">
        <v>14</v>
      </c>
      <c r="G13" t="n">
        <v>16</v>
      </c>
      <c r="H13" t="n">
        <v>20</v>
      </c>
      <c r="I13" t="n">
        <v>25</v>
      </c>
      <c r="J13" t="n">
        <v>28</v>
      </c>
      <c r="K13" t="n">
        <v>30</v>
      </c>
      <c r="L13" t="n">
        <v>34</v>
      </c>
      <c r="M13" t="n">
        <v>35</v>
      </c>
      <c r="N13" t="n">
        <v>36</v>
      </c>
      <c r="O13" t="n">
        <v>43</v>
      </c>
      <c r="P13" t="n">
        <v>43</v>
      </c>
      <c r="Q13" t="n">
        <v>62</v>
      </c>
      <c r="R13" t="n">
        <v>90</v>
      </c>
      <c r="S13" t="n">
        <v>98</v>
      </c>
      <c r="T13" t="n">
        <v>121</v>
      </c>
      <c r="U13" t="n">
        <v>140</v>
      </c>
      <c r="V13" t="n">
        <v>131</v>
      </c>
      <c r="W13" t="n">
        <v>153</v>
      </c>
      <c r="X13" t="n">
        <v>148</v>
      </c>
      <c r="Y13" t="n">
        <v>154</v>
      </c>
      <c r="Z13" t="n">
        <v>151</v>
      </c>
      <c r="AA13" t="n">
        <v>153</v>
      </c>
      <c r="AB13" t="n">
        <v>154</v>
      </c>
      <c r="AC13" t="n">
        <v>162</v>
      </c>
      <c r="AD13" t="n">
        <v>167</v>
      </c>
      <c r="AE13" t="n">
        <v>168</v>
      </c>
      <c r="AF13" t="n">
        <v>166</v>
      </c>
    </row>
    <row r="14">
      <c r="A14" t="s">
        <v>120</v>
      </c>
      <c r="B14" t="s">
        <v>298</v>
      </c>
      <c r="C14" t="s">
        <v>236</v>
      </c>
      <c r="D14" t="s">
        <v>299</v>
      </c>
      <c r="E14" t="s">
        <v>237</v>
      </c>
      <c r="F14" t="n">
        <v>54</v>
      </c>
      <c r="G14" t="n">
        <v>60</v>
      </c>
      <c r="H14" t="n">
        <v>73</v>
      </c>
      <c r="I14" t="n">
        <v>91</v>
      </c>
      <c r="J14" t="n">
        <v>122</v>
      </c>
      <c r="K14" t="n">
        <v>141</v>
      </c>
      <c r="L14" t="n">
        <v>167</v>
      </c>
      <c r="M14" t="n">
        <v>157</v>
      </c>
      <c r="N14" t="n">
        <v>158</v>
      </c>
      <c r="O14" t="n">
        <v>170</v>
      </c>
      <c r="P14" t="n">
        <v>173</v>
      </c>
      <c r="Q14" t="n">
        <v>192</v>
      </c>
      <c r="R14" t="n">
        <v>196</v>
      </c>
      <c r="S14" t="n">
        <v>199</v>
      </c>
      <c r="T14" t="n">
        <v>179</v>
      </c>
      <c r="U14" t="n">
        <v>174</v>
      </c>
      <c r="V14" t="n">
        <v>161</v>
      </c>
      <c r="W14" t="n">
        <v>155</v>
      </c>
      <c r="X14" t="n">
        <v>144</v>
      </c>
      <c r="Y14" t="n">
        <v>146</v>
      </c>
      <c r="Z14" t="n">
        <v>146</v>
      </c>
      <c r="AA14" t="n">
        <v>144</v>
      </c>
      <c r="AB14" t="n">
        <v>150</v>
      </c>
      <c r="AC14" t="n">
        <v>148</v>
      </c>
      <c r="AD14" t="n">
        <v>146</v>
      </c>
      <c r="AE14" t="n">
        <v>150</v>
      </c>
      <c r="AF14" t="n">
        <v>152</v>
      </c>
    </row>
    <row r="15">
      <c r="A15" t="s">
        <v>120</v>
      </c>
      <c r="B15" t="s">
        <v>300</v>
      </c>
      <c r="C15" t="s">
        <v>236</v>
      </c>
      <c r="D15" t="s">
        <v>301</v>
      </c>
      <c r="E15" t="s">
        <v>237</v>
      </c>
      <c r="F15" t="n">
        <v>60</v>
      </c>
      <c r="G15" t="n">
        <v>69</v>
      </c>
      <c r="H15" t="n">
        <v>85</v>
      </c>
      <c r="I15" t="n">
        <v>106</v>
      </c>
      <c r="J15" t="n">
        <v>140</v>
      </c>
      <c r="K15" t="n">
        <v>160</v>
      </c>
      <c r="L15" t="n">
        <v>188</v>
      </c>
      <c r="M15" t="n">
        <v>176</v>
      </c>
      <c r="N15" t="n">
        <v>179</v>
      </c>
      <c r="O15" t="n">
        <v>193</v>
      </c>
      <c r="P15" t="n">
        <v>196</v>
      </c>
      <c r="Q15" t="n">
        <v>215</v>
      </c>
      <c r="R15" t="n">
        <v>222</v>
      </c>
      <c r="S15" t="n">
        <v>227</v>
      </c>
      <c r="T15" t="n">
        <v>209</v>
      </c>
      <c r="U15" t="n">
        <v>203</v>
      </c>
      <c r="V15" t="n">
        <v>188</v>
      </c>
      <c r="W15" t="n">
        <v>182</v>
      </c>
      <c r="X15" t="n">
        <v>172</v>
      </c>
      <c r="Y15" t="n">
        <v>173</v>
      </c>
      <c r="Z15" t="n">
        <v>173</v>
      </c>
      <c r="AA15" t="n">
        <v>172</v>
      </c>
      <c r="AB15" t="n">
        <v>180</v>
      </c>
      <c r="AC15" t="n">
        <v>178</v>
      </c>
      <c r="AD15" t="n">
        <v>172</v>
      </c>
      <c r="AE15" t="n">
        <v>176</v>
      </c>
      <c r="AF15" t="n">
        <v>177</v>
      </c>
    </row>
    <row r="16">
      <c r="A16" t="s">
        <v>120</v>
      </c>
      <c r="B16" t="s">
        <v>302</v>
      </c>
      <c r="C16" t="s">
        <v>236</v>
      </c>
      <c r="D16" t="s">
        <v>303</v>
      </c>
      <c r="E16" t="s">
        <v>237</v>
      </c>
      <c r="F16" t="n">
        <v>6</v>
      </c>
      <c r="G16" t="n">
        <v>9</v>
      </c>
      <c r="H16" t="n">
        <v>12</v>
      </c>
      <c r="I16" t="n">
        <v>15</v>
      </c>
      <c r="J16" t="n">
        <v>18</v>
      </c>
      <c r="K16" t="n">
        <v>19</v>
      </c>
      <c r="L16" t="n">
        <v>21</v>
      </c>
      <c r="M16" t="n">
        <v>19</v>
      </c>
      <c r="N16" t="n">
        <v>21</v>
      </c>
      <c r="O16" t="n">
        <v>23</v>
      </c>
      <c r="P16" t="n">
        <v>23</v>
      </c>
      <c r="Q16" t="n">
        <v>23</v>
      </c>
      <c r="R16" t="n">
        <v>26</v>
      </c>
      <c r="S16" t="n">
        <v>28</v>
      </c>
      <c r="T16" t="n">
        <v>30</v>
      </c>
      <c r="U16" t="n">
        <v>29</v>
      </c>
      <c r="V16" t="n">
        <v>27</v>
      </c>
      <c r="W16" t="n">
        <v>27</v>
      </c>
      <c r="X16" t="n">
        <v>28</v>
      </c>
      <c r="Y16" t="n">
        <v>27</v>
      </c>
      <c r="Z16" t="n">
        <v>27</v>
      </c>
      <c r="AA16" t="n">
        <v>28</v>
      </c>
      <c r="AB16" t="n">
        <v>30</v>
      </c>
      <c r="AC16" t="n">
        <v>30</v>
      </c>
      <c r="AD16" t="n">
        <v>26</v>
      </c>
      <c r="AE16" t="n">
        <v>26</v>
      </c>
      <c r="AF16" t="n">
        <v>25</v>
      </c>
    </row>
    <row r="17">
      <c r="A17" t="s">
        <v>120</v>
      </c>
      <c r="B17" t="s">
        <v>304</v>
      </c>
      <c r="C17" t="s">
        <v>236</v>
      </c>
      <c r="D17" t="s">
        <v>305</v>
      </c>
      <c r="E17" t="s">
        <v>237</v>
      </c>
      <c r="F17" t="n">
        <v>12</v>
      </c>
      <c r="G17" t="n">
        <v>17</v>
      </c>
      <c r="H17" t="n">
        <v>23</v>
      </c>
      <c r="I17" t="n">
        <v>28</v>
      </c>
      <c r="J17" t="n">
        <v>31</v>
      </c>
      <c r="K17" t="n">
        <v>34</v>
      </c>
      <c r="L17" t="n">
        <v>35</v>
      </c>
      <c r="M17" t="n">
        <v>35</v>
      </c>
      <c r="N17" t="n">
        <v>40</v>
      </c>
      <c r="O17" t="n">
        <v>40</v>
      </c>
      <c r="P17" t="n">
        <v>39</v>
      </c>
      <c r="Q17" t="n">
        <v>47</v>
      </c>
      <c r="R17" t="n">
        <v>54</v>
      </c>
      <c r="S17" t="n">
        <v>58</v>
      </c>
      <c r="T17" t="n">
        <v>68</v>
      </c>
      <c r="U17" t="n">
        <v>63</v>
      </c>
      <c r="V17" t="n">
        <v>57</v>
      </c>
      <c r="W17" t="n">
        <v>56</v>
      </c>
      <c r="X17" t="n">
        <v>56</v>
      </c>
      <c r="Y17" t="n">
        <v>61</v>
      </c>
      <c r="Z17" t="n">
        <v>62</v>
      </c>
      <c r="AA17" t="n">
        <v>64</v>
      </c>
      <c r="AB17" t="n">
        <v>66</v>
      </c>
      <c r="AC17" t="n">
        <v>67</v>
      </c>
      <c r="AD17" t="n">
        <v>65</v>
      </c>
      <c r="AE17" t="n">
        <v>66</v>
      </c>
      <c r="AF17" t="n">
        <v>64</v>
      </c>
    </row>
    <row r="18">
      <c r="A18" t="s">
        <v>120</v>
      </c>
      <c r="B18" t="s">
        <v>306</v>
      </c>
      <c r="C18" t="s">
        <v>236</v>
      </c>
      <c r="D18" t="s">
        <v>307</v>
      </c>
      <c r="E18" t="s">
        <v>237</v>
      </c>
      <c r="F18" t="n">
        <v>0</v>
      </c>
      <c r="G18" t="n">
        <v>1</v>
      </c>
      <c r="H18" t="n">
        <v>2</v>
      </c>
      <c r="I18" t="n">
        <v>3</v>
      </c>
      <c r="J18" t="n">
        <v>3</v>
      </c>
      <c r="K18" t="n">
        <v>3</v>
      </c>
      <c r="L18" t="n">
        <v>3</v>
      </c>
      <c r="M18" t="n">
        <v>3</v>
      </c>
      <c r="N18" t="n">
        <v>4</v>
      </c>
      <c r="O18" t="n">
        <v>4</v>
      </c>
      <c r="P18" t="n">
        <v>4</v>
      </c>
      <c r="Q18" t="n">
        <v>7</v>
      </c>
      <c r="R18" t="n">
        <v>10</v>
      </c>
      <c r="S18" t="n">
        <v>13</v>
      </c>
      <c r="T18" t="n">
        <v>16</v>
      </c>
      <c r="U18" t="n">
        <v>17</v>
      </c>
      <c r="V18" t="n">
        <v>15</v>
      </c>
      <c r="W18" t="n">
        <v>17</v>
      </c>
      <c r="X18" t="n">
        <v>14</v>
      </c>
      <c r="Y18" t="n">
        <v>14</v>
      </c>
      <c r="Z18" t="n">
        <v>11</v>
      </c>
      <c r="AA18" t="n">
        <v>11</v>
      </c>
      <c r="AB18" t="n">
        <v>8</v>
      </c>
      <c r="AC18" t="n">
        <v>8</v>
      </c>
      <c r="AD18" t="n">
        <v>0</v>
      </c>
      <c r="AE18" t="n">
        <v>0</v>
      </c>
      <c r="AF18" t="n">
        <v>0</v>
      </c>
    </row>
    <row r="19">
      <c r="A19" t="s">
        <v>120</v>
      </c>
      <c r="B19" t="s">
        <v>308</v>
      </c>
      <c r="C19" t="s">
        <v>236</v>
      </c>
      <c r="D19" t="s">
        <v>309</v>
      </c>
      <c r="E19" t="s">
        <v>237</v>
      </c>
      <c r="F19" t="n">
        <v>0</v>
      </c>
      <c r="G19" t="n">
        <v>1</v>
      </c>
      <c r="H19" t="n">
        <v>2</v>
      </c>
      <c r="I19" t="n">
        <v>3</v>
      </c>
      <c r="J19" t="n">
        <v>5</v>
      </c>
      <c r="K19" t="n">
        <v>4</v>
      </c>
      <c r="L19" t="n">
        <v>5</v>
      </c>
      <c r="M19" t="n">
        <v>5</v>
      </c>
      <c r="N19" t="n">
        <v>6</v>
      </c>
      <c r="O19" t="n">
        <v>5</v>
      </c>
      <c r="P19" t="n">
        <v>5</v>
      </c>
      <c r="Q19" t="n">
        <v>9</v>
      </c>
      <c r="R19" t="n">
        <v>11</v>
      </c>
      <c r="S19" t="n">
        <v>13</v>
      </c>
      <c r="T19" t="n">
        <v>12</v>
      </c>
      <c r="U19" t="n">
        <v>13</v>
      </c>
      <c r="V19" t="n">
        <v>12</v>
      </c>
      <c r="W19" t="n">
        <v>11</v>
      </c>
      <c r="X19" t="n">
        <v>13</v>
      </c>
      <c r="Y19" t="n">
        <v>15</v>
      </c>
      <c r="Z19" t="n">
        <v>16</v>
      </c>
      <c r="AA19" t="n">
        <v>18</v>
      </c>
      <c r="AB19" t="n">
        <v>19</v>
      </c>
      <c r="AC19" t="n">
        <v>20</v>
      </c>
      <c r="AD19" t="n">
        <v>18</v>
      </c>
      <c r="AE19" t="n">
        <v>18</v>
      </c>
      <c r="AF19" t="n">
        <v>16</v>
      </c>
    </row>
    <row r="20">
      <c r="A20" t="s">
        <v>120</v>
      </c>
      <c r="B20" t="s">
        <v>310</v>
      </c>
      <c r="C20" t="s">
        <v>236</v>
      </c>
      <c r="D20" t="s">
        <v>311</v>
      </c>
      <c r="E20" t="s">
        <v>237</v>
      </c>
      <c r="F20" t="n">
        <v>47</v>
      </c>
      <c r="G20" t="n">
        <v>52</v>
      </c>
      <c r="H20" t="n">
        <v>65</v>
      </c>
      <c r="I20" t="n">
        <v>70</v>
      </c>
      <c r="J20" t="n">
        <v>78</v>
      </c>
      <c r="K20" t="n">
        <v>85</v>
      </c>
      <c r="L20" t="n">
        <v>90</v>
      </c>
      <c r="M20" t="n">
        <v>91</v>
      </c>
      <c r="N20" t="n">
        <v>99</v>
      </c>
      <c r="O20" t="n">
        <v>116</v>
      </c>
      <c r="P20" t="n">
        <v>127</v>
      </c>
      <c r="Q20" t="n">
        <v>154</v>
      </c>
      <c r="R20" t="n">
        <v>175</v>
      </c>
      <c r="S20" t="n">
        <v>187</v>
      </c>
      <c r="T20" t="n">
        <v>200</v>
      </c>
      <c r="U20" t="n">
        <v>195</v>
      </c>
      <c r="V20" t="n">
        <v>167</v>
      </c>
      <c r="W20" t="n">
        <v>153</v>
      </c>
      <c r="X20" t="n">
        <v>153</v>
      </c>
      <c r="Y20" t="n">
        <v>164</v>
      </c>
      <c r="Z20" t="n">
        <v>172</v>
      </c>
      <c r="AA20" t="n">
        <v>195</v>
      </c>
      <c r="AB20" t="n">
        <v>205</v>
      </c>
      <c r="AC20" t="n">
        <v>212</v>
      </c>
      <c r="AD20" t="n">
        <v>210</v>
      </c>
      <c r="AE20" t="n">
        <v>225</v>
      </c>
      <c r="AF20" t="n">
        <v>229</v>
      </c>
    </row>
    <row r="21">
      <c r="A21" t="s">
        <v>120</v>
      </c>
      <c r="B21" t="s">
        <v>312</v>
      </c>
      <c r="C21" t="s">
        <v>236</v>
      </c>
      <c r="D21" t="s">
        <v>313</v>
      </c>
      <c r="E21" t="s">
        <v>237</v>
      </c>
      <c r="F21" t="n">
        <v>50</v>
      </c>
      <c r="G21" t="n">
        <v>56</v>
      </c>
      <c r="H21" t="n">
        <v>69</v>
      </c>
      <c r="I21" t="n">
        <v>76</v>
      </c>
      <c r="J21" t="n">
        <v>85</v>
      </c>
      <c r="K21" t="n">
        <v>92</v>
      </c>
      <c r="L21" t="n">
        <v>98</v>
      </c>
      <c r="M21" t="n">
        <v>99</v>
      </c>
      <c r="N21" t="n">
        <v>108</v>
      </c>
      <c r="O21" t="n">
        <v>125</v>
      </c>
      <c r="P21" t="n">
        <v>137</v>
      </c>
      <c r="Q21" t="n">
        <v>167</v>
      </c>
      <c r="R21" t="n">
        <v>193</v>
      </c>
      <c r="S21" t="n">
        <v>205</v>
      </c>
      <c r="T21" t="n">
        <v>221</v>
      </c>
      <c r="U21" t="n">
        <v>217</v>
      </c>
      <c r="V21" t="n">
        <v>188</v>
      </c>
      <c r="W21" t="n">
        <v>177</v>
      </c>
      <c r="X21" t="n">
        <v>179</v>
      </c>
      <c r="Y21" t="n">
        <v>189</v>
      </c>
      <c r="Z21" t="n">
        <v>199</v>
      </c>
      <c r="AA21" t="n">
        <v>225</v>
      </c>
      <c r="AB21" t="n">
        <v>236</v>
      </c>
      <c r="AC21" t="n">
        <v>243</v>
      </c>
      <c r="AD21" t="n">
        <v>239</v>
      </c>
      <c r="AE21" t="n">
        <v>253</v>
      </c>
      <c r="AF21" t="n">
        <v>255</v>
      </c>
    </row>
    <row r="22">
      <c r="A22" t="s">
        <v>120</v>
      </c>
      <c r="B22" t="s">
        <v>314</v>
      </c>
      <c r="C22" t="s">
        <v>236</v>
      </c>
      <c r="D22" t="s">
        <v>315</v>
      </c>
      <c r="E22" t="s">
        <v>237</v>
      </c>
      <c r="F22" t="n">
        <v>3</v>
      </c>
      <c r="G22" t="n">
        <v>4</v>
      </c>
      <c r="H22" t="n">
        <v>4</v>
      </c>
      <c r="I22" t="n">
        <v>6</v>
      </c>
      <c r="J22" t="n">
        <v>7</v>
      </c>
      <c r="K22" t="n">
        <v>7</v>
      </c>
      <c r="L22" t="n">
        <v>8</v>
      </c>
      <c r="M22" t="n">
        <v>8</v>
      </c>
      <c r="N22" t="n">
        <v>9</v>
      </c>
      <c r="O22" t="n">
        <v>9</v>
      </c>
      <c r="P22" t="n">
        <v>10</v>
      </c>
      <c r="Q22" t="n">
        <v>13</v>
      </c>
      <c r="R22" t="n">
        <v>18</v>
      </c>
      <c r="S22" t="n">
        <v>18</v>
      </c>
      <c r="T22" t="n">
        <v>21</v>
      </c>
      <c r="U22" t="n">
        <v>22</v>
      </c>
      <c r="V22" t="n">
        <v>21</v>
      </c>
      <c r="W22" t="n">
        <v>24</v>
      </c>
      <c r="X22" t="n">
        <v>26</v>
      </c>
      <c r="Y22" t="n">
        <v>25</v>
      </c>
      <c r="Z22" t="n">
        <v>27</v>
      </c>
      <c r="AA22" t="n">
        <v>30</v>
      </c>
      <c r="AB22" t="n">
        <v>31</v>
      </c>
      <c r="AC22" t="n">
        <v>31</v>
      </c>
      <c r="AD22" t="n">
        <v>29</v>
      </c>
      <c r="AE22" t="n">
        <v>28</v>
      </c>
      <c r="AF22" t="n">
        <v>26</v>
      </c>
    </row>
    <row r="23">
      <c r="A23" t="s">
        <v>120</v>
      </c>
      <c r="B23" t="s">
        <v>316</v>
      </c>
      <c r="C23" t="s">
        <v>236</v>
      </c>
      <c r="D23" t="s">
        <v>317</v>
      </c>
      <c r="E23" t="s">
        <v>237</v>
      </c>
      <c r="F23" t="n">
        <v>3</v>
      </c>
      <c r="G23" t="n">
        <v>4</v>
      </c>
      <c r="H23" t="n">
        <v>6</v>
      </c>
      <c r="I23" t="n">
        <v>7</v>
      </c>
      <c r="J23" t="n">
        <v>10</v>
      </c>
      <c r="K23" t="n">
        <v>12</v>
      </c>
      <c r="L23" t="n">
        <v>13</v>
      </c>
      <c r="M23" t="n">
        <v>14</v>
      </c>
      <c r="N23" t="n">
        <v>17</v>
      </c>
      <c r="O23" t="n">
        <v>20</v>
      </c>
      <c r="P23" t="n">
        <v>23</v>
      </c>
      <c r="Q23" t="n">
        <v>36</v>
      </c>
      <c r="R23" t="n">
        <v>40</v>
      </c>
      <c r="S23" t="n">
        <v>43</v>
      </c>
      <c r="T23" t="n">
        <v>42</v>
      </c>
      <c r="U23" t="n">
        <v>43</v>
      </c>
      <c r="V23" t="n">
        <v>43</v>
      </c>
      <c r="W23" t="n">
        <v>45</v>
      </c>
      <c r="X23" t="n">
        <v>45</v>
      </c>
      <c r="Y23" t="n">
        <v>46</v>
      </c>
      <c r="Z23" t="n">
        <v>45</v>
      </c>
      <c r="AA23" t="n">
        <v>47</v>
      </c>
      <c r="AB23" t="n">
        <v>48</v>
      </c>
      <c r="AC23" t="n">
        <v>48</v>
      </c>
      <c r="AD23" t="n">
        <v>44</v>
      </c>
      <c r="AE23" t="n">
        <v>42</v>
      </c>
      <c r="AF23" t="n">
        <v>40</v>
      </c>
    </row>
    <row r="24">
      <c r="A24" t="s">
        <v>120</v>
      </c>
      <c r="B24" t="s">
        <v>318</v>
      </c>
      <c r="C24" t="s">
        <v>236</v>
      </c>
      <c r="D24" t="s">
        <v>319</v>
      </c>
      <c r="E24" t="s">
        <v>237</v>
      </c>
      <c r="F24" t="n">
        <v>77</v>
      </c>
      <c r="G24" t="n">
        <v>89</v>
      </c>
      <c r="H24" t="n">
        <v>119</v>
      </c>
      <c r="I24" t="n">
        <v>150</v>
      </c>
      <c r="J24" t="n">
        <v>188</v>
      </c>
      <c r="K24" t="n">
        <v>202</v>
      </c>
      <c r="L24" t="n">
        <v>220</v>
      </c>
      <c r="M24" t="n">
        <v>213</v>
      </c>
      <c r="N24" t="n">
        <v>234</v>
      </c>
      <c r="O24" t="n">
        <v>252</v>
      </c>
      <c r="P24" t="n">
        <v>255</v>
      </c>
      <c r="Q24" t="n">
        <v>260</v>
      </c>
      <c r="R24" t="n">
        <v>279</v>
      </c>
      <c r="S24" t="n">
        <v>291</v>
      </c>
      <c r="T24" t="n">
        <v>283</v>
      </c>
      <c r="U24" t="n">
        <v>284</v>
      </c>
      <c r="V24" t="n">
        <v>254</v>
      </c>
      <c r="W24" t="n">
        <v>254</v>
      </c>
      <c r="X24" t="n">
        <v>249</v>
      </c>
      <c r="Y24" t="n">
        <v>256</v>
      </c>
      <c r="Z24" t="n">
        <v>248</v>
      </c>
      <c r="AA24" t="n">
        <v>254</v>
      </c>
      <c r="AB24" t="n">
        <v>245</v>
      </c>
      <c r="AC24" t="n">
        <v>240</v>
      </c>
      <c r="AD24" t="n">
        <v>229</v>
      </c>
      <c r="AE24" t="n">
        <v>216</v>
      </c>
      <c r="AF24" t="n">
        <v>200</v>
      </c>
    </row>
    <row r="25">
      <c r="A25" t="s">
        <v>120</v>
      </c>
      <c r="B25" t="s">
        <v>320</v>
      </c>
      <c r="C25" t="s">
        <v>236</v>
      </c>
      <c r="D25" t="s">
        <v>321</v>
      </c>
      <c r="E25" t="s">
        <v>237</v>
      </c>
      <c r="F25" t="n">
        <v>5</v>
      </c>
      <c r="G25" t="n">
        <v>5</v>
      </c>
      <c r="H25" t="n">
        <v>7</v>
      </c>
      <c r="I25" t="n">
        <v>8</v>
      </c>
      <c r="J25" t="n">
        <v>10</v>
      </c>
      <c r="K25" t="n">
        <v>10</v>
      </c>
      <c r="L25" t="n">
        <v>11</v>
      </c>
      <c r="M25" t="n">
        <v>10</v>
      </c>
      <c r="N25" t="n">
        <v>11</v>
      </c>
      <c r="O25" t="n">
        <v>12</v>
      </c>
      <c r="P25" t="n">
        <v>12</v>
      </c>
      <c r="Q25" t="n">
        <v>15</v>
      </c>
      <c r="R25" t="n">
        <v>16</v>
      </c>
      <c r="S25" t="n">
        <v>25</v>
      </c>
      <c r="T25" t="n">
        <v>24</v>
      </c>
      <c r="U25" t="n">
        <v>26</v>
      </c>
      <c r="V25" t="n">
        <v>28</v>
      </c>
      <c r="W25" t="n">
        <v>27</v>
      </c>
      <c r="X25" t="n">
        <v>25</v>
      </c>
      <c r="Y25" t="n">
        <v>27</v>
      </c>
      <c r="Z25" t="n">
        <v>26</v>
      </c>
      <c r="AA25" t="n">
        <v>27</v>
      </c>
      <c r="AB25" t="n">
        <v>25</v>
      </c>
      <c r="AC25" t="n">
        <v>24</v>
      </c>
      <c r="AD25" t="n">
        <v>23</v>
      </c>
      <c r="AE25" t="n">
        <v>22</v>
      </c>
      <c r="AF25" t="n">
        <v>21</v>
      </c>
    </row>
    <row r="26">
      <c r="A26" t="s">
        <v>120</v>
      </c>
      <c r="B26" t="s">
        <v>322</v>
      </c>
      <c r="C26" t="s">
        <v>236</v>
      </c>
      <c r="D26" t="s">
        <v>323</v>
      </c>
      <c r="E26" t="s">
        <v>237</v>
      </c>
      <c r="F26" t="n">
        <v>41</v>
      </c>
      <c r="G26" t="n">
        <v>49</v>
      </c>
      <c r="H26" t="n">
        <v>68</v>
      </c>
      <c r="I26" t="n">
        <v>87</v>
      </c>
      <c r="J26" t="n">
        <v>106</v>
      </c>
      <c r="K26" t="n">
        <v>114</v>
      </c>
      <c r="L26" t="n">
        <v>123</v>
      </c>
      <c r="M26" t="n">
        <v>120</v>
      </c>
      <c r="N26" t="n">
        <v>129</v>
      </c>
      <c r="O26" t="n">
        <v>137</v>
      </c>
      <c r="P26" t="n">
        <v>138</v>
      </c>
      <c r="Q26" t="n">
        <v>137</v>
      </c>
      <c r="R26" t="n">
        <v>143</v>
      </c>
      <c r="S26" t="n">
        <v>139</v>
      </c>
      <c r="T26" t="n">
        <v>132</v>
      </c>
      <c r="U26" t="n">
        <v>130</v>
      </c>
      <c r="V26" t="n">
        <v>108</v>
      </c>
      <c r="W26" t="n">
        <v>105</v>
      </c>
      <c r="X26" t="n">
        <v>102</v>
      </c>
      <c r="Y26" t="n">
        <v>103</v>
      </c>
      <c r="Z26" t="n">
        <v>98</v>
      </c>
      <c r="AA26" t="n">
        <v>100</v>
      </c>
      <c r="AB26" t="n">
        <v>96</v>
      </c>
      <c r="AC26" t="n">
        <v>95</v>
      </c>
      <c r="AD26" t="n">
        <v>90</v>
      </c>
      <c r="AE26" t="n">
        <v>84</v>
      </c>
      <c r="AF26" t="n">
        <v>76</v>
      </c>
    </row>
    <row r="27">
      <c r="A27" t="s">
        <v>120</v>
      </c>
      <c r="B27" t="s">
        <v>324</v>
      </c>
      <c r="C27" t="s">
        <v>236</v>
      </c>
      <c r="D27" t="s">
        <v>325</v>
      </c>
      <c r="E27" t="s">
        <v>237</v>
      </c>
      <c r="F27" t="n">
        <v>31</v>
      </c>
      <c r="G27" t="n">
        <v>35</v>
      </c>
      <c r="H27" t="n">
        <v>44</v>
      </c>
      <c r="I27" t="n">
        <v>55</v>
      </c>
      <c r="J27" t="n">
        <v>72</v>
      </c>
      <c r="K27" t="n">
        <v>78</v>
      </c>
      <c r="L27" t="n">
        <v>86</v>
      </c>
      <c r="M27" t="n">
        <v>83</v>
      </c>
      <c r="N27" t="n">
        <v>94</v>
      </c>
      <c r="O27" t="n">
        <v>103</v>
      </c>
      <c r="P27" t="n">
        <v>105</v>
      </c>
      <c r="Q27" t="n">
        <v>108</v>
      </c>
      <c r="R27" t="n">
        <v>120</v>
      </c>
      <c r="S27" t="n">
        <v>127</v>
      </c>
      <c r="T27" t="n">
        <v>127</v>
      </c>
      <c r="U27" t="n">
        <v>128</v>
      </c>
      <c r="V27" t="n">
        <v>118</v>
      </c>
      <c r="W27" t="n">
        <v>122</v>
      </c>
      <c r="X27" t="n">
        <v>122</v>
      </c>
      <c r="Y27" t="n">
        <v>126</v>
      </c>
      <c r="Z27" t="n">
        <v>124</v>
      </c>
      <c r="AA27" t="n">
        <v>127</v>
      </c>
      <c r="AB27" t="n">
        <v>124</v>
      </c>
      <c r="AC27" t="n">
        <v>121</v>
      </c>
      <c r="AD27" t="n">
        <v>116</v>
      </c>
      <c r="AE27" t="n">
        <v>110</v>
      </c>
      <c r="AF27" t="n">
        <v>103</v>
      </c>
    </row>
    <row r="28">
      <c r="A28" t="s">
        <v>120</v>
      </c>
      <c r="B28" t="s">
        <v>326</v>
      </c>
      <c r="C28" t="s">
        <v>236</v>
      </c>
      <c r="D28" t="s">
        <v>327</v>
      </c>
      <c r="E28" t="s">
        <v>237</v>
      </c>
      <c r="F28" t="n">
        <v>70</v>
      </c>
      <c r="G28" t="n">
        <v>86</v>
      </c>
      <c r="H28" t="n">
        <v>107</v>
      </c>
      <c r="I28" t="n">
        <v>140</v>
      </c>
      <c r="J28" t="n">
        <v>171</v>
      </c>
      <c r="K28" t="n">
        <v>185</v>
      </c>
      <c r="L28" t="n">
        <v>200</v>
      </c>
      <c r="M28" t="n">
        <v>199</v>
      </c>
      <c r="N28" t="n">
        <v>231</v>
      </c>
      <c r="O28" t="n">
        <v>256</v>
      </c>
      <c r="P28" t="n">
        <v>250</v>
      </c>
      <c r="Q28" t="n">
        <v>243</v>
      </c>
      <c r="R28" t="n">
        <v>235</v>
      </c>
      <c r="S28" t="n">
        <v>218</v>
      </c>
      <c r="T28" t="n">
        <v>204</v>
      </c>
      <c r="U28" t="n">
        <v>193</v>
      </c>
      <c r="V28" t="n">
        <v>177</v>
      </c>
      <c r="W28" t="n">
        <v>169</v>
      </c>
      <c r="X28" t="n">
        <v>169</v>
      </c>
      <c r="Y28" t="n">
        <v>176</v>
      </c>
      <c r="Z28" t="n">
        <v>169</v>
      </c>
      <c r="AA28" t="n">
        <v>174</v>
      </c>
      <c r="AB28" t="n">
        <v>174</v>
      </c>
      <c r="AC28" t="n">
        <v>170</v>
      </c>
      <c r="AD28" t="n">
        <v>163</v>
      </c>
      <c r="AE28" t="n">
        <v>158</v>
      </c>
      <c r="AF28" t="n">
        <v>151</v>
      </c>
    </row>
    <row r="29">
      <c r="A29" t="s">
        <v>120</v>
      </c>
      <c r="B29" t="s">
        <v>328</v>
      </c>
      <c r="C29" t="s">
        <v>236</v>
      </c>
      <c r="D29" t="s">
        <v>329</v>
      </c>
      <c r="E29" t="s">
        <v>237</v>
      </c>
      <c r="F29" t="n">
        <v>31</v>
      </c>
      <c r="G29" t="n">
        <v>40</v>
      </c>
      <c r="H29" t="n">
        <v>50</v>
      </c>
      <c r="I29" t="n">
        <v>67</v>
      </c>
      <c r="J29" t="n">
        <v>76</v>
      </c>
      <c r="K29" t="n">
        <v>80</v>
      </c>
      <c r="L29" t="n">
        <v>87</v>
      </c>
      <c r="M29" t="n">
        <v>87</v>
      </c>
      <c r="N29" t="n">
        <v>102</v>
      </c>
      <c r="O29" t="n">
        <v>120</v>
      </c>
      <c r="P29" t="n">
        <v>113</v>
      </c>
      <c r="Q29" t="n">
        <v>109</v>
      </c>
      <c r="R29" t="n">
        <v>105</v>
      </c>
      <c r="S29" t="n">
        <v>96</v>
      </c>
      <c r="T29" t="n">
        <v>88</v>
      </c>
      <c r="U29" t="n">
        <v>81</v>
      </c>
      <c r="V29" t="n">
        <v>74</v>
      </c>
      <c r="W29" t="n">
        <v>70</v>
      </c>
      <c r="X29" t="n">
        <v>68</v>
      </c>
      <c r="Y29" t="n">
        <v>69</v>
      </c>
      <c r="Z29" t="n">
        <v>66</v>
      </c>
      <c r="AA29" t="n">
        <v>70</v>
      </c>
      <c r="AB29" t="n">
        <v>74</v>
      </c>
      <c r="AC29" t="n">
        <v>76</v>
      </c>
      <c r="AD29" t="n">
        <v>76</v>
      </c>
      <c r="AE29" t="n">
        <v>75</v>
      </c>
      <c r="AF29" t="n">
        <v>73</v>
      </c>
    </row>
    <row r="30">
      <c r="A30" t="s">
        <v>120</v>
      </c>
      <c r="B30" t="s">
        <v>330</v>
      </c>
      <c r="C30" t="s">
        <v>236</v>
      </c>
      <c r="D30" t="s">
        <v>331</v>
      </c>
      <c r="E30" t="s">
        <v>237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2</v>
      </c>
      <c r="N30" t="n">
        <v>4</v>
      </c>
      <c r="O30" t="n">
        <v>5</v>
      </c>
      <c r="P30" t="n">
        <v>7</v>
      </c>
      <c r="Q30" t="n">
        <v>9</v>
      </c>
      <c r="R30" t="n">
        <v>9</v>
      </c>
      <c r="S30" t="n">
        <v>8</v>
      </c>
      <c r="T30" t="n">
        <v>7</v>
      </c>
      <c r="U30" t="n">
        <v>7</v>
      </c>
      <c r="V30" t="n">
        <v>11</v>
      </c>
      <c r="W30" t="n">
        <v>12</v>
      </c>
      <c r="X30" t="n">
        <v>13</v>
      </c>
      <c r="Y30" t="n">
        <v>14</v>
      </c>
      <c r="Z30" t="n">
        <v>14</v>
      </c>
      <c r="AA30" t="n">
        <v>14</v>
      </c>
      <c r="AB30" t="n">
        <v>13</v>
      </c>
      <c r="AC30" t="n">
        <v>13</v>
      </c>
      <c r="AD30" t="n">
        <v>12</v>
      </c>
      <c r="AE30" t="n">
        <v>13</v>
      </c>
      <c r="AF30" t="n">
        <v>11</v>
      </c>
    </row>
    <row r="31">
      <c r="A31" t="s">
        <v>120</v>
      </c>
      <c r="B31" t="s">
        <v>332</v>
      </c>
      <c r="C31" t="s">
        <v>236</v>
      </c>
      <c r="D31" t="s">
        <v>333</v>
      </c>
      <c r="E31" t="s">
        <v>237</v>
      </c>
      <c r="F31" t="n">
        <v>3</v>
      </c>
      <c r="G31" t="n">
        <v>5</v>
      </c>
      <c r="H31" t="n">
        <v>7</v>
      </c>
      <c r="I31" t="n">
        <v>11</v>
      </c>
      <c r="J31" t="n">
        <v>14</v>
      </c>
      <c r="K31" t="n">
        <v>14</v>
      </c>
      <c r="L31" t="n">
        <v>17</v>
      </c>
      <c r="M31" t="n">
        <v>15</v>
      </c>
      <c r="N31" t="n">
        <v>14</v>
      </c>
      <c r="O31" t="n">
        <v>14</v>
      </c>
      <c r="P31" t="n">
        <v>14</v>
      </c>
      <c r="Q31" t="n">
        <v>13</v>
      </c>
      <c r="R31" t="n">
        <v>12</v>
      </c>
      <c r="S31" t="n">
        <v>15</v>
      </c>
      <c r="T31" t="n">
        <v>13</v>
      </c>
      <c r="U31" t="n">
        <v>11</v>
      </c>
      <c r="V31" t="n">
        <v>8</v>
      </c>
      <c r="W31" t="n">
        <v>7</v>
      </c>
      <c r="X31" t="n">
        <v>6</v>
      </c>
      <c r="Y31" t="n">
        <v>5</v>
      </c>
      <c r="Z31" t="n">
        <v>5</v>
      </c>
      <c r="AA31" t="n">
        <v>4</v>
      </c>
      <c r="AB31" t="n">
        <v>3</v>
      </c>
      <c r="AC31" t="n">
        <v>3</v>
      </c>
      <c r="AD31" t="n">
        <v>0</v>
      </c>
      <c r="AE31" t="n">
        <v>0</v>
      </c>
      <c r="AF31" t="n">
        <v>0</v>
      </c>
    </row>
    <row r="32">
      <c r="A32" t="s">
        <v>120</v>
      </c>
      <c r="B32" t="s">
        <v>334</v>
      </c>
      <c r="C32" t="s">
        <v>236</v>
      </c>
      <c r="D32" t="s">
        <v>335</v>
      </c>
      <c r="E32" t="s">
        <v>237</v>
      </c>
      <c r="F32" t="n">
        <v>27</v>
      </c>
      <c r="G32" t="n">
        <v>32</v>
      </c>
      <c r="H32" t="n">
        <v>38</v>
      </c>
      <c r="I32" t="n">
        <v>46</v>
      </c>
      <c r="J32" t="n">
        <v>58</v>
      </c>
      <c r="K32" t="n">
        <v>65</v>
      </c>
      <c r="L32" t="n">
        <v>68</v>
      </c>
      <c r="M32" t="n">
        <v>67</v>
      </c>
      <c r="N32" t="n">
        <v>82</v>
      </c>
      <c r="O32" t="n">
        <v>91</v>
      </c>
      <c r="P32" t="n">
        <v>95</v>
      </c>
      <c r="Q32" t="n">
        <v>93</v>
      </c>
      <c r="R32" t="n">
        <v>92</v>
      </c>
      <c r="S32" t="n">
        <v>85</v>
      </c>
      <c r="T32" t="n">
        <v>83</v>
      </c>
      <c r="U32" t="n">
        <v>80</v>
      </c>
      <c r="V32" t="n">
        <v>72</v>
      </c>
      <c r="W32" t="n">
        <v>69</v>
      </c>
      <c r="X32" t="n">
        <v>71</v>
      </c>
      <c r="Y32" t="n">
        <v>77</v>
      </c>
      <c r="Z32" t="n">
        <v>73</v>
      </c>
      <c r="AA32" t="n">
        <v>75</v>
      </c>
      <c r="AB32" t="n">
        <v>71</v>
      </c>
      <c r="AC32" t="n">
        <v>65</v>
      </c>
      <c r="AD32" t="n">
        <v>62</v>
      </c>
      <c r="AE32" t="n">
        <v>58</v>
      </c>
      <c r="AF32" t="n">
        <v>56</v>
      </c>
    </row>
    <row r="33">
      <c r="A33" t="s">
        <v>120</v>
      </c>
      <c r="B33" t="s">
        <v>336</v>
      </c>
      <c r="C33" t="s">
        <v>236</v>
      </c>
      <c r="D33" t="s">
        <v>337</v>
      </c>
      <c r="E33" t="s">
        <v>237</v>
      </c>
      <c r="F33" t="n">
        <v>9</v>
      </c>
      <c r="G33" t="n">
        <v>9</v>
      </c>
      <c r="H33" t="n">
        <v>12</v>
      </c>
      <c r="I33" t="n">
        <v>16</v>
      </c>
      <c r="J33" t="n">
        <v>23</v>
      </c>
      <c r="K33" t="n">
        <v>26</v>
      </c>
      <c r="L33" t="n">
        <v>27</v>
      </c>
      <c r="M33" t="n">
        <v>28</v>
      </c>
      <c r="N33" t="n">
        <v>29</v>
      </c>
      <c r="O33" t="n">
        <v>26</v>
      </c>
      <c r="P33" t="n">
        <v>21</v>
      </c>
      <c r="Q33" t="n">
        <v>19</v>
      </c>
      <c r="R33" t="n">
        <v>17</v>
      </c>
      <c r="S33" t="n">
        <v>14</v>
      </c>
      <c r="T33" t="n">
        <v>13</v>
      </c>
      <c r="U33" t="n">
        <v>14</v>
      </c>
      <c r="V33" t="n">
        <v>12</v>
      </c>
      <c r="W33" t="n">
        <v>11</v>
      </c>
      <c r="X33" t="n">
        <v>11</v>
      </c>
      <c r="Y33" t="n">
        <v>11</v>
      </c>
      <c r="Z33" t="n">
        <v>11</v>
      </c>
      <c r="AA33" t="n">
        <v>11</v>
      </c>
      <c r="AB33" t="n">
        <v>13</v>
      </c>
      <c r="AC33" t="n">
        <v>13</v>
      </c>
      <c r="AD33" t="n">
        <v>13</v>
      </c>
      <c r="AE33" t="n">
        <v>12</v>
      </c>
      <c r="AF33" t="n">
        <v>11</v>
      </c>
    </row>
    <row r="34">
      <c r="A34" t="s">
        <v>120</v>
      </c>
      <c r="B34" t="s">
        <v>338</v>
      </c>
      <c r="C34" t="s">
        <v>236</v>
      </c>
      <c r="D34" t="s">
        <v>339</v>
      </c>
      <c r="E34" t="s">
        <v>237</v>
      </c>
      <c r="F34" t="n">
        <v>13</v>
      </c>
      <c r="G34" t="n">
        <v>17</v>
      </c>
      <c r="H34" t="n">
        <v>24</v>
      </c>
      <c r="I34" t="n">
        <v>34</v>
      </c>
      <c r="J34" t="n">
        <v>42</v>
      </c>
      <c r="K34" t="n">
        <v>45</v>
      </c>
      <c r="L34" t="n">
        <v>51</v>
      </c>
      <c r="M34" t="n">
        <v>49</v>
      </c>
      <c r="N34" t="n">
        <v>55</v>
      </c>
      <c r="O34" t="n">
        <v>62</v>
      </c>
      <c r="P34" t="n">
        <v>64</v>
      </c>
      <c r="Q34" t="n">
        <v>66</v>
      </c>
      <c r="R34" t="n">
        <v>67</v>
      </c>
      <c r="S34" t="n">
        <v>63</v>
      </c>
      <c r="T34" t="n">
        <v>58</v>
      </c>
      <c r="U34" t="n">
        <v>57</v>
      </c>
      <c r="V34" t="n">
        <v>54</v>
      </c>
      <c r="W34" t="n">
        <v>55</v>
      </c>
      <c r="X34" t="n">
        <v>52</v>
      </c>
      <c r="Y34" t="n">
        <v>52</v>
      </c>
      <c r="Z34" t="n">
        <v>48</v>
      </c>
      <c r="AA34" t="n">
        <v>50</v>
      </c>
      <c r="AB34" t="n">
        <v>47</v>
      </c>
      <c r="AC34" t="n">
        <v>47</v>
      </c>
      <c r="AD34" t="n">
        <v>45</v>
      </c>
      <c r="AE34" t="n">
        <v>42</v>
      </c>
      <c r="AF34" t="n">
        <v>40</v>
      </c>
    </row>
    <row r="35">
      <c r="A35" t="s">
        <v>120</v>
      </c>
      <c r="B35" t="s">
        <v>340</v>
      </c>
      <c r="C35" t="s">
        <v>236</v>
      </c>
      <c r="D35" t="s">
        <v>341</v>
      </c>
      <c r="E35" t="s">
        <v>237</v>
      </c>
      <c r="F35" t="n">
        <v>75</v>
      </c>
      <c r="G35" t="n">
        <v>93</v>
      </c>
      <c r="H35" t="n">
        <v>120</v>
      </c>
      <c r="I35" t="n">
        <v>146</v>
      </c>
      <c r="J35" t="n">
        <v>179</v>
      </c>
      <c r="K35" t="n">
        <v>199</v>
      </c>
      <c r="L35" t="n">
        <v>223</v>
      </c>
      <c r="M35" t="n">
        <v>222</v>
      </c>
      <c r="N35" t="n">
        <v>220</v>
      </c>
      <c r="O35" t="n">
        <v>273</v>
      </c>
      <c r="P35" t="n">
        <v>285</v>
      </c>
      <c r="Q35" t="n">
        <v>313</v>
      </c>
      <c r="R35" t="n">
        <v>329</v>
      </c>
      <c r="S35" t="n">
        <v>327</v>
      </c>
      <c r="T35" t="n">
        <v>300</v>
      </c>
      <c r="U35" t="n">
        <v>309</v>
      </c>
      <c r="V35" t="n">
        <v>348</v>
      </c>
      <c r="W35" t="n">
        <v>400</v>
      </c>
      <c r="X35" t="n">
        <v>437</v>
      </c>
      <c r="Y35" t="n">
        <v>489</v>
      </c>
      <c r="Z35" t="n">
        <v>520</v>
      </c>
      <c r="AA35" t="n">
        <v>574</v>
      </c>
      <c r="AB35" t="n">
        <v>608</v>
      </c>
      <c r="AC35" t="n">
        <v>679</v>
      </c>
      <c r="AD35" t="n">
        <v>691</v>
      </c>
      <c r="AE35" t="n">
        <v>720</v>
      </c>
      <c r="AF35" t="n">
        <v>745</v>
      </c>
    </row>
    <row r="36">
      <c r="A36" t="s">
        <v>120</v>
      </c>
      <c r="B36" t="s">
        <v>342</v>
      </c>
      <c r="C36" t="s">
        <v>236</v>
      </c>
      <c r="D36" t="s">
        <v>343</v>
      </c>
      <c r="E36" t="s">
        <v>237</v>
      </c>
      <c r="F36" t="n">
        <v>14</v>
      </c>
      <c r="G36" t="n">
        <v>16</v>
      </c>
      <c r="H36" t="n">
        <v>23</v>
      </c>
      <c r="I36" t="n">
        <v>27</v>
      </c>
      <c r="J36" t="n">
        <v>26</v>
      </c>
      <c r="K36" t="n">
        <v>27</v>
      </c>
      <c r="L36" t="n">
        <v>29</v>
      </c>
      <c r="M36" t="n">
        <v>29</v>
      </c>
      <c r="N36" t="n">
        <v>30</v>
      </c>
      <c r="O36" t="n">
        <v>29</v>
      </c>
      <c r="P36" t="n">
        <v>29</v>
      </c>
      <c r="Q36" t="n">
        <v>32</v>
      </c>
      <c r="R36" t="n">
        <v>36</v>
      </c>
      <c r="S36" t="n">
        <v>35</v>
      </c>
      <c r="T36" t="n">
        <v>36</v>
      </c>
      <c r="U36" t="n">
        <v>40</v>
      </c>
      <c r="V36" t="n">
        <v>40</v>
      </c>
      <c r="W36" t="n">
        <v>42</v>
      </c>
      <c r="X36" t="n">
        <v>40</v>
      </c>
      <c r="Y36" t="n">
        <v>39</v>
      </c>
      <c r="Z36" t="n">
        <v>36</v>
      </c>
      <c r="AA36" t="n">
        <v>36</v>
      </c>
      <c r="AB36" t="n">
        <v>36</v>
      </c>
      <c r="AC36" t="n">
        <v>36</v>
      </c>
      <c r="AD36" t="n">
        <v>35</v>
      </c>
      <c r="AE36" t="n">
        <v>32</v>
      </c>
      <c r="AF36" t="n">
        <v>30</v>
      </c>
    </row>
    <row r="37">
      <c r="A37" t="s">
        <v>120</v>
      </c>
      <c r="B37" t="s">
        <v>344</v>
      </c>
      <c r="C37" t="s">
        <v>236</v>
      </c>
      <c r="D37" t="s">
        <v>345</v>
      </c>
      <c r="E37" t="s">
        <v>237</v>
      </c>
      <c r="F37" t="n">
        <v>47</v>
      </c>
      <c r="G37" t="n">
        <v>61</v>
      </c>
      <c r="H37" t="n">
        <v>80</v>
      </c>
      <c r="I37" t="n">
        <v>101</v>
      </c>
      <c r="J37" t="n">
        <v>130</v>
      </c>
      <c r="K37" t="n">
        <v>147</v>
      </c>
      <c r="L37" t="n">
        <v>165</v>
      </c>
      <c r="M37" t="n">
        <v>164</v>
      </c>
      <c r="N37" t="n">
        <v>159</v>
      </c>
      <c r="O37" t="n">
        <v>202</v>
      </c>
      <c r="P37" t="n">
        <v>213</v>
      </c>
      <c r="Q37" t="n">
        <v>223</v>
      </c>
      <c r="R37" t="n">
        <v>219</v>
      </c>
      <c r="S37" t="n">
        <v>214</v>
      </c>
      <c r="T37" t="n">
        <v>192</v>
      </c>
      <c r="U37" t="n">
        <v>196</v>
      </c>
      <c r="V37" t="n">
        <v>238</v>
      </c>
      <c r="W37" t="n">
        <v>286</v>
      </c>
      <c r="X37" t="n">
        <v>319</v>
      </c>
      <c r="Y37" t="n">
        <v>360</v>
      </c>
      <c r="Z37" t="n">
        <v>378</v>
      </c>
      <c r="AA37" t="n">
        <v>419</v>
      </c>
      <c r="AB37" t="n">
        <v>435</v>
      </c>
      <c r="AC37" t="n">
        <v>486</v>
      </c>
      <c r="AD37" t="n">
        <v>507</v>
      </c>
      <c r="AE37" t="n">
        <v>547</v>
      </c>
      <c r="AF37" t="n">
        <v>580</v>
      </c>
    </row>
    <row r="38">
      <c r="A38" t="s">
        <v>120</v>
      </c>
      <c r="B38" t="s">
        <v>346</v>
      </c>
      <c r="C38" t="s">
        <v>236</v>
      </c>
      <c r="D38" t="s">
        <v>347</v>
      </c>
      <c r="E38" t="s">
        <v>237</v>
      </c>
      <c r="F38" t="n">
        <v>14</v>
      </c>
      <c r="G38" t="n">
        <v>16</v>
      </c>
      <c r="H38" t="n">
        <v>17</v>
      </c>
      <c r="I38" t="n">
        <v>18</v>
      </c>
      <c r="J38" t="n">
        <v>23</v>
      </c>
      <c r="K38" t="n">
        <v>25</v>
      </c>
      <c r="L38" t="n">
        <v>29</v>
      </c>
      <c r="M38" t="n">
        <v>29</v>
      </c>
      <c r="N38" t="n">
        <v>31</v>
      </c>
      <c r="O38" t="n">
        <v>42</v>
      </c>
      <c r="P38" t="n">
        <v>43</v>
      </c>
      <c r="Q38" t="n">
        <v>58</v>
      </c>
      <c r="R38" t="n">
        <v>74</v>
      </c>
      <c r="S38" t="n">
        <v>78</v>
      </c>
      <c r="T38" t="n">
        <v>72</v>
      </c>
      <c r="U38" t="n">
        <v>73</v>
      </c>
      <c r="V38" t="n">
        <v>70</v>
      </c>
      <c r="W38" t="n">
        <v>72</v>
      </c>
      <c r="X38" t="n">
        <v>78</v>
      </c>
      <c r="Y38" t="n">
        <v>90</v>
      </c>
      <c r="Z38" t="n">
        <v>106</v>
      </c>
      <c r="AA38" t="n">
        <v>119</v>
      </c>
      <c r="AB38" t="n">
        <v>137</v>
      </c>
      <c r="AC38" t="n">
        <v>157</v>
      </c>
      <c r="AD38" t="n">
        <v>149</v>
      </c>
      <c r="AE38" t="n">
        <v>141</v>
      </c>
      <c r="AF38" t="n">
        <v>135</v>
      </c>
    </row>
    <row r="39">
      <c r="A39" t="s">
        <v>120</v>
      </c>
      <c r="B39" t="s">
        <v>348</v>
      </c>
      <c r="C39" t="s">
        <v>236</v>
      </c>
      <c r="D39" t="s">
        <v>349</v>
      </c>
      <c r="E39" t="s">
        <v>237</v>
      </c>
      <c r="F39" t="n">
        <v>29</v>
      </c>
      <c r="G39" t="n">
        <v>31</v>
      </c>
      <c r="H39" t="n">
        <v>30</v>
      </c>
      <c r="I39" t="n">
        <v>29</v>
      </c>
      <c r="J39" t="n">
        <v>29</v>
      </c>
      <c r="K39" t="n">
        <v>32</v>
      </c>
      <c r="L39" t="n">
        <v>31</v>
      </c>
      <c r="M39" t="n">
        <v>33</v>
      </c>
      <c r="N39" t="n">
        <v>34</v>
      </c>
      <c r="O39" t="n">
        <v>33</v>
      </c>
      <c r="P39" t="n">
        <v>34</v>
      </c>
      <c r="Q39" t="n">
        <v>38</v>
      </c>
      <c r="R39" t="n">
        <v>49</v>
      </c>
      <c r="S39" t="n">
        <v>57</v>
      </c>
      <c r="T39" t="n">
        <v>57</v>
      </c>
      <c r="U39" t="n">
        <v>55</v>
      </c>
      <c r="V39" t="n">
        <v>50</v>
      </c>
      <c r="W39" t="n">
        <v>46</v>
      </c>
      <c r="X39" t="n">
        <v>46</v>
      </c>
      <c r="Y39" t="n">
        <v>45</v>
      </c>
      <c r="Z39" t="n">
        <v>39</v>
      </c>
      <c r="AA39" t="n">
        <v>38</v>
      </c>
      <c r="AB39" t="n">
        <v>84</v>
      </c>
      <c r="AC39" t="n">
        <v>101</v>
      </c>
      <c r="AD39" t="n">
        <v>130</v>
      </c>
      <c r="AE39" t="n">
        <v>150</v>
      </c>
      <c r="AF39" t="n">
        <v>164</v>
      </c>
    </row>
    <row r="40">
      <c r="A40" t="s">
        <v>120</v>
      </c>
      <c r="B40" t="s">
        <v>350</v>
      </c>
      <c r="C40" t="s">
        <v>236</v>
      </c>
      <c r="D40" t="s">
        <v>351</v>
      </c>
      <c r="E40" t="s">
        <v>237</v>
      </c>
      <c r="F40" t="n">
        <v>0</v>
      </c>
      <c r="G40" t="n">
        <v>0</v>
      </c>
      <c r="H40" t="n">
        <v>0</v>
      </c>
      <c r="I40" t="n">
        <v>1</v>
      </c>
      <c r="J40" t="n">
        <v>2</v>
      </c>
      <c r="K40" t="n">
        <v>5</v>
      </c>
      <c r="L40" t="n">
        <v>6</v>
      </c>
      <c r="M40" t="n">
        <v>7</v>
      </c>
      <c r="N40" t="n">
        <v>10</v>
      </c>
      <c r="O40" t="n">
        <v>13</v>
      </c>
      <c r="P40" t="n">
        <v>17</v>
      </c>
      <c r="Q40" t="n">
        <v>21</v>
      </c>
      <c r="R40" t="n">
        <v>24</v>
      </c>
      <c r="S40" t="n">
        <v>34</v>
      </c>
      <c r="T40" t="n">
        <v>35</v>
      </c>
      <c r="U40" t="n">
        <v>32</v>
      </c>
      <c r="V40" t="n">
        <v>27</v>
      </c>
      <c r="W40" t="n">
        <v>23</v>
      </c>
      <c r="X40" t="n">
        <v>24</v>
      </c>
      <c r="Y40" t="n">
        <v>26</v>
      </c>
      <c r="Z40" t="n">
        <v>27</v>
      </c>
      <c r="AA40" t="n">
        <v>27</v>
      </c>
      <c r="AB40" t="n">
        <v>29</v>
      </c>
      <c r="AC40" t="n">
        <v>30</v>
      </c>
      <c r="AD40" t="n">
        <v>28</v>
      </c>
      <c r="AE40" t="n">
        <v>28</v>
      </c>
      <c r="AF40" t="n">
        <v>28</v>
      </c>
    </row>
    <row r="41">
      <c r="A41" t="s">
        <v>120</v>
      </c>
      <c r="B41" t="s">
        <v>352</v>
      </c>
      <c r="C41" t="s">
        <v>236</v>
      </c>
      <c r="D41" t="s">
        <v>353</v>
      </c>
      <c r="E41" t="s">
        <v>237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120</v>
      </c>
      <c r="B42" t="s">
        <v>354</v>
      </c>
      <c r="C42" t="s">
        <v>236</v>
      </c>
      <c r="D42" t="s">
        <v>355</v>
      </c>
      <c r="E42" t="s">
        <v>237</v>
      </c>
      <c r="F42" t="n">
        <v>22</v>
      </c>
      <c r="G42" t="n">
        <v>31</v>
      </c>
      <c r="H42" t="n">
        <v>39</v>
      </c>
      <c r="I42" t="n">
        <v>48</v>
      </c>
      <c r="J42" t="n">
        <v>61</v>
      </c>
      <c r="K42" t="n">
        <v>70</v>
      </c>
      <c r="L42" t="n">
        <v>79</v>
      </c>
      <c r="M42" t="n">
        <v>78</v>
      </c>
      <c r="N42" t="n">
        <v>89</v>
      </c>
      <c r="O42" t="n">
        <v>96</v>
      </c>
      <c r="P42" t="n">
        <v>99</v>
      </c>
      <c r="Q42" t="n">
        <v>109</v>
      </c>
      <c r="R42" t="n">
        <v>119</v>
      </c>
      <c r="S42" t="n">
        <v>129</v>
      </c>
      <c r="T42" t="n">
        <v>114</v>
      </c>
      <c r="U42" t="n">
        <v>111</v>
      </c>
      <c r="V42" t="n">
        <v>106</v>
      </c>
      <c r="W42" t="n">
        <v>100</v>
      </c>
      <c r="X42" t="n">
        <v>102</v>
      </c>
      <c r="Y42" t="n">
        <v>102</v>
      </c>
      <c r="Z42" t="n">
        <v>93</v>
      </c>
      <c r="AA42" t="n">
        <v>95</v>
      </c>
      <c r="AB42" t="n">
        <v>95</v>
      </c>
      <c r="AC42" t="n">
        <v>94</v>
      </c>
      <c r="AD42" t="n">
        <v>91</v>
      </c>
      <c r="AE42" t="n">
        <v>89</v>
      </c>
      <c r="AF42" t="n">
        <v>87</v>
      </c>
    </row>
    <row r="43">
      <c r="A43" t="s">
        <v>120</v>
      </c>
      <c r="B43" t="s">
        <v>356</v>
      </c>
      <c r="C43" t="s">
        <v>236</v>
      </c>
      <c r="D43" t="s">
        <v>357</v>
      </c>
      <c r="E43" t="s">
        <v>237</v>
      </c>
      <c r="F43" t="n">
        <v>30</v>
      </c>
      <c r="G43" t="n">
        <v>44</v>
      </c>
      <c r="H43" t="n">
        <v>58</v>
      </c>
      <c r="I43" t="n">
        <v>74</v>
      </c>
      <c r="J43" t="n">
        <v>94</v>
      </c>
      <c r="K43" t="n">
        <v>110</v>
      </c>
      <c r="L43" t="n">
        <v>124</v>
      </c>
      <c r="M43" t="n">
        <v>122</v>
      </c>
      <c r="N43" t="n">
        <v>145</v>
      </c>
      <c r="O43" t="n">
        <v>161</v>
      </c>
      <c r="P43" t="n">
        <v>173</v>
      </c>
      <c r="Q43" t="n">
        <v>192</v>
      </c>
      <c r="R43" t="n">
        <v>216</v>
      </c>
      <c r="S43" t="n">
        <v>239</v>
      </c>
      <c r="T43" t="n">
        <v>228</v>
      </c>
      <c r="U43" t="n">
        <v>230</v>
      </c>
      <c r="V43" t="n">
        <v>224</v>
      </c>
      <c r="W43" t="n">
        <v>223</v>
      </c>
      <c r="X43" t="n">
        <v>228</v>
      </c>
      <c r="Y43" t="n">
        <v>232</v>
      </c>
      <c r="Z43" t="n">
        <v>215</v>
      </c>
      <c r="AA43" t="n">
        <v>223</v>
      </c>
      <c r="AB43" t="n">
        <v>219</v>
      </c>
      <c r="AC43" t="n">
        <v>219</v>
      </c>
      <c r="AD43" t="n">
        <v>215</v>
      </c>
      <c r="AE43" t="n">
        <v>211</v>
      </c>
      <c r="AF43" t="n">
        <v>204</v>
      </c>
    </row>
    <row r="44">
      <c r="A44" t="s">
        <v>120</v>
      </c>
      <c r="B44" t="s">
        <v>358</v>
      </c>
      <c r="C44" t="s">
        <v>236</v>
      </c>
      <c r="D44" t="s">
        <v>359</v>
      </c>
      <c r="E44" t="s">
        <v>237</v>
      </c>
      <c r="F44" t="n">
        <v>614</v>
      </c>
      <c r="G44" t="n">
        <v>763</v>
      </c>
      <c r="H44" t="n">
        <v>969</v>
      </c>
      <c r="I44" t="n">
        <v>1193</v>
      </c>
      <c r="J44" t="n">
        <v>1429</v>
      </c>
      <c r="K44" t="n">
        <v>1557</v>
      </c>
      <c r="L44" t="n">
        <v>1727</v>
      </c>
      <c r="M44" t="n">
        <v>1692</v>
      </c>
      <c r="N44" t="n">
        <v>1849</v>
      </c>
      <c r="O44" t="n">
        <v>2060</v>
      </c>
      <c r="P44" t="n">
        <v>2109</v>
      </c>
      <c r="Q44" t="n">
        <v>2359</v>
      </c>
      <c r="R44" t="n">
        <v>2670</v>
      </c>
      <c r="S44" t="n">
        <v>2743</v>
      </c>
      <c r="T44" t="n">
        <v>2682</v>
      </c>
      <c r="U44" t="n">
        <v>2668</v>
      </c>
      <c r="V44" t="n">
        <v>2529</v>
      </c>
      <c r="W44" t="n">
        <v>2584</v>
      </c>
      <c r="X44" t="n">
        <v>2637</v>
      </c>
      <c r="Y44" t="n">
        <v>2769</v>
      </c>
      <c r="Z44" t="n">
        <v>2791</v>
      </c>
      <c r="AA44" t="n">
        <v>2954</v>
      </c>
      <c r="AB44" t="n">
        <v>3127</v>
      </c>
      <c r="AC44" t="n">
        <v>3240</v>
      </c>
      <c r="AD44" t="n">
        <v>3215</v>
      </c>
      <c r="AE44" t="n">
        <v>3252</v>
      </c>
      <c r="AF44" t="n">
        <v>3274</v>
      </c>
    </row>
    <row r="45">
      <c r="A45" t="s">
        <v>120</v>
      </c>
      <c r="B45" t="s">
        <v>360</v>
      </c>
      <c r="C45" t="s">
        <v>236</v>
      </c>
      <c r="D45" t="s">
        <v>361</v>
      </c>
      <c r="E45" t="s">
        <v>237</v>
      </c>
      <c r="F45" t="n">
        <v>588</v>
      </c>
      <c r="G45" t="n">
        <v>732</v>
      </c>
      <c r="H45" t="n">
        <v>931</v>
      </c>
      <c r="I45" t="n">
        <v>1144</v>
      </c>
      <c r="J45" t="n">
        <v>1371</v>
      </c>
      <c r="K45" t="n">
        <v>1496</v>
      </c>
      <c r="L45" t="n">
        <v>1663</v>
      </c>
      <c r="M45" t="n">
        <v>1630</v>
      </c>
      <c r="N45" t="n">
        <v>1781</v>
      </c>
      <c r="O45" t="n">
        <v>1984</v>
      </c>
      <c r="P45" t="n">
        <v>2030</v>
      </c>
      <c r="Q45" t="n">
        <v>2282</v>
      </c>
      <c r="R45" t="n">
        <v>2594</v>
      </c>
      <c r="S45" t="n">
        <v>2676</v>
      </c>
      <c r="T45" t="n">
        <v>2619</v>
      </c>
      <c r="U45" t="n">
        <v>2607</v>
      </c>
      <c r="V45" t="n">
        <v>2476</v>
      </c>
      <c r="W45" t="n">
        <v>2531</v>
      </c>
      <c r="X45" t="n">
        <v>2584</v>
      </c>
      <c r="Y45" t="n">
        <v>2713</v>
      </c>
      <c r="Z45" t="n">
        <v>2736</v>
      </c>
      <c r="AA45" t="n">
        <v>2898</v>
      </c>
      <c r="AB45" t="n">
        <v>3070</v>
      </c>
      <c r="AC45" t="n">
        <v>3181</v>
      </c>
      <c r="AD45" t="n">
        <v>3161</v>
      </c>
      <c r="AE45" t="n">
        <v>3197</v>
      </c>
      <c r="AF45" t="n">
        <v>3218</v>
      </c>
    </row>
    <row r="46">
      <c r="A46" t="s">
        <v>120</v>
      </c>
      <c r="B46" t="s">
        <v>362</v>
      </c>
      <c r="C46" t="s">
        <v>236</v>
      </c>
      <c r="D46" t="s">
        <v>363</v>
      </c>
      <c r="E46" t="s">
        <v>237</v>
      </c>
      <c r="F46" t="n">
        <v>8</v>
      </c>
      <c r="G46" t="n">
        <v>13</v>
      </c>
      <c r="H46" t="n">
        <v>19</v>
      </c>
      <c r="I46" t="n">
        <v>26</v>
      </c>
      <c r="J46" t="n">
        <v>33</v>
      </c>
      <c r="K46" t="n">
        <v>40</v>
      </c>
      <c r="L46" t="n">
        <v>45</v>
      </c>
      <c r="M46" t="n">
        <v>44</v>
      </c>
      <c r="N46" t="n">
        <v>56</v>
      </c>
      <c r="O46" t="n">
        <v>65</v>
      </c>
      <c r="P46" t="n">
        <v>74</v>
      </c>
      <c r="Q46" t="n">
        <v>83</v>
      </c>
      <c r="R46" t="n">
        <v>97</v>
      </c>
      <c r="S46" t="n">
        <v>110</v>
      </c>
      <c r="T46" t="n">
        <v>114</v>
      </c>
      <c r="U46" t="n">
        <v>119</v>
      </c>
      <c r="V46" t="n">
        <v>118</v>
      </c>
      <c r="W46" t="n">
        <v>123</v>
      </c>
      <c r="X46" t="n">
        <v>126</v>
      </c>
      <c r="Y46" t="n">
        <v>130</v>
      </c>
      <c r="Z46" t="n">
        <v>122</v>
      </c>
      <c r="AA46" t="n">
        <v>128</v>
      </c>
      <c r="AB46" t="n">
        <v>124</v>
      </c>
      <c r="AC46" t="n">
        <v>125</v>
      </c>
      <c r="AD46" t="n">
        <v>124</v>
      </c>
      <c r="AE46" t="n">
        <v>122</v>
      </c>
      <c r="AF46" t="n">
        <v>117</v>
      </c>
    </row>
    <row r="47">
      <c r="A47" t="s">
        <v>120</v>
      </c>
      <c r="B47" t="s">
        <v>364</v>
      </c>
      <c r="C47" t="s">
        <v>236</v>
      </c>
      <c r="D47" t="s">
        <v>365</v>
      </c>
      <c r="E47" t="s">
        <v>237</v>
      </c>
      <c r="F47" t="n">
        <v>30</v>
      </c>
      <c r="G47" t="n">
        <v>37</v>
      </c>
      <c r="H47" t="n">
        <v>47</v>
      </c>
      <c r="I47" t="n">
        <v>60</v>
      </c>
      <c r="J47" t="n">
        <v>77</v>
      </c>
      <c r="K47" t="n">
        <v>88</v>
      </c>
      <c r="L47" t="n">
        <v>101</v>
      </c>
      <c r="M47" t="n">
        <v>102</v>
      </c>
      <c r="N47" t="n">
        <v>114</v>
      </c>
      <c r="O47" t="n">
        <v>129</v>
      </c>
      <c r="P47" t="n">
        <v>132</v>
      </c>
      <c r="Q47" t="n">
        <v>124</v>
      </c>
      <c r="R47" t="n">
        <v>118</v>
      </c>
      <c r="S47" t="n">
        <v>105</v>
      </c>
      <c r="T47" t="n">
        <v>93</v>
      </c>
      <c r="U47" t="n">
        <v>84</v>
      </c>
      <c r="V47" t="n">
        <v>68</v>
      </c>
      <c r="W47" t="n">
        <v>66</v>
      </c>
      <c r="X47" t="n">
        <v>62</v>
      </c>
      <c r="Y47" t="n">
        <v>60</v>
      </c>
      <c r="Z47" t="n">
        <v>58</v>
      </c>
      <c r="AA47" t="n">
        <v>58</v>
      </c>
      <c r="AB47" t="n">
        <v>59</v>
      </c>
      <c r="AC47" t="n">
        <v>58</v>
      </c>
      <c r="AD47" t="n">
        <v>50</v>
      </c>
      <c r="AE47" t="n">
        <v>49</v>
      </c>
      <c r="AF47" t="n">
        <v>50</v>
      </c>
    </row>
    <row r="48">
      <c r="A48" t="s">
        <v>120</v>
      </c>
      <c r="B48" t="s">
        <v>366</v>
      </c>
      <c r="C48" t="s">
        <v>236</v>
      </c>
      <c r="D48" t="s">
        <v>367</v>
      </c>
      <c r="E48" t="s">
        <v>237</v>
      </c>
      <c r="F48" t="n">
        <v>83</v>
      </c>
      <c r="G48" t="n">
        <v>102</v>
      </c>
      <c r="H48" t="n">
        <v>132</v>
      </c>
      <c r="I48" t="n">
        <v>167</v>
      </c>
      <c r="J48" t="n">
        <v>214</v>
      </c>
      <c r="K48" t="n">
        <v>240</v>
      </c>
      <c r="L48" t="n">
        <v>276</v>
      </c>
      <c r="M48" t="n">
        <v>279</v>
      </c>
      <c r="N48" t="n">
        <v>317</v>
      </c>
      <c r="O48" t="n">
        <v>364</v>
      </c>
      <c r="P48" t="n">
        <v>383</v>
      </c>
      <c r="Q48" t="n">
        <v>371</v>
      </c>
      <c r="R48" t="n">
        <v>359</v>
      </c>
      <c r="S48" t="n">
        <v>321</v>
      </c>
      <c r="T48" t="n">
        <v>300</v>
      </c>
      <c r="U48" t="n">
        <v>280</v>
      </c>
      <c r="V48" t="n">
        <v>243</v>
      </c>
      <c r="W48" t="n">
        <v>237</v>
      </c>
      <c r="X48" t="n">
        <v>232</v>
      </c>
      <c r="Y48" t="n">
        <v>236</v>
      </c>
      <c r="Z48" t="n">
        <v>226</v>
      </c>
      <c r="AA48" t="n">
        <v>227</v>
      </c>
      <c r="AB48" t="n">
        <v>223</v>
      </c>
      <c r="AC48" t="n">
        <v>221</v>
      </c>
      <c r="AD48" t="n">
        <v>201</v>
      </c>
      <c r="AE48" t="n">
        <v>198</v>
      </c>
      <c r="AF48" t="n">
        <v>198</v>
      </c>
    </row>
    <row r="49">
      <c r="A49" t="s">
        <v>120</v>
      </c>
      <c r="B49" t="s">
        <v>368</v>
      </c>
      <c r="C49" t="s">
        <v>236</v>
      </c>
      <c r="D49" t="s">
        <v>369</v>
      </c>
      <c r="E49" t="s">
        <v>237</v>
      </c>
      <c r="F49" t="n">
        <v>21</v>
      </c>
      <c r="G49" t="n">
        <v>26</v>
      </c>
      <c r="H49" t="n">
        <v>34</v>
      </c>
      <c r="I49" t="n">
        <v>43</v>
      </c>
      <c r="J49" t="n">
        <v>54</v>
      </c>
      <c r="K49" t="n">
        <v>58</v>
      </c>
      <c r="L49" t="n">
        <v>67</v>
      </c>
      <c r="M49" t="n">
        <v>66</v>
      </c>
      <c r="N49" t="n">
        <v>74</v>
      </c>
      <c r="O49" t="n">
        <v>83</v>
      </c>
      <c r="P49" t="n">
        <v>84</v>
      </c>
      <c r="Q49" t="n">
        <v>87</v>
      </c>
      <c r="R49" t="n">
        <v>87</v>
      </c>
      <c r="S49" t="n">
        <v>81</v>
      </c>
      <c r="T49" t="n">
        <v>71</v>
      </c>
      <c r="U49" t="n">
        <v>65</v>
      </c>
      <c r="V49" t="n">
        <v>55</v>
      </c>
      <c r="W49" t="n">
        <v>54</v>
      </c>
      <c r="X49" t="n">
        <v>52</v>
      </c>
      <c r="Y49" t="n">
        <v>53</v>
      </c>
      <c r="Z49" t="n">
        <v>52</v>
      </c>
      <c r="AA49" t="n">
        <v>53</v>
      </c>
      <c r="AB49" t="n">
        <v>55</v>
      </c>
      <c r="AC49" t="n">
        <v>60</v>
      </c>
      <c r="AD49" t="n">
        <v>52</v>
      </c>
      <c r="AE49" t="n">
        <v>53</v>
      </c>
      <c r="AF49" t="n">
        <v>55</v>
      </c>
    </row>
    <row r="50">
      <c r="A50" t="s">
        <v>120</v>
      </c>
      <c r="B50" t="s">
        <v>370</v>
      </c>
      <c r="C50" t="s">
        <v>236</v>
      </c>
      <c r="D50" t="s">
        <v>371</v>
      </c>
      <c r="E50" t="s">
        <v>237</v>
      </c>
      <c r="F50" t="n">
        <v>32</v>
      </c>
      <c r="G50" t="n">
        <v>39</v>
      </c>
      <c r="H50" t="n">
        <v>51</v>
      </c>
      <c r="I50" t="n">
        <v>64</v>
      </c>
      <c r="J50" t="n">
        <v>83</v>
      </c>
      <c r="K50" t="n">
        <v>94</v>
      </c>
      <c r="L50" t="n">
        <v>108</v>
      </c>
      <c r="M50" t="n">
        <v>111</v>
      </c>
      <c r="N50" t="n">
        <v>129</v>
      </c>
      <c r="O50" t="n">
        <v>152</v>
      </c>
      <c r="P50" t="n">
        <v>167</v>
      </c>
      <c r="Q50" t="n">
        <v>160</v>
      </c>
      <c r="R50" t="n">
        <v>154</v>
      </c>
      <c r="S50" t="n">
        <v>135</v>
      </c>
      <c r="T50" t="n">
        <v>136</v>
      </c>
      <c r="U50" t="n">
        <v>131</v>
      </c>
      <c r="V50" t="n">
        <v>120</v>
      </c>
      <c r="W50" t="n">
        <v>117</v>
      </c>
      <c r="X50" t="n">
        <v>118</v>
      </c>
      <c r="Y50" t="n">
        <v>123</v>
      </c>
      <c r="Z50" t="n">
        <v>116</v>
      </c>
      <c r="AA50" t="n">
        <v>116</v>
      </c>
      <c r="AB50" t="n">
        <v>109</v>
      </c>
      <c r="AC50" t="n">
        <v>103</v>
      </c>
      <c r="AD50" t="n">
        <v>99</v>
      </c>
      <c r="AE50" t="n">
        <v>96</v>
      </c>
      <c r="AF50" t="n">
        <v>93</v>
      </c>
    </row>
    <row r="51">
      <c r="A51" t="s">
        <v>120</v>
      </c>
      <c r="B51" t="s">
        <v>372</v>
      </c>
      <c r="C51" t="s">
        <v>236</v>
      </c>
      <c r="D51" t="s">
        <v>373</v>
      </c>
      <c r="E51" t="s">
        <v>237</v>
      </c>
      <c r="F51" t="n">
        <v>32</v>
      </c>
      <c r="G51" t="n">
        <v>39</v>
      </c>
      <c r="H51" t="n">
        <v>50</v>
      </c>
      <c r="I51" t="n">
        <v>62</v>
      </c>
      <c r="J51" t="n">
        <v>80</v>
      </c>
      <c r="K51" t="n">
        <v>92</v>
      </c>
      <c r="L51" t="n">
        <v>105</v>
      </c>
      <c r="M51" t="n">
        <v>108</v>
      </c>
      <c r="N51" t="n">
        <v>125</v>
      </c>
      <c r="O51" t="n">
        <v>145</v>
      </c>
      <c r="P51" t="n">
        <v>158</v>
      </c>
      <c r="Q51" t="n">
        <v>153</v>
      </c>
      <c r="R51" t="n">
        <v>147</v>
      </c>
      <c r="S51" t="n">
        <v>131</v>
      </c>
      <c r="T51" t="n">
        <v>131</v>
      </c>
      <c r="U51" t="n">
        <v>126</v>
      </c>
      <c r="V51" t="n">
        <v>116</v>
      </c>
      <c r="W51" t="n">
        <v>112</v>
      </c>
      <c r="X51" t="n">
        <v>112</v>
      </c>
      <c r="Y51" t="n">
        <v>116</v>
      </c>
      <c r="Z51" t="n">
        <v>109</v>
      </c>
      <c r="AA51" t="n">
        <v>106</v>
      </c>
      <c r="AB51" t="n">
        <v>100</v>
      </c>
      <c r="AC51" t="n">
        <v>94</v>
      </c>
      <c r="AD51" t="n">
        <v>89</v>
      </c>
      <c r="AE51" t="n">
        <v>85</v>
      </c>
      <c r="AF51" t="n">
        <v>81</v>
      </c>
    </row>
    <row r="52">
      <c r="A52" t="s">
        <v>120</v>
      </c>
      <c r="B52" t="s">
        <v>374</v>
      </c>
      <c r="C52" t="s">
        <v>236</v>
      </c>
      <c r="D52" t="s">
        <v>375</v>
      </c>
      <c r="E52" t="s">
        <v>237</v>
      </c>
      <c r="F52" t="n">
        <v>0</v>
      </c>
      <c r="G52" t="n">
        <v>0</v>
      </c>
      <c r="H52" t="n">
        <v>1</v>
      </c>
      <c r="I52" t="n">
        <v>2</v>
      </c>
      <c r="J52" t="n">
        <v>3</v>
      </c>
      <c r="K52" t="n">
        <v>2</v>
      </c>
      <c r="L52" t="n">
        <v>3</v>
      </c>
      <c r="M52" t="n">
        <v>3</v>
      </c>
      <c r="N52" t="n">
        <v>4</v>
      </c>
      <c r="O52" t="n">
        <v>7</v>
      </c>
      <c r="P52" t="n">
        <v>9</v>
      </c>
      <c r="Q52" t="n">
        <v>7</v>
      </c>
      <c r="R52" t="n">
        <v>7</v>
      </c>
      <c r="S52" t="n">
        <v>4</v>
      </c>
      <c r="T52" t="n">
        <v>5</v>
      </c>
      <c r="U52" t="n">
        <v>5</v>
      </c>
      <c r="V52" t="n">
        <v>4</v>
      </c>
      <c r="W52" t="n">
        <v>5</v>
      </c>
      <c r="X52" t="n">
        <v>6</v>
      </c>
      <c r="Y52" t="n">
        <v>7</v>
      </c>
      <c r="Z52" t="n">
        <v>7</v>
      </c>
      <c r="AA52" t="n">
        <v>10</v>
      </c>
      <c r="AB52" t="n">
        <v>9</v>
      </c>
      <c r="AC52" t="n">
        <v>9</v>
      </c>
      <c r="AD52" t="n">
        <v>10</v>
      </c>
      <c r="AE52" t="n">
        <v>11</v>
      </c>
      <c r="AF52" t="n">
        <v>12</v>
      </c>
    </row>
    <row r="53">
      <c r="A53" t="s">
        <v>120</v>
      </c>
      <c r="B53" t="s">
        <v>376</v>
      </c>
      <c r="C53" t="s">
        <v>236</v>
      </c>
      <c r="D53" t="s">
        <v>377</v>
      </c>
      <c r="E53" t="s">
        <v>237</v>
      </c>
      <c r="F53" t="n">
        <v>14</v>
      </c>
      <c r="G53" t="n">
        <v>18</v>
      </c>
      <c r="H53" t="n">
        <v>26</v>
      </c>
      <c r="I53" t="n">
        <v>33</v>
      </c>
      <c r="J53" t="n">
        <v>30</v>
      </c>
      <c r="K53" t="n">
        <v>36</v>
      </c>
      <c r="L53" t="n">
        <v>42</v>
      </c>
      <c r="M53" t="n">
        <v>42</v>
      </c>
      <c r="N53" t="n">
        <v>49</v>
      </c>
      <c r="O53" t="n">
        <v>57</v>
      </c>
      <c r="P53" t="n">
        <v>60</v>
      </c>
      <c r="Q53" t="n">
        <v>67</v>
      </c>
      <c r="R53" t="n">
        <v>76</v>
      </c>
      <c r="S53" t="n">
        <v>74</v>
      </c>
      <c r="T53" t="n">
        <v>77</v>
      </c>
      <c r="U53" t="n">
        <v>74</v>
      </c>
      <c r="V53" t="n">
        <v>74</v>
      </c>
      <c r="W53" t="n">
        <v>77</v>
      </c>
      <c r="X53" t="n">
        <v>84</v>
      </c>
      <c r="Y53" t="n">
        <v>89</v>
      </c>
      <c r="Z53" t="n">
        <v>90</v>
      </c>
      <c r="AA53" t="n">
        <v>94</v>
      </c>
      <c r="AB53" t="n">
        <v>97</v>
      </c>
      <c r="AC53" t="n">
        <v>95</v>
      </c>
      <c r="AD53" t="n">
        <v>93</v>
      </c>
      <c r="AE53" t="n">
        <v>87</v>
      </c>
      <c r="AF53" t="n">
        <v>82</v>
      </c>
    </row>
    <row r="54">
      <c r="A54" t="s">
        <v>120</v>
      </c>
      <c r="B54" t="s">
        <v>378</v>
      </c>
      <c r="C54" t="s">
        <v>236</v>
      </c>
      <c r="D54" t="s">
        <v>379</v>
      </c>
      <c r="E54" t="s">
        <v>237</v>
      </c>
      <c r="F54" t="n">
        <v>16</v>
      </c>
      <c r="G54" t="n">
        <v>21</v>
      </c>
      <c r="H54" t="n">
        <v>30</v>
      </c>
      <c r="I54" t="n">
        <v>37</v>
      </c>
      <c r="J54" t="n">
        <v>37</v>
      </c>
      <c r="K54" t="n">
        <v>44</v>
      </c>
      <c r="L54" t="n">
        <v>51</v>
      </c>
      <c r="M54" t="n">
        <v>50</v>
      </c>
      <c r="N54" t="n">
        <v>61</v>
      </c>
      <c r="O54" t="n">
        <v>73</v>
      </c>
      <c r="P54" t="n">
        <v>77</v>
      </c>
      <c r="Q54" t="n">
        <v>87</v>
      </c>
      <c r="R54" t="n">
        <v>100</v>
      </c>
      <c r="S54" t="n">
        <v>99</v>
      </c>
      <c r="T54" t="n">
        <v>103</v>
      </c>
      <c r="U54" t="n">
        <v>103</v>
      </c>
      <c r="V54" t="n">
        <v>105</v>
      </c>
      <c r="W54" t="n">
        <v>113</v>
      </c>
      <c r="X54" t="n">
        <v>124</v>
      </c>
      <c r="Y54" t="n">
        <v>133</v>
      </c>
      <c r="Z54" t="n">
        <v>136</v>
      </c>
      <c r="AA54" t="n">
        <v>143</v>
      </c>
      <c r="AB54" t="n">
        <v>149</v>
      </c>
      <c r="AC54" t="n">
        <v>148</v>
      </c>
      <c r="AD54" t="n">
        <v>146</v>
      </c>
      <c r="AE54" t="n">
        <v>139</v>
      </c>
      <c r="AF54" t="n">
        <v>132</v>
      </c>
    </row>
    <row r="55">
      <c r="A55" t="s">
        <v>120</v>
      </c>
      <c r="B55" t="s">
        <v>380</v>
      </c>
      <c r="C55" t="s">
        <v>236</v>
      </c>
      <c r="D55" t="s">
        <v>381</v>
      </c>
      <c r="E55" t="s">
        <v>237</v>
      </c>
      <c r="F55" t="n">
        <v>2</v>
      </c>
      <c r="G55" t="n">
        <v>3</v>
      </c>
      <c r="H55" t="n">
        <v>4</v>
      </c>
      <c r="I55" t="n">
        <v>4</v>
      </c>
      <c r="J55" t="n">
        <v>7</v>
      </c>
      <c r="K55" t="n">
        <v>8</v>
      </c>
      <c r="L55" t="n">
        <v>9</v>
      </c>
      <c r="M55" t="n">
        <v>8</v>
      </c>
      <c r="N55" t="n">
        <v>12</v>
      </c>
      <c r="O55" t="n">
        <v>16</v>
      </c>
      <c r="P55" t="n">
        <v>17</v>
      </c>
      <c r="Q55" t="n">
        <v>20</v>
      </c>
      <c r="R55" t="n">
        <v>24</v>
      </c>
      <c r="S55" t="n">
        <v>25</v>
      </c>
      <c r="T55" t="n">
        <v>26</v>
      </c>
      <c r="U55" t="n">
        <v>29</v>
      </c>
      <c r="V55" t="n">
        <v>31</v>
      </c>
      <c r="W55" t="n">
        <v>36</v>
      </c>
      <c r="X55" t="n">
        <v>40</v>
      </c>
      <c r="Y55" t="n">
        <v>44</v>
      </c>
      <c r="Z55" t="n">
        <v>46</v>
      </c>
      <c r="AA55" t="n">
        <v>49</v>
      </c>
      <c r="AB55" t="n">
        <v>52</v>
      </c>
      <c r="AC55" t="n">
        <v>53</v>
      </c>
      <c r="AD55" t="n">
        <v>53</v>
      </c>
      <c r="AE55" t="n">
        <v>52</v>
      </c>
      <c r="AF55" t="n">
        <v>50</v>
      </c>
    </row>
    <row r="56">
      <c r="A56" t="s">
        <v>120</v>
      </c>
      <c r="B56" t="s">
        <v>382</v>
      </c>
      <c r="C56" t="s">
        <v>236</v>
      </c>
      <c r="D56" t="s">
        <v>383</v>
      </c>
      <c r="E56" t="s">
        <v>237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120</v>
      </c>
      <c r="B57" t="s">
        <v>384</v>
      </c>
      <c r="C57" t="s">
        <v>236</v>
      </c>
      <c r="D57" t="s">
        <v>385</v>
      </c>
      <c r="E57" t="s">
        <v>237</v>
      </c>
      <c r="F57" t="n">
        <v>697</v>
      </c>
      <c r="G57" t="n">
        <v>865</v>
      </c>
      <c r="H57" t="n">
        <v>1101</v>
      </c>
      <c r="I57" t="n">
        <v>1361</v>
      </c>
      <c r="J57" t="n">
        <v>1645</v>
      </c>
      <c r="K57" t="n">
        <v>1802</v>
      </c>
      <c r="L57" t="n">
        <v>2009</v>
      </c>
      <c r="M57" t="n">
        <v>1978</v>
      </c>
      <c r="N57" t="n">
        <v>2176</v>
      </c>
      <c r="O57" t="n">
        <v>2437</v>
      </c>
      <c r="P57" t="n">
        <v>2509</v>
      </c>
      <c r="Q57" t="n">
        <v>2751</v>
      </c>
      <c r="R57" t="n">
        <v>3053</v>
      </c>
      <c r="S57" t="n">
        <v>3098</v>
      </c>
      <c r="T57" t="n">
        <v>3017</v>
      </c>
      <c r="U57" t="n">
        <v>2980</v>
      </c>
      <c r="V57" t="n">
        <v>2799</v>
      </c>
      <c r="W57" t="n">
        <v>2844</v>
      </c>
      <c r="X57" t="n">
        <v>2893</v>
      </c>
      <c r="Y57" t="n">
        <v>3031</v>
      </c>
      <c r="Z57" t="n">
        <v>3044</v>
      </c>
      <c r="AA57" t="n">
        <v>3208</v>
      </c>
      <c r="AB57" t="n">
        <v>3379</v>
      </c>
      <c r="AC57" t="n">
        <v>3491</v>
      </c>
      <c r="AD57" t="n">
        <v>3444</v>
      </c>
      <c r="AE57" t="n">
        <v>3478</v>
      </c>
      <c r="AF57" t="n">
        <v>3500</v>
      </c>
    </row>
    <row r="58">
      <c r="A58" t="s">
        <v>120</v>
      </c>
      <c r="B58" t="s">
        <v>386</v>
      </c>
      <c r="C58" t="s">
        <v>236</v>
      </c>
      <c r="D58" t="s">
        <v>387</v>
      </c>
      <c r="E58" t="s">
        <v>237</v>
      </c>
      <c r="F58" t="n">
        <v>697</v>
      </c>
      <c r="G58" t="n">
        <v>865</v>
      </c>
      <c r="H58" t="n">
        <v>1101</v>
      </c>
      <c r="I58" t="n">
        <v>1361</v>
      </c>
      <c r="J58" t="n">
        <v>1645</v>
      </c>
      <c r="K58" t="n">
        <v>1802</v>
      </c>
      <c r="L58" t="n">
        <v>2009</v>
      </c>
      <c r="M58" t="n">
        <v>1978</v>
      </c>
      <c r="N58" t="n">
        <v>2176</v>
      </c>
      <c r="O58" t="n">
        <v>2437</v>
      </c>
      <c r="P58" t="n">
        <v>2509</v>
      </c>
      <c r="Q58" t="n">
        <v>2751</v>
      </c>
      <c r="R58" t="n">
        <v>3053</v>
      </c>
      <c r="S58" t="n">
        <v>3098</v>
      </c>
      <c r="T58" t="n">
        <v>3017</v>
      </c>
      <c r="U58" t="n">
        <v>2980</v>
      </c>
      <c r="V58" t="n">
        <v>2799</v>
      </c>
      <c r="W58" t="n">
        <v>2844</v>
      </c>
      <c r="X58" t="n">
        <v>2893</v>
      </c>
      <c r="Y58" t="n">
        <v>3031</v>
      </c>
      <c r="Z58" t="n">
        <v>3044</v>
      </c>
      <c r="AA58" t="n">
        <v>3208</v>
      </c>
      <c r="AB58" t="n">
        <v>3379</v>
      </c>
      <c r="AC58" t="n">
        <v>3491</v>
      </c>
      <c r="AD58" t="n">
        <v>3444</v>
      </c>
      <c r="AE58" t="n">
        <v>3478</v>
      </c>
      <c r="AF58" t="n">
        <v>3500</v>
      </c>
    </row>
    <row r="59">
      <c r="A59" t="s">
        <v>120</v>
      </c>
      <c r="B59" t="s">
        <v>388</v>
      </c>
      <c r="C59" t="s">
        <v>236</v>
      </c>
      <c r="D59" t="s">
        <v>389</v>
      </c>
      <c r="E59" t="s">
        <v>237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122</v>
      </c>
      <c r="B2" t="s">
        <v>197</v>
      </c>
      <c r="C2" t="s">
        <v>236</v>
      </c>
      <c r="D2" t="s">
        <v>199</v>
      </c>
      <c r="E2" t="s">
        <v>237</v>
      </c>
      <c r="F2" t="n">
        <v>3</v>
      </c>
      <c r="G2" t="n">
        <v>3</v>
      </c>
      <c r="H2" t="n">
        <v>3</v>
      </c>
      <c r="I2" t="n">
        <v>3</v>
      </c>
      <c r="J2" t="n">
        <v>4</v>
      </c>
      <c r="K2" t="n">
        <v>5</v>
      </c>
      <c r="L2" t="n">
        <v>5</v>
      </c>
      <c r="M2" t="n">
        <v>5</v>
      </c>
      <c r="N2" t="n">
        <v>6</v>
      </c>
      <c r="O2" t="n">
        <v>6</v>
      </c>
      <c r="P2" t="n">
        <v>7</v>
      </c>
      <c r="Q2" t="n">
        <v>9</v>
      </c>
      <c r="R2" t="n">
        <v>9</v>
      </c>
      <c r="S2" t="n">
        <v>9</v>
      </c>
      <c r="T2" t="n">
        <v>10</v>
      </c>
      <c r="U2" t="n">
        <v>11</v>
      </c>
      <c r="V2" t="n">
        <v>11</v>
      </c>
      <c r="W2" t="n">
        <v>10</v>
      </c>
      <c r="X2" t="n">
        <v>11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</row>
    <row r="3">
      <c r="A3" t="s">
        <v>122</v>
      </c>
      <c r="B3" t="s">
        <v>276</v>
      </c>
      <c r="C3" t="s">
        <v>236</v>
      </c>
      <c r="D3" t="s">
        <v>277</v>
      </c>
      <c r="E3" t="s">
        <v>237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1</v>
      </c>
      <c r="L3" t="n">
        <v>2</v>
      </c>
      <c r="M3" t="n">
        <v>2</v>
      </c>
      <c r="N3" t="n">
        <v>2</v>
      </c>
      <c r="O3" t="n">
        <v>2</v>
      </c>
      <c r="P3" t="n">
        <v>3</v>
      </c>
      <c r="Q3" t="n">
        <v>3</v>
      </c>
      <c r="R3" t="n">
        <v>3</v>
      </c>
      <c r="S3" t="n">
        <v>3</v>
      </c>
      <c r="T3" t="n">
        <v>7</v>
      </c>
      <c r="U3" t="n">
        <v>11</v>
      </c>
      <c r="V3" t="n">
        <v>10</v>
      </c>
      <c r="W3" t="n">
        <v>9</v>
      </c>
      <c r="X3" t="n">
        <v>7</v>
      </c>
      <c r="Y3" t="n">
        <v>4</v>
      </c>
      <c r="Z3" t="n">
        <v>4</v>
      </c>
      <c r="AA3" t="n">
        <v>4</v>
      </c>
      <c r="AB3" t="n">
        <v>6</v>
      </c>
      <c r="AC3" t="n">
        <v>7</v>
      </c>
      <c r="AD3" t="n">
        <v>8</v>
      </c>
      <c r="AE3" t="n">
        <v>10</v>
      </c>
      <c r="AF3" t="n">
        <v>15</v>
      </c>
    </row>
    <row r="4">
      <c r="A4" t="s">
        <v>122</v>
      </c>
      <c r="B4" t="s">
        <v>278</v>
      </c>
      <c r="C4" t="s">
        <v>236</v>
      </c>
      <c r="D4" t="s">
        <v>279</v>
      </c>
      <c r="E4" t="s">
        <v>237</v>
      </c>
      <c r="F4" t="n">
        <v>364</v>
      </c>
      <c r="G4" t="n">
        <v>356</v>
      </c>
      <c r="H4" t="n">
        <v>399</v>
      </c>
      <c r="I4" t="n">
        <v>489</v>
      </c>
      <c r="J4" t="n">
        <v>567</v>
      </c>
      <c r="K4" t="n">
        <v>653</v>
      </c>
      <c r="L4" t="n">
        <v>777</v>
      </c>
      <c r="M4" t="n">
        <v>788</v>
      </c>
      <c r="N4" t="n">
        <v>880</v>
      </c>
      <c r="O4" t="n">
        <v>899</v>
      </c>
      <c r="P4" t="n">
        <v>1040</v>
      </c>
      <c r="Q4" t="n">
        <v>1164</v>
      </c>
      <c r="R4" t="n">
        <v>1259</v>
      </c>
      <c r="S4" t="n">
        <v>1306</v>
      </c>
      <c r="T4" t="n">
        <v>1413</v>
      </c>
      <c r="U4" t="n">
        <v>1475</v>
      </c>
      <c r="V4" t="n">
        <v>1525</v>
      </c>
      <c r="W4" t="n">
        <v>1581</v>
      </c>
      <c r="X4" t="n">
        <v>1527</v>
      </c>
      <c r="Y4" t="n">
        <v>1511</v>
      </c>
      <c r="Z4" t="n">
        <v>1480</v>
      </c>
      <c r="AA4" t="n">
        <v>1428</v>
      </c>
      <c r="AB4" t="n">
        <v>1455</v>
      </c>
      <c r="AC4" t="n">
        <v>1537</v>
      </c>
      <c r="AD4" t="n">
        <v>1610</v>
      </c>
      <c r="AE4" t="n">
        <v>1684</v>
      </c>
      <c r="AF4" t="n">
        <v>1720</v>
      </c>
    </row>
    <row r="5">
      <c r="A5" t="s">
        <v>122</v>
      </c>
      <c r="B5" t="s">
        <v>280</v>
      </c>
      <c r="C5" t="s">
        <v>236</v>
      </c>
      <c r="D5" t="s">
        <v>281</v>
      </c>
      <c r="E5" t="s">
        <v>237</v>
      </c>
      <c r="F5" t="n">
        <v>19</v>
      </c>
      <c r="G5" t="n">
        <v>22</v>
      </c>
      <c r="H5" t="n">
        <v>24</v>
      </c>
      <c r="I5" t="n">
        <v>29</v>
      </c>
      <c r="J5" t="n">
        <v>38</v>
      </c>
      <c r="K5" t="n">
        <v>48</v>
      </c>
      <c r="L5" t="n">
        <v>51</v>
      </c>
      <c r="M5" t="n">
        <v>45</v>
      </c>
      <c r="N5" t="n">
        <v>58</v>
      </c>
      <c r="O5" t="n">
        <v>61</v>
      </c>
      <c r="P5" t="n">
        <v>72</v>
      </c>
      <c r="Q5" t="n">
        <v>73</v>
      </c>
      <c r="R5" t="n">
        <v>70</v>
      </c>
      <c r="S5" t="n">
        <v>69</v>
      </c>
      <c r="T5" t="n">
        <v>72</v>
      </c>
      <c r="U5" t="n">
        <v>78</v>
      </c>
      <c r="V5" t="n">
        <v>87</v>
      </c>
      <c r="W5" t="n">
        <v>94</v>
      </c>
      <c r="X5" t="n">
        <v>99</v>
      </c>
      <c r="Y5" t="n">
        <v>101</v>
      </c>
      <c r="Z5" t="n">
        <v>98</v>
      </c>
      <c r="AA5" t="n">
        <v>104</v>
      </c>
      <c r="AB5" t="n">
        <v>103</v>
      </c>
      <c r="AC5" t="n">
        <v>101</v>
      </c>
      <c r="AD5" t="n">
        <v>94</v>
      </c>
      <c r="AE5" t="n">
        <v>109</v>
      </c>
      <c r="AF5" t="n">
        <v>121</v>
      </c>
    </row>
    <row r="6">
      <c r="A6" t="s">
        <v>122</v>
      </c>
      <c r="B6" t="s">
        <v>282</v>
      </c>
      <c r="C6" t="s">
        <v>236</v>
      </c>
      <c r="D6" t="s">
        <v>283</v>
      </c>
      <c r="E6" t="s">
        <v>237</v>
      </c>
      <c r="F6" t="n">
        <v>2</v>
      </c>
      <c r="G6" t="n">
        <v>3</v>
      </c>
      <c r="H6" t="n">
        <v>3</v>
      </c>
      <c r="I6" t="n">
        <v>4</v>
      </c>
      <c r="J6" t="n">
        <v>3</v>
      </c>
      <c r="K6" t="n">
        <v>3</v>
      </c>
      <c r="L6" t="n">
        <v>3</v>
      </c>
      <c r="M6" t="n">
        <v>2</v>
      </c>
      <c r="N6" t="n">
        <v>4</v>
      </c>
      <c r="O6" t="n">
        <v>4</v>
      </c>
      <c r="P6" t="n">
        <v>6</v>
      </c>
      <c r="Q6" t="n">
        <v>6</v>
      </c>
      <c r="R6" t="n">
        <v>7</v>
      </c>
      <c r="S6" t="n">
        <v>6</v>
      </c>
      <c r="T6" t="n">
        <v>5</v>
      </c>
      <c r="U6" t="n">
        <v>5</v>
      </c>
      <c r="V6" t="n">
        <v>4</v>
      </c>
      <c r="W6" t="n">
        <v>6</v>
      </c>
      <c r="X6" t="n">
        <v>6</v>
      </c>
      <c r="Y6" t="n">
        <v>6</v>
      </c>
      <c r="Z6" t="n">
        <v>7</v>
      </c>
      <c r="AA6" t="n">
        <v>8</v>
      </c>
      <c r="AB6" t="n">
        <v>10</v>
      </c>
      <c r="AC6" t="n">
        <v>21</v>
      </c>
      <c r="AD6" t="n">
        <v>15</v>
      </c>
      <c r="AE6" t="n">
        <v>14</v>
      </c>
      <c r="AF6" t="n">
        <v>13</v>
      </c>
    </row>
    <row r="7">
      <c r="A7" t="s">
        <v>122</v>
      </c>
      <c r="B7" t="s">
        <v>284</v>
      </c>
      <c r="C7" t="s">
        <v>236</v>
      </c>
      <c r="D7" t="s">
        <v>285</v>
      </c>
      <c r="E7" t="s">
        <v>237</v>
      </c>
      <c r="F7" t="n">
        <v>98</v>
      </c>
      <c r="G7" t="n">
        <v>95</v>
      </c>
      <c r="H7" t="n">
        <v>104</v>
      </c>
      <c r="I7" t="n">
        <v>128</v>
      </c>
      <c r="J7" t="n">
        <v>139</v>
      </c>
      <c r="K7" t="n">
        <v>173</v>
      </c>
      <c r="L7" t="n">
        <v>225</v>
      </c>
      <c r="M7" t="n">
        <v>227</v>
      </c>
      <c r="N7" t="n">
        <v>228</v>
      </c>
      <c r="O7" t="n">
        <v>216</v>
      </c>
      <c r="P7" t="n">
        <v>262</v>
      </c>
      <c r="Q7" t="n">
        <v>321</v>
      </c>
      <c r="R7" t="n">
        <v>322</v>
      </c>
      <c r="S7" t="n">
        <v>290</v>
      </c>
      <c r="T7" t="n">
        <v>282</v>
      </c>
      <c r="U7" t="n">
        <v>266</v>
      </c>
      <c r="V7" t="n">
        <v>238</v>
      </c>
      <c r="W7" t="n">
        <v>234</v>
      </c>
      <c r="X7" t="n">
        <v>184</v>
      </c>
      <c r="Y7" t="n">
        <v>157</v>
      </c>
      <c r="Z7" t="n">
        <v>137</v>
      </c>
      <c r="AA7" t="n">
        <v>143</v>
      </c>
      <c r="AB7" t="n">
        <v>143</v>
      </c>
      <c r="AC7" t="n">
        <v>141</v>
      </c>
      <c r="AD7" t="n">
        <v>155</v>
      </c>
      <c r="AE7" t="n">
        <v>182</v>
      </c>
      <c r="AF7" t="n">
        <v>174</v>
      </c>
    </row>
    <row r="8">
      <c r="A8" t="s">
        <v>122</v>
      </c>
      <c r="B8" t="s">
        <v>286</v>
      </c>
      <c r="C8" t="s">
        <v>236</v>
      </c>
      <c r="D8" t="s">
        <v>287</v>
      </c>
      <c r="E8" t="s">
        <v>237</v>
      </c>
      <c r="F8" t="n">
        <v>12</v>
      </c>
      <c r="G8" t="n">
        <v>12</v>
      </c>
      <c r="H8" t="n">
        <v>13</v>
      </c>
      <c r="I8" t="n">
        <v>14</v>
      </c>
      <c r="J8" t="n">
        <v>16</v>
      </c>
      <c r="K8" t="n">
        <v>17</v>
      </c>
      <c r="L8" t="n">
        <v>24</v>
      </c>
      <c r="M8" t="n">
        <v>19</v>
      </c>
      <c r="N8" t="n">
        <v>25</v>
      </c>
      <c r="O8" t="n">
        <v>32</v>
      </c>
      <c r="P8" t="n">
        <v>38</v>
      </c>
      <c r="Q8" t="n">
        <v>28</v>
      </c>
      <c r="R8" t="n">
        <v>26</v>
      </c>
      <c r="S8" t="n">
        <v>26</v>
      </c>
      <c r="T8" t="n">
        <v>24</v>
      </c>
      <c r="U8" t="n">
        <v>22</v>
      </c>
      <c r="V8" t="n">
        <v>20</v>
      </c>
      <c r="W8" t="n">
        <v>18</v>
      </c>
      <c r="X8" t="n">
        <v>23</v>
      </c>
      <c r="Y8" t="n">
        <v>36</v>
      </c>
      <c r="Z8" t="n">
        <v>37</v>
      </c>
      <c r="AA8" t="n">
        <v>36</v>
      </c>
      <c r="AB8" t="n">
        <v>42</v>
      </c>
      <c r="AC8" t="n">
        <v>62</v>
      </c>
      <c r="AD8" t="n">
        <v>80</v>
      </c>
      <c r="AE8" t="n">
        <v>79</v>
      </c>
      <c r="AF8" t="n">
        <v>68</v>
      </c>
    </row>
    <row r="9">
      <c r="A9" t="s">
        <v>122</v>
      </c>
      <c r="B9" t="s">
        <v>288</v>
      </c>
      <c r="C9" t="s">
        <v>236</v>
      </c>
      <c r="D9" t="s">
        <v>289</v>
      </c>
      <c r="E9" t="s">
        <v>237</v>
      </c>
      <c r="F9" t="n">
        <v>15</v>
      </c>
      <c r="G9" t="n">
        <v>16</v>
      </c>
      <c r="H9" t="n">
        <v>16</v>
      </c>
      <c r="I9" t="n">
        <v>21</v>
      </c>
      <c r="J9" t="n">
        <v>22</v>
      </c>
      <c r="K9" t="n">
        <v>19</v>
      </c>
      <c r="L9" t="n">
        <v>22</v>
      </c>
      <c r="M9" t="n">
        <v>27</v>
      </c>
      <c r="N9" t="n">
        <v>29</v>
      </c>
      <c r="O9" t="n">
        <v>28</v>
      </c>
      <c r="P9" t="n">
        <v>31</v>
      </c>
      <c r="Q9" t="n">
        <v>29</v>
      </c>
      <c r="R9" t="n">
        <v>30</v>
      </c>
      <c r="S9" t="n">
        <v>33</v>
      </c>
      <c r="T9" t="n">
        <v>44</v>
      </c>
      <c r="U9" t="n">
        <v>40</v>
      </c>
      <c r="V9" t="n">
        <v>37</v>
      </c>
      <c r="W9" t="n">
        <v>41</v>
      </c>
      <c r="X9" t="n">
        <v>41</v>
      </c>
      <c r="Y9" t="n">
        <v>39</v>
      </c>
      <c r="Z9" t="n">
        <v>42</v>
      </c>
      <c r="AA9" t="n">
        <v>38</v>
      </c>
      <c r="AB9" t="n">
        <v>52</v>
      </c>
      <c r="AC9" t="n">
        <v>60</v>
      </c>
      <c r="AD9" t="n">
        <v>65</v>
      </c>
      <c r="AE9" t="n">
        <v>74</v>
      </c>
      <c r="AF9" t="n">
        <v>79</v>
      </c>
    </row>
    <row r="10">
      <c r="A10" t="s">
        <v>122</v>
      </c>
      <c r="B10" t="s">
        <v>290</v>
      </c>
      <c r="C10" t="s">
        <v>236</v>
      </c>
      <c r="D10" t="s">
        <v>291</v>
      </c>
      <c r="E10" t="s">
        <v>237</v>
      </c>
      <c r="F10" t="n">
        <v>18</v>
      </c>
      <c r="G10" t="n">
        <v>19</v>
      </c>
      <c r="H10" t="n">
        <v>21</v>
      </c>
      <c r="I10" t="n">
        <v>29</v>
      </c>
      <c r="J10" t="n">
        <v>30</v>
      </c>
      <c r="K10" t="n">
        <v>26</v>
      </c>
      <c r="L10" t="n">
        <v>30</v>
      </c>
      <c r="M10" t="n">
        <v>40</v>
      </c>
      <c r="N10" t="n">
        <v>42</v>
      </c>
      <c r="O10" t="n">
        <v>40</v>
      </c>
      <c r="P10" t="n">
        <v>43</v>
      </c>
      <c r="Q10" t="n">
        <v>39</v>
      </c>
      <c r="R10" t="n">
        <v>39</v>
      </c>
      <c r="S10" t="n">
        <v>43</v>
      </c>
      <c r="T10" t="n">
        <v>54</v>
      </c>
      <c r="U10" t="n">
        <v>51</v>
      </c>
      <c r="V10" t="n">
        <v>49</v>
      </c>
      <c r="W10" t="n">
        <v>55</v>
      </c>
      <c r="X10" t="n">
        <v>56</v>
      </c>
      <c r="Y10" t="n">
        <v>54</v>
      </c>
      <c r="Z10" t="n">
        <v>57</v>
      </c>
      <c r="AA10" t="n">
        <v>54</v>
      </c>
      <c r="AB10" t="n">
        <v>68</v>
      </c>
      <c r="AC10" t="n">
        <v>75</v>
      </c>
      <c r="AD10" t="n">
        <v>88</v>
      </c>
      <c r="AE10" t="n">
        <v>95</v>
      </c>
      <c r="AF10" t="n">
        <v>100</v>
      </c>
    </row>
    <row r="11">
      <c r="A11" t="s">
        <v>122</v>
      </c>
      <c r="B11" t="s">
        <v>292</v>
      </c>
      <c r="C11" t="s">
        <v>236</v>
      </c>
      <c r="D11" t="s">
        <v>293</v>
      </c>
      <c r="E11" t="s">
        <v>237</v>
      </c>
      <c r="F11" t="n">
        <v>3</v>
      </c>
      <c r="G11" t="n">
        <v>3</v>
      </c>
      <c r="H11" t="n">
        <v>5</v>
      </c>
      <c r="I11" t="n">
        <v>8</v>
      </c>
      <c r="J11" t="n">
        <v>8</v>
      </c>
      <c r="K11" t="n">
        <v>7</v>
      </c>
      <c r="L11" t="n">
        <v>8</v>
      </c>
      <c r="M11" t="n">
        <v>13</v>
      </c>
      <c r="N11" t="n">
        <v>13</v>
      </c>
      <c r="O11" t="n">
        <v>12</v>
      </c>
      <c r="P11" t="n">
        <v>12</v>
      </c>
      <c r="Q11" t="n">
        <v>10</v>
      </c>
      <c r="R11" t="n">
        <v>9</v>
      </c>
      <c r="S11" t="n">
        <v>10</v>
      </c>
      <c r="T11" t="n">
        <v>10</v>
      </c>
      <c r="U11" t="n">
        <v>11</v>
      </c>
      <c r="V11" t="n">
        <v>12</v>
      </c>
      <c r="W11" t="n">
        <v>14</v>
      </c>
      <c r="X11" t="n">
        <v>15</v>
      </c>
      <c r="Y11" t="n">
        <v>15</v>
      </c>
      <c r="Z11" t="n">
        <v>15</v>
      </c>
      <c r="AA11" t="n">
        <v>16</v>
      </c>
      <c r="AB11" t="n">
        <v>16</v>
      </c>
      <c r="AC11" t="n">
        <v>15</v>
      </c>
      <c r="AD11" t="n">
        <v>23</v>
      </c>
      <c r="AE11" t="n">
        <v>21</v>
      </c>
      <c r="AF11" t="n">
        <v>21</v>
      </c>
    </row>
    <row r="12">
      <c r="A12" t="s">
        <v>122</v>
      </c>
      <c r="B12" t="s">
        <v>294</v>
      </c>
      <c r="C12" t="s">
        <v>236</v>
      </c>
      <c r="D12" t="s">
        <v>295</v>
      </c>
      <c r="E12" t="s">
        <v>237</v>
      </c>
      <c r="F12" t="n">
        <v>35</v>
      </c>
      <c r="G12" t="n">
        <v>33</v>
      </c>
      <c r="H12" t="n">
        <v>41</v>
      </c>
      <c r="I12" t="n">
        <v>45</v>
      </c>
      <c r="J12" t="n">
        <v>51</v>
      </c>
      <c r="K12" t="n">
        <v>57</v>
      </c>
      <c r="L12" t="n">
        <v>55</v>
      </c>
      <c r="M12" t="n">
        <v>47</v>
      </c>
      <c r="N12" t="n">
        <v>41</v>
      </c>
      <c r="O12" t="n">
        <v>43</v>
      </c>
      <c r="P12" t="n">
        <v>45</v>
      </c>
      <c r="Q12" t="n">
        <v>65</v>
      </c>
      <c r="R12" t="n">
        <v>67</v>
      </c>
      <c r="S12" t="n">
        <v>69</v>
      </c>
      <c r="T12" t="n">
        <v>64</v>
      </c>
      <c r="U12" t="n">
        <v>60</v>
      </c>
      <c r="V12" t="n">
        <v>62</v>
      </c>
      <c r="W12" t="n">
        <v>59</v>
      </c>
      <c r="X12" t="n">
        <v>54</v>
      </c>
      <c r="Y12" t="n">
        <v>54</v>
      </c>
      <c r="Z12" t="n">
        <v>53</v>
      </c>
      <c r="AA12" t="n">
        <v>51</v>
      </c>
      <c r="AB12" t="n">
        <v>52</v>
      </c>
      <c r="AC12" t="n">
        <v>62</v>
      </c>
      <c r="AD12" t="n">
        <v>76</v>
      </c>
      <c r="AE12" t="n">
        <v>88</v>
      </c>
      <c r="AF12" t="n">
        <v>95</v>
      </c>
    </row>
    <row r="13">
      <c r="A13" t="s">
        <v>122</v>
      </c>
      <c r="B13" t="s">
        <v>296</v>
      </c>
      <c r="C13" t="s">
        <v>236</v>
      </c>
      <c r="D13" t="s">
        <v>297</v>
      </c>
      <c r="E13" t="s">
        <v>237</v>
      </c>
      <c r="F13" t="n">
        <v>34</v>
      </c>
      <c r="G13" t="n">
        <v>31</v>
      </c>
      <c r="H13" t="n">
        <v>32</v>
      </c>
      <c r="I13" t="n">
        <v>39</v>
      </c>
      <c r="J13" t="n">
        <v>39</v>
      </c>
      <c r="K13" t="n">
        <v>40</v>
      </c>
      <c r="L13" t="n">
        <v>58</v>
      </c>
      <c r="M13" t="n">
        <v>58</v>
      </c>
      <c r="N13" t="n">
        <v>73</v>
      </c>
      <c r="O13" t="n">
        <v>78</v>
      </c>
      <c r="P13" t="n">
        <v>94</v>
      </c>
      <c r="Q13" t="n">
        <v>97</v>
      </c>
      <c r="R13" t="n">
        <v>110</v>
      </c>
      <c r="S13" t="n">
        <v>111</v>
      </c>
      <c r="T13" t="n">
        <v>108</v>
      </c>
      <c r="U13" t="n">
        <v>101</v>
      </c>
      <c r="V13" t="n">
        <v>97</v>
      </c>
      <c r="W13" t="n">
        <v>106</v>
      </c>
      <c r="X13" t="n">
        <v>95</v>
      </c>
      <c r="Y13" t="n">
        <v>111</v>
      </c>
      <c r="Z13" t="n">
        <v>117</v>
      </c>
      <c r="AA13" t="n">
        <v>121</v>
      </c>
      <c r="AB13" t="n">
        <v>131</v>
      </c>
      <c r="AC13" t="n">
        <v>130</v>
      </c>
      <c r="AD13" t="n">
        <v>146</v>
      </c>
      <c r="AE13" t="n">
        <v>160</v>
      </c>
      <c r="AF13" t="n">
        <v>188</v>
      </c>
    </row>
    <row r="14">
      <c r="A14" t="s">
        <v>122</v>
      </c>
      <c r="B14" t="s">
        <v>298</v>
      </c>
      <c r="C14" t="s">
        <v>236</v>
      </c>
      <c r="D14" t="s">
        <v>299</v>
      </c>
      <c r="E14" t="s">
        <v>237</v>
      </c>
      <c r="F14" t="n">
        <v>22</v>
      </c>
      <c r="G14" t="n">
        <v>21</v>
      </c>
      <c r="H14" t="n">
        <v>24</v>
      </c>
      <c r="I14" t="n">
        <v>44</v>
      </c>
      <c r="J14" t="n">
        <v>91</v>
      </c>
      <c r="K14" t="n">
        <v>127</v>
      </c>
      <c r="L14" t="n">
        <v>159</v>
      </c>
      <c r="M14" t="n">
        <v>210</v>
      </c>
      <c r="N14" t="n">
        <v>243</v>
      </c>
      <c r="O14" t="n">
        <v>246</v>
      </c>
      <c r="P14" t="n">
        <v>283</v>
      </c>
      <c r="Q14" t="n">
        <v>344</v>
      </c>
      <c r="R14" t="n">
        <v>397</v>
      </c>
      <c r="S14" t="n">
        <v>451</v>
      </c>
      <c r="T14" t="n">
        <v>506</v>
      </c>
      <c r="U14" t="n">
        <v>561</v>
      </c>
      <c r="V14" t="n">
        <v>628</v>
      </c>
      <c r="W14" t="n">
        <v>654</v>
      </c>
      <c r="X14" t="n">
        <v>637</v>
      </c>
      <c r="Y14" t="n">
        <v>588</v>
      </c>
      <c r="Z14" t="n">
        <v>534</v>
      </c>
      <c r="AA14" t="n">
        <v>477</v>
      </c>
      <c r="AB14" t="n">
        <v>458</v>
      </c>
      <c r="AC14" t="n">
        <v>439</v>
      </c>
      <c r="AD14" t="n">
        <v>426</v>
      </c>
      <c r="AE14" t="n">
        <v>388</v>
      </c>
      <c r="AF14" t="n">
        <v>346</v>
      </c>
    </row>
    <row r="15">
      <c r="A15" t="s">
        <v>122</v>
      </c>
      <c r="B15" t="s">
        <v>300</v>
      </c>
      <c r="C15" t="s">
        <v>236</v>
      </c>
      <c r="D15" t="s">
        <v>301</v>
      </c>
      <c r="E15" t="s">
        <v>237</v>
      </c>
      <c r="F15" t="n">
        <v>51</v>
      </c>
      <c r="G15" t="n">
        <v>52</v>
      </c>
      <c r="H15" t="n">
        <v>55</v>
      </c>
      <c r="I15" t="n">
        <v>78</v>
      </c>
      <c r="J15" t="n">
        <v>126</v>
      </c>
      <c r="K15" t="n">
        <v>160</v>
      </c>
      <c r="L15" t="n">
        <v>190</v>
      </c>
      <c r="M15" t="n">
        <v>233</v>
      </c>
      <c r="N15" t="n">
        <v>272</v>
      </c>
      <c r="O15" t="n">
        <v>275</v>
      </c>
      <c r="P15" t="n">
        <v>314</v>
      </c>
      <c r="Q15" t="n">
        <v>380</v>
      </c>
      <c r="R15" t="n">
        <v>436</v>
      </c>
      <c r="S15" t="n">
        <v>503</v>
      </c>
      <c r="T15" t="n">
        <v>570</v>
      </c>
      <c r="U15" t="n">
        <v>628</v>
      </c>
      <c r="V15" t="n">
        <v>695</v>
      </c>
      <c r="W15" t="n">
        <v>720</v>
      </c>
      <c r="X15" t="n">
        <v>691</v>
      </c>
      <c r="Y15" t="n">
        <v>642</v>
      </c>
      <c r="Z15" t="n">
        <v>581</v>
      </c>
      <c r="AA15" t="n">
        <v>520</v>
      </c>
      <c r="AB15" t="n">
        <v>508</v>
      </c>
      <c r="AC15" t="n">
        <v>494</v>
      </c>
      <c r="AD15" t="n">
        <v>490</v>
      </c>
      <c r="AE15" t="n">
        <v>452</v>
      </c>
      <c r="AF15" t="n">
        <v>412</v>
      </c>
    </row>
    <row r="16">
      <c r="A16" t="s">
        <v>122</v>
      </c>
      <c r="B16" t="s">
        <v>302</v>
      </c>
      <c r="C16" t="s">
        <v>236</v>
      </c>
      <c r="D16" t="s">
        <v>303</v>
      </c>
      <c r="E16" t="s">
        <v>237</v>
      </c>
      <c r="F16" t="n">
        <v>29</v>
      </c>
      <c r="G16" t="n">
        <v>31</v>
      </c>
      <c r="H16" t="n">
        <v>31</v>
      </c>
      <c r="I16" t="n">
        <v>34</v>
      </c>
      <c r="J16" t="n">
        <v>35</v>
      </c>
      <c r="K16" t="n">
        <v>33</v>
      </c>
      <c r="L16" t="n">
        <v>31</v>
      </c>
      <c r="M16" t="n">
        <v>23</v>
      </c>
      <c r="N16" t="n">
        <v>29</v>
      </c>
      <c r="O16" t="n">
        <v>29</v>
      </c>
      <c r="P16" t="n">
        <v>31</v>
      </c>
      <c r="Q16" t="n">
        <v>36</v>
      </c>
      <c r="R16" t="n">
        <v>39</v>
      </c>
      <c r="S16" t="n">
        <v>52</v>
      </c>
      <c r="T16" t="n">
        <v>64</v>
      </c>
      <c r="U16" t="n">
        <v>67</v>
      </c>
      <c r="V16" t="n">
        <v>67</v>
      </c>
      <c r="W16" t="n">
        <v>66</v>
      </c>
      <c r="X16" t="n">
        <v>54</v>
      </c>
      <c r="Y16" t="n">
        <v>54</v>
      </c>
      <c r="Z16" t="n">
        <v>47</v>
      </c>
      <c r="AA16" t="n">
        <v>43</v>
      </c>
      <c r="AB16" t="n">
        <v>50</v>
      </c>
      <c r="AC16" t="n">
        <v>55</v>
      </c>
      <c r="AD16" t="n">
        <v>64</v>
      </c>
      <c r="AE16" t="n">
        <v>64</v>
      </c>
      <c r="AF16" t="n">
        <v>66</v>
      </c>
    </row>
    <row r="17">
      <c r="A17" t="s">
        <v>122</v>
      </c>
      <c r="B17" t="s">
        <v>304</v>
      </c>
      <c r="C17" t="s">
        <v>236</v>
      </c>
      <c r="D17" t="s">
        <v>305</v>
      </c>
      <c r="E17" t="s">
        <v>237</v>
      </c>
      <c r="F17" t="n">
        <v>58</v>
      </c>
      <c r="G17" t="n">
        <v>54</v>
      </c>
      <c r="H17" t="n">
        <v>67</v>
      </c>
      <c r="I17" t="n">
        <v>68</v>
      </c>
      <c r="J17" t="n">
        <v>67</v>
      </c>
      <c r="K17" t="n">
        <v>75</v>
      </c>
      <c r="L17" t="n">
        <v>80</v>
      </c>
      <c r="M17" t="n">
        <v>66</v>
      </c>
      <c r="N17" t="n">
        <v>85</v>
      </c>
      <c r="O17" t="n">
        <v>98</v>
      </c>
      <c r="P17" t="n">
        <v>112</v>
      </c>
      <c r="Q17" t="n">
        <v>110</v>
      </c>
      <c r="R17" t="n">
        <v>130</v>
      </c>
      <c r="S17" t="n">
        <v>142</v>
      </c>
      <c r="T17" t="n">
        <v>184</v>
      </c>
      <c r="U17" t="n">
        <v>208</v>
      </c>
      <c r="V17" t="n">
        <v>213</v>
      </c>
      <c r="W17" t="n">
        <v>220</v>
      </c>
      <c r="X17" t="n">
        <v>244</v>
      </c>
      <c r="Y17" t="n">
        <v>273</v>
      </c>
      <c r="Z17" t="n">
        <v>318</v>
      </c>
      <c r="AA17" t="n">
        <v>312</v>
      </c>
      <c r="AB17" t="n">
        <v>321</v>
      </c>
      <c r="AC17" t="n">
        <v>363</v>
      </c>
      <c r="AD17" t="n">
        <v>361</v>
      </c>
      <c r="AE17" t="n">
        <v>384</v>
      </c>
      <c r="AF17" t="n">
        <v>412</v>
      </c>
    </row>
    <row r="18">
      <c r="A18" t="s">
        <v>122</v>
      </c>
      <c r="B18" t="s">
        <v>306</v>
      </c>
      <c r="C18" t="s">
        <v>236</v>
      </c>
      <c r="D18" t="s">
        <v>307</v>
      </c>
      <c r="E18" t="s">
        <v>237</v>
      </c>
      <c r="F18" t="n">
        <v>13</v>
      </c>
      <c r="G18" t="n">
        <v>12</v>
      </c>
      <c r="H18" t="n">
        <v>13</v>
      </c>
      <c r="I18" t="n">
        <v>27</v>
      </c>
      <c r="J18" t="n">
        <v>26</v>
      </c>
      <c r="K18" t="n">
        <v>22</v>
      </c>
      <c r="L18" t="n">
        <v>23</v>
      </c>
      <c r="M18" t="n">
        <v>18</v>
      </c>
      <c r="N18" t="n">
        <v>18</v>
      </c>
      <c r="O18" t="n">
        <v>17</v>
      </c>
      <c r="P18" t="n">
        <v>17</v>
      </c>
      <c r="Q18" t="n">
        <v>13</v>
      </c>
      <c r="R18" t="n">
        <v>15</v>
      </c>
      <c r="S18" t="n">
        <v>15</v>
      </c>
      <c r="T18" t="n">
        <v>17</v>
      </c>
      <c r="U18" t="n">
        <v>18</v>
      </c>
      <c r="V18" t="n">
        <v>22</v>
      </c>
      <c r="W18" t="n">
        <v>28</v>
      </c>
      <c r="X18" t="n">
        <v>29</v>
      </c>
      <c r="Y18" t="n">
        <v>29</v>
      </c>
      <c r="Z18" t="n">
        <v>26</v>
      </c>
      <c r="AA18" t="n">
        <v>29</v>
      </c>
      <c r="AB18" t="n">
        <v>30</v>
      </c>
      <c r="AC18" t="n">
        <v>33</v>
      </c>
      <c r="AD18" t="n">
        <v>33</v>
      </c>
      <c r="AE18" t="n">
        <v>32</v>
      </c>
      <c r="AF18" t="n">
        <v>35</v>
      </c>
    </row>
    <row r="19">
      <c r="A19" t="s">
        <v>122</v>
      </c>
      <c r="B19" t="s">
        <v>308</v>
      </c>
      <c r="C19" t="s">
        <v>236</v>
      </c>
      <c r="D19" t="s">
        <v>309</v>
      </c>
      <c r="E19" t="s">
        <v>237</v>
      </c>
      <c r="F19" t="n">
        <v>24</v>
      </c>
      <c r="G19" t="n">
        <v>23</v>
      </c>
      <c r="H19" t="n">
        <v>26</v>
      </c>
      <c r="I19" t="n">
        <v>28</v>
      </c>
      <c r="J19" t="n">
        <v>32</v>
      </c>
      <c r="K19" t="n">
        <v>32</v>
      </c>
      <c r="L19" t="n">
        <v>38</v>
      </c>
      <c r="M19" t="n">
        <v>33</v>
      </c>
      <c r="N19" t="n">
        <v>34</v>
      </c>
      <c r="O19" t="n">
        <v>35</v>
      </c>
      <c r="P19" t="n">
        <v>37</v>
      </c>
      <c r="Q19" t="n">
        <v>32</v>
      </c>
      <c r="R19" t="n">
        <v>37</v>
      </c>
      <c r="S19" t="n">
        <v>32</v>
      </c>
      <c r="T19" t="n">
        <v>33</v>
      </c>
      <c r="U19" t="n">
        <v>38</v>
      </c>
      <c r="V19" t="n">
        <v>38</v>
      </c>
      <c r="W19" t="n">
        <v>41</v>
      </c>
      <c r="X19" t="n">
        <v>46</v>
      </c>
      <c r="Y19" t="n">
        <v>48</v>
      </c>
      <c r="Z19" t="n">
        <v>49</v>
      </c>
      <c r="AA19" t="n">
        <v>50</v>
      </c>
      <c r="AB19" t="n">
        <v>47</v>
      </c>
      <c r="AC19" t="n">
        <v>55</v>
      </c>
      <c r="AD19" t="n">
        <v>72</v>
      </c>
      <c r="AE19" t="n">
        <v>89</v>
      </c>
      <c r="AF19" t="n">
        <v>102</v>
      </c>
    </row>
    <row r="20">
      <c r="A20" t="s">
        <v>122</v>
      </c>
      <c r="B20" t="s">
        <v>310</v>
      </c>
      <c r="C20" t="s">
        <v>236</v>
      </c>
      <c r="D20" t="s">
        <v>311</v>
      </c>
      <c r="E20" t="s">
        <v>237</v>
      </c>
      <c r="F20" t="n">
        <v>26</v>
      </c>
      <c r="G20" t="n">
        <v>25</v>
      </c>
      <c r="H20" t="n">
        <v>27</v>
      </c>
      <c r="I20" t="n">
        <v>35</v>
      </c>
      <c r="J20" t="n">
        <v>42</v>
      </c>
      <c r="K20" t="n">
        <v>46</v>
      </c>
      <c r="L20" t="n">
        <v>52</v>
      </c>
      <c r="M20" t="n">
        <v>55</v>
      </c>
      <c r="N20" t="n">
        <v>52</v>
      </c>
      <c r="O20" t="n">
        <v>52</v>
      </c>
      <c r="P20" t="n">
        <v>71</v>
      </c>
      <c r="Q20" t="n">
        <v>76</v>
      </c>
      <c r="R20" t="n">
        <v>82</v>
      </c>
      <c r="S20" t="n">
        <v>88</v>
      </c>
      <c r="T20" t="n">
        <v>101</v>
      </c>
      <c r="U20" t="n">
        <v>105</v>
      </c>
      <c r="V20" t="n">
        <v>118</v>
      </c>
      <c r="W20" t="n">
        <v>130</v>
      </c>
      <c r="X20" t="n">
        <v>153</v>
      </c>
      <c r="Y20" t="n">
        <v>162</v>
      </c>
      <c r="Z20" t="n">
        <v>170</v>
      </c>
      <c r="AA20" t="n">
        <v>181</v>
      </c>
      <c r="AB20" t="n">
        <v>183</v>
      </c>
      <c r="AC20" t="n">
        <v>204</v>
      </c>
      <c r="AD20" t="n">
        <v>216</v>
      </c>
      <c r="AE20" t="n">
        <v>226</v>
      </c>
      <c r="AF20" t="n">
        <v>254</v>
      </c>
    </row>
    <row r="21">
      <c r="A21" t="s">
        <v>122</v>
      </c>
      <c r="B21" t="s">
        <v>312</v>
      </c>
      <c r="C21" t="s">
        <v>236</v>
      </c>
      <c r="D21" t="s">
        <v>313</v>
      </c>
      <c r="E21" t="s">
        <v>237</v>
      </c>
      <c r="F21" t="n">
        <v>27</v>
      </c>
      <c r="G21" t="n">
        <v>25</v>
      </c>
      <c r="H21" t="n">
        <v>27</v>
      </c>
      <c r="I21" t="n">
        <v>35</v>
      </c>
      <c r="J21" t="n">
        <v>43</v>
      </c>
      <c r="K21" t="n">
        <v>47</v>
      </c>
      <c r="L21" t="n">
        <v>55</v>
      </c>
      <c r="M21" t="n">
        <v>57</v>
      </c>
      <c r="N21" t="n">
        <v>56</v>
      </c>
      <c r="O21" t="n">
        <v>55</v>
      </c>
      <c r="P21" t="n">
        <v>76</v>
      </c>
      <c r="Q21" t="n">
        <v>81</v>
      </c>
      <c r="R21" t="n">
        <v>87</v>
      </c>
      <c r="S21" t="n">
        <v>94</v>
      </c>
      <c r="T21" t="n">
        <v>106</v>
      </c>
      <c r="U21" t="n">
        <v>114</v>
      </c>
      <c r="V21" t="n">
        <v>125</v>
      </c>
      <c r="W21" t="n">
        <v>136</v>
      </c>
      <c r="X21" t="n">
        <v>162</v>
      </c>
      <c r="Y21" t="n">
        <v>177</v>
      </c>
      <c r="Z21" t="n">
        <v>187</v>
      </c>
      <c r="AA21" t="n">
        <v>198</v>
      </c>
      <c r="AB21" t="n">
        <v>202</v>
      </c>
      <c r="AC21" t="n">
        <v>222</v>
      </c>
      <c r="AD21" t="n">
        <v>238</v>
      </c>
      <c r="AE21" t="n">
        <v>246</v>
      </c>
      <c r="AF21" t="n">
        <v>274</v>
      </c>
    </row>
    <row r="22">
      <c r="A22" t="s">
        <v>122</v>
      </c>
      <c r="B22" t="s">
        <v>314</v>
      </c>
      <c r="C22" t="s">
        <v>236</v>
      </c>
      <c r="D22" t="s">
        <v>315</v>
      </c>
      <c r="E22" t="s">
        <v>237</v>
      </c>
      <c r="F22" t="n">
        <v>1</v>
      </c>
      <c r="G22" t="n">
        <v>0</v>
      </c>
      <c r="H22" t="n">
        <v>0</v>
      </c>
      <c r="I22" t="n">
        <v>0</v>
      </c>
      <c r="J22" t="n">
        <v>1</v>
      </c>
      <c r="K22" t="n">
        <v>1</v>
      </c>
      <c r="L22" t="n">
        <v>3</v>
      </c>
      <c r="M22" t="n">
        <v>2</v>
      </c>
      <c r="N22" t="n">
        <v>4</v>
      </c>
      <c r="O22" t="n">
        <v>3</v>
      </c>
      <c r="P22" t="n">
        <v>5</v>
      </c>
      <c r="Q22" t="n">
        <v>5</v>
      </c>
      <c r="R22" t="n">
        <v>5</v>
      </c>
      <c r="S22" t="n">
        <v>6</v>
      </c>
      <c r="T22" t="n">
        <v>5</v>
      </c>
      <c r="U22" t="n">
        <v>9</v>
      </c>
      <c r="V22" t="n">
        <v>7</v>
      </c>
      <c r="W22" t="n">
        <v>6</v>
      </c>
      <c r="X22" t="n">
        <v>9</v>
      </c>
      <c r="Y22" t="n">
        <v>15</v>
      </c>
      <c r="Z22" t="n">
        <v>17</v>
      </c>
      <c r="AA22" t="n">
        <v>17</v>
      </c>
      <c r="AB22" t="n">
        <v>19</v>
      </c>
      <c r="AC22" t="n">
        <v>18</v>
      </c>
      <c r="AD22" t="n">
        <v>22</v>
      </c>
      <c r="AE22" t="n">
        <v>20</v>
      </c>
      <c r="AF22" t="n">
        <v>20</v>
      </c>
    </row>
    <row r="23">
      <c r="A23" t="s">
        <v>122</v>
      </c>
      <c r="B23" t="s">
        <v>316</v>
      </c>
      <c r="C23" t="s">
        <v>236</v>
      </c>
      <c r="D23" t="s">
        <v>317</v>
      </c>
      <c r="E23" t="s">
        <v>237</v>
      </c>
      <c r="F23" t="n">
        <v>33</v>
      </c>
      <c r="G23" t="n">
        <v>31</v>
      </c>
      <c r="H23" t="n">
        <v>34</v>
      </c>
      <c r="I23" t="n">
        <v>40</v>
      </c>
      <c r="J23" t="n">
        <v>46</v>
      </c>
      <c r="K23" t="n">
        <v>50</v>
      </c>
      <c r="L23" t="n">
        <v>56</v>
      </c>
      <c r="M23" t="n">
        <v>59</v>
      </c>
      <c r="N23" t="n">
        <v>65</v>
      </c>
      <c r="O23" t="n">
        <v>65</v>
      </c>
      <c r="P23" t="n">
        <v>74</v>
      </c>
      <c r="Q23" t="n">
        <v>78</v>
      </c>
      <c r="R23" t="n">
        <v>69</v>
      </c>
      <c r="S23" t="n">
        <v>87</v>
      </c>
      <c r="T23" t="n">
        <v>83</v>
      </c>
      <c r="U23" t="n">
        <v>84</v>
      </c>
      <c r="V23" t="n">
        <v>75</v>
      </c>
      <c r="W23" t="n">
        <v>90</v>
      </c>
      <c r="X23" t="n">
        <v>94</v>
      </c>
      <c r="Y23" t="n">
        <v>117</v>
      </c>
      <c r="Z23" t="n">
        <v>140</v>
      </c>
      <c r="AA23" t="n">
        <v>157</v>
      </c>
      <c r="AB23" t="n">
        <v>199</v>
      </c>
      <c r="AC23" t="n">
        <v>195</v>
      </c>
      <c r="AD23" t="n">
        <v>210</v>
      </c>
      <c r="AE23" t="n">
        <v>210</v>
      </c>
      <c r="AF23" t="n">
        <v>210</v>
      </c>
    </row>
    <row r="24">
      <c r="A24" t="s">
        <v>122</v>
      </c>
      <c r="B24" t="s">
        <v>318</v>
      </c>
      <c r="C24" t="s">
        <v>236</v>
      </c>
      <c r="D24" t="s">
        <v>319</v>
      </c>
      <c r="E24" t="s">
        <v>237</v>
      </c>
      <c r="F24" t="n">
        <v>59</v>
      </c>
      <c r="G24" t="n">
        <v>64</v>
      </c>
      <c r="H24" t="n">
        <v>77</v>
      </c>
      <c r="I24" t="n">
        <v>104</v>
      </c>
      <c r="J24" t="n">
        <v>135</v>
      </c>
      <c r="K24" t="n">
        <v>175</v>
      </c>
      <c r="L24" t="n">
        <v>225</v>
      </c>
      <c r="M24" t="n">
        <v>270</v>
      </c>
      <c r="N24" t="n">
        <v>366</v>
      </c>
      <c r="O24" t="n">
        <v>395</v>
      </c>
      <c r="P24" t="n">
        <v>431</v>
      </c>
      <c r="Q24" t="n">
        <v>418</v>
      </c>
      <c r="R24" t="n">
        <v>421</v>
      </c>
      <c r="S24" t="n">
        <v>450</v>
      </c>
      <c r="T24" t="n">
        <v>467</v>
      </c>
      <c r="U24" t="n">
        <v>458</v>
      </c>
      <c r="V24" t="n">
        <v>468</v>
      </c>
      <c r="W24" t="n">
        <v>546</v>
      </c>
      <c r="X24" t="n">
        <v>633</v>
      </c>
      <c r="Y24" t="n">
        <v>724</v>
      </c>
      <c r="Z24" t="n">
        <v>741</v>
      </c>
      <c r="AA24" t="n">
        <v>733</v>
      </c>
      <c r="AB24" t="n">
        <v>740</v>
      </c>
      <c r="AC24" t="n">
        <v>781</v>
      </c>
      <c r="AD24" t="n">
        <v>796</v>
      </c>
      <c r="AE24" t="n">
        <v>853</v>
      </c>
      <c r="AF24" t="n">
        <v>897</v>
      </c>
    </row>
    <row r="25">
      <c r="A25" t="s">
        <v>122</v>
      </c>
      <c r="B25" t="s">
        <v>320</v>
      </c>
      <c r="C25" t="s">
        <v>236</v>
      </c>
      <c r="D25" t="s">
        <v>321</v>
      </c>
      <c r="E25" t="s">
        <v>237</v>
      </c>
      <c r="F25" t="n">
        <v>10</v>
      </c>
      <c r="G25" t="n">
        <v>10</v>
      </c>
      <c r="H25" t="n">
        <v>11</v>
      </c>
      <c r="I25" t="n">
        <v>14</v>
      </c>
      <c r="J25" t="n">
        <v>18</v>
      </c>
      <c r="K25" t="n">
        <v>19</v>
      </c>
      <c r="L25" t="n">
        <v>22</v>
      </c>
      <c r="M25" t="n">
        <v>23</v>
      </c>
      <c r="N25" t="n">
        <v>27</v>
      </c>
      <c r="O25" t="n">
        <v>27</v>
      </c>
      <c r="P25" t="n">
        <v>28</v>
      </c>
      <c r="Q25" t="n">
        <v>28</v>
      </c>
      <c r="R25" t="n">
        <v>31</v>
      </c>
      <c r="S25" t="n">
        <v>36</v>
      </c>
      <c r="T25" t="n">
        <v>39</v>
      </c>
      <c r="U25" t="n">
        <v>41</v>
      </c>
      <c r="V25" t="n">
        <v>37</v>
      </c>
      <c r="W25" t="n">
        <v>42</v>
      </c>
      <c r="X25" t="n">
        <v>43</v>
      </c>
      <c r="Y25" t="n">
        <v>48</v>
      </c>
      <c r="Z25" t="n">
        <v>47</v>
      </c>
      <c r="AA25" t="n">
        <v>50</v>
      </c>
      <c r="AB25" t="n">
        <v>51</v>
      </c>
      <c r="AC25" t="n">
        <v>66</v>
      </c>
      <c r="AD25" t="n">
        <v>70</v>
      </c>
      <c r="AE25" t="n">
        <v>78</v>
      </c>
      <c r="AF25" t="n">
        <v>79</v>
      </c>
    </row>
    <row r="26">
      <c r="A26" t="s">
        <v>122</v>
      </c>
      <c r="B26" t="s">
        <v>322</v>
      </c>
      <c r="C26" t="s">
        <v>236</v>
      </c>
      <c r="D26" t="s">
        <v>323</v>
      </c>
      <c r="E26" t="s">
        <v>237</v>
      </c>
      <c r="F26" t="n">
        <v>39</v>
      </c>
      <c r="G26" t="n">
        <v>43</v>
      </c>
      <c r="H26" t="n">
        <v>52</v>
      </c>
      <c r="I26" t="n">
        <v>71</v>
      </c>
      <c r="J26" t="n">
        <v>93</v>
      </c>
      <c r="K26" t="n">
        <v>124</v>
      </c>
      <c r="L26" t="n">
        <v>162</v>
      </c>
      <c r="M26" t="n">
        <v>198</v>
      </c>
      <c r="N26" t="n">
        <v>277</v>
      </c>
      <c r="O26" t="n">
        <v>300</v>
      </c>
      <c r="P26" t="n">
        <v>323</v>
      </c>
      <c r="Q26" t="n">
        <v>307</v>
      </c>
      <c r="R26" t="n">
        <v>296</v>
      </c>
      <c r="S26" t="n">
        <v>310</v>
      </c>
      <c r="T26" t="n">
        <v>325</v>
      </c>
      <c r="U26" t="n">
        <v>308</v>
      </c>
      <c r="V26" t="n">
        <v>323</v>
      </c>
      <c r="W26" t="n">
        <v>373</v>
      </c>
      <c r="X26" t="n">
        <v>422</v>
      </c>
      <c r="Y26" t="n">
        <v>464</v>
      </c>
      <c r="Z26" t="n">
        <v>494</v>
      </c>
      <c r="AA26" t="n">
        <v>482</v>
      </c>
      <c r="AB26" t="n">
        <v>501</v>
      </c>
      <c r="AC26" t="n">
        <v>520</v>
      </c>
      <c r="AD26" t="n">
        <v>511</v>
      </c>
      <c r="AE26" t="n">
        <v>546</v>
      </c>
      <c r="AF26" t="n">
        <v>562</v>
      </c>
    </row>
    <row r="27">
      <c r="A27" t="s">
        <v>122</v>
      </c>
      <c r="B27" t="s">
        <v>324</v>
      </c>
      <c r="C27" t="s">
        <v>236</v>
      </c>
      <c r="D27" t="s">
        <v>325</v>
      </c>
      <c r="E27" t="s">
        <v>237</v>
      </c>
      <c r="F27" t="n">
        <v>10</v>
      </c>
      <c r="G27" t="n">
        <v>11</v>
      </c>
      <c r="H27" t="n">
        <v>14</v>
      </c>
      <c r="I27" t="n">
        <v>19</v>
      </c>
      <c r="J27" t="n">
        <v>24</v>
      </c>
      <c r="K27" t="n">
        <v>32</v>
      </c>
      <c r="L27" t="n">
        <v>41</v>
      </c>
      <c r="M27" t="n">
        <v>49</v>
      </c>
      <c r="N27" t="n">
        <v>62</v>
      </c>
      <c r="O27" t="n">
        <v>68</v>
      </c>
      <c r="P27" t="n">
        <v>80</v>
      </c>
      <c r="Q27" t="n">
        <v>83</v>
      </c>
      <c r="R27" t="n">
        <v>94</v>
      </c>
      <c r="S27" t="n">
        <v>104</v>
      </c>
      <c r="T27" t="n">
        <v>103</v>
      </c>
      <c r="U27" t="n">
        <v>109</v>
      </c>
      <c r="V27" t="n">
        <v>108</v>
      </c>
      <c r="W27" t="n">
        <v>131</v>
      </c>
      <c r="X27" t="n">
        <v>168</v>
      </c>
      <c r="Y27" t="n">
        <v>212</v>
      </c>
      <c r="Z27" t="n">
        <v>200</v>
      </c>
      <c r="AA27" t="n">
        <v>201</v>
      </c>
      <c r="AB27" t="n">
        <v>188</v>
      </c>
      <c r="AC27" t="n">
        <v>195</v>
      </c>
      <c r="AD27" t="n">
        <v>215</v>
      </c>
      <c r="AE27" t="n">
        <v>229</v>
      </c>
      <c r="AF27" t="n">
        <v>256</v>
      </c>
    </row>
    <row r="28">
      <c r="A28" t="s">
        <v>122</v>
      </c>
      <c r="B28" t="s">
        <v>326</v>
      </c>
      <c r="C28" t="s">
        <v>236</v>
      </c>
      <c r="D28" t="s">
        <v>327</v>
      </c>
      <c r="E28" t="s">
        <v>237</v>
      </c>
      <c r="F28" t="n">
        <v>98</v>
      </c>
      <c r="G28" t="n">
        <v>105</v>
      </c>
      <c r="H28" t="n">
        <v>119</v>
      </c>
      <c r="I28" t="n">
        <v>143</v>
      </c>
      <c r="J28" t="n">
        <v>163</v>
      </c>
      <c r="K28" t="n">
        <v>174</v>
      </c>
      <c r="L28" t="n">
        <v>175</v>
      </c>
      <c r="M28" t="n">
        <v>168</v>
      </c>
      <c r="N28" t="n">
        <v>160</v>
      </c>
      <c r="O28" t="n">
        <v>173</v>
      </c>
      <c r="P28" t="n">
        <v>176</v>
      </c>
      <c r="Q28" t="n">
        <v>177</v>
      </c>
      <c r="R28" t="n">
        <v>174</v>
      </c>
      <c r="S28" t="n">
        <v>167</v>
      </c>
      <c r="T28" t="n">
        <v>202</v>
      </c>
      <c r="U28" t="n">
        <v>190</v>
      </c>
      <c r="V28" t="n">
        <v>187</v>
      </c>
      <c r="W28" t="n">
        <v>194</v>
      </c>
      <c r="X28" t="n">
        <v>188</v>
      </c>
      <c r="Y28" t="n">
        <v>195</v>
      </c>
      <c r="Z28" t="n">
        <v>201</v>
      </c>
      <c r="AA28" t="n">
        <v>216</v>
      </c>
      <c r="AB28" t="n">
        <v>242</v>
      </c>
      <c r="AC28" t="n">
        <v>260</v>
      </c>
      <c r="AD28" t="n">
        <v>280</v>
      </c>
      <c r="AE28" t="n">
        <v>300</v>
      </c>
      <c r="AF28" t="n">
        <v>302</v>
      </c>
    </row>
    <row r="29">
      <c r="A29" t="s">
        <v>122</v>
      </c>
      <c r="B29" t="s">
        <v>328</v>
      </c>
      <c r="C29" t="s">
        <v>236</v>
      </c>
      <c r="D29" t="s">
        <v>329</v>
      </c>
      <c r="E29" t="s">
        <v>237</v>
      </c>
      <c r="F29" t="n">
        <v>18</v>
      </c>
      <c r="G29" t="n">
        <v>16</v>
      </c>
      <c r="H29" t="n">
        <v>18</v>
      </c>
      <c r="I29" t="n">
        <v>18</v>
      </c>
      <c r="J29" t="n">
        <v>18</v>
      </c>
      <c r="K29" t="n">
        <v>19</v>
      </c>
      <c r="L29" t="n">
        <v>22</v>
      </c>
      <c r="M29" t="n">
        <v>24</v>
      </c>
      <c r="N29" t="n">
        <v>23</v>
      </c>
      <c r="O29" t="n">
        <v>27</v>
      </c>
      <c r="P29" t="n">
        <v>26</v>
      </c>
      <c r="Q29" t="n">
        <v>29</v>
      </c>
      <c r="R29" t="n">
        <v>33</v>
      </c>
      <c r="S29" t="n">
        <v>28</v>
      </c>
      <c r="T29" t="n">
        <v>52</v>
      </c>
      <c r="U29" t="n">
        <v>47</v>
      </c>
      <c r="V29" t="n">
        <v>36</v>
      </c>
      <c r="W29" t="n">
        <v>30</v>
      </c>
      <c r="X29" t="n">
        <v>27</v>
      </c>
      <c r="Y29" t="n">
        <v>36</v>
      </c>
      <c r="Z29" t="n">
        <v>35</v>
      </c>
      <c r="AA29" t="n">
        <v>37</v>
      </c>
      <c r="AB29" t="n">
        <v>57</v>
      </c>
      <c r="AC29" t="n">
        <v>59</v>
      </c>
      <c r="AD29" t="n">
        <v>64</v>
      </c>
      <c r="AE29" t="n">
        <v>64</v>
      </c>
      <c r="AF29" t="n">
        <v>59</v>
      </c>
    </row>
    <row r="30">
      <c r="A30" t="s">
        <v>122</v>
      </c>
      <c r="B30" t="s">
        <v>330</v>
      </c>
      <c r="C30" t="s">
        <v>236</v>
      </c>
      <c r="D30" t="s">
        <v>331</v>
      </c>
      <c r="E30" t="s">
        <v>237</v>
      </c>
      <c r="F30" t="n">
        <v>4</v>
      </c>
      <c r="G30" t="n">
        <v>4</v>
      </c>
      <c r="H30" t="n">
        <v>5</v>
      </c>
      <c r="I30" t="n">
        <v>5</v>
      </c>
      <c r="J30" t="n">
        <v>6</v>
      </c>
      <c r="K30" t="n">
        <v>7</v>
      </c>
      <c r="L30" t="n">
        <v>8</v>
      </c>
      <c r="M30" t="n">
        <v>9</v>
      </c>
      <c r="N30" t="n">
        <v>9</v>
      </c>
      <c r="O30" t="n">
        <v>9</v>
      </c>
      <c r="P30" t="n">
        <v>11</v>
      </c>
      <c r="Q30" t="n">
        <v>11</v>
      </c>
      <c r="R30" t="n">
        <v>11</v>
      </c>
      <c r="S30" t="n">
        <v>12</v>
      </c>
      <c r="T30" t="n">
        <v>13</v>
      </c>
      <c r="U30" t="n">
        <v>13</v>
      </c>
      <c r="V30" t="n">
        <v>11</v>
      </c>
      <c r="W30" t="n">
        <v>10</v>
      </c>
      <c r="X30" t="n">
        <v>9</v>
      </c>
      <c r="Y30" t="n">
        <v>9</v>
      </c>
      <c r="Z30" t="n">
        <v>10</v>
      </c>
      <c r="AA30" t="n">
        <v>10</v>
      </c>
      <c r="AB30" t="n">
        <v>10</v>
      </c>
      <c r="AC30" t="n">
        <v>11</v>
      </c>
      <c r="AD30" t="n">
        <v>10</v>
      </c>
      <c r="AE30" t="n">
        <v>10</v>
      </c>
      <c r="AF30" t="n">
        <v>9</v>
      </c>
    </row>
    <row r="31">
      <c r="A31" t="s">
        <v>122</v>
      </c>
      <c r="B31" t="s">
        <v>332</v>
      </c>
      <c r="C31" t="s">
        <v>236</v>
      </c>
      <c r="D31" t="s">
        <v>333</v>
      </c>
      <c r="E31" t="s">
        <v>237</v>
      </c>
      <c r="F31" t="n">
        <v>29</v>
      </c>
      <c r="G31" t="n">
        <v>28</v>
      </c>
      <c r="H31" t="n">
        <v>29</v>
      </c>
      <c r="I31" t="n">
        <v>34</v>
      </c>
      <c r="J31" t="n">
        <v>39</v>
      </c>
      <c r="K31" t="n">
        <v>44</v>
      </c>
      <c r="L31" t="n">
        <v>49</v>
      </c>
      <c r="M31" t="n">
        <v>52</v>
      </c>
      <c r="N31" t="n">
        <v>52</v>
      </c>
      <c r="O31" t="n">
        <v>65</v>
      </c>
      <c r="P31" t="n">
        <v>67</v>
      </c>
      <c r="Q31" t="n">
        <v>65</v>
      </c>
      <c r="R31" t="n">
        <v>61</v>
      </c>
      <c r="S31" t="n">
        <v>54</v>
      </c>
      <c r="T31" t="n">
        <v>51</v>
      </c>
      <c r="U31" t="n">
        <v>42</v>
      </c>
      <c r="V31" t="n">
        <v>37</v>
      </c>
      <c r="W31" t="n">
        <v>36</v>
      </c>
      <c r="X31" t="n">
        <v>36</v>
      </c>
      <c r="Y31" t="n">
        <v>34</v>
      </c>
      <c r="Z31" t="n">
        <v>44</v>
      </c>
      <c r="AA31" t="n">
        <v>60</v>
      </c>
      <c r="AB31" t="n">
        <v>63</v>
      </c>
      <c r="AC31" t="n">
        <v>73</v>
      </c>
      <c r="AD31" t="n">
        <v>78</v>
      </c>
      <c r="AE31" t="n">
        <v>69</v>
      </c>
      <c r="AF31" t="n">
        <v>60</v>
      </c>
    </row>
    <row r="32">
      <c r="A32" t="s">
        <v>122</v>
      </c>
      <c r="B32" t="s">
        <v>334</v>
      </c>
      <c r="C32" t="s">
        <v>236</v>
      </c>
      <c r="D32" t="s">
        <v>335</v>
      </c>
      <c r="E32" t="s">
        <v>237</v>
      </c>
      <c r="F32" t="n">
        <v>17</v>
      </c>
      <c r="G32" t="n">
        <v>16</v>
      </c>
      <c r="H32" t="n">
        <v>15</v>
      </c>
      <c r="I32" t="n">
        <v>20</v>
      </c>
      <c r="J32" t="n">
        <v>23</v>
      </c>
      <c r="K32" t="n">
        <v>28</v>
      </c>
      <c r="L32" t="n">
        <v>30</v>
      </c>
      <c r="M32" t="n">
        <v>33</v>
      </c>
      <c r="N32" t="n">
        <v>32</v>
      </c>
      <c r="O32" t="n">
        <v>34</v>
      </c>
      <c r="P32" t="n">
        <v>36</v>
      </c>
      <c r="Q32" t="n">
        <v>37</v>
      </c>
      <c r="R32" t="n">
        <v>37</v>
      </c>
      <c r="S32" t="n">
        <v>40</v>
      </c>
      <c r="T32" t="n">
        <v>48</v>
      </c>
      <c r="U32" t="n">
        <v>48</v>
      </c>
      <c r="V32" t="n">
        <v>60</v>
      </c>
      <c r="W32" t="n">
        <v>63</v>
      </c>
      <c r="X32" t="n">
        <v>58</v>
      </c>
      <c r="Y32" t="n">
        <v>56</v>
      </c>
      <c r="Z32" t="n">
        <v>55</v>
      </c>
      <c r="AA32" t="n">
        <v>62</v>
      </c>
      <c r="AB32" t="n">
        <v>77</v>
      </c>
      <c r="AC32" t="n">
        <v>78</v>
      </c>
      <c r="AD32" t="n">
        <v>92</v>
      </c>
      <c r="AE32" t="n">
        <v>114</v>
      </c>
      <c r="AF32" t="n">
        <v>119</v>
      </c>
    </row>
    <row r="33">
      <c r="A33" t="s">
        <v>122</v>
      </c>
      <c r="B33" t="s">
        <v>336</v>
      </c>
      <c r="C33" t="s">
        <v>236</v>
      </c>
      <c r="D33" t="s">
        <v>337</v>
      </c>
      <c r="E33" t="s">
        <v>237</v>
      </c>
      <c r="F33" t="n">
        <v>30</v>
      </c>
      <c r="G33" t="n">
        <v>41</v>
      </c>
      <c r="H33" t="n">
        <v>52</v>
      </c>
      <c r="I33" t="n">
        <v>66</v>
      </c>
      <c r="J33" t="n">
        <v>77</v>
      </c>
      <c r="K33" t="n">
        <v>76</v>
      </c>
      <c r="L33" t="n">
        <v>66</v>
      </c>
      <c r="M33" t="n">
        <v>50</v>
      </c>
      <c r="N33" t="n">
        <v>44</v>
      </c>
      <c r="O33" t="n">
        <v>38</v>
      </c>
      <c r="P33" t="n">
        <v>36</v>
      </c>
      <c r="Q33" t="n">
        <v>35</v>
      </c>
      <c r="R33" t="n">
        <v>32</v>
      </c>
      <c r="S33" t="n">
        <v>33</v>
      </c>
      <c r="T33" t="n">
        <v>38</v>
      </c>
      <c r="U33" t="n">
        <v>40</v>
      </c>
      <c r="V33" t="n">
        <v>43</v>
      </c>
      <c r="W33" t="n">
        <v>55</v>
      </c>
      <c r="X33" t="n">
        <v>58</v>
      </c>
      <c r="Y33" t="n">
        <v>60</v>
      </c>
      <c r="Z33" t="n">
        <v>57</v>
      </c>
      <c r="AA33" t="n">
        <v>47</v>
      </c>
      <c r="AB33" t="n">
        <v>35</v>
      </c>
      <c r="AC33" t="n">
        <v>39</v>
      </c>
      <c r="AD33" t="n">
        <v>36</v>
      </c>
      <c r="AE33" t="n">
        <v>43</v>
      </c>
      <c r="AF33" t="n">
        <v>55</v>
      </c>
    </row>
    <row r="34">
      <c r="A34" t="s">
        <v>122</v>
      </c>
      <c r="B34" t="s">
        <v>338</v>
      </c>
      <c r="C34" t="s">
        <v>236</v>
      </c>
      <c r="D34" t="s">
        <v>339</v>
      </c>
      <c r="E34" t="s">
        <v>237</v>
      </c>
      <c r="F34" t="n">
        <v>7</v>
      </c>
      <c r="G34" t="n">
        <v>6</v>
      </c>
      <c r="H34" t="n">
        <v>7</v>
      </c>
      <c r="I34" t="n">
        <v>8</v>
      </c>
      <c r="J34" t="n">
        <v>9</v>
      </c>
      <c r="K34" t="n">
        <v>12</v>
      </c>
      <c r="L34" t="n">
        <v>13</v>
      </c>
      <c r="M34" t="n">
        <v>14</v>
      </c>
      <c r="N34" t="n">
        <v>17</v>
      </c>
      <c r="O34" t="n">
        <v>17</v>
      </c>
      <c r="P34" t="n">
        <v>17</v>
      </c>
      <c r="Q34" t="n">
        <v>17</v>
      </c>
      <c r="R34" t="n">
        <v>19</v>
      </c>
      <c r="S34" t="n">
        <v>23</v>
      </c>
      <c r="T34" t="n">
        <v>27</v>
      </c>
      <c r="U34" t="n">
        <v>33</v>
      </c>
      <c r="V34" t="n">
        <v>36</v>
      </c>
      <c r="W34" t="n">
        <v>39</v>
      </c>
      <c r="X34" t="n">
        <v>41</v>
      </c>
      <c r="Y34" t="n">
        <v>41</v>
      </c>
      <c r="Z34" t="n">
        <v>42</v>
      </c>
      <c r="AA34" t="n">
        <v>45</v>
      </c>
      <c r="AB34" t="n">
        <v>47</v>
      </c>
      <c r="AC34" t="n">
        <v>48</v>
      </c>
      <c r="AD34" t="n">
        <v>57</v>
      </c>
      <c r="AE34" t="n">
        <v>57</v>
      </c>
      <c r="AF34" t="n">
        <v>59</v>
      </c>
    </row>
    <row r="35">
      <c r="A35" t="s">
        <v>122</v>
      </c>
      <c r="B35" t="s">
        <v>340</v>
      </c>
      <c r="C35" t="s">
        <v>236</v>
      </c>
      <c r="D35" t="s">
        <v>341</v>
      </c>
      <c r="E35" t="s">
        <v>237</v>
      </c>
      <c r="F35" t="n">
        <v>292</v>
      </c>
      <c r="G35" t="n">
        <v>292</v>
      </c>
      <c r="H35" t="n">
        <v>308</v>
      </c>
      <c r="I35" t="n">
        <v>354</v>
      </c>
      <c r="J35" t="n">
        <v>405</v>
      </c>
      <c r="K35" t="n">
        <v>468</v>
      </c>
      <c r="L35" t="n">
        <v>536</v>
      </c>
      <c r="M35" t="n">
        <v>557</v>
      </c>
      <c r="N35" t="n">
        <v>635</v>
      </c>
      <c r="O35" t="n">
        <v>607</v>
      </c>
      <c r="P35" t="n">
        <v>718</v>
      </c>
      <c r="Q35" t="n">
        <v>750</v>
      </c>
      <c r="R35" t="n">
        <v>842</v>
      </c>
      <c r="S35" t="n">
        <v>851</v>
      </c>
      <c r="T35" t="n">
        <v>880</v>
      </c>
      <c r="U35" t="n">
        <v>860</v>
      </c>
      <c r="V35" t="n">
        <v>822</v>
      </c>
      <c r="W35" t="n">
        <v>789</v>
      </c>
      <c r="X35" t="n">
        <v>840</v>
      </c>
      <c r="Y35" t="n">
        <v>907</v>
      </c>
      <c r="Z35" t="n">
        <v>969</v>
      </c>
      <c r="AA35" t="n">
        <v>1032</v>
      </c>
      <c r="AB35" t="n">
        <v>1062</v>
      </c>
      <c r="AC35" t="n">
        <v>1220</v>
      </c>
      <c r="AD35" t="n">
        <v>1331</v>
      </c>
      <c r="AE35" t="n">
        <v>1350</v>
      </c>
      <c r="AF35" t="n">
        <v>1466</v>
      </c>
    </row>
    <row r="36">
      <c r="A36" t="s">
        <v>122</v>
      </c>
      <c r="B36" t="s">
        <v>342</v>
      </c>
      <c r="C36" t="s">
        <v>236</v>
      </c>
      <c r="D36" t="s">
        <v>343</v>
      </c>
      <c r="E36" t="s">
        <v>237</v>
      </c>
      <c r="F36" t="n">
        <v>51</v>
      </c>
      <c r="G36" t="n">
        <v>54</v>
      </c>
      <c r="H36" t="n">
        <v>55</v>
      </c>
      <c r="I36" t="n">
        <v>60</v>
      </c>
      <c r="J36" t="n">
        <v>71</v>
      </c>
      <c r="K36" t="n">
        <v>76</v>
      </c>
      <c r="L36" t="n">
        <v>87</v>
      </c>
      <c r="M36" t="n">
        <v>78</v>
      </c>
      <c r="N36" t="n">
        <v>82</v>
      </c>
      <c r="O36" t="n">
        <v>94</v>
      </c>
      <c r="P36" t="n">
        <v>105</v>
      </c>
      <c r="Q36" t="n">
        <v>103</v>
      </c>
      <c r="R36" t="n">
        <v>129</v>
      </c>
      <c r="S36" t="n">
        <v>134</v>
      </c>
      <c r="T36" t="n">
        <v>162</v>
      </c>
      <c r="U36" t="n">
        <v>179</v>
      </c>
      <c r="V36" t="n">
        <v>186</v>
      </c>
      <c r="W36" t="n">
        <v>201</v>
      </c>
      <c r="X36" t="n">
        <v>199</v>
      </c>
      <c r="Y36" t="n">
        <v>200</v>
      </c>
      <c r="Z36" t="n">
        <v>206</v>
      </c>
      <c r="AA36" t="n">
        <v>218</v>
      </c>
      <c r="AB36" t="n">
        <v>218</v>
      </c>
      <c r="AC36" t="n">
        <v>240</v>
      </c>
      <c r="AD36" t="n">
        <v>250</v>
      </c>
      <c r="AE36" t="n">
        <v>260</v>
      </c>
      <c r="AF36" t="n">
        <v>282</v>
      </c>
    </row>
    <row r="37">
      <c r="A37" t="s">
        <v>122</v>
      </c>
      <c r="B37" t="s">
        <v>344</v>
      </c>
      <c r="C37" t="s">
        <v>236</v>
      </c>
      <c r="D37" t="s">
        <v>345</v>
      </c>
      <c r="E37" t="s">
        <v>237</v>
      </c>
      <c r="F37" t="n">
        <v>97</v>
      </c>
      <c r="G37" t="n">
        <v>90</v>
      </c>
      <c r="H37" t="n">
        <v>93</v>
      </c>
      <c r="I37" t="n">
        <v>107</v>
      </c>
      <c r="J37" t="n">
        <v>119</v>
      </c>
      <c r="K37" t="n">
        <v>146</v>
      </c>
      <c r="L37" t="n">
        <v>165</v>
      </c>
      <c r="M37" t="n">
        <v>178</v>
      </c>
      <c r="N37" t="n">
        <v>241</v>
      </c>
      <c r="O37" t="n">
        <v>198</v>
      </c>
      <c r="P37" t="n">
        <v>228</v>
      </c>
      <c r="Q37" t="n">
        <v>220</v>
      </c>
      <c r="R37" t="n">
        <v>249</v>
      </c>
      <c r="S37" t="n">
        <v>211</v>
      </c>
      <c r="T37" t="n">
        <v>215</v>
      </c>
      <c r="U37" t="n">
        <v>201</v>
      </c>
      <c r="V37" t="n">
        <v>165</v>
      </c>
      <c r="W37" t="n">
        <v>145</v>
      </c>
      <c r="X37" t="n">
        <v>144</v>
      </c>
      <c r="Y37" t="n">
        <v>150</v>
      </c>
      <c r="Z37" t="n">
        <v>153</v>
      </c>
      <c r="AA37" t="n">
        <v>166</v>
      </c>
      <c r="AB37" t="n">
        <v>194</v>
      </c>
      <c r="AC37" t="n">
        <v>214</v>
      </c>
      <c r="AD37" t="n">
        <v>212</v>
      </c>
      <c r="AE37" t="n">
        <v>199</v>
      </c>
      <c r="AF37" t="n">
        <v>263</v>
      </c>
    </row>
    <row r="38">
      <c r="A38" t="s">
        <v>122</v>
      </c>
      <c r="B38" t="s">
        <v>346</v>
      </c>
      <c r="C38" t="s">
        <v>236</v>
      </c>
      <c r="D38" t="s">
        <v>347</v>
      </c>
      <c r="E38" t="s">
        <v>237</v>
      </c>
      <c r="F38" t="n">
        <v>144</v>
      </c>
      <c r="G38" t="n">
        <v>148</v>
      </c>
      <c r="H38" t="n">
        <v>160</v>
      </c>
      <c r="I38" t="n">
        <v>187</v>
      </c>
      <c r="J38" t="n">
        <v>215</v>
      </c>
      <c r="K38" t="n">
        <v>246</v>
      </c>
      <c r="L38" t="n">
        <v>284</v>
      </c>
      <c r="M38" t="n">
        <v>301</v>
      </c>
      <c r="N38" t="n">
        <v>312</v>
      </c>
      <c r="O38" t="n">
        <v>315</v>
      </c>
      <c r="P38" t="n">
        <v>385</v>
      </c>
      <c r="Q38" t="n">
        <v>427</v>
      </c>
      <c r="R38" t="n">
        <v>464</v>
      </c>
      <c r="S38" t="n">
        <v>506</v>
      </c>
      <c r="T38" t="n">
        <v>503</v>
      </c>
      <c r="U38" t="n">
        <v>480</v>
      </c>
      <c r="V38" t="n">
        <v>471</v>
      </c>
      <c r="W38" t="n">
        <v>443</v>
      </c>
      <c r="X38" t="n">
        <v>497</v>
      </c>
      <c r="Y38" t="n">
        <v>557</v>
      </c>
      <c r="Z38" t="n">
        <v>610</v>
      </c>
      <c r="AA38" t="n">
        <v>648</v>
      </c>
      <c r="AB38" t="n">
        <v>650</v>
      </c>
      <c r="AC38" t="n">
        <v>766</v>
      </c>
      <c r="AD38" t="n">
        <v>869</v>
      </c>
      <c r="AE38" t="n">
        <v>891</v>
      </c>
      <c r="AF38" t="n">
        <v>921</v>
      </c>
    </row>
    <row r="39">
      <c r="A39" t="s">
        <v>122</v>
      </c>
      <c r="B39" t="s">
        <v>348</v>
      </c>
      <c r="C39" t="s">
        <v>236</v>
      </c>
      <c r="D39" t="s">
        <v>349</v>
      </c>
      <c r="E39" t="s">
        <v>237</v>
      </c>
      <c r="F39" t="n">
        <v>372</v>
      </c>
      <c r="G39" t="n">
        <v>331</v>
      </c>
      <c r="H39" t="n">
        <v>315</v>
      </c>
      <c r="I39" t="n">
        <v>321</v>
      </c>
      <c r="J39" t="n">
        <v>341</v>
      </c>
      <c r="K39" t="n">
        <v>363</v>
      </c>
      <c r="L39" t="n">
        <v>405</v>
      </c>
      <c r="M39" t="n">
        <v>408</v>
      </c>
      <c r="N39" t="n">
        <v>452</v>
      </c>
      <c r="O39" t="n">
        <v>498</v>
      </c>
      <c r="P39" t="n">
        <v>551</v>
      </c>
      <c r="Q39" t="n">
        <v>595</v>
      </c>
      <c r="R39" t="n">
        <v>694</v>
      </c>
      <c r="S39" t="n">
        <v>741</v>
      </c>
      <c r="T39" t="n">
        <v>759</v>
      </c>
      <c r="U39" t="n">
        <v>755</v>
      </c>
      <c r="V39" t="n">
        <v>747</v>
      </c>
      <c r="W39" t="n">
        <v>663</v>
      </c>
      <c r="X39" t="n">
        <v>614</v>
      </c>
      <c r="Y39" t="n">
        <v>661</v>
      </c>
      <c r="Z39" t="n">
        <v>679</v>
      </c>
      <c r="AA39" t="n">
        <v>697</v>
      </c>
      <c r="AB39" t="n">
        <v>944</v>
      </c>
      <c r="AC39" t="n">
        <v>838</v>
      </c>
      <c r="AD39" t="n">
        <v>788</v>
      </c>
      <c r="AE39" t="n">
        <v>682</v>
      </c>
      <c r="AF39" t="n">
        <v>607</v>
      </c>
    </row>
    <row r="40">
      <c r="A40" t="s">
        <v>122</v>
      </c>
      <c r="B40" t="s">
        <v>350</v>
      </c>
      <c r="C40" t="s">
        <v>236</v>
      </c>
      <c r="D40" t="s">
        <v>351</v>
      </c>
      <c r="E40" t="s">
        <v>237</v>
      </c>
      <c r="F40" t="n">
        <v>6</v>
      </c>
      <c r="G40" t="n">
        <v>6</v>
      </c>
      <c r="H40" t="n">
        <v>6</v>
      </c>
      <c r="I40" t="n">
        <v>6</v>
      </c>
      <c r="J40" t="n">
        <v>5</v>
      </c>
      <c r="K40" t="n">
        <v>5</v>
      </c>
      <c r="L40" t="n">
        <v>5</v>
      </c>
      <c r="M40" t="n">
        <v>6</v>
      </c>
      <c r="N40" t="n">
        <v>5</v>
      </c>
      <c r="O40" t="n">
        <v>4</v>
      </c>
      <c r="P40" t="n">
        <v>5</v>
      </c>
      <c r="Q40" t="n">
        <v>8</v>
      </c>
      <c r="R40" t="n">
        <v>8</v>
      </c>
      <c r="S40" t="n">
        <v>13</v>
      </c>
      <c r="T40" t="n">
        <v>20</v>
      </c>
      <c r="U40" t="n">
        <v>32</v>
      </c>
      <c r="V40" t="n">
        <v>33</v>
      </c>
      <c r="W40" t="n">
        <v>35</v>
      </c>
      <c r="X40" t="n">
        <v>40</v>
      </c>
      <c r="Y40" t="n">
        <v>50</v>
      </c>
      <c r="Z40" t="n">
        <v>53</v>
      </c>
      <c r="AA40" t="n">
        <v>52</v>
      </c>
      <c r="AB40" t="n">
        <v>53</v>
      </c>
      <c r="AC40" t="n">
        <v>60</v>
      </c>
      <c r="AD40" t="n">
        <v>57</v>
      </c>
      <c r="AE40" t="n">
        <v>59</v>
      </c>
      <c r="AF40" t="n">
        <v>66</v>
      </c>
    </row>
    <row r="41">
      <c r="A41" t="s">
        <v>122</v>
      </c>
      <c r="B41" t="s">
        <v>352</v>
      </c>
      <c r="C41" t="s">
        <v>236</v>
      </c>
      <c r="D41" t="s">
        <v>353</v>
      </c>
      <c r="E41" t="s">
        <v>237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122</v>
      </c>
      <c r="B42" t="s">
        <v>354</v>
      </c>
      <c r="C42" t="s">
        <v>236</v>
      </c>
      <c r="D42" t="s">
        <v>355</v>
      </c>
      <c r="E42" t="s">
        <v>237</v>
      </c>
      <c r="F42" t="n">
        <v>75</v>
      </c>
      <c r="G42" t="n">
        <v>69</v>
      </c>
      <c r="H42" t="n">
        <v>72</v>
      </c>
      <c r="I42" t="n">
        <v>83</v>
      </c>
      <c r="J42" t="n">
        <v>99</v>
      </c>
      <c r="K42" t="n">
        <v>118</v>
      </c>
      <c r="L42" t="n">
        <v>133</v>
      </c>
      <c r="M42" t="n">
        <v>141</v>
      </c>
      <c r="N42" t="n">
        <v>157</v>
      </c>
      <c r="O42" t="n">
        <v>163</v>
      </c>
      <c r="P42" t="n">
        <v>190</v>
      </c>
      <c r="Q42" t="n">
        <v>189</v>
      </c>
      <c r="R42" t="n">
        <v>228</v>
      </c>
      <c r="S42" t="n">
        <v>260</v>
      </c>
      <c r="T42" t="n">
        <v>256</v>
      </c>
      <c r="U42" t="n">
        <v>264</v>
      </c>
      <c r="V42" t="n">
        <v>279</v>
      </c>
      <c r="W42" t="n">
        <v>278</v>
      </c>
      <c r="X42" t="n">
        <v>294</v>
      </c>
      <c r="Y42" t="n">
        <v>310</v>
      </c>
      <c r="Z42" t="n">
        <v>327</v>
      </c>
      <c r="AA42" t="n">
        <v>334</v>
      </c>
      <c r="AB42" t="n">
        <v>337</v>
      </c>
      <c r="AC42" t="n">
        <v>331</v>
      </c>
      <c r="AD42" t="n">
        <v>406</v>
      </c>
      <c r="AE42" t="n">
        <v>437</v>
      </c>
      <c r="AF42" t="n">
        <v>488</v>
      </c>
    </row>
    <row r="43">
      <c r="A43" t="s">
        <v>122</v>
      </c>
      <c r="B43" t="s">
        <v>356</v>
      </c>
      <c r="C43" t="s">
        <v>236</v>
      </c>
      <c r="D43" t="s">
        <v>357</v>
      </c>
      <c r="E43" t="s">
        <v>237</v>
      </c>
      <c r="F43" t="n">
        <v>111</v>
      </c>
      <c r="G43" t="n">
        <v>100</v>
      </c>
      <c r="H43" t="n">
        <v>105</v>
      </c>
      <c r="I43" t="n">
        <v>123</v>
      </c>
      <c r="J43" t="n">
        <v>141</v>
      </c>
      <c r="K43" t="n">
        <v>163</v>
      </c>
      <c r="L43" t="n">
        <v>185</v>
      </c>
      <c r="M43" t="n">
        <v>194</v>
      </c>
      <c r="N43" t="n">
        <v>215</v>
      </c>
      <c r="O43" t="n">
        <v>220</v>
      </c>
      <c r="P43" t="n">
        <v>255</v>
      </c>
      <c r="Q43" t="n">
        <v>260</v>
      </c>
      <c r="R43" t="n">
        <v>302</v>
      </c>
      <c r="S43" t="n">
        <v>340</v>
      </c>
      <c r="T43" t="n">
        <v>344</v>
      </c>
      <c r="U43" t="n">
        <v>359</v>
      </c>
      <c r="V43" t="n">
        <v>378</v>
      </c>
      <c r="W43" t="n">
        <v>393</v>
      </c>
      <c r="X43" t="n">
        <v>416</v>
      </c>
      <c r="Y43" t="n">
        <v>447</v>
      </c>
      <c r="Z43" t="n">
        <v>464</v>
      </c>
      <c r="AA43" t="n">
        <v>489</v>
      </c>
      <c r="AB43" t="n">
        <v>513</v>
      </c>
      <c r="AC43" t="n">
        <v>519</v>
      </c>
      <c r="AD43" t="n">
        <v>618</v>
      </c>
      <c r="AE43" t="n">
        <v>653</v>
      </c>
      <c r="AF43" t="n">
        <v>712</v>
      </c>
    </row>
    <row r="44">
      <c r="A44" t="s">
        <v>122</v>
      </c>
      <c r="B44" t="s">
        <v>358</v>
      </c>
      <c r="C44" t="s">
        <v>236</v>
      </c>
      <c r="D44" t="s">
        <v>359</v>
      </c>
      <c r="E44" t="s">
        <v>237</v>
      </c>
      <c r="F44" t="n">
        <v>1396</v>
      </c>
      <c r="G44" t="n">
        <v>1342</v>
      </c>
      <c r="H44" t="n">
        <v>1426</v>
      </c>
      <c r="I44" t="n">
        <v>1657</v>
      </c>
      <c r="J44" t="n">
        <v>1896</v>
      </c>
      <c r="K44" t="n">
        <v>2159</v>
      </c>
      <c r="L44" t="n">
        <v>2486</v>
      </c>
      <c r="M44" t="n">
        <v>2580</v>
      </c>
      <c r="N44" t="n">
        <v>2908</v>
      </c>
      <c r="O44" t="n">
        <v>2990</v>
      </c>
      <c r="P44" t="n">
        <v>3410</v>
      </c>
      <c r="Q44" t="n">
        <v>3622</v>
      </c>
      <c r="R44" t="n">
        <v>3956</v>
      </c>
      <c r="S44" t="n">
        <v>4168</v>
      </c>
      <c r="T44" t="n">
        <v>4396</v>
      </c>
      <c r="U44" t="n">
        <v>4463</v>
      </c>
      <c r="V44" t="n">
        <v>4486</v>
      </c>
      <c r="W44" t="n">
        <v>4543</v>
      </c>
      <c r="X44" t="n">
        <v>4630</v>
      </c>
      <c r="Y44" t="n">
        <v>4891</v>
      </c>
      <c r="Z44" t="n">
        <v>5001</v>
      </c>
      <c r="AA44" t="n">
        <v>5091</v>
      </c>
      <c r="AB44" t="n">
        <v>5515</v>
      </c>
      <c r="AC44" t="n">
        <v>5736</v>
      </c>
      <c r="AD44" t="n">
        <v>6059</v>
      </c>
      <c r="AE44" t="n">
        <v>6159</v>
      </c>
      <c r="AF44" t="n">
        <v>6402</v>
      </c>
    </row>
    <row r="45">
      <c r="A45" t="s">
        <v>122</v>
      </c>
      <c r="B45" t="s">
        <v>360</v>
      </c>
      <c r="C45" t="s">
        <v>236</v>
      </c>
      <c r="D45" t="s">
        <v>361</v>
      </c>
      <c r="E45" t="s">
        <v>237</v>
      </c>
      <c r="F45" t="n">
        <v>1393</v>
      </c>
      <c r="G45" t="n">
        <v>1339</v>
      </c>
      <c r="H45" t="n">
        <v>1423</v>
      </c>
      <c r="I45" t="n">
        <v>1654</v>
      </c>
      <c r="J45" t="n">
        <v>1892</v>
      </c>
      <c r="K45" t="n">
        <v>2154</v>
      </c>
      <c r="L45" t="n">
        <v>2481</v>
      </c>
      <c r="M45" t="n">
        <v>2575</v>
      </c>
      <c r="N45" t="n">
        <v>2902</v>
      </c>
      <c r="O45" t="n">
        <v>2984</v>
      </c>
      <c r="P45" t="n">
        <v>3403</v>
      </c>
      <c r="Q45" t="n">
        <v>3613</v>
      </c>
      <c r="R45" t="n">
        <v>3947</v>
      </c>
      <c r="S45" t="n">
        <v>4159</v>
      </c>
      <c r="T45" t="n">
        <v>4386</v>
      </c>
      <c r="U45" t="n">
        <v>4452</v>
      </c>
      <c r="V45" t="n">
        <v>4475</v>
      </c>
      <c r="W45" t="n">
        <v>4533</v>
      </c>
      <c r="X45" t="n">
        <v>4619</v>
      </c>
      <c r="Y45" t="n">
        <v>4881</v>
      </c>
      <c r="Z45" t="n">
        <v>4991</v>
      </c>
      <c r="AA45" t="n">
        <v>5081</v>
      </c>
      <c r="AB45" t="n">
        <v>5505</v>
      </c>
      <c r="AC45" t="n">
        <v>5726</v>
      </c>
      <c r="AD45" t="n">
        <v>6049</v>
      </c>
      <c r="AE45" t="n">
        <v>6149</v>
      </c>
      <c r="AF45" t="n">
        <v>6392</v>
      </c>
    </row>
    <row r="46">
      <c r="A46" t="s">
        <v>122</v>
      </c>
      <c r="B46" t="s">
        <v>362</v>
      </c>
      <c r="C46" t="s">
        <v>236</v>
      </c>
      <c r="D46" t="s">
        <v>363</v>
      </c>
      <c r="E46" t="s">
        <v>237</v>
      </c>
      <c r="F46" t="n">
        <v>36</v>
      </c>
      <c r="G46" t="n">
        <v>31</v>
      </c>
      <c r="H46" t="n">
        <v>33</v>
      </c>
      <c r="I46" t="n">
        <v>40</v>
      </c>
      <c r="J46" t="n">
        <v>42</v>
      </c>
      <c r="K46" t="n">
        <v>45</v>
      </c>
      <c r="L46" t="n">
        <v>52</v>
      </c>
      <c r="M46" t="n">
        <v>53</v>
      </c>
      <c r="N46" t="n">
        <v>58</v>
      </c>
      <c r="O46" t="n">
        <v>57</v>
      </c>
      <c r="P46" t="n">
        <v>65</v>
      </c>
      <c r="Q46" t="n">
        <v>71</v>
      </c>
      <c r="R46" t="n">
        <v>74</v>
      </c>
      <c r="S46" t="n">
        <v>80</v>
      </c>
      <c r="T46" t="n">
        <v>88</v>
      </c>
      <c r="U46" t="n">
        <v>95</v>
      </c>
      <c r="V46" t="n">
        <v>99</v>
      </c>
      <c r="W46" t="n">
        <v>115</v>
      </c>
      <c r="X46" t="n">
        <v>122</v>
      </c>
      <c r="Y46" t="n">
        <v>137</v>
      </c>
      <c r="Z46" t="n">
        <v>137</v>
      </c>
      <c r="AA46" t="n">
        <v>155</v>
      </c>
      <c r="AB46" t="n">
        <v>176</v>
      </c>
      <c r="AC46" t="n">
        <v>188</v>
      </c>
      <c r="AD46" t="n">
        <v>212</v>
      </c>
      <c r="AE46" t="n">
        <v>216</v>
      </c>
      <c r="AF46" t="n">
        <v>224</v>
      </c>
    </row>
    <row r="47">
      <c r="A47" t="s">
        <v>122</v>
      </c>
      <c r="B47" t="s">
        <v>364</v>
      </c>
      <c r="C47" t="s">
        <v>236</v>
      </c>
      <c r="D47" t="s">
        <v>365</v>
      </c>
      <c r="E47" t="s">
        <v>237</v>
      </c>
      <c r="F47" t="n">
        <v>95</v>
      </c>
      <c r="G47" t="n">
        <v>97</v>
      </c>
      <c r="H47" t="n">
        <v>101</v>
      </c>
      <c r="I47" t="n">
        <v>112</v>
      </c>
      <c r="J47" t="n">
        <v>122</v>
      </c>
      <c r="K47" t="n">
        <v>139</v>
      </c>
      <c r="L47" t="n">
        <v>173</v>
      </c>
      <c r="M47" t="n">
        <v>192</v>
      </c>
      <c r="N47" t="n">
        <v>224</v>
      </c>
      <c r="O47" t="n">
        <v>244</v>
      </c>
      <c r="P47" t="n">
        <v>270</v>
      </c>
      <c r="Q47" t="n">
        <v>266</v>
      </c>
      <c r="R47" t="n">
        <v>271</v>
      </c>
      <c r="S47" t="n">
        <v>283</v>
      </c>
      <c r="T47" t="n">
        <v>293</v>
      </c>
      <c r="U47" t="n">
        <v>314</v>
      </c>
      <c r="V47" t="n">
        <v>330</v>
      </c>
      <c r="W47" t="n">
        <v>330</v>
      </c>
      <c r="X47" t="n">
        <v>327</v>
      </c>
      <c r="Y47" t="n">
        <v>328</v>
      </c>
      <c r="Z47" t="n">
        <v>355</v>
      </c>
      <c r="AA47" t="n">
        <v>380</v>
      </c>
      <c r="AB47" t="n">
        <v>384</v>
      </c>
      <c r="AC47" t="n">
        <v>412</v>
      </c>
      <c r="AD47" t="n">
        <v>429</v>
      </c>
      <c r="AE47" t="n">
        <v>411</v>
      </c>
      <c r="AF47" t="n">
        <v>384</v>
      </c>
    </row>
    <row r="48">
      <c r="A48" t="s">
        <v>122</v>
      </c>
      <c r="B48" t="s">
        <v>366</v>
      </c>
      <c r="C48" t="s">
        <v>236</v>
      </c>
      <c r="D48" t="s">
        <v>367</v>
      </c>
      <c r="E48" t="s">
        <v>237</v>
      </c>
      <c r="F48" t="n">
        <v>150</v>
      </c>
      <c r="G48" t="n">
        <v>151</v>
      </c>
      <c r="H48" t="n">
        <v>157</v>
      </c>
      <c r="I48" t="n">
        <v>180</v>
      </c>
      <c r="J48" t="n">
        <v>199</v>
      </c>
      <c r="K48" t="n">
        <v>224</v>
      </c>
      <c r="L48" t="n">
        <v>264</v>
      </c>
      <c r="M48" t="n">
        <v>297</v>
      </c>
      <c r="N48" t="n">
        <v>331</v>
      </c>
      <c r="O48" t="n">
        <v>350</v>
      </c>
      <c r="P48" t="n">
        <v>384</v>
      </c>
      <c r="Q48" t="n">
        <v>392</v>
      </c>
      <c r="R48" t="n">
        <v>404</v>
      </c>
      <c r="S48" t="n">
        <v>418</v>
      </c>
      <c r="T48" t="n">
        <v>427</v>
      </c>
      <c r="U48" t="n">
        <v>461</v>
      </c>
      <c r="V48" t="n">
        <v>479</v>
      </c>
      <c r="W48" t="n">
        <v>500</v>
      </c>
      <c r="X48" t="n">
        <v>520</v>
      </c>
      <c r="Y48" t="n">
        <v>548</v>
      </c>
      <c r="Z48" t="n">
        <v>572</v>
      </c>
      <c r="AA48" t="n">
        <v>625</v>
      </c>
      <c r="AB48" t="n">
        <v>663</v>
      </c>
      <c r="AC48" t="n">
        <v>721</v>
      </c>
      <c r="AD48" t="n">
        <v>773</v>
      </c>
      <c r="AE48" t="n">
        <v>797</v>
      </c>
      <c r="AF48" t="n">
        <v>812</v>
      </c>
    </row>
    <row r="49">
      <c r="A49" t="s">
        <v>122</v>
      </c>
      <c r="B49" t="s">
        <v>368</v>
      </c>
      <c r="C49" t="s">
        <v>236</v>
      </c>
      <c r="D49" t="s">
        <v>369</v>
      </c>
      <c r="E49" t="s">
        <v>237</v>
      </c>
      <c r="F49" t="n">
        <v>27</v>
      </c>
      <c r="G49" t="n">
        <v>26</v>
      </c>
      <c r="H49" t="n">
        <v>27</v>
      </c>
      <c r="I49" t="n">
        <v>33</v>
      </c>
      <c r="J49" t="n">
        <v>38</v>
      </c>
      <c r="K49" t="n">
        <v>41</v>
      </c>
      <c r="L49" t="n">
        <v>42</v>
      </c>
      <c r="M49" t="n">
        <v>51</v>
      </c>
      <c r="N49" t="n">
        <v>51</v>
      </c>
      <c r="O49" t="n">
        <v>48</v>
      </c>
      <c r="P49" t="n">
        <v>48</v>
      </c>
      <c r="Q49" t="n">
        <v>45</v>
      </c>
      <c r="R49" t="n">
        <v>42</v>
      </c>
      <c r="S49" t="n">
        <v>46</v>
      </c>
      <c r="T49" t="n">
        <v>44</v>
      </c>
      <c r="U49" t="n">
        <v>48</v>
      </c>
      <c r="V49" t="n">
        <v>51</v>
      </c>
      <c r="W49" t="n">
        <v>54</v>
      </c>
      <c r="X49" t="n">
        <v>57</v>
      </c>
      <c r="Y49" t="n">
        <v>68</v>
      </c>
      <c r="Z49" t="n">
        <v>75</v>
      </c>
      <c r="AA49" t="n">
        <v>91</v>
      </c>
      <c r="AB49" t="n">
        <v>104</v>
      </c>
      <c r="AC49" t="n">
        <v>112</v>
      </c>
      <c r="AD49" t="n">
        <v>120</v>
      </c>
      <c r="AE49" t="n">
        <v>137</v>
      </c>
      <c r="AF49" t="n">
        <v>127</v>
      </c>
    </row>
    <row r="50">
      <c r="A50" t="s">
        <v>122</v>
      </c>
      <c r="B50" t="s">
        <v>370</v>
      </c>
      <c r="C50" t="s">
        <v>236</v>
      </c>
      <c r="D50" t="s">
        <v>371</v>
      </c>
      <c r="E50" t="s">
        <v>237</v>
      </c>
      <c r="F50" t="n">
        <v>28</v>
      </c>
      <c r="G50" t="n">
        <v>28</v>
      </c>
      <c r="H50" t="n">
        <v>29</v>
      </c>
      <c r="I50" t="n">
        <v>35</v>
      </c>
      <c r="J50" t="n">
        <v>39</v>
      </c>
      <c r="K50" t="n">
        <v>44</v>
      </c>
      <c r="L50" t="n">
        <v>49</v>
      </c>
      <c r="M50" t="n">
        <v>54</v>
      </c>
      <c r="N50" t="n">
        <v>56</v>
      </c>
      <c r="O50" t="n">
        <v>58</v>
      </c>
      <c r="P50" t="n">
        <v>66</v>
      </c>
      <c r="Q50" t="n">
        <v>81</v>
      </c>
      <c r="R50" t="n">
        <v>91</v>
      </c>
      <c r="S50" t="n">
        <v>89</v>
      </c>
      <c r="T50" t="n">
        <v>90</v>
      </c>
      <c r="U50" t="n">
        <v>99</v>
      </c>
      <c r="V50" t="n">
        <v>98</v>
      </c>
      <c r="W50" t="n">
        <v>116</v>
      </c>
      <c r="X50" t="n">
        <v>136</v>
      </c>
      <c r="Y50" t="n">
        <v>152</v>
      </c>
      <c r="Z50" t="n">
        <v>142</v>
      </c>
      <c r="AA50" t="n">
        <v>154</v>
      </c>
      <c r="AB50" t="n">
        <v>175</v>
      </c>
      <c r="AC50" t="n">
        <v>197</v>
      </c>
      <c r="AD50" t="n">
        <v>224</v>
      </c>
      <c r="AE50" t="n">
        <v>249</v>
      </c>
      <c r="AF50" t="n">
        <v>301</v>
      </c>
    </row>
    <row r="51">
      <c r="A51" t="s">
        <v>122</v>
      </c>
      <c r="B51" t="s">
        <v>372</v>
      </c>
      <c r="C51" t="s">
        <v>236</v>
      </c>
      <c r="D51" t="s">
        <v>373</v>
      </c>
      <c r="E51" t="s">
        <v>237</v>
      </c>
      <c r="F51" t="n">
        <v>26</v>
      </c>
      <c r="G51" t="n">
        <v>26</v>
      </c>
      <c r="H51" t="n">
        <v>27</v>
      </c>
      <c r="I51" t="n">
        <v>32</v>
      </c>
      <c r="J51" t="n">
        <v>36</v>
      </c>
      <c r="K51" t="n">
        <v>40</v>
      </c>
      <c r="L51" t="n">
        <v>45</v>
      </c>
      <c r="M51" t="n">
        <v>50</v>
      </c>
      <c r="N51" t="n">
        <v>52</v>
      </c>
      <c r="O51" t="n">
        <v>53</v>
      </c>
      <c r="P51" t="n">
        <v>62</v>
      </c>
      <c r="Q51" t="n">
        <v>78</v>
      </c>
      <c r="R51" t="n">
        <v>88</v>
      </c>
      <c r="S51" t="n">
        <v>87</v>
      </c>
      <c r="T51" t="n">
        <v>87</v>
      </c>
      <c r="U51" t="n">
        <v>93</v>
      </c>
      <c r="V51" t="n">
        <v>92</v>
      </c>
      <c r="W51" t="n">
        <v>108</v>
      </c>
      <c r="X51" t="n">
        <v>126</v>
      </c>
      <c r="Y51" t="n">
        <v>142</v>
      </c>
      <c r="Z51" t="n">
        <v>129</v>
      </c>
      <c r="AA51" t="n">
        <v>140</v>
      </c>
      <c r="AB51" t="n">
        <v>156</v>
      </c>
      <c r="AC51" t="n">
        <v>177</v>
      </c>
      <c r="AD51" t="n">
        <v>199</v>
      </c>
      <c r="AE51" t="n">
        <v>218</v>
      </c>
      <c r="AF51" t="n">
        <v>262</v>
      </c>
    </row>
    <row r="52">
      <c r="A52" t="s">
        <v>122</v>
      </c>
      <c r="B52" t="s">
        <v>374</v>
      </c>
      <c r="C52" t="s">
        <v>236</v>
      </c>
      <c r="D52" t="s">
        <v>375</v>
      </c>
      <c r="E52" t="s">
        <v>237</v>
      </c>
      <c r="F52" t="n">
        <v>2</v>
      </c>
      <c r="G52" t="n">
        <v>2</v>
      </c>
      <c r="H52" t="n">
        <v>2</v>
      </c>
      <c r="I52" t="n">
        <v>3</v>
      </c>
      <c r="J52" t="n">
        <v>3</v>
      </c>
      <c r="K52" t="n">
        <v>4</v>
      </c>
      <c r="L52" t="n">
        <v>4</v>
      </c>
      <c r="M52" t="n">
        <v>4</v>
      </c>
      <c r="N52" t="n">
        <v>4</v>
      </c>
      <c r="O52" t="n">
        <v>5</v>
      </c>
      <c r="P52" t="n">
        <v>4</v>
      </c>
      <c r="Q52" t="n">
        <v>3</v>
      </c>
      <c r="R52" t="n">
        <v>3</v>
      </c>
      <c r="S52" t="n">
        <v>2</v>
      </c>
      <c r="T52" t="n">
        <v>3</v>
      </c>
      <c r="U52" t="n">
        <v>6</v>
      </c>
      <c r="V52" t="n">
        <v>6</v>
      </c>
      <c r="W52" t="n">
        <v>8</v>
      </c>
      <c r="X52" t="n">
        <v>10</v>
      </c>
      <c r="Y52" t="n">
        <v>10</v>
      </c>
      <c r="Z52" t="n">
        <v>13</v>
      </c>
      <c r="AA52" t="n">
        <v>14</v>
      </c>
      <c r="AB52" t="n">
        <v>19</v>
      </c>
      <c r="AC52" t="n">
        <v>20</v>
      </c>
      <c r="AD52" t="n">
        <v>25</v>
      </c>
      <c r="AE52" t="n">
        <v>31</v>
      </c>
      <c r="AF52" t="n">
        <v>39</v>
      </c>
    </row>
    <row r="53">
      <c r="A53" t="s">
        <v>122</v>
      </c>
      <c r="B53" t="s">
        <v>376</v>
      </c>
      <c r="C53" t="s">
        <v>236</v>
      </c>
      <c r="D53" t="s">
        <v>377</v>
      </c>
      <c r="E53" t="s">
        <v>237</v>
      </c>
      <c r="F53" t="n">
        <v>17</v>
      </c>
      <c r="G53" t="n">
        <v>16</v>
      </c>
      <c r="H53" t="n">
        <v>18</v>
      </c>
      <c r="I53" t="n">
        <v>20</v>
      </c>
      <c r="J53" t="n">
        <v>22</v>
      </c>
      <c r="K53" t="n">
        <v>26</v>
      </c>
      <c r="L53" t="n">
        <v>27</v>
      </c>
      <c r="M53" t="n">
        <v>28</v>
      </c>
      <c r="N53" t="n">
        <v>27</v>
      </c>
      <c r="O53" t="n">
        <v>30</v>
      </c>
      <c r="P53" t="n">
        <v>37</v>
      </c>
      <c r="Q53" t="n">
        <v>52</v>
      </c>
      <c r="R53" t="n">
        <v>54</v>
      </c>
      <c r="S53" t="n">
        <v>72</v>
      </c>
      <c r="T53" t="n">
        <v>66</v>
      </c>
      <c r="U53" t="n">
        <v>78</v>
      </c>
      <c r="V53" t="n">
        <v>68</v>
      </c>
      <c r="W53" t="n">
        <v>58</v>
      </c>
      <c r="X53" t="n">
        <v>58</v>
      </c>
      <c r="Y53" t="n">
        <v>56</v>
      </c>
      <c r="Z53" t="n">
        <v>43</v>
      </c>
      <c r="AA53" t="n">
        <v>40</v>
      </c>
      <c r="AB53" t="n">
        <v>53</v>
      </c>
      <c r="AC53" t="n">
        <v>49</v>
      </c>
      <c r="AD53" t="n">
        <v>56</v>
      </c>
      <c r="AE53" t="n">
        <v>55</v>
      </c>
      <c r="AF53" t="n">
        <v>62</v>
      </c>
    </row>
    <row r="54">
      <c r="A54" t="s">
        <v>122</v>
      </c>
      <c r="B54" t="s">
        <v>378</v>
      </c>
      <c r="C54" t="s">
        <v>236</v>
      </c>
      <c r="D54" t="s">
        <v>379</v>
      </c>
      <c r="E54" t="s">
        <v>237</v>
      </c>
      <c r="F54" t="n">
        <v>30</v>
      </c>
      <c r="G54" t="n">
        <v>29</v>
      </c>
      <c r="H54" t="n">
        <v>32</v>
      </c>
      <c r="I54" t="n">
        <v>37</v>
      </c>
      <c r="J54" t="n">
        <v>41</v>
      </c>
      <c r="K54" t="n">
        <v>48</v>
      </c>
      <c r="L54" t="n">
        <v>52</v>
      </c>
      <c r="M54" t="n">
        <v>58</v>
      </c>
      <c r="N54" t="n">
        <v>54</v>
      </c>
      <c r="O54" t="n">
        <v>53</v>
      </c>
      <c r="P54" t="n">
        <v>62</v>
      </c>
      <c r="Q54" t="n">
        <v>70</v>
      </c>
      <c r="R54" t="n">
        <v>77</v>
      </c>
      <c r="S54" t="n">
        <v>97</v>
      </c>
      <c r="T54" t="n">
        <v>98</v>
      </c>
      <c r="U54" t="n">
        <v>113</v>
      </c>
      <c r="V54" t="n">
        <v>102</v>
      </c>
      <c r="W54" t="n">
        <v>93</v>
      </c>
      <c r="X54" t="n">
        <v>97</v>
      </c>
      <c r="Y54" t="n">
        <v>97</v>
      </c>
      <c r="Z54" t="n">
        <v>84</v>
      </c>
      <c r="AA54" t="n">
        <v>82</v>
      </c>
      <c r="AB54" t="n">
        <v>95</v>
      </c>
      <c r="AC54" t="n">
        <v>99</v>
      </c>
      <c r="AD54" t="n">
        <v>113</v>
      </c>
      <c r="AE54" t="n">
        <v>104</v>
      </c>
      <c r="AF54" t="n">
        <v>130</v>
      </c>
    </row>
    <row r="55">
      <c r="A55" t="s">
        <v>122</v>
      </c>
      <c r="B55" t="s">
        <v>380</v>
      </c>
      <c r="C55" t="s">
        <v>236</v>
      </c>
      <c r="D55" t="s">
        <v>381</v>
      </c>
      <c r="E55" t="s">
        <v>237</v>
      </c>
      <c r="F55" t="n">
        <v>13</v>
      </c>
      <c r="G55" t="n">
        <v>13</v>
      </c>
      <c r="H55" t="n">
        <v>14</v>
      </c>
      <c r="I55" t="n">
        <v>17</v>
      </c>
      <c r="J55" t="n">
        <v>19</v>
      </c>
      <c r="K55" t="n">
        <v>22</v>
      </c>
      <c r="L55" t="n">
        <v>25</v>
      </c>
      <c r="M55" t="n">
        <v>30</v>
      </c>
      <c r="N55" t="n">
        <v>27</v>
      </c>
      <c r="O55" t="n">
        <v>23</v>
      </c>
      <c r="P55" t="n">
        <v>25</v>
      </c>
      <c r="Q55" t="n">
        <v>18</v>
      </c>
      <c r="R55" t="n">
        <v>23</v>
      </c>
      <c r="S55" t="n">
        <v>25</v>
      </c>
      <c r="T55" t="n">
        <v>32</v>
      </c>
      <c r="U55" t="n">
        <v>35</v>
      </c>
      <c r="V55" t="n">
        <v>34</v>
      </c>
      <c r="W55" t="n">
        <v>35</v>
      </c>
      <c r="X55" t="n">
        <v>39</v>
      </c>
      <c r="Y55" t="n">
        <v>41</v>
      </c>
      <c r="Z55" t="n">
        <v>41</v>
      </c>
      <c r="AA55" t="n">
        <v>42</v>
      </c>
      <c r="AB55" t="n">
        <v>42</v>
      </c>
      <c r="AC55" t="n">
        <v>50</v>
      </c>
      <c r="AD55" t="n">
        <v>57</v>
      </c>
      <c r="AE55" t="n">
        <v>49</v>
      </c>
      <c r="AF55" t="n">
        <v>68</v>
      </c>
    </row>
    <row r="56">
      <c r="A56" t="s">
        <v>122</v>
      </c>
      <c r="B56" t="s">
        <v>382</v>
      </c>
      <c r="C56" t="s">
        <v>236</v>
      </c>
      <c r="D56" t="s">
        <v>383</v>
      </c>
      <c r="E56" t="s">
        <v>237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122</v>
      </c>
      <c r="B57" t="s">
        <v>384</v>
      </c>
      <c r="C57" t="s">
        <v>236</v>
      </c>
      <c r="D57" t="s">
        <v>385</v>
      </c>
      <c r="E57" t="s">
        <v>237</v>
      </c>
      <c r="F57" t="n">
        <v>1552</v>
      </c>
      <c r="G57" t="n">
        <v>1499</v>
      </c>
      <c r="H57" t="n">
        <v>1589</v>
      </c>
      <c r="I57" t="n">
        <v>1843</v>
      </c>
      <c r="J57" t="n">
        <v>2100</v>
      </c>
      <c r="K57" t="n">
        <v>2388</v>
      </c>
      <c r="L57" t="n">
        <v>2755</v>
      </c>
      <c r="M57" t="n">
        <v>2883</v>
      </c>
      <c r="N57" t="n">
        <v>3244</v>
      </c>
      <c r="O57" t="n">
        <v>3344</v>
      </c>
      <c r="P57" t="n">
        <v>3799</v>
      </c>
      <c r="Q57" t="n">
        <v>4022</v>
      </c>
      <c r="R57" t="n">
        <v>4368</v>
      </c>
      <c r="S57" t="n">
        <v>4599</v>
      </c>
      <c r="T57" t="n">
        <v>4843</v>
      </c>
      <c r="U57" t="n">
        <v>4956</v>
      </c>
      <c r="V57" t="n">
        <v>4998</v>
      </c>
      <c r="W57" t="n">
        <v>5078</v>
      </c>
      <c r="X57" t="n">
        <v>5190</v>
      </c>
      <c r="Y57" t="n">
        <v>5489</v>
      </c>
      <c r="Z57" t="n">
        <v>5626</v>
      </c>
      <c r="AA57" t="n">
        <v>5768</v>
      </c>
      <c r="AB57" t="n">
        <v>6231</v>
      </c>
      <c r="AC57" t="n">
        <v>6517</v>
      </c>
      <c r="AD57" t="n">
        <v>6889</v>
      </c>
      <c r="AE57" t="n">
        <v>7015</v>
      </c>
      <c r="AF57" t="n">
        <v>7280</v>
      </c>
    </row>
    <row r="58">
      <c r="A58" t="s">
        <v>122</v>
      </c>
      <c r="B58" t="s">
        <v>386</v>
      </c>
      <c r="C58" t="s">
        <v>236</v>
      </c>
      <c r="D58" t="s">
        <v>387</v>
      </c>
      <c r="E58" t="s">
        <v>237</v>
      </c>
      <c r="F58" t="n">
        <v>1552</v>
      </c>
      <c r="G58" t="n">
        <v>1499</v>
      </c>
      <c r="H58" t="n">
        <v>1589</v>
      </c>
      <c r="I58" t="n">
        <v>1843</v>
      </c>
      <c r="J58" t="n">
        <v>2100</v>
      </c>
      <c r="K58" t="n">
        <v>2388</v>
      </c>
      <c r="L58" t="n">
        <v>2755</v>
      </c>
      <c r="M58" t="n">
        <v>2883</v>
      </c>
      <c r="N58" t="n">
        <v>3244</v>
      </c>
      <c r="O58" t="n">
        <v>3344</v>
      </c>
      <c r="P58" t="n">
        <v>3799</v>
      </c>
      <c r="Q58" t="n">
        <v>4022</v>
      </c>
      <c r="R58" t="n">
        <v>4368</v>
      </c>
      <c r="S58" t="n">
        <v>4599</v>
      </c>
      <c r="T58" t="n">
        <v>4843</v>
      </c>
      <c r="U58" t="n">
        <v>4956</v>
      </c>
      <c r="V58" t="n">
        <v>4998</v>
      </c>
      <c r="W58" t="n">
        <v>5078</v>
      </c>
      <c r="X58" t="n">
        <v>5190</v>
      </c>
      <c r="Y58" t="n">
        <v>5489</v>
      </c>
      <c r="Z58" t="n">
        <v>5626</v>
      </c>
      <c r="AA58" t="n">
        <v>5768</v>
      </c>
      <c r="AB58" t="n">
        <v>6231</v>
      </c>
      <c r="AC58" t="n">
        <v>6517</v>
      </c>
      <c r="AD58" t="n">
        <v>6889</v>
      </c>
      <c r="AE58" t="n">
        <v>7015</v>
      </c>
      <c r="AF58" t="n">
        <v>7280</v>
      </c>
    </row>
    <row r="59">
      <c r="A59" t="s">
        <v>122</v>
      </c>
      <c r="B59" t="s">
        <v>388</v>
      </c>
      <c r="C59" t="s">
        <v>236</v>
      </c>
      <c r="D59" t="s">
        <v>389</v>
      </c>
      <c r="E59" t="s">
        <v>237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124</v>
      </c>
      <c r="B2" t="s">
        <v>197</v>
      </c>
      <c r="C2" t="s">
        <v>236</v>
      </c>
      <c r="D2" t="s">
        <v>199</v>
      </c>
      <c r="E2" t="s">
        <v>237</v>
      </c>
      <c r="F2" t="n">
        <v>2040</v>
      </c>
      <c r="G2" t="n">
        <v>1692</v>
      </c>
      <c r="H2" t="n">
        <v>1660</v>
      </c>
      <c r="I2" t="n">
        <v>1628</v>
      </c>
      <c r="J2" t="n">
        <v>1644</v>
      </c>
      <c r="K2" t="n">
        <v>1723</v>
      </c>
      <c r="L2" t="n">
        <v>1805</v>
      </c>
      <c r="M2" t="n">
        <v>1884</v>
      </c>
      <c r="N2" t="n">
        <v>1954</v>
      </c>
      <c r="O2" t="n">
        <v>2001</v>
      </c>
      <c r="P2" t="n">
        <v>2035</v>
      </c>
      <c r="Q2" t="n">
        <v>2041</v>
      </c>
      <c r="R2" t="n">
        <v>2180</v>
      </c>
      <c r="S2" t="n">
        <v>2208</v>
      </c>
      <c r="T2" t="n">
        <v>2195</v>
      </c>
      <c r="U2" t="n">
        <v>2196</v>
      </c>
      <c r="V2" t="n">
        <v>2213</v>
      </c>
      <c r="W2" t="n">
        <v>2231</v>
      </c>
      <c r="X2" t="n">
        <v>2346</v>
      </c>
      <c r="Y2" t="n">
        <v>2344</v>
      </c>
      <c r="Z2" t="n">
        <v>2318</v>
      </c>
      <c r="AA2" t="n">
        <v>2305</v>
      </c>
      <c r="AB2" t="n">
        <v>2251</v>
      </c>
      <c r="AC2" t="n">
        <v>2180</v>
      </c>
      <c r="AD2" t="n">
        <v>2164</v>
      </c>
      <c r="AE2" t="n">
        <v>2120</v>
      </c>
      <c r="AF2" t="n">
        <v>2122</v>
      </c>
    </row>
    <row r="3">
      <c r="A3" t="s">
        <v>124</v>
      </c>
      <c r="B3" t="s">
        <v>276</v>
      </c>
      <c r="C3" t="s">
        <v>236</v>
      </c>
      <c r="D3" t="s">
        <v>277</v>
      </c>
      <c r="E3" t="s">
        <v>237</v>
      </c>
      <c r="F3" t="n">
        <v>10</v>
      </c>
      <c r="G3" t="n">
        <v>12</v>
      </c>
      <c r="H3" t="n">
        <v>11</v>
      </c>
      <c r="I3" t="n">
        <v>12</v>
      </c>
      <c r="J3" t="n">
        <v>15</v>
      </c>
      <c r="K3" t="n">
        <v>15</v>
      </c>
      <c r="L3" t="n">
        <v>14</v>
      </c>
      <c r="M3" t="n">
        <v>16</v>
      </c>
      <c r="N3" t="n">
        <v>17</v>
      </c>
      <c r="O3" t="n">
        <v>19</v>
      </c>
      <c r="P3" t="n">
        <v>21</v>
      </c>
      <c r="Q3" t="n">
        <v>21</v>
      </c>
      <c r="R3" t="n">
        <v>23</v>
      </c>
      <c r="S3" t="n">
        <v>28</v>
      </c>
      <c r="T3" t="n">
        <v>26</v>
      </c>
      <c r="U3" t="n">
        <v>25</v>
      </c>
      <c r="V3" t="n">
        <v>29</v>
      </c>
      <c r="W3" t="n">
        <v>53</v>
      </c>
      <c r="X3" t="n">
        <v>68</v>
      </c>
      <c r="Y3" t="n">
        <v>72</v>
      </c>
      <c r="Z3" t="n">
        <v>71</v>
      </c>
      <c r="AA3" t="n">
        <v>66</v>
      </c>
      <c r="AB3" t="n">
        <v>63</v>
      </c>
      <c r="AC3" t="n">
        <v>57</v>
      </c>
      <c r="AD3" t="n">
        <v>50</v>
      </c>
      <c r="AE3" t="n">
        <v>46</v>
      </c>
      <c r="AF3" t="n">
        <v>49</v>
      </c>
    </row>
    <row r="4">
      <c r="A4" t="s">
        <v>124</v>
      </c>
      <c r="B4" t="s">
        <v>278</v>
      </c>
      <c r="C4" t="s">
        <v>236</v>
      </c>
      <c r="D4" t="s">
        <v>279</v>
      </c>
      <c r="E4" t="s">
        <v>237</v>
      </c>
      <c r="F4" t="n">
        <v>384</v>
      </c>
      <c r="G4" t="n">
        <v>357</v>
      </c>
      <c r="H4" t="n">
        <v>362</v>
      </c>
      <c r="I4" t="n">
        <v>388</v>
      </c>
      <c r="J4" t="n">
        <v>392</v>
      </c>
      <c r="K4" t="n">
        <v>408</v>
      </c>
      <c r="L4" t="n">
        <v>438</v>
      </c>
      <c r="M4" t="n">
        <v>445</v>
      </c>
      <c r="N4" t="n">
        <v>456</v>
      </c>
      <c r="O4" t="n">
        <v>455</v>
      </c>
      <c r="P4" t="n">
        <v>467</v>
      </c>
      <c r="Q4" t="n">
        <v>533</v>
      </c>
      <c r="R4" t="n">
        <v>575</v>
      </c>
      <c r="S4" t="n">
        <v>664</v>
      </c>
      <c r="T4" t="n">
        <v>646</v>
      </c>
      <c r="U4" t="n">
        <v>615</v>
      </c>
      <c r="V4" t="n">
        <v>582</v>
      </c>
      <c r="W4" t="n">
        <v>568</v>
      </c>
      <c r="X4" t="n">
        <v>539</v>
      </c>
      <c r="Y4" t="n">
        <v>514</v>
      </c>
      <c r="Z4" t="n">
        <v>517</v>
      </c>
      <c r="AA4" t="n">
        <v>513</v>
      </c>
      <c r="AB4" t="n">
        <v>529</v>
      </c>
      <c r="AC4" t="n">
        <v>520</v>
      </c>
      <c r="AD4" t="n">
        <v>506</v>
      </c>
      <c r="AE4" t="n">
        <v>488</v>
      </c>
      <c r="AF4" t="n">
        <v>608</v>
      </c>
    </row>
    <row r="5">
      <c r="A5" t="s">
        <v>124</v>
      </c>
      <c r="B5" t="s">
        <v>280</v>
      </c>
      <c r="C5" t="s">
        <v>236</v>
      </c>
      <c r="D5" t="s">
        <v>281</v>
      </c>
      <c r="E5" t="s">
        <v>237</v>
      </c>
      <c r="F5" t="n">
        <v>48</v>
      </c>
      <c r="G5" t="n">
        <v>43</v>
      </c>
      <c r="H5" t="n">
        <v>43</v>
      </c>
      <c r="I5" t="n">
        <v>41</v>
      </c>
      <c r="J5" t="n">
        <v>40</v>
      </c>
      <c r="K5" t="n">
        <v>39</v>
      </c>
      <c r="L5" t="n">
        <v>42</v>
      </c>
      <c r="M5" t="n">
        <v>40</v>
      </c>
      <c r="N5" t="n">
        <v>39</v>
      </c>
      <c r="O5" t="n">
        <v>37</v>
      </c>
      <c r="P5" t="n">
        <v>38</v>
      </c>
      <c r="Q5" t="n">
        <v>42</v>
      </c>
      <c r="R5" t="n">
        <v>43</v>
      </c>
      <c r="S5" t="n">
        <v>45</v>
      </c>
      <c r="T5" t="n">
        <v>43</v>
      </c>
      <c r="U5" t="n">
        <v>42</v>
      </c>
      <c r="V5" t="n">
        <v>40</v>
      </c>
      <c r="W5" t="n">
        <v>40</v>
      </c>
      <c r="X5" t="n">
        <v>41</v>
      </c>
      <c r="Y5" t="n">
        <v>43</v>
      </c>
      <c r="Z5" t="n">
        <v>42</v>
      </c>
      <c r="AA5" t="n">
        <v>44</v>
      </c>
      <c r="AB5" t="n">
        <v>54</v>
      </c>
      <c r="AC5" t="n">
        <v>52</v>
      </c>
      <c r="AD5" t="n">
        <v>48</v>
      </c>
      <c r="AE5" t="n">
        <v>46</v>
      </c>
      <c r="AF5" t="n">
        <v>46</v>
      </c>
    </row>
    <row r="6">
      <c r="A6" t="s">
        <v>124</v>
      </c>
      <c r="B6" t="s">
        <v>282</v>
      </c>
      <c r="C6" t="s">
        <v>236</v>
      </c>
      <c r="D6" t="s">
        <v>283</v>
      </c>
      <c r="E6" t="s">
        <v>237</v>
      </c>
      <c r="F6" t="n">
        <v>11</v>
      </c>
      <c r="G6" t="n">
        <v>10</v>
      </c>
      <c r="H6" t="n">
        <v>11</v>
      </c>
      <c r="I6" t="n">
        <v>11</v>
      </c>
      <c r="J6" t="n">
        <v>10</v>
      </c>
      <c r="K6" t="n">
        <v>12</v>
      </c>
      <c r="L6" t="n">
        <v>13</v>
      </c>
      <c r="M6" t="n">
        <v>13</v>
      </c>
      <c r="N6" t="n">
        <v>12</v>
      </c>
      <c r="O6" t="n">
        <v>11</v>
      </c>
      <c r="P6" t="n">
        <v>11</v>
      </c>
      <c r="Q6" t="n">
        <v>11</v>
      </c>
      <c r="R6" t="n">
        <v>11</v>
      </c>
      <c r="S6" t="n">
        <v>11</v>
      </c>
      <c r="T6" t="n">
        <v>9</v>
      </c>
      <c r="U6" t="n">
        <v>7</v>
      </c>
      <c r="V6" t="n">
        <v>5</v>
      </c>
      <c r="W6" t="n">
        <v>3</v>
      </c>
      <c r="X6" t="n">
        <v>3</v>
      </c>
      <c r="Y6" t="n">
        <v>3</v>
      </c>
      <c r="Z6" t="n">
        <v>1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124</v>
      </c>
      <c r="B7" t="s">
        <v>284</v>
      </c>
      <c r="C7" t="s">
        <v>236</v>
      </c>
      <c r="D7" t="s">
        <v>285</v>
      </c>
      <c r="E7" t="s">
        <v>237</v>
      </c>
      <c r="F7" t="n">
        <v>95</v>
      </c>
      <c r="G7" t="n">
        <v>90</v>
      </c>
      <c r="H7" t="n">
        <v>92</v>
      </c>
      <c r="I7" t="n">
        <v>100</v>
      </c>
      <c r="J7" t="n">
        <v>103</v>
      </c>
      <c r="K7" t="n">
        <v>107</v>
      </c>
      <c r="L7" t="n">
        <v>114</v>
      </c>
      <c r="M7" t="n">
        <v>116</v>
      </c>
      <c r="N7" t="n">
        <v>117</v>
      </c>
      <c r="O7" t="n">
        <v>117</v>
      </c>
      <c r="P7" t="n">
        <v>117</v>
      </c>
      <c r="Q7" t="n">
        <v>131</v>
      </c>
      <c r="R7" t="n">
        <v>136</v>
      </c>
      <c r="S7" t="n">
        <v>143</v>
      </c>
      <c r="T7" t="n">
        <v>128</v>
      </c>
      <c r="U7" t="n">
        <v>118</v>
      </c>
      <c r="V7" t="n">
        <v>113</v>
      </c>
      <c r="W7" t="n">
        <v>107</v>
      </c>
      <c r="X7" t="n">
        <v>101</v>
      </c>
      <c r="Y7" t="n">
        <v>92</v>
      </c>
      <c r="Z7" t="n">
        <v>89</v>
      </c>
      <c r="AA7" t="n">
        <v>92</v>
      </c>
      <c r="AB7" t="n">
        <v>111</v>
      </c>
      <c r="AC7" t="n">
        <v>105</v>
      </c>
      <c r="AD7" t="n">
        <v>102</v>
      </c>
      <c r="AE7" t="n">
        <v>96</v>
      </c>
      <c r="AF7" t="n">
        <v>93</v>
      </c>
    </row>
    <row r="8">
      <c r="A8" t="s">
        <v>124</v>
      </c>
      <c r="B8" t="s">
        <v>286</v>
      </c>
      <c r="C8" t="s">
        <v>236</v>
      </c>
      <c r="D8" t="s">
        <v>287</v>
      </c>
      <c r="E8" t="s">
        <v>237</v>
      </c>
      <c r="F8" t="n">
        <v>6</v>
      </c>
      <c r="G8" t="n">
        <v>7</v>
      </c>
      <c r="H8" t="n">
        <v>8</v>
      </c>
      <c r="I8" t="n">
        <v>9</v>
      </c>
      <c r="J8" t="n">
        <v>9</v>
      </c>
      <c r="K8" t="n">
        <v>9</v>
      </c>
      <c r="L8" t="n">
        <v>9</v>
      </c>
      <c r="M8" t="n">
        <v>9</v>
      </c>
      <c r="N8" t="n">
        <v>9</v>
      </c>
      <c r="O8" t="n">
        <v>8</v>
      </c>
      <c r="P8" t="n">
        <v>8</v>
      </c>
      <c r="Q8" t="n">
        <v>8</v>
      </c>
      <c r="R8" t="n">
        <v>9</v>
      </c>
      <c r="S8" t="n">
        <v>9</v>
      </c>
      <c r="T8" t="n">
        <v>10</v>
      </c>
      <c r="U8" t="n">
        <v>13</v>
      </c>
      <c r="V8" t="n">
        <v>12</v>
      </c>
      <c r="W8" t="n">
        <v>12</v>
      </c>
      <c r="X8" t="n">
        <v>12</v>
      </c>
      <c r="Y8" t="n">
        <v>12</v>
      </c>
      <c r="Z8" t="n">
        <v>17</v>
      </c>
      <c r="AA8" t="n">
        <v>13</v>
      </c>
      <c r="AB8" t="n">
        <v>0</v>
      </c>
      <c r="AC8" t="n">
        <v>0</v>
      </c>
      <c r="AD8" t="n">
        <v>0</v>
      </c>
      <c r="AE8" t="n">
        <v>1</v>
      </c>
      <c r="AF8" t="n">
        <v>117</v>
      </c>
    </row>
    <row r="9">
      <c r="A9" t="s">
        <v>124</v>
      </c>
      <c r="B9" t="s">
        <v>288</v>
      </c>
      <c r="C9" t="s">
        <v>236</v>
      </c>
      <c r="D9" t="s">
        <v>289</v>
      </c>
      <c r="E9" t="s">
        <v>237</v>
      </c>
      <c r="F9" t="n">
        <v>27</v>
      </c>
      <c r="G9" t="n">
        <v>26</v>
      </c>
      <c r="H9" t="n">
        <v>27</v>
      </c>
      <c r="I9" t="n">
        <v>29</v>
      </c>
      <c r="J9" t="n">
        <v>28</v>
      </c>
      <c r="K9" t="n">
        <v>28</v>
      </c>
      <c r="L9" t="n">
        <v>30</v>
      </c>
      <c r="M9" t="n">
        <v>31</v>
      </c>
      <c r="N9" t="n">
        <v>29</v>
      </c>
      <c r="O9" t="n">
        <v>29</v>
      </c>
      <c r="P9" t="n">
        <v>29</v>
      </c>
      <c r="Q9" t="n">
        <v>28</v>
      </c>
      <c r="R9" t="n">
        <v>30</v>
      </c>
      <c r="S9" t="n">
        <v>30</v>
      </c>
      <c r="T9" t="n">
        <v>27</v>
      </c>
      <c r="U9" t="n">
        <v>25</v>
      </c>
      <c r="V9" t="n">
        <v>23</v>
      </c>
      <c r="W9" t="n">
        <v>23</v>
      </c>
      <c r="X9" t="n">
        <v>25</v>
      </c>
      <c r="Y9" t="n">
        <v>24</v>
      </c>
      <c r="Z9" t="n">
        <v>28</v>
      </c>
      <c r="AA9" t="n">
        <v>35</v>
      </c>
      <c r="AB9" t="n">
        <v>44</v>
      </c>
      <c r="AC9" t="n">
        <v>47</v>
      </c>
      <c r="AD9" t="n">
        <v>49</v>
      </c>
      <c r="AE9" t="n">
        <v>49</v>
      </c>
      <c r="AF9" t="n">
        <v>55</v>
      </c>
    </row>
    <row r="10">
      <c r="A10" t="s">
        <v>124</v>
      </c>
      <c r="B10" t="s">
        <v>290</v>
      </c>
      <c r="C10" t="s">
        <v>236</v>
      </c>
      <c r="D10" t="s">
        <v>291</v>
      </c>
      <c r="E10" t="s">
        <v>237</v>
      </c>
      <c r="F10" t="n">
        <v>32</v>
      </c>
      <c r="G10" t="n">
        <v>31</v>
      </c>
      <c r="H10" t="n">
        <v>31</v>
      </c>
      <c r="I10" t="n">
        <v>34</v>
      </c>
      <c r="J10" t="n">
        <v>33</v>
      </c>
      <c r="K10" t="n">
        <v>33</v>
      </c>
      <c r="L10" t="n">
        <v>34</v>
      </c>
      <c r="M10" t="n">
        <v>35</v>
      </c>
      <c r="N10" t="n">
        <v>34</v>
      </c>
      <c r="O10" t="n">
        <v>33</v>
      </c>
      <c r="P10" t="n">
        <v>33</v>
      </c>
      <c r="Q10" t="n">
        <v>32</v>
      </c>
      <c r="R10" t="n">
        <v>33</v>
      </c>
      <c r="S10" t="n">
        <v>35</v>
      </c>
      <c r="T10" t="n">
        <v>31</v>
      </c>
      <c r="U10" t="n">
        <v>28</v>
      </c>
      <c r="V10" t="n">
        <v>26</v>
      </c>
      <c r="W10" t="n">
        <v>25</v>
      </c>
      <c r="X10" t="n">
        <v>27</v>
      </c>
      <c r="Y10" t="n">
        <v>25</v>
      </c>
      <c r="Z10" t="n">
        <v>29</v>
      </c>
      <c r="AA10" t="n">
        <v>36</v>
      </c>
      <c r="AB10" t="n">
        <v>45</v>
      </c>
      <c r="AC10" t="n">
        <v>48</v>
      </c>
      <c r="AD10" t="n">
        <v>49</v>
      </c>
      <c r="AE10" t="n">
        <v>49</v>
      </c>
      <c r="AF10" t="n">
        <v>55</v>
      </c>
    </row>
    <row r="11">
      <c r="A11" t="s">
        <v>124</v>
      </c>
      <c r="B11" t="s">
        <v>292</v>
      </c>
      <c r="C11" t="s">
        <v>236</v>
      </c>
      <c r="D11" t="s">
        <v>293</v>
      </c>
      <c r="E11" t="s">
        <v>237</v>
      </c>
      <c r="F11" t="n">
        <v>5</v>
      </c>
      <c r="G11" t="n">
        <v>5</v>
      </c>
      <c r="H11" t="n">
        <v>4</v>
      </c>
      <c r="I11" t="n">
        <v>5</v>
      </c>
      <c r="J11" t="n">
        <v>5</v>
      </c>
      <c r="K11" t="n">
        <v>5</v>
      </c>
      <c r="L11" t="n">
        <v>4</v>
      </c>
      <c r="M11" t="n">
        <v>4</v>
      </c>
      <c r="N11" t="n">
        <v>5</v>
      </c>
      <c r="O11" t="n">
        <v>4</v>
      </c>
      <c r="P11" t="n">
        <v>4</v>
      </c>
      <c r="Q11" t="n">
        <v>4</v>
      </c>
      <c r="R11" t="n">
        <v>3</v>
      </c>
      <c r="S11" t="n">
        <v>5</v>
      </c>
      <c r="T11" t="n">
        <v>4</v>
      </c>
      <c r="U11" t="n">
        <v>3</v>
      </c>
      <c r="V11" t="n">
        <v>3</v>
      </c>
      <c r="W11" t="n">
        <v>2</v>
      </c>
      <c r="X11" t="n">
        <v>2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0</v>
      </c>
      <c r="AE11" t="n">
        <v>0</v>
      </c>
      <c r="AF11" t="n">
        <v>0</v>
      </c>
    </row>
    <row r="12">
      <c r="A12" t="s">
        <v>124</v>
      </c>
      <c r="B12" t="s">
        <v>294</v>
      </c>
      <c r="C12" t="s">
        <v>236</v>
      </c>
      <c r="D12" t="s">
        <v>295</v>
      </c>
      <c r="E12" t="s">
        <v>237</v>
      </c>
      <c r="F12" t="n">
        <v>45</v>
      </c>
      <c r="G12" t="n">
        <v>40</v>
      </c>
      <c r="H12" t="n">
        <v>39</v>
      </c>
      <c r="I12" t="n">
        <v>43</v>
      </c>
      <c r="J12" t="n">
        <v>41</v>
      </c>
      <c r="K12" t="n">
        <v>42</v>
      </c>
      <c r="L12" t="n">
        <v>44</v>
      </c>
      <c r="M12" t="n">
        <v>45</v>
      </c>
      <c r="N12" t="n">
        <v>44</v>
      </c>
      <c r="O12" t="n">
        <v>43</v>
      </c>
      <c r="P12" t="n">
        <v>42</v>
      </c>
      <c r="Q12" t="n">
        <v>47</v>
      </c>
      <c r="R12" t="n">
        <v>48</v>
      </c>
      <c r="S12" t="n">
        <v>53</v>
      </c>
      <c r="T12" t="n">
        <v>50</v>
      </c>
      <c r="U12" t="n">
        <v>47</v>
      </c>
      <c r="V12" t="n">
        <v>43</v>
      </c>
      <c r="W12" t="n">
        <v>42</v>
      </c>
      <c r="X12" t="n">
        <v>39</v>
      </c>
      <c r="Y12" t="n">
        <v>37</v>
      </c>
      <c r="Z12" t="n">
        <v>37</v>
      </c>
      <c r="AA12" t="n">
        <v>34</v>
      </c>
      <c r="AB12" t="n">
        <v>31</v>
      </c>
      <c r="AC12" t="n">
        <v>28</v>
      </c>
      <c r="AD12" t="n">
        <v>25</v>
      </c>
      <c r="AE12" t="n">
        <v>22</v>
      </c>
      <c r="AF12" t="n">
        <v>23</v>
      </c>
    </row>
    <row r="13">
      <c r="A13" t="s">
        <v>124</v>
      </c>
      <c r="B13" t="s">
        <v>296</v>
      </c>
      <c r="C13" t="s">
        <v>236</v>
      </c>
      <c r="D13" t="s">
        <v>297</v>
      </c>
      <c r="E13" t="s">
        <v>237</v>
      </c>
      <c r="F13" t="n">
        <v>44</v>
      </c>
      <c r="G13" t="n">
        <v>38</v>
      </c>
      <c r="H13" t="n">
        <v>36</v>
      </c>
      <c r="I13" t="n">
        <v>40</v>
      </c>
      <c r="J13" t="n">
        <v>40</v>
      </c>
      <c r="K13" t="n">
        <v>44</v>
      </c>
      <c r="L13" t="n">
        <v>47</v>
      </c>
      <c r="M13" t="n">
        <v>47</v>
      </c>
      <c r="N13" t="n">
        <v>50</v>
      </c>
      <c r="O13" t="n">
        <v>50</v>
      </c>
      <c r="P13" t="n">
        <v>49</v>
      </c>
      <c r="Q13" t="n">
        <v>63</v>
      </c>
      <c r="R13" t="n">
        <v>81</v>
      </c>
      <c r="S13" t="n">
        <v>101</v>
      </c>
      <c r="T13" t="n">
        <v>113</v>
      </c>
      <c r="U13" t="n">
        <v>111</v>
      </c>
      <c r="V13" t="n">
        <v>106</v>
      </c>
      <c r="W13" t="n">
        <v>114</v>
      </c>
      <c r="X13" t="n">
        <v>106</v>
      </c>
      <c r="Y13" t="n">
        <v>99</v>
      </c>
      <c r="Z13" t="n">
        <v>96</v>
      </c>
      <c r="AA13" t="n">
        <v>92</v>
      </c>
      <c r="AB13" t="n">
        <v>89</v>
      </c>
      <c r="AC13" t="n">
        <v>90</v>
      </c>
      <c r="AD13" t="n">
        <v>94</v>
      </c>
      <c r="AE13" t="n">
        <v>90</v>
      </c>
      <c r="AF13" t="n">
        <v>88</v>
      </c>
    </row>
    <row r="14">
      <c r="A14" t="s">
        <v>124</v>
      </c>
      <c r="B14" t="s">
        <v>298</v>
      </c>
      <c r="C14" t="s">
        <v>236</v>
      </c>
      <c r="D14" t="s">
        <v>299</v>
      </c>
      <c r="E14" t="s">
        <v>237</v>
      </c>
      <c r="F14" t="n">
        <v>9</v>
      </c>
      <c r="G14" t="n">
        <v>12</v>
      </c>
      <c r="H14" t="n">
        <v>16</v>
      </c>
      <c r="I14" t="n">
        <v>21</v>
      </c>
      <c r="J14" t="n">
        <v>26</v>
      </c>
      <c r="K14" t="n">
        <v>31</v>
      </c>
      <c r="L14" t="n">
        <v>36</v>
      </c>
      <c r="M14" t="n">
        <v>43</v>
      </c>
      <c r="N14" t="n">
        <v>49</v>
      </c>
      <c r="O14" t="n">
        <v>55</v>
      </c>
      <c r="P14" t="n">
        <v>61</v>
      </c>
      <c r="Q14" t="n">
        <v>72</v>
      </c>
      <c r="R14" t="n">
        <v>76</v>
      </c>
      <c r="S14" t="n">
        <v>107</v>
      </c>
      <c r="T14" t="n">
        <v>96</v>
      </c>
      <c r="U14" t="n">
        <v>94</v>
      </c>
      <c r="V14" t="n">
        <v>90</v>
      </c>
      <c r="W14" t="n">
        <v>85</v>
      </c>
      <c r="X14" t="n">
        <v>79</v>
      </c>
      <c r="Y14" t="n">
        <v>77</v>
      </c>
      <c r="Z14" t="n">
        <v>76</v>
      </c>
      <c r="AA14" t="n">
        <v>75</v>
      </c>
      <c r="AB14" t="n">
        <v>76</v>
      </c>
      <c r="AC14" t="n">
        <v>72</v>
      </c>
      <c r="AD14" t="n">
        <v>71</v>
      </c>
      <c r="AE14" t="n">
        <v>73</v>
      </c>
      <c r="AF14" t="n">
        <v>75</v>
      </c>
    </row>
    <row r="15">
      <c r="A15" t="s">
        <v>124</v>
      </c>
      <c r="B15" t="s">
        <v>300</v>
      </c>
      <c r="C15" t="s">
        <v>236</v>
      </c>
      <c r="D15" t="s">
        <v>301</v>
      </c>
      <c r="E15" t="s">
        <v>237</v>
      </c>
      <c r="F15" t="n">
        <v>19</v>
      </c>
      <c r="G15" t="n">
        <v>20</v>
      </c>
      <c r="H15" t="n">
        <v>25</v>
      </c>
      <c r="I15" t="n">
        <v>31</v>
      </c>
      <c r="J15" t="n">
        <v>37</v>
      </c>
      <c r="K15" t="n">
        <v>42</v>
      </c>
      <c r="L15" t="n">
        <v>48</v>
      </c>
      <c r="M15" t="n">
        <v>54</v>
      </c>
      <c r="N15" t="n">
        <v>63</v>
      </c>
      <c r="O15" t="n">
        <v>70</v>
      </c>
      <c r="P15" t="n">
        <v>76</v>
      </c>
      <c r="Q15" t="n">
        <v>88</v>
      </c>
      <c r="R15" t="n">
        <v>92</v>
      </c>
      <c r="S15" t="n">
        <v>127</v>
      </c>
      <c r="T15" t="n">
        <v>115</v>
      </c>
      <c r="U15" t="n">
        <v>112</v>
      </c>
      <c r="V15" t="n">
        <v>106</v>
      </c>
      <c r="W15" t="n">
        <v>100</v>
      </c>
      <c r="X15" t="n">
        <v>94</v>
      </c>
      <c r="Y15" t="n">
        <v>89</v>
      </c>
      <c r="Z15" t="n">
        <v>87</v>
      </c>
      <c r="AA15" t="n">
        <v>85</v>
      </c>
      <c r="AB15" t="n">
        <v>85</v>
      </c>
      <c r="AC15" t="n">
        <v>81</v>
      </c>
      <c r="AD15" t="n">
        <v>78</v>
      </c>
      <c r="AE15" t="n">
        <v>80</v>
      </c>
      <c r="AF15" t="n">
        <v>82</v>
      </c>
    </row>
    <row r="16">
      <c r="A16" t="s">
        <v>124</v>
      </c>
      <c r="B16" t="s">
        <v>302</v>
      </c>
      <c r="C16" t="s">
        <v>236</v>
      </c>
      <c r="D16" t="s">
        <v>303</v>
      </c>
      <c r="E16" t="s">
        <v>237</v>
      </c>
      <c r="F16" t="n">
        <v>10</v>
      </c>
      <c r="G16" t="n">
        <v>8</v>
      </c>
      <c r="H16" t="n">
        <v>9</v>
      </c>
      <c r="I16" t="n">
        <v>10</v>
      </c>
      <c r="J16" t="n">
        <v>11</v>
      </c>
      <c r="K16" t="n">
        <v>11</v>
      </c>
      <c r="L16" t="n">
        <v>12</v>
      </c>
      <c r="M16" t="n">
        <v>11</v>
      </c>
      <c r="N16" t="n">
        <v>14</v>
      </c>
      <c r="O16" t="n">
        <v>15</v>
      </c>
      <c r="P16" t="n">
        <v>15</v>
      </c>
      <c r="Q16" t="n">
        <v>16</v>
      </c>
      <c r="R16" t="n">
        <v>16</v>
      </c>
      <c r="S16" t="n">
        <v>20</v>
      </c>
      <c r="T16" t="n">
        <v>19</v>
      </c>
      <c r="U16" t="n">
        <v>18</v>
      </c>
      <c r="V16" t="n">
        <v>16</v>
      </c>
      <c r="W16" t="n">
        <v>15</v>
      </c>
      <c r="X16" t="n">
        <v>15</v>
      </c>
      <c r="Y16" t="n">
        <v>12</v>
      </c>
      <c r="Z16" t="n">
        <v>11</v>
      </c>
      <c r="AA16" t="n">
        <v>10</v>
      </c>
      <c r="AB16" t="n">
        <v>9</v>
      </c>
      <c r="AC16" t="n">
        <v>9</v>
      </c>
      <c r="AD16" t="n">
        <v>7</v>
      </c>
      <c r="AE16" t="n">
        <v>7</v>
      </c>
      <c r="AF16" t="n">
        <v>7</v>
      </c>
    </row>
    <row r="17">
      <c r="A17" t="s">
        <v>124</v>
      </c>
      <c r="B17" t="s">
        <v>304</v>
      </c>
      <c r="C17" t="s">
        <v>236</v>
      </c>
      <c r="D17" t="s">
        <v>305</v>
      </c>
      <c r="E17" t="s">
        <v>237</v>
      </c>
      <c r="F17" t="n">
        <v>38</v>
      </c>
      <c r="G17" t="n">
        <v>37</v>
      </c>
      <c r="H17" t="n">
        <v>36</v>
      </c>
      <c r="I17" t="n">
        <v>38</v>
      </c>
      <c r="J17" t="n">
        <v>39</v>
      </c>
      <c r="K17" t="n">
        <v>38</v>
      </c>
      <c r="L17" t="n">
        <v>44</v>
      </c>
      <c r="M17" t="n">
        <v>43</v>
      </c>
      <c r="N17" t="n">
        <v>44</v>
      </c>
      <c r="O17" t="n">
        <v>43</v>
      </c>
      <c r="P17" t="n">
        <v>48</v>
      </c>
      <c r="Q17" t="n">
        <v>59</v>
      </c>
      <c r="R17" t="n">
        <v>65</v>
      </c>
      <c r="S17" t="n">
        <v>78</v>
      </c>
      <c r="T17" t="n">
        <v>86</v>
      </c>
      <c r="U17" t="n">
        <v>78</v>
      </c>
      <c r="V17" t="n">
        <v>76</v>
      </c>
      <c r="W17" t="n">
        <v>74</v>
      </c>
      <c r="X17" t="n">
        <v>71</v>
      </c>
      <c r="Y17" t="n">
        <v>68</v>
      </c>
      <c r="Z17" t="n">
        <v>67</v>
      </c>
      <c r="AA17" t="n">
        <v>64</v>
      </c>
      <c r="AB17" t="n">
        <v>59</v>
      </c>
      <c r="AC17" t="n">
        <v>60</v>
      </c>
      <c r="AD17" t="n">
        <v>61</v>
      </c>
      <c r="AE17" t="n">
        <v>56</v>
      </c>
      <c r="AF17" t="n">
        <v>54</v>
      </c>
    </row>
    <row r="18">
      <c r="A18" t="s">
        <v>124</v>
      </c>
      <c r="B18" t="s">
        <v>306</v>
      </c>
      <c r="C18" t="s">
        <v>236</v>
      </c>
      <c r="D18" t="s">
        <v>307</v>
      </c>
      <c r="E18" t="s">
        <v>237</v>
      </c>
      <c r="F18" t="n">
        <v>28</v>
      </c>
      <c r="G18" t="n">
        <v>24</v>
      </c>
      <c r="H18" t="n">
        <v>23</v>
      </c>
      <c r="I18" t="n">
        <v>21</v>
      </c>
      <c r="J18" t="n">
        <v>20</v>
      </c>
      <c r="K18" t="n">
        <v>21</v>
      </c>
      <c r="L18" t="n">
        <v>21</v>
      </c>
      <c r="M18" t="n">
        <v>20</v>
      </c>
      <c r="N18" t="n">
        <v>19</v>
      </c>
      <c r="O18" t="n">
        <v>18</v>
      </c>
      <c r="P18" t="n">
        <v>19</v>
      </c>
      <c r="Q18" t="n">
        <v>23</v>
      </c>
      <c r="R18" t="n">
        <v>25</v>
      </c>
      <c r="S18" t="n">
        <v>26</v>
      </c>
      <c r="T18" t="n">
        <v>27</v>
      </c>
      <c r="U18" t="n">
        <v>26</v>
      </c>
      <c r="V18" t="n">
        <v>24</v>
      </c>
      <c r="W18" t="n">
        <v>23</v>
      </c>
      <c r="X18" t="n">
        <v>20</v>
      </c>
      <c r="Y18" t="n">
        <v>17</v>
      </c>
      <c r="Z18" t="n">
        <v>14</v>
      </c>
      <c r="AA18" t="n">
        <v>13</v>
      </c>
      <c r="AB18" t="n">
        <v>11</v>
      </c>
      <c r="AC18" t="n">
        <v>11</v>
      </c>
      <c r="AD18" t="n">
        <v>0</v>
      </c>
      <c r="AE18" t="n">
        <v>0</v>
      </c>
      <c r="AF18" t="n">
        <v>0</v>
      </c>
    </row>
    <row r="19">
      <c r="A19" t="s">
        <v>124</v>
      </c>
      <c r="B19" t="s">
        <v>308</v>
      </c>
      <c r="C19" t="s">
        <v>236</v>
      </c>
      <c r="D19" t="s">
        <v>309</v>
      </c>
      <c r="E19" t="s">
        <v>237</v>
      </c>
      <c r="F19" t="n">
        <v>18</v>
      </c>
      <c r="G19" t="n">
        <v>17</v>
      </c>
      <c r="H19" t="n">
        <v>18</v>
      </c>
      <c r="I19" t="n">
        <v>20</v>
      </c>
      <c r="J19" t="n">
        <v>20</v>
      </c>
      <c r="K19" t="n">
        <v>21</v>
      </c>
      <c r="L19" t="n">
        <v>22</v>
      </c>
      <c r="M19" t="n">
        <v>23</v>
      </c>
      <c r="N19" t="n">
        <v>25</v>
      </c>
      <c r="O19" t="n">
        <v>25</v>
      </c>
      <c r="P19" t="n">
        <v>26</v>
      </c>
      <c r="Q19" t="n">
        <v>29</v>
      </c>
      <c r="R19" t="n">
        <v>32</v>
      </c>
      <c r="S19" t="n">
        <v>36</v>
      </c>
      <c r="T19" t="n">
        <v>34</v>
      </c>
      <c r="U19" t="n">
        <v>33</v>
      </c>
      <c r="V19" t="n">
        <v>31</v>
      </c>
      <c r="W19" t="n">
        <v>28</v>
      </c>
      <c r="X19" t="n">
        <v>25</v>
      </c>
      <c r="Y19" t="n">
        <v>29</v>
      </c>
      <c r="Z19" t="n">
        <v>38</v>
      </c>
      <c r="AA19" t="n">
        <v>40</v>
      </c>
      <c r="AB19" t="n">
        <v>44</v>
      </c>
      <c r="AC19" t="n">
        <v>45</v>
      </c>
      <c r="AD19" t="n">
        <v>49</v>
      </c>
      <c r="AE19" t="n">
        <v>48</v>
      </c>
      <c r="AF19" t="n">
        <v>50</v>
      </c>
    </row>
    <row r="20">
      <c r="A20" t="s">
        <v>124</v>
      </c>
      <c r="B20" t="s">
        <v>310</v>
      </c>
      <c r="C20" t="s">
        <v>236</v>
      </c>
      <c r="D20" t="s">
        <v>311</v>
      </c>
      <c r="E20" t="s">
        <v>237</v>
      </c>
      <c r="F20" t="n">
        <v>75</v>
      </c>
      <c r="G20" t="n">
        <v>68</v>
      </c>
      <c r="H20" t="n">
        <v>67</v>
      </c>
      <c r="I20" t="n">
        <v>69</v>
      </c>
      <c r="J20" t="n">
        <v>67</v>
      </c>
      <c r="K20" t="n">
        <v>67</v>
      </c>
      <c r="L20" t="n">
        <v>69</v>
      </c>
      <c r="M20" t="n">
        <v>70</v>
      </c>
      <c r="N20" t="n">
        <v>69</v>
      </c>
      <c r="O20" t="n">
        <v>68</v>
      </c>
      <c r="P20" t="n">
        <v>66</v>
      </c>
      <c r="Q20" t="n">
        <v>65</v>
      </c>
      <c r="R20" t="n">
        <v>64</v>
      </c>
      <c r="S20" t="n">
        <v>69</v>
      </c>
      <c r="T20" t="n">
        <v>68</v>
      </c>
      <c r="U20" t="n">
        <v>97</v>
      </c>
      <c r="V20" t="n">
        <v>89</v>
      </c>
      <c r="W20" t="n">
        <v>110</v>
      </c>
      <c r="X20" t="n">
        <v>137</v>
      </c>
      <c r="Y20" t="n">
        <v>165</v>
      </c>
      <c r="Z20" t="n">
        <v>194</v>
      </c>
      <c r="AA20" t="n">
        <v>233</v>
      </c>
      <c r="AB20" t="n">
        <v>250</v>
      </c>
      <c r="AC20" t="n">
        <v>257</v>
      </c>
      <c r="AD20" t="n">
        <v>257</v>
      </c>
      <c r="AE20" t="n">
        <v>271</v>
      </c>
      <c r="AF20" t="n">
        <v>284</v>
      </c>
    </row>
    <row r="21">
      <c r="A21" t="s">
        <v>124</v>
      </c>
      <c r="B21" t="s">
        <v>312</v>
      </c>
      <c r="C21" t="s">
        <v>236</v>
      </c>
      <c r="D21" t="s">
        <v>313</v>
      </c>
      <c r="E21" t="s">
        <v>237</v>
      </c>
      <c r="F21" t="n">
        <v>208</v>
      </c>
      <c r="G21" t="n">
        <v>193</v>
      </c>
      <c r="H21" t="n">
        <v>189</v>
      </c>
      <c r="I21" t="n">
        <v>206</v>
      </c>
      <c r="J21" t="n">
        <v>210</v>
      </c>
      <c r="K21" t="n">
        <v>213</v>
      </c>
      <c r="L21" t="n">
        <v>226</v>
      </c>
      <c r="M21" t="n">
        <v>214</v>
      </c>
      <c r="N21" t="n">
        <v>195</v>
      </c>
      <c r="O21" t="n">
        <v>180</v>
      </c>
      <c r="P21" t="n">
        <v>172</v>
      </c>
      <c r="Q21" t="n">
        <v>163</v>
      </c>
      <c r="R21" t="n">
        <v>158</v>
      </c>
      <c r="S21" t="n">
        <v>160</v>
      </c>
      <c r="T21" t="n">
        <v>153</v>
      </c>
      <c r="U21" t="n">
        <v>184</v>
      </c>
      <c r="V21" t="n">
        <v>169</v>
      </c>
      <c r="W21" t="n">
        <v>210</v>
      </c>
      <c r="X21" t="n">
        <v>237</v>
      </c>
      <c r="Y21" t="n">
        <v>264</v>
      </c>
      <c r="Z21" t="n">
        <v>292</v>
      </c>
      <c r="AA21" t="n">
        <v>341</v>
      </c>
      <c r="AB21" t="n">
        <v>362</v>
      </c>
      <c r="AC21" t="n">
        <v>363</v>
      </c>
      <c r="AD21" t="n">
        <v>354</v>
      </c>
      <c r="AE21" t="n">
        <v>358</v>
      </c>
      <c r="AF21" t="n">
        <v>364</v>
      </c>
    </row>
    <row r="22">
      <c r="A22" t="s">
        <v>124</v>
      </c>
      <c r="B22" t="s">
        <v>314</v>
      </c>
      <c r="C22" t="s">
        <v>236</v>
      </c>
      <c r="D22" t="s">
        <v>315</v>
      </c>
      <c r="E22" t="s">
        <v>237</v>
      </c>
      <c r="F22" t="n">
        <v>133</v>
      </c>
      <c r="G22" t="n">
        <v>125</v>
      </c>
      <c r="H22" t="n">
        <v>122</v>
      </c>
      <c r="I22" t="n">
        <v>137</v>
      </c>
      <c r="J22" t="n">
        <v>143</v>
      </c>
      <c r="K22" t="n">
        <v>146</v>
      </c>
      <c r="L22" t="n">
        <v>157</v>
      </c>
      <c r="M22" t="n">
        <v>144</v>
      </c>
      <c r="N22" t="n">
        <v>126</v>
      </c>
      <c r="O22" t="n">
        <v>112</v>
      </c>
      <c r="P22" t="n">
        <v>106</v>
      </c>
      <c r="Q22" t="n">
        <v>98</v>
      </c>
      <c r="R22" t="n">
        <v>94</v>
      </c>
      <c r="S22" t="n">
        <v>91</v>
      </c>
      <c r="T22" t="n">
        <v>85</v>
      </c>
      <c r="U22" t="n">
        <v>87</v>
      </c>
      <c r="V22" t="n">
        <v>80</v>
      </c>
      <c r="W22" t="n">
        <v>100</v>
      </c>
      <c r="X22" t="n">
        <v>100</v>
      </c>
      <c r="Y22" t="n">
        <v>99</v>
      </c>
      <c r="Z22" t="n">
        <v>98</v>
      </c>
      <c r="AA22" t="n">
        <v>108</v>
      </c>
      <c r="AB22" t="n">
        <v>112</v>
      </c>
      <c r="AC22" t="n">
        <v>106</v>
      </c>
      <c r="AD22" t="n">
        <v>97</v>
      </c>
      <c r="AE22" t="n">
        <v>87</v>
      </c>
      <c r="AF22" t="n">
        <v>80</v>
      </c>
    </row>
    <row r="23">
      <c r="A23" t="s">
        <v>124</v>
      </c>
      <c r="B23" t="s">
        <v>316</v>
      </c>
      <c r="C23" t="s">
        <v>236</v>
      </c>
      <c r="D23" t="s">
        <v>317</v>
      </c>
      <c r="E23" t="s">
        <v>237</v>
      </c>
      <c r="F23" t="n">
        <v>211</v>
      </c>
      <c r="G23" t="n">
        <v>235</v>
      </c>
      <c r="H23" t="n">
        <v>267</v>
      </c>
      <c r="I23" t="n">
        <v>319</v>
      </c>
      <c r="J23" t="n">
        <v>362</v>
      </c>
      <c r="K23" t="n">
        <v>408</v>
      </c>
      <c r="L23" t="n">
        <v>468</v>
      </c>
      <c r="M23" t="n">
        <v>513</v>
      </c>
      <c r="N23" t="n">
        <v>546</v>
      </c>
      <c r="O23" t="n">
        <v>576</v>
      </c>
      <c r="P23" t="n">
        <v>608</v>
      </c>
      <c r="Q23" t="n">
        <v>641</v>
      </c>
      <c r="R23" t="n">
        <v>692</v>
      </c>
      <c r="S23" t="n">
        <v>742</v>
      </c>
      <c r="T23" t="n">
        <v>734</v>
      </c>
      <c r="U23" t="n">
        <v>791</v>
      </c>
      <c r="V23" t="n">
        <v>795</v>
      </c>
      <c r="W23" t="n">
        <v>792</v>
      </c>
      <c r="X23" t="n">
        <v>785</v>
      </c>
      <c r="Y23" t="n">
        <v>750</v>
      </c>
      <c r="Z23" t="n">
        <v>737</v>
      </c>
      <c r="AA23" t="n">
        <v>743</v>
      </c>
      <c r="AB23" t="n">
        <v>748</v>
      </c>
      <c r="AC23" t="n">
        <v>729</v>
      </c>
      <c r="AD23" t="n">
        <v>697</v>
      </c>
      <c r="AE23" t="n">
        <v>642</v>
      </c>
      <c r="AF23" t="n">
        <v>617</v>
      </c>
    </row>
    <row r="24">
      <c r="A24" t="s">
        <v>124</v>
      </c>
      <c r="B24" t="s">
        <v>318</v>
      </c>
      <c r="C24" t="s">
        <v>236</v>
      </c>
      <c r="D24" t="s">
        <v>319</v>
      </c>
      <c r="E24" t="s">
        <v>237</v>
      </c>
      <c r="F24" t="n">
        <v>1312</v>
      </c>
      <c r="G24" t="n">
        <v>1288</v>
      </c>
      <c r="H24" t="n">
        <v>1241</v>
      </c>
      <c r="I24" t="n">
        <v>1263</v>
      </c>
      <c r="J24" t="n">
        <v>1246</v>
      </c>
      <c r="K24" t="n">
        <v>1259</v>
      </c>
      <c r="L24" t="n">
        <v>1368</v>
      </c>
      <c r="M24" t="n">
        <v>1402</v>
      </c>
      <c r="N24" t="n">
        <v>1392</v>
      </c>
      <c r="O24" t="n">
        <v>1368</v>
      </c>
      <c r="P24" t="n">
        <v>1359</v>
      </c>
      <c r="Q24" t="n">
        <v>1318</v>
      </c>
      <c r="R24" t="n">
        <v>1343</v>
      </c>
      <c r="S24" t="n">
        <v>1392</v>
      </c>
      <c r="T24" t="n">
        <v>1353</v>
      </c>
      <c r="U24" t="n">
        <v>1404</v>
      </c>
      <c r="V24" t="n">
        <v>1395</v>
      </c>
      <c r="W24" t="n">
        <v>1411</v>
      </c>
      <c r="X24" t="n">
        <v>1372</v>
      </c>
      <c r="Y24" t="n">
        <v>1284</v>
      </c>
      <c r="Z24" t="n">
        <v>1210</v>
      </c>
      <c r="AA24" t="n">
        <v>1143</v>
      </c>
      <c r="AB24" t="n">
        <v>1037</v>
      </c>
      <c r="AC24" t="n">
        <v>930</v>
      </c>
      <c r="AD24" t="n">
        <v>829</v>
      </c>
      <c r="AE24" t="n">
        <v>713</v>
      </c>
      <c r="AF24" t="n">
        <v>631</v>
      </c>
    </row>
    <row r="25">
      <c r="A25" t="s">
        <v>124</v>
      </c>
      <c r="B25" t="s">
        <v>320</v>
      </c>
      <c r="C25" t="s">
        <v>236</v>
      </c>
      <c r="D25" t="s">
        <v>321</v>
      </c>
      <c r="E25" t="s">
        <v>237</v>
      </c>
      <c r="F25" t="n">
        <v>129</v>
      </c>
      <c r="G25" t="n">
        <v>122</v>
      </c>
      <c r="H25" t="n">
        <v>121</v>
      </c>
      <c r="I25" t="n">
        <v>126</v>
      </c>
      <c r="J25" t="n">
        <v>124</v>
      </c>
      <c r="K25" t="n">
        <v>139</v>
      </c>
      <c r="L25" t="n">
        <v>159</v>
      </c>
      <c r="M25" t="n">
        <v>168</v>
      </c>
      <c r="N25" t="n">
        <v>172</v>
      </c>
      <c r="O25" t="n">
        <v>173</v>
      </c>
      <c r="P25" t="n">
        <v>168</v>
      </c>
      <c r="Q25" t="n">
        <v>173</v>
      </c>
      <c r="R25" t="n">
        <v>170</v>
      </c>
      <c r="S25" t="n">
        <v>183</v>
      </c>
      <c r="T25" t="n">
        <v>179</v>
      </c>
      <c r="U25" t="n">
        <v>195</v>
      </c>
      <c r="V25" t="n">
        <v>207</v>
      </c>
      <c r="W25" t="n">
        <v>207</v>
      </c>
      <c r="X25" t="n">
        <v>192</v>
      </c>
      <c r="Y25" t="n">
        <v>177</v>
      </c>
      <c r="Z25" t="n">
        <v>166</v>
      </c>
      <c r="AA25" t="n">
        <v>162</v>
      </c>
      <c r="AB25" t="n">
        <v>147</v>
      </c>
      <c r="AC25" t="n">
        <v>134</v>
      </c>
      <c r="AD25" t="n">
        <v>121</v>
      </c>
      <c r="AE25" t="n">
        <v>108</v>
      </c>
      <c r="AF25" t="n">
        <v>97</v>
      </c>
    </row>
    <row r="26">
      <c r="A26" t="s">
        <v>124</v>
      </c>
      <c r="B26" t="s">
        <v>322</v>
      </c>
      <c r="C26" t="s">
        <v>236</v>
      </c>
      <c r="D26" t="s">
        <v>323</v>
      </c>
      <c r="E26" t="s">
        <v>237</v>
      </c>
      <c r="F26" t="n">
        <v>907</v>
      </c>
      <c r="G26" t="n">
        <v>913</v>
      </c>
      <c r="H26" t="n">
        <v>877</v>
      </c>
      <c r="I26" t="n">
        <v>888</v>
      </c>
      <c r="J26" t="n">
        <v>871</v>
      </c>
      <c r="K26" t="n">
        <v>856</v>
      </c>
      <c r="L26" t="n">
        <v>908</v>
      </c>
      <c r="M26" t="n">
        <v>909</v>
      </c>
      <c r="N26" t="n">
        <v>868</v>
      </c>
      <c r="O26" t="n">
        <v>830</v>
      </c>
      <c r="P26" t="n">
        <v>808</v>
      </c>
      <c r="Q26" t="n">
        <v>753</v>
      </c>
      <c r="R26" t="n">
        <v>762</v>
      </c>
      <c r="S26" t="n">
        <v>775</v>
      </c>
      <c r="T26" t="n">
        <v>737</v>
      </c>
      <c r="U26" t="n">
        <v>734</v>
      </c>
      <c r="V26" t="n">
        <v>713</v>
      </c>
      <c r="W26" t="n">
        <v>714</v>
      </c>
      <c r="X26" t="n">
        <v>692</v>
      </c>
      <c r="Y26" t="n">
        <v>640</v>
      </c>
      <c r="Z26" t="n">
        <v>588</v>
      </c>
      <c r="AA26" t="n">
        <v>544</v>
      </c>
      <c r="AB26" t="n">
        <v>490</v>
      </c>
      <c r="AC26" t="n">
        <v>432</v>
      </c>
      <c r="AD26" t="n">
        <v>377</v>
      </c>
      <c r="AE26" t="n">
        <v>315</v>
      </c>
      <c r="AF26" t="n">
        <v>270</v>
      </c>
    </row>
    <row r="27">
      <c r="A27" t="s">
        <v>124</v>
      </c>
      <c r="B27" t="s">
        <v>324</v>
      </c>
      <c r="C27" t="s">
        <v>236</v>
      </c>
      <c r="D27" t="s">
        <v>325</v>
      </c>
      <c r="E27" t="s">
        <v>237</v>
      </c>
      <c r="F27" t="n">
        <v>276</v>
      </c>
      <c r="G27" t="n">
        <v>253</v>
      </c>
      <c r="H27" t="n">
        <v>243</v>
      </c>
      <c r="I27" t="n">
        <v>249</v>
      </c>
      <c r="J27" t="n">
        <v>251</v>
      </c>
      <c r="K27" t="n">
        <v>264</v>
      </c>
      <c r="L27" t="n">
        <v>301</v>
      </c>
      <c r="M27" t="n">
        <v>325</v>
      </c>
      <c r="N27" t="n">
        <v>352</v>
      </c>
      <c r="O27" t="n">
        <v>365</v>
      </c>
      <c r="P27" t="n">
        <v>383</v>
      </c>
      <c r="Q27" t="n">
        <v>392</v>
      </c>
      <c r="R27" t="n">
        <v>411</v>
      </c>
      <c r="S27" t="n">
        <v>434</v>
      </c>
      <c r="T27" t="n">
        <v>437</v>
      </c>
      <c r="U27" t="n">
        <v>475</v>
      </c>
      <c r="V27" t="n">
        <v>475</v>
      </c>
      <c r="W27" t="n">
        <v>490</v>
      </c>
      <c r="X27" t="n">
        <v>488</v>
      </c>
      <c r="Y27" t="n">
        <v>467</v>
      </c>
      <c r="Z27" t="n">
        <v>456</v>
      </c>
      <c r="AA27" t="n">
        <v>437</v>
      </c>
      <c r="AB27" t="n">
        <v>400</v>
      </c>
      <c r="AC27" t="n">
        <v>364</v>
      </c>
      <c r="AD27" t="n">
        <v>331</v>
      </c>
      <c r="AE27" t="n">
        <v>290</v>
      </c>
      <c r="AF27" t="n">
        <v>264</v>
      </c>
    </row>
    <row r="28">
      <c r="A28" t="s">
        <v>124</v>
      </c>
      <c r="B28" t="s">
        <v>326</v>
      </c>
      <c r="C28" t="s">
        <v>236</v>
      </c>
      <c r="D28" t="s">
        <v>327</v>
      </c>
      <c r="E28" t="s">
        <v>237</v>
      </c>
      <c r="F28" t="n">
        <v>6398</v>
      </c>
      <c r="G28" t="n">
        <v>6004</v>
      </c>
      <c r="H28" t="n">
        <v>6135</v>
      </c>
      <c r="I28" t="n">
        <v>6490</v>
      </c>
      <c r="J28" t="n">
        <v>6685</v>
      </c>
      <c r="K28" t="n">
        <v>6637</v>
      </c>
      <c r="L28" t="n">
        <v>7164</v>
      </c>
      <c r="M28" t="n">
        <v>7212</v>
      </c>
      <c r="N28" t="n">
        <v>6890</v>
      </c>
      <c r="O28" t="n">
        <v>7026</v>
      </c>
      <c r="P28" t="n">
        <v>7077</v>
      </c>
      <c r="Q28" t="n">
        <v>7189</v>
      </c>
      <c r="R28" t="n">
        <v>7301</v>
      </c>
      <c r="S28" t="n">
        <v>7129</v>
      </c>
      <c r="T28" t="n">
        <v>7128</v>
      </c>
      <c r="U28" t="n">
        <v>6928</v>
      </c>
      <c r="V28" t="n">
        <v>6918</v>
      </c>
      <c r="W28" t="n">
        <v>6928</v>
      </c>
      <c r="X28" t="n">
        <v>7116</v>
      </c>
      <c r="Y28" t="n">
        <v>6769</v>
      </c>
      <c r="Z28" t="n">
        <v>6842</v>
      </c>
      <c r="AA28" t="n">
        <v>7327</v>
      </c>
      <c r="AB28" t="n">
        <v>7449</v>
      </c>
      <c r="AC28" t="n">
        <v>7157</v>
      </c>
      <c r="AD28" t="n">
        <v>7554</v>
      </c>
      <c r="AE28" t="n">
        <v>7412</v>
      </c>
      <c r="AF28" t="n">
        <v>6961</v>
      </c>
    </row>
    <row r="29">
      <c r="A29" t="s">
        <v>124</v>
      </c>
      <c r="B29" t="s">
        <v>328</v>
      </c>
      <c r="C29" t="s">
        <v>236</v>
      </c>
      <c r="D29" t="s">
        <v>329</v>
      </c>
      <c r="E29" t="s">
        <v>237</v>
      </c>
      <c r="F29" t="n">
        <v>1972</v>
      </c>
      <c r="G29" t="n">
        <v>1964</v>
      </c>
      <c r="H29" t="n">
        <v>2030</v>
      </c>
      <c r="I29" t="n">
        <v>2193</v>
      </c>
      <c r="J29" t="n">
        <v>2306</v>
      </c>
      <c r="K29" t="n">
        <v>2349</v>
      </c>
      <c r="L29" t="n">
        <v>2528</v>
      </c>
      <c r="M29" t="n">
        <v>2621</v>
      </c>
      <c r="N29" t="n">
        <v>2632</v>
      </c>
      <c r="O29" t="n">
        <v>2704</v>
      </c>
      <c r="P29" t="n">
        <v>2797</v>
      </c>
      <c r="Q29" t="n">
        <v>2734</v>
      </c>
      <c r="R29" t="n">
        <v>2677</v>
      </c>
      <c r="S29" t="n">
        <v>2721</v>
      </c>
      <c r="T29" t="n">
        <v>2624</v>
      </c>
      <c r="U29" t="n">
        <v>2588</v>
      </c>
      <c r="V29" t="n">
        <v>2621</v>
      </c>
      <c r="W29" t="n">
        <v>2565</v>
      </c>
      <c r="X29" t="n">
        <v>2519</v>
      </c>
      <c r="Y29" t="n">
        <v>2403</v>
      </c>
      <c r="Z29" t="n">
        <v>2501</v>
      </c>
      <c r="AA29" t="n">
        <v>2662</v>
      </c>
      <c r="AB29" t="n">
        <v>2853</v>
      </c>
      <c r="AC29" t="n">
        <v>2657</v>
      </c>
      <c r="AD29" t="n">
        <v>3004</v>
      </c>
      <c r="AE29" t="n">
        <v>2974</v>
      </c>
      <c r="AF29" t="n">
        <v>3063</v>
      </c>
    </row>
    <row r="30">
      <c r="A30" t="s">
        <v>124</v>
      </c>
      <c r="B30" t="s">
        <v>330</v>
      </c>
      <c r="C30" t="s">
        <v>236</v>
      </c>
      <c r="D30" t="s">
        <v>331</v>
      </c>
      <c r="E30" t="s">
        <v>237</v>
      </c>
      <c r="F30" t="n">
        <v>3427</v>
      </c>
      <c r="G30" t="n">
        <v>3112</v>
      </c>
      <c r="H30" t="n">
        <v>3182</v>
      </c>
      <c r="I30" t="n">
        <v>3314</v>
      </c>
      <c r="J30" t="n">
        <v>3276</v>
      </c>
      <c r="K30" t="n">
        <v>3152</v>
      </c>
      <c r="L30" t="n">
        <v>3361</v>
      </c>
      <c r="M30" t="n">
        <v>3351</v>
      </c>
      <c r="N30" t="n">
        <v>3100</v>
      </c>
      <c r="O30" t="n">
        <v>3198</v>
      </c>
      <c r="P30" t="n">
        <v>3063</v>
      </c>
      <c r="Q30" t="n">
        <v>3074</v>
      </c>
      <c r="R30" t="n">
        <v>3141</v>
      </c>
      <c r="S30" t="n">
        <v>2903</v>
      </c>
      <c r="T30" t="n">
        <v>2752</v>
      </c>
      <c r="U30" t="n">
        <v>2588</v>
      </c>
      <c r="V30" t="n">
        <v>2614</v>
      </c>
      <c r="W30" t="n">
        <v>2750</v>
      </c>
      <c r="X30" t="n">
        <v>2807</v>
      </c>
      <c r="Y30" t="n">
        <v>2719</v>
      </c>
      <c r="Z30" t="n">
        <v>2589</v>
      </c>
      <c r="AA30" t="n">
        <v>2450</v>
      </c>
      <c r="AB30" t="n">
        <v>2232</v>
      </c>
      <c r="AC30" t="n">
        <v>2189</v>
      </c>
      <c r="AD30" t="n">
        <v>2116</v>
      </c>
      <c r="AE30" t="n">
        <v>2026</v>
      </c>
      <c r="AF30" t="n">
        <v>1889</v>
      </c>
    </row>
    <row r="31">
      <c r="A31" t="s">
        <v>124</v>
      </c>
      <c r="B31" t="s">
        <v>332</v>
      </c>
      <c r="C31" t="s">
        <v>236</v>
      </c>
      <c r="D31" t="s">
        <v>333</v>
      </c>
      <c r="E31" t="s">
        <v>237</v>
      </c>
      <c r="F31" t="n">
        <v>843</v>
      </c>
      <c r="G31" t="n">
        <v>787</v>
      </c>
      <c r="H31" t="n">
        <v>755</v>
      </c>
      <c r="I31" t="n">
        <v>765</v>
      </c>
      <c r="J31" t="n">
        <v>902</v>
      </c>
      <c r="K31" t="n">
        <v>935</v>
      </c>
      <c r="L31" t="n">
        <v>1067</v>
      </c>
      <c r="M31" t="n">
        <v>1037</v>
      </c>
      <c r="N31" t="n">
        <v>964</v>
      </c>
      <c r="O31" t="n">
        <v>929</v>
      </c>
      <c r="P31" t="n">
        <v>1037</v>
      </c>
      <c r="Q31" t="n">
        <v>1170</v>
      </c>
      <c r="R31" t="n">
        <v>1277</v>
      </c>
      <c r="S31" t="n">
        <v>1305</v>
      </c>
      <c r="T31" t="n">
        <v>1534</v>
      </c>
      <c r="U31" t="n">
        <v>1482</v>
      </c>
      <c r="V31" t="n">
        <v>1403</v>
      </c>
      <c r="W31" t="n">
        <v>1354</v>
      </c>
      <c r="X31" t="n">
        <v>1534</v>
      </c>
      <c r="Y31" t="n">
        <v>1375</v>
      </c>
      <c r="Z31" t="n">
        <v>1477</v>
      </c>
      <c r="AA31" t="n">
        <v>1849</v>
      </c>
      <c r="AB31" t="n">
        <v>1961</v>
      </c>
      <c r="AC31" t="n">
        <v>1922</v>
      </c>
      <c r="AD31" t="n">
        <v>2021</v>
      </c>
      <c r="AE31" t="n">
        <v>2006</v>
      </c>
      <c r="AF31" t="n">
        <v>1538</v>
      </c>
    </row>
    <row r="32">
      <c r="A32" t="s">
        <v>124</v>
      </c>
      <c r="B32" t="s">
        <v>334</v>
      </c>
      <c r="C32" t="s">
        <v>236</v>
      </c>
      <c r="D32" t="s">
        <v>335</v>
      </c>
      <c r="E32" t="s">
        <v>237</v>
      </c>
      <c r="F32" t="n">
        <v>124</v>
      </c>
      <c r="G32" t="n">
        <v>112</v>
      </c>
      <c r="H32" t="n">
        <v>141</v>
      </c>
      <c r="I32" t="n">
        <v>191</v>
      </c>
      <c r="J32" t="n">
        <v>175</v>
      </c>
      <c r="K32" t="n">
        <v>165</v>
      </c>
      <c r="L32" t="n">
        <v>168</v>
      </c>
      <c r="M32" t="n">
        <v>160</v>
      </c>
      <c r="N32" t="n">
        <v>151</v>
      </c>
      <c r="O32" t="n">
        <v>145</v>
      </c>
      <c r="P32" t="n">
        <v>137</v>
      </c>
      <c r="Q32" t="n">
        <v>149</v>
      </c>
      <c r="R32" t="n">
        <v>142</v>
      </c>
      <c r="S32" t="n">
        <v>138</v>
      </c>
      <c r="T32" t="n">
        <v>146</v>
      </c>
      <c r="U32" t="n">
        <v>174</v>
      </c>
      <c r="V32" t="n">
        <v>180</v>
      </c>
      <c r="W32" t="n">
        <v>166</v>
      </c>
      <c r="X32" t="n">
        <v>161</v>
      </c>
      <c r="Y32" t="n">
        <v>175</v>
      </c>
      <c r="Z32" t="n">
        <v>187</v>
      </c>
      <c r="AA32" t="n">
        <v>280</v>
      </c>
      <c r="AB32" t="n">
        <v>311</v>
      </c>
      <c r="AC32" t="n">
        <v>304</v>
      </c>
      <c r="AD32" t="n">
        <v>333</v>
      </c>
      <c r="AE32" t="n">
        <v>333</v>
      </c>
      <c r="AF32" t="n">
        <v>405</v>
      </c>
    </row>
    <row r="33">
      <c r="A33" t="s">
        <v>124</v>
      </c>
      <c r="B33" t="s">
        <v>336</v>
      </c>
      <c r="C33" t="s">
        <v>236</v>
      </c>
      <c r="D33" t="s">
        <v>337</v>
      </c>
      <c r="E33" t="s">
        <v>237</v>
      </c>
      <c r="F33" t="n">
        <v>32</v>
      </c>
      <c r="G33" t="n">
        <v>29</v>
      </c>
      <c r="H33" t="n">
        <v>27</v>
      </c>
      <c r="I33" t="n">
        <v>27</v>
      </c>
      <c r="J33" t="n">
        <v>26</v>
      </c>
      <c r="K33" t="n">
        <v>36</v>
      </c>
      <c r="L33" t="n">
        <v>40</v>
      </c>
      <c r="M33" t="n">
        <v>43</v>
      </c>
      <c r="N33" t="n">
        <v>43</v>
      </c>
      <c r="O33" t="n">
        <v>50</v>
      </c>
      <c r="P33" t="n">
        <v>43</v>
      </c>
      <c r="Q33" t="n">
        <v>62</v>
      </c>
      <c r="R33" t="n">
        <v>64</v>
      </c>
      <c r="S33" t="n">
        <v>62</v>
      </c>
      <c r="T33" t="n">
        <v>72</v>
      </c>
      <c r="U33" t="n">
        <v>96</v>
      </c>
      <c r="V33" t="n">
        <v>100</v>
      </c>
      <c r="W33" t="n">
        <v>93</v>
      </c>
      <c r="X33" t="n">
        <v>95</v>
      </c>
      <c r="Y33" t="n">
        <v>97</v>
      </c>
      <c r="Z33" t="n">
        <v>88</v>
      </c>
      <c r="AA33" t="n">
        <v>86</v>
      </c>
      <c r="AB33" t="n">
        <v>92</v>
      </c>
      <c r="AC33" t="n">
        <v>85</v>
      </c>
      <c r="AD33" t="n">
        <v>80</v>
      </c>
      <c r="AE33" t="n">
        <v>73</v>
      </c>
      <c r="AF33" t="n">
        <v>66</v>
      </c>
    </row>
    <row r="34">
      <c r="A34" t="s">
        <v>124</v>
      </c>
      <c r="B34" t="s">
        <v>338</v>
      </c>
      <c r="C34" t="s">
        <v>236</v>
      </c>
      <c r="D34" t="s">
        <v>339</v>
      </c>
      <c r="E34" t="s">
        <v>237</v>
      </c>
      <c r="F34" t="n">
        <v>52</v>
      </c>
      <c r="G34" t="n">
        <v>54</v>
      </c>
      <c r="H34" t="n">
        <v>51</v>
      </c>
      <c r="I34" t="n">
        <v>57</v>
      </c>
      <c r="J34" t="n">
        <v>60</v>
      </c>
      <c r="K34" t="n">
        <v>65</v>
      </c>
      <c r="L34" t="n">
        <v>71</v>
      </c>
      <c r="M34" t="n">
        <v>77</v>
      </c>
      <c r="N34" t="n">
        <v>81</v>
      </c>
      <c r="O34" t="n">
        <v>84</v>
      </c>
      <c r="P34" t="n">
        <v>89</v>
      </c>
      <c r="Q34" t="n">
        <v>95</v>
      </c>
      <c r="R34" t="n">
        <v>93</v>
      </c>
      <c r="S34" t="n">
        <v>90</v>
      </c>
      <c r="T34" t="n">
        <v>87</v>
      </c>
      <c r="U34" t="n">
        <v>92</v>
      </c>
      <c r="V34" t="n">
        <v>92</v>
      </c>
      <c r="W34" t="n">
        <v>99</v>
      </c>
      <c r="X34" t="n">
        <v>98</v>
      </c>
      <c r="Y34" t="n">
        <v>94</v>
      </c>
      <c r="Z34" t="n">
        <v>89</v>
      </c>
      <c r="AA34" t="n">
        <v>87</v>
      </c>
      <c r="AB34" t="n">
        <v>80</v>
      </c>
      <c r="AC34" t="n">
        <v>74</v>
      </c>
      <c r="AD34" t="n">
        <v>70</v>
      </c>
      <c r="AE34" t="n">
        <v>61</v>
      </c>
      <c r="AF34" t="n">
        <v>56</v>
      </c>
    </row>
    <row r="35">
      <c r="A35" t="s">
        <v>124</v>
      </c>
      <c r="B35" t="s">
        <v>340</v>
      </c>
      <c r="C35" t="s">
        <v>236</v>
      </c>
      <c r="D35" t="s">
        <v>341</v>
      </c>
      <c r="E35" t="s">
        <v>237</v>
      </c>
      <c r="F35" t="n">
        <v>147</v>
      </c>
      <c r="G35" t="n">
        <v>139</v>
      </c>
      <c r="H35" t="n">
        <v>144</v>
      </c>
      <c r="I35" t="n">
        <v>154</v>
      </c>
      <c r="J35" t="n">
        <v>159</v>
      </c>
      <c r="K35" t="n">
        <v>176</v>
      </c>
      <c r="L35" t="n">
        <v>200</v>
      </c>
      <c r="M35" t="n">
        <v>211</v>
      </c>
      <c r="N35" t="n">
        <v>209</v>
      </c>
      <c r="O35" t="n">
        <v>245</v>
      </c>
      <c r="P35" t="n">
        <v>269</v>
      </c>
      <c r="Q35" t="n">
        <v>278</v>
      </c>
      <c r="R35" t="n">
        <v>289</v>
      </c>
      <c r="S35" t="n">
        <v>326</v>
      </c>
      <c r="T35" t="n">
        <v>339</v>
      </c>
      <c r="U35" t="n">
        <v>396</v>
      </c>
      <c r="V35" t="n">
        <v>378</v>
      </c>
      <c r="W35" t="n">
        <v>369</v>
      </c>
      <c r="X35" t="n">
        <v>350</v>
      </c>
      <c r="Y35" t="n">
        <v>318</v>
      </c>
      <c r="Z35" t="n">
        <v>287</v>
      </c>
      <c r="AA35" t="n">
        <v>268</v>
      </c>
      <c r="AB35" t="n">
        <v>242</v>
      </c>
      <c r="AC35" t="n">
        <v>223</v>
      </c>
      <c r="AD35" t="n">
        <v>199</v>
      </c>
      <c r="AE35" t="n">
        <v>177</v>
      </c>
      <c r="AF35" t="n">
        <v>169</v>
      </c>
    </row>
    <row r="36">
      <c r="A36" t="s">
        <v>124</v>
      </c>
      <c r="B36" t="s">
        <v>342</v>
      </c>
      <c r="C36" t="s">
        <v>236</v>
      </c>
      <c r="D36" t="s">
        <v>343</v>
      </c>
      <c r="E36" t="s">
        <v>237</v>
      </c>
      <c r="F36" t="n">
        <v>29</v>
      </c>
      <c r="G36" t="n">
        <v>27</v>
      </c>
      <c r="H36" t="n">
        <v>29</v>
      </c>
      <c r="I36" t="n">
        <v>33</v>
      </c>
      <c r="J36" t="n">
        <v>34</v>
      </c>
      <c r="K36" t="n">
        <v>37</v>
      </c>
      <c r="L36" t="n">
        <v>42</v>
      </c>
      <c r="M36" t="n">
        <v>43</v>
      </c>
      <c r="N36" t="n">
        <v>44</v>
      </c>
      <c r="O36" t="n">
        <v>42</v>
      </c>
      <c r="P36" t="n">
        <v>45</v>
      </c>
      <c r="Q36" t="n">
        <v>47</v>
      </c>
      <c r="R36" t="n">
        <v>47</v>
      </c>
      <c r="S36" t="n">
        <v>46</v>
      </c>
      <c r="T36" t="n">
        <v>46</v>
      </c>
      <c r="U36" t="n">
        <v>49</v>
      </c>
      <c r="V36" t="n">
        <v>50</v>
      </c>
      <c r="W36" t="n">
        <v>50</v>
      </c>
      <c r="X36" t="n">
        <v>45</v>
      </c>
      <c r="Y36" t="n">
        <v>38</v>
      </c>
      <c r="Z36" t="n">
        <v>32</v>
      </c>
      <c r="AA36" t="n">
        <v>28</v>
      </c>
      <c r="AB36" t="n">
        <v>25</v>
      </c>
      <c r="AC36" t="n">
        <v>23</v>
      </c>
      <c r="AD36" t="n">
        <v>20</v>
      </c>
      <c r="AE36" t="n">
        <v>17</v>
      </c>
      <c r="AF36" t="n">
        <v>16</v>
      </c>
    </row>
    <row r="37">
      <c r="A37" t="s">
        <v>124</v>
      </c>
      <c r="B37" t="s">
        <v>344</v>
      </c>
      <c r="C37" t="s">
        <v>236</v>
      </c>
      <c r="D37" t="s">
        <v>345</v>
      </c>
      <c r="E37" t="s">
        <v>237</v>
      </c>
      <c r="F37" t="n">
        <v>55</v>
      </c>
      <c r="G37" t="n">
        <v>51</v>
      </c>
      <c r="H37" t="n">
        <v>55</v>
      </c>
      <c r="I37" t="n">
        <v>60</v>
      </c>
      <c r="J37" t="n">
        <v>62</v>
      </c>
      <c r="K37" t="n">
        <v>73</v>
      </c>
      <c r="L37" t="n">
        <v>84</v>
      </c>
      <c r="M37" t="n">
        <v>88</v>
      </c>
      <c r="N37" t="n">
        <v>86</v>
      </c>
      <c r="O37" t="n">
        <v>126</v>
      </c>
      <c r="P37" t="n">
        <v>148</v>
      </c>
      <c r="Q37" t="n">
        <v>153</v>
      </c>
      <c r="R37" t="n">
        <v>180</v>
      </c>
      <c r="S37" t="n">
        <v>218</v>
      </c>
      <c r="T37" t="n">
        <v>245</v>
      </c>
      <c r="U37" t="n">
        <v>297</v>
      </c>
      <c r="V37" t="n">
        <v>285</v>
      </c>
      <c r="W37" t="n">
        <v>271</v>
      </c>
      <c r="X37" t="n">
        <v>258</v>
      </c>
      <c r="Y37" t="n">
        <v>237</v>
      </c>
      <c r="Z37" t="n">
        <v>213</v>
      </c>
      <c r="AA37" t="n">
        <v>199</v>
      </c>
      <c r="AB37" t="n">
        <v>179</v>
      </c>
      <c r="AC37" t="n">
        <v>163</v>
      </c>
      <c r="AD37" t="n">
        <v>147</v>
      </c>
      <c r="AE37" t="n">
        <v>134</v>
      </c>
      <c r="AF37" t="n">
        <v>129</v>
      </c>
    </row>
    <row r="38">
      <c r="A38" t="s">
        <v>124</v>
      </c>
      <c r="B38" t="s">
        <v>346</v>
      </c>
      <c r="C38" t="s">
        <v>236</v>
      </c>
      <c r="D38" t="s">
        <v>347</v>
      </c>
      <c r="E38" t="s">
        <v>237</v>
      </c>
      <c r="F38" t="n">
        <v>63</v>
      </c>
      <c r="G38" t="n">
        <v>61</v>
      </c>
      <c r="H38" t="n">
        <v>60</v>
      </c>
      <c r="I38" t="n">
        <v>61</v>
      </c>
      <c r="J38" t="n">
        <v>63</v>
      </c>
      <c r="K38" t="n">
        <v>66</v>
      </c>
      <c r="L38" t="n">
        <v>74</v>
      </c>
      <c r="M38" t="n">
        <v>80</v>
      </c>
      <c r="N38" t="n">
        <v>79</v>
      </c>
      <c r="O38" t="n">
        <v>77</v>
      </c>
      <c r="P38" t="n">
        <v>76</v>
      </c>
      <c r="Q38" t="n">
        <v>78</v>
      </c>
      <c r="R38" t="n">
        <v>62</v>
      </c>
      <c r="S38" t="n">
        <v>62</v>
      </c>
      <c r="T38" t="n">
        <v>48</v>
      </c>
      <c r="U38" t="n">
        <v>50</v>
      </c>
      <c r="V38" t="n">
        <v>43</v>
      </c>
      <c r="W38" t="n">
        <v>48</v>
      </c>
      <c r="X38" t="n">
        <v>47</v>
      </c>
      <c r="Y38" t="n">
        <v>43</v>
      </c>
      <c r="Z38" t="n">
        <v>42</v>
      </c>
      <c r="AA38" t="n">
        <v>41</v>
      </c>
      <c r="AB38" t="n">
        <v>38</v>
      </c>
      <c r="AC38" t="n">
        <v>37</v>
      </c>
      <c r="AD38" t="n">
        <v>32</v>
      </c>
      <c r="AE38" t="n">
        <v>26</v>
      </c>
      <c r="AF38" t="n">
        <v>24</v>
      </c>
    </row>
    <row r="39">
      <c r="A39" t="s">
        <v>124</v>
      </c>
      <c r="B39" t="s">
        <v>348</v>
      </c>
      <c r="C39" t="s">
        <v>236</v>
      </c>
      <c r="D39" t="s">
        <v>349</v>
      </c>
      <c r="E39" t="s">
        <v>237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124</v>
      </c>
      <c r="B40" t="s">
        <v>350</v>
      </c>
      <c r="C40" t="s">
        <v>236</v>
      </c>
      <c r="D40" t="s">
        <v>351</v>
      </c>
      <c r="E40" t="s">
        <v>237</v>
      </c>
      <c r="F40" t="n">
        <v>55</v>
      </c>
      <c r="G40" t="n">
        <v>56</v>
      </c>
      <c r="H40" t="n">
        <v>53</v>
      </c>
      <c r="I40" t="n">
        <v>50</v>
      </c>
      <c r="J40" t="n">
        <v>48</v>
      </c>
      <c r="K40" t="n">
        <v>49</v>
      </c>
      <c r="L40" t="n">
        <v>49</v>
      </c>
      <c r="M40" t="n">
        <v>55</v>
      </c>
      <c r="N40" t="n">
        <v>63</v>
      </c>
      <c r="O40" t="n">
        <v>67</v>
      </c>
      <c r="P40" t="n">
        <v>81</v>
      </c>
      <c r="Q40" t="n">
        <v>95</v>
      </c>
      <c r="R40" t="n">
        <v>105</v>
      </c>
      <c r="S40" t="n">
        <v>127</v>
      </c>
      <c r="T40" t="n">
        <v>149</v>
      </c>
      <c r="U40" t="n">
        <v>162</v>
      </c>
      <c r="V40" t="n">
        <v>161</v>
      </c>
      <c r="W40" t="n">
        <v>171</v>
      </c>
      <c r="X40" t="n">
        <v>187</v>
      </c>
      <c r="Y40" t="n">
        <v>193</v>
      </c>
      <c r="Z40" t="n">
        <v>194</v>
      </c>
      <c r="AA40" t="n">
        <v>202</v>
      </c>
      <c r="AB40" t="n">
        <v>192</v>
      </c>
      <c r="AC40" t="n">
        <v>182</v>
      </c>
      <c r="AD40" t="n">
        <v>170</v>
      </c>
      <c r="AE40" t="n">
        <v>150</v>
      </c>
      <c r="AF40" t="n">
        <v>135</v>
      </c>
    </row>
    <row r="41">
      <c r="A41" t="s">
        <v>124</v>
      </c>
      <c r="B41" t="s">
        <v>352</v>
      </c>
      <c r="C41" t="s">
        <v>236</v>
      </c>
      <c r="D41" t="s">
        <v>353</v>
      </c>
      <c r="E41" t="s">
        <v>237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124</v>
      </c>
      <c r="B42" t="s">
        <v>354</v>
      </c>
      <c r="C42" t="s">
        <v>236</v>
      </c>
      <c r="D42" t="s">
        <v>355</v>
      </c>
      <c r="E42" t="s">
        <v>237</v>
      </c>
      <c r="F42" t="n">
        <v>118</v>
      </c>
      <c r="G42" t="n">
        <v>123</v>
      </c>
      <c r="H42" t="n">
        <v>144</v>
      </c>
      <c r="I42" t="n">
        <v>162</v>
      </c>
      <c r="J42" t="n">
        <v>175</v>
      </c>
      <c r="K42" t="n">
        <v>186</v>
      </c>
      <c r="L42" t="n">
        <v>202</v>
      </c>
      <c r="M42" t="n">
        <v>211</v>
      </c>
      <c r="N42" t="n">
        <v>218</v>
      </c>
      <c r="O42" t="n">
        <v>223</v>
      </c>
      <c r="P42" t="n">
        <v>223</v>
      </c>
      <c r="Q42" t="n">
        <v>222</v>
      </c>
      <c r="R42" t="n">
        <v>234</v>
      </c>
      <c r="S42" t="n">
        <v>247</v>
      </c>
      <c r="T42" t="n">
        <v>218</v>
      </c>
      <c r="U42" t="n">
        <v>210</v>
      </c>
      <c r="V42" t="n">
        <v>215</v>
      </c>
      <c r="W42" t="n">
        <v>200</v>
      </c>
      <c r="X42" t="n">
        <v>186</v>
      </c>
      <c r="Y42" t="n">
        <v>170</v>
      </c>
      <c r="Z42" t="n">
        <v>151</v>
      </c>
      <c r="AA42" t="n">
        <v>138</v>
      </c>
      <c r="AB42" t="n">
        <v>127</v>
      </c>
      <c r="AC42" t="n">
        <v>111</v>
      </c>
      <c r="AD42" t="n">
        <v>103</v>
      </c>
      <c r="AE42" t="n">
        <v>87</v>
      </c>
      <c r="AF42" t="n">
        <v>79</v>
      </c>
    </row>
    <row r="43">
      <c r="A43" t="s">
        <v>124</v>
      </c>
      <c r="B43" t="s">
        <v>356</v>
      </c>
      <c r="C43" t="s">
        <v>236</v>
      </c>
      <c r="D43" t="s">
        <v>357</v>
      </c>
      <c r="E43" t="s">
        <v>237</v>
      </c>
      <c r="F43" t="n">
        <v>269</v>
      </c>
      <c r="G43" t="n">
        <v>273</v>
      </c>
      <c r="H43" t="n">
        <v>312</v>
      </c>
      <c r="I43" t="n">
        <v>355</v>
      </c>
      <c r="J43" t="n">
        <v>378</v>
      </c>
      <c r="K43" t="n">
        <v>407</v>
      </c>
      <c r="L43" t="n">
        <v>516</v>
      </c>
      <c r="M43" t="n">
        <v>662</v>
      </c>
      <c r="N43" t="n">
        <v>799</v>
      </c>
      <c r="O43" t="n">
        <v>825</v>
      </c>
      <c r="P43" t="n">
        <v>847</v>
      </c>
      <c r="Q43" t="n">
        <v>980</v>
      </c>
      <c r="R43" t="n">
        <v>1005</v>
      </c>
      <c r="S43" t="n">
        <v>1000</v>
      </c>
      <c r="T43" t="n">
        <v>913</v>
      </c>
      <c r="U43" t="n">
        <v>881</v>
      </c>
      <c r="V43" t="n">
        <v>883</v>
      </c>
      <c r="W43" t="n">
        <v>884</v>
      </c>
      <c r="X43" t="n">
        <v>883</v>
      </c>
      <c r="Y43" t="n">
        <v>880</v>
      </c>
      <c r="Z43" t="n">
        <v>880</v>
      </c>
      <c r="AA43" t="n">
        <v>885</v>
      </c>
      <c r="AB43" t="n">
        <v>988</v>
      </c>
      <c r="AC43" t="n">
        <v>964</v>
      </c>
      <c r="AD43" t="n">
        <v>956</v>
      </c>
      <c r="AE43" t="n">
        <v>892</v>
      </c>
      <c r="AF43" t="n">
        <v>865</v>
      </c>
    </row>
    <row r="44">
      <c r="A44" t="s">
        <v>124</v>
      </c>
      <c r="B44" t="s">
        <v>358</v>
      </c>
      <c r="C44" t="s">
        <v>236</v>
      </c>
      <c r="D44" t="s">
        <v>359</v>
      </c>
      <c r="E44" t="s">
        <v>237</v>
      </c>
      <c r="F44" t="n">
        <v>11100</v>
      </c>
      <c r="G44" t="n">
        <v>10317</v>
      </c>
      <c r="H44" t="n">
        <v>10446</v>
      </c>
      <c r="I44" t="n">
        <v>10953</v>
      </c>
      <c r="J44" t="n">
        <v>11239</v>
      </c>
      <c r="K44" t="n">
        <v>11402</v>
      </c>
      <c r="L44" t="n">
        <v>12370</v>
      </c>
      <c r="M44" t="n">
        <v>12746</v>
      </c>
      <c r="N44" t="n">
        <v>12660</v>
      </c>
      <c r="O44" t="n">
        <v>12913</v>
      </c>
      <c r="P44" t="n">
        <v>13095</v>
      </c>
      <c r="Q44" t="n">
        <v>13421</v>
      </c>
      <c r="R44" t="n">
        <v>13839</v>
      </c>
      <c r="S44" t="n">
        <v>13921</v>
      </c>
      <c r="T44" t="n">
        <v>13760</v>
      </c>
      <c r="U44" t="n">
        <v>13694</v>
      </c>
      <c r="V44" t="n">
        <v>13636</v>
      </c>
      <c r="W44" t="n">
        <v>13723</v>
      </c>
      <c r="X44" t="n">
        <v>13970</v>
      </c>
      <c r="Y44" t="n">
        <v>13451</v>
      </c>
      <c r="Z44" t="n">
        <v>13394</v>
      </c>
      <c r="AA44" t="n">
        <v>13823</v>
      </c>
      <c r="AB44" t="n">
        <v>13882</v>
      </c>
      <c r="AC44" t="n">
        <v>13317</v>
      </c>
      <c r="AD44" t="n">
        <v>13479</v>
      </c>
      <c r="AE44" t="n">
        <v>12995</v>
      </c>
      <c r="AF44" t="n">
        <v>12520</v>
      </c>
    </row>
    <row r="45">
      <c r="A45" t="s">
        <v>124</v>
      </c>
      <c r="B45" t="s">
        <v>360</v>
      </c>
      <c r="C45" t="s">
        <v>236</v>
      </c>
      <c r="D45" t="s">
        <v>361</v>
      </c>
      <c r="E45" t="s">
        <v>237</v>
      </c>
      <c r="F45" t="n">
        <v>9060</v>
      </c>
      <c r="G45" t="n">
        <v>8625</v>
      </c>
      <c r="H45" t="n">
        <v>8786</v>
      </c>
      <c r="I45" t="n">
        <v>9325</v>
      </c>
      <c r="J45" t="n">
        <v>9595</v>
      </c>
      <c r="K45" t="n">
        <v>9679</v>
      </c>
      <c r="L45" t="n">
        <v>10565</v>
      </c>
      <c r="M45" t="n">
        <v>10862</v>
      </c>
      <c r="N45" t="n">
        <v>10706</v>
      </c>
      <c r="O45" t="n">
        <v>10912</v>
      </c>
      <c r="P45" t="n">
        <v>11060</v>
      </c>
      <c r="Q45" t="n">
        <v>11380</v>
      </c>
      <c r="R45" t="n">
        <v>11659</v>
      </c>
      <c r="S45" t="n">
        <v>11713</v>
      </c>
      <c r="T45" t="n">
        <v>11565</v>
      </c>
      <c r="U45" t="n">
        <v>11498</v>
      </c>
      <c r="V45" t="n">
        <v>11423</v>
      </c>
      <c r="W45" t="n">
        <v>11492</v>
      </c>
      <c r="X45" t="n">
        <v>11624</v>
      </c>
      <c r="Y45" t="n">
        <v>11107</v>
      </c>
      <c r="Z45" t="n">
        <v>11076</v>
      </c>
      <c r="AA45" t="n">
        <v>11518</v>
      </c>
      <c r="AB45" t="n">
        <v>11631</v>
      </c>
      <c r="AC45" t="n">
        <v>11137</v>
      </c>
      <c r="AD45" t="n">
        <v>11315</v>
      </c>
      <c r="AE45" t="n">
        <v>10875</v>
      </c>
      <c r="AF45" t="n">
        <v>10398</v>
      </c>
    </row>
    <row r="46">
      <c r="A46" t="s">
        <v>124</v>
      </c>
      <c r="B46" t="s">
        <v>362</v>
      </c>
      <c r="C46" t="s">
        <v>236</v>
      </c>
      <c r="D46" t="s">
        <v>363</v>
      </c>
      <c r="E46" t="s">
        <v>237</v>
      </c>
      <c r="F46" t="n">
        <v>151</v>
      </c>
      <c r="G46" t="n">
        <v>150</v>
      </c>
      <c r="H46" t="n">
        <v>168</v>
      </c>
      <c r="I46" t="n">
        <v>193</v>
      </c>
      <c r="J46" t="n">
        <v>203</v>
      </c>
      <c r="K46" t="n">
        <v>221</v>
      </c>
      <c r="L46" t="n">
        <v>314</v>
      </c>
      <c r="M46" t="n">
        <v>451</v>
      </c>
      <c r="N46" t="n">
        <v>581</v>
      </c>
      <c r="O46" t="n">
        <v>602</v>
      </c>
      <c r="P46" t="n">
        <v>624</v>
      </c>
      <c r="Q46" t="n">
        <v>758</v>
      </c>
      <c r="R46" t="n">
        <v>771</v>
      </c>
      <c r="S46" t="n">
        <v>753</v>
      </c>
      <c r="T46" t="n">
        <v>695</v>
      </c>
      <c r="U46" t="n">
        <v>671</v>
      </c>
      <c r="V46" t="n">
        <v>668</v>
      </c>
      <c r="W46" t="n">
        <v>684</v>
      </c>
      <c r="X46" t="n">
        <v>697</v>
      </c>
      <c r="Y46" t="n">
        <v>710</v>
      </c>
      <c r="Z46" t="n">
        <v>729</v>
      </c>
      <c r="AA46" t="n">
        <v>747</v>
      </c>
      <c r="AB46" t="n">
        <v>861</v>
      </c>
      <c r="AC46" t="n">
        <v>853</v>
      </c>
      <c r="AD46" t="n">
        <v>853</v>
      </c>
      <c r="AE46" t="n">
        <v>805</v>
      </c>
      <c r="AF46" t="n">
        <v>786</v>
      </c>
    </row>
    <row r="47">
      <c r="A47" t="s">
        <v>124</v>
      </c>
      <c r="B47" t="s">
        <v>364</v>
      </c>
      <c r="C47" t="s">
        <v>236</v>
      </c>
      <c r="D47" t="s">
        <v>365</v>
      </c>
      <c r="E47" t="s">
        <v>237</v>
      </c>
      <c r="F47" t="n">
        <v>140</v>
      </c>
      <c r="G47" t="n">
        <v>155</v>
      </c>
      <c r="H47" t="n">
        <v>160</v>
      </c>
      <c r="I47" t="n">
        <v>173</v>
      </c>
      <c r="J47" t="n">
        <v>190</v>
      </c>
      <c r="K47" t="n">
        <v>215</v>
      </c>
      <c r="L47" t="n">
        <v>233</v>
      </c>
      <c r="M47" t="n">
        <v>264</v>
      </c>
      <c r="N47" t="n">
        <v>279</v>
      </c>
      <c r="O47" t="n">
        <v>288</v>
      </c>
      <c r="P47" t="n">
        <v>309</v>
      </c>
      <c r="Q47" t="n">
        <v>313</v>
      </c>
      <c r="R47" t="n">
        <v>303</v>
      </c>
      <c r="S47" t="n">
        <v>305</v>
      </c>
      <c r="T47" t="n">
        <v>301</v>
      </c>
      <c r="U47" t="n">
        <v>339</v>
      </c>
      <c r="V47" t="n">
        <v>367</v>
      </c>
      <c r="W47" t="n">
        <v>396</v>
      </c>
      <c r="X47" t="n">
        <v>442</v>
      </c>
      <c r="Y47" t="n">
        <v>449</v>
      </c>
      <c r="Z47" t="n">
        <v>466</v>
      </c>
      <c r="AA47" t="n">
        <v>493</v>
      </c>
      <c r="AB47" t="n">
        <v>487</v>
      </c>
      <c r="AC47" t="n">
        <v>470</v>
      </c>
      <c r="AD47" t="n">
        <v>470</v>
      </c>
      <c r="AE47" t="n">
        <v>486</v>
      </c>
      <c r="AF47" t="n">
        <v>524</v>
      </c>
    </row>
    <row r="48">
      <c r="A48" t="s">
        <v>124</v>
      </c>
      <c r="B48" t="s">
        <v>366</v>
      </c>
      <c r="C48" t="s">
        <v>236</v>
      </c>
      <c r="D48" t="s">
        <v>367</v>
      </c>
      <c r="E48" t="s">
        <v>237</v>
      </c>
      <c r="F48" t="n">
        <v>239</v>
      </c>
      <c r="G48" t="n">
        <v>254</v>
      </c>
      <c r="H48" t="n">
        <v>259</v>
      </c>
      <c r="I48" t="n">
        <v>280</v>
      </c>
      <c r="J48" t="n">
        <v>300</v>
      </c>
      <c r="K48" t="n">
        <v>330</v>
      </c>
      <c r="L48" t="n">
        <v>358</v>
      </c>
      <c r="M48" t="n">
        <v>399</v>
      </c>
      <c r="N48" t="n">
        <v>426</v>
      </c>
      <c r="O48" t="n">
        <v>450</v>
      </c>
      <c r="P48" t="n">
        <v>486</v>
      </c>
      <c r="Q48" t="n">
        <v>502</v>
      </c>
      <c r="R48" t="n">
        <v>518</v>
      </c>
      <c r="S48" t="n">
        <v>534</v>
      </c>
      <c r="T48" t="n">
        <v>536</v>
      </c>
      <c r="U48" t="n">
        <v>582</v>
      </c>
      <c r="V48" t="n">
        <v>621</v>
      </c>
      <c r="W48" t="n">
        <v>650</v>
      </c>
      <c r="X48" t="n">
        <v>700</v>
      </c>
      <c r="Y48" t="n">
        <v>698</v>
      </c>
      <c r="Z48" t="n">
        <v>709</v>
      </c>
      <c r="AA48" t="n">
        <v>729</v>
      </c>
      <c r="AB48" t="n">
        <v>703</v>
      </c>
      <c r="AC48" t="n">
        <v>667</v>
      </c>
      <c r="AD48" t="n">
        <v>654</v>
      </c>
      <c r="AE48" t="n">
        <v>649</v>
      </c>
      <c r="AF48" t="n">
        <v>684</v>
      </c>
    </row>
    <row r="49">
      <c r="A49" t="s">
        <v>124</v>
      </c>
      <c r="B49" t="s">
        <v>368</v>
      </c>
      <c r="C49" t="s">
        <v>236</v>
      </c>
      <c r="D49" t="s">
        <v>369</v>
      </c>
      <c r="E49" t="s">
        <v>237</v>
      </c>
      <c r="F49" t="n">
        <v>83</v>
      </c>
      <c r="G49" t="n">
        <v>79</v>
      </c>
      <c r="H49" t="n">
        <v>78</v>
      </c>
      <c r="I49" t="n">
        <v>80</v>
      </c>
      <c r="J49" t="n">
        <v>80</v>
      </c>
      <c r="K49" t="n">
        <v>83</v>
      </c>
      <c r="L49" t="n">
        <v>87</v>
      </c>
      <c r="M49" t="n">
        <v>93</v>
      </c>
      <c r="N49" t="n">
        <v>93</v>
      </c>
      <c r="O49" t="n">
        <v>93</v>
      </c>
      <c r="P49" t="n">
        <v>94</v>
      </c>
      <c r="Q49" t="n">
        <v>94</v>
      </c>
      <c r="R49" t="n">
        <v>98</v>
      </c>
      <c r="S49" t="n">
        <v>102</v>
      </c>
      <c r="T49" t="n">
        <v>103</v>
      </c>
      <c r="U49" t="n">
        <v>100</v>
      </c>
      <c r="V49" t="n">
        <v>101</v>
      </c>
      <c r="W49" t="n">
        <v>99</v>
      </c>
      <c r="X49" t="n">
        <v>98</v>
      </c>
      <c r="Y49" t="n">
        <v>96</v>
      </c>
      <c r="Z49" t="n">
        <v>94</v>
      </c>
      <c r="AA49" t="n">
        <v>91</v>
      </c>
      <c r="AB49" t="n">
        <v>84</v>
      </c>
      <c r="AC49" t="n">
        <v>76</v>
      </c>
      <c r="AD49" t="n">
        <v>71</v>
      </c>
      <c r="AE49" t="n">
        <v>65</v>
      </c>
      <c r="AF49" t="n">
        <v>70</v>
      </c>
    </row>
    <row r="50">
      <c r="A50" t="s">
        <v>124</v>
      </c>
      <c r="B50" t="s">
        <v>370</v>
      </c>
      <c r="C50" t="s">
        <v>236</v>
      </c>
      <c r="D50" t="s">
        <v>371</v>
      </c>
      <c r="E50" t="s">
        <v>237</v>
      </c>
      <c r="F50" t="n">
        <v>16</v>
      </c>
      <c r="G50" t="n">
        <v>20</v>
      </c>
      <c r="H50" t="n">
        <v>21</v>
      </c>
      <c r="I50" t="n">
        <v>27</v>
      </c>
      <c r="J50" t="n">
        <v>30</v>
      </c>
      <c r="K50" t="n">
        <v>32</v>
      </c>
      <c r="L50" t="n">
        <v>38</v>
      </c>
      <c r="M50" t="n">
        <v>42</v>
      </c>
      <c r="N50" t="n">
        <v>54</v>
      </c>
      <c r="O50" t="n">
        <v>69</v>
      </c>
      <c r="P50" t="n">
        <v>83</v>
      </c>
      <c r="Q50" t="n">
        <v>95</v>
      </c>
      <c r="R50" t="n">
        <v>117</v>
      </c>
      <c r="S50" t="n">
        <v>127</v>
      </c>
      <c r="T50" t="n">
        <v>132</v>
      </c>
      <c r="U50" t="n">
        <v>143</v>
      </c>
      <c r="V50" t="n">
        <v>153</v>
      </c>
      <c r="W50" t="n">
        <v>155</v>
      </c>
      <c r="X50" t="n">
        <v>160</v>
      </c>
      <c r="Y50" t="n">
        <v>153</v>
      </c>
      <c r="Z50" t="n">
        <v>149</v>
      </c>
      <c r="AA50" t="n">
        <v>145</v>
      </c>
      <c r="AB50" t="n">
        <v>132</v>
      </c>
      <c r="AC50" t="n">
        <v>121</v>
      </c>
      <c r="AD50" t="n">
        <v>113</v>
      </c>
      <c r="AE50" t="n">
        <v>98</v>
      </c>
      <c r="AF50" t="n">
        <v>90</v>
      </c>
    </row>
    <row r="51">
      <c r="A51" t="s">
        <v>124</v>
      </c>
      <c r="B51" t="s">
        <v>372</v>
      </c>
      <c r="C51" t="s">
        <v>236</v>
      </c>
      <c r="D51" t="s">
        <v>373</v>
      </c>
      <c r="E51" t="s">
        <v>237</v>
      </c>
      <c r="F51" t="n">
        <v>15</v>
      </c>
      <c r="G51" t="n">
        <v>17</v>
      </c>
      <c r="H51" t="n">
        <v>18</v>
      </c>
      <c r="I51" t="n">
        <v>21</v>
      </c>
      <c r="J51" t="n">
        <v>23</v>
      </c>
      <c r="K51" t="n">
        <v>24</v>
      </c>
      <c r="L51" t="n">
        <v>27</v>
      </c>
      <c r="M51" t="n">
        <v>29</v>
      </c>
      <c r="N51" t="n">
        <v>36</v>
      </c>
      <c r="O51" t="n">
        <v>45</v>
      </c>
      <c r="P51" t="n">
        <v>54</v>
      </c>
      <c r="Q51" t="n">
        <v>60</v>
      </c>
      <c r="R51" t="n">
        <v>73</v>
      </c>
      <c r="S51" t="n">
        <v>79</v>
      </c>
      <c r="T51" t="n">
        <v>84</v>
      </c>
      <c r="U51" t="n">
        <v>92</v>
      </c>
      <c r="V51" t="n">
        <v>99</v>
      </c>
      <c r="W51" t="n">
        <v>100</v>
      </c>
      <c r="X51" t="n">
        <v>104</v>
      </c>
      <c r="Y51" t="n">
        <v>99</v>
      </c>
      <c r="Z51" t="n">
        <v>97</v>
      </c>
      <c r="AA51" t="n">
        <v>94</v>
      </c>
      <c r="AB51" t="n">
        <v>88</v>
      </c>
      <c r="AC51" t="n">
        <v>80</v>
      </c>
      <c r="AD51" t="n">
        <v>72</v>
      </c>
      <c r="AE51" t="n">
        <v>62</v>
      </c>
      <c r="AF51" t="n">
        <v>57</v>
      </c>
    </row>
    <row r="52">
      <c r="A52" t="s">
        <v>124</v>
      </c>
      <c r="B52" t="s">
        <v>374</v>
      </c>
      <c r="C52" t="s">
        <v>236</v>
      </c>
      <c r="D52" t="s">
        <v>375</v>
      </c>
      <c r="E52" t="s">
        <v>237</v>
      </c>
      <c r="F52" t="n">
        <v>1</v>
      </c>
      <c r="G52" t="n">
        <v>3</v>
      </c>
      <c r="H52" t="n">
        <v>3</v>
      </c>
      <c r="I52" t="n">
        <v>6</v>
      </c>
      <c r="J52" t="n">
        <v>7</v>
      </c>
      <c r="K52" t="n">
        <v>8</v>
      </c>
      <c r="L52" t="n">
        <v>11</v>
      </c>
      <c r="M52" t="n">
        <v>13</v>
      </c>
      <c r="N52" t="n">
        <v>18</v>
      </c>
      <c r="O52" t="n">
        <v>24</v>
      </c>
      <c r="P52" t="n">
        <v>29</v>
      </c>
      <c r="Q52" t="n">
        <v>35</v>
      </c>
      <c r="R52" t="n">
        <v>44</v>
      </c>
      <c r="S52" t="n">
        <v>48</v>
      </c>
      <c r="T52" t="n">
        <v>48</v>
      </c>
      <c r="U52" t="n">
        <v>51</v>
      </c>
      <c r="V52" t="n">
        <v>54</v>
      </c>
      <c r="W52" t="n">
        <v>55</v>
      </c>
      <c r="X52" t="n">
        <v>56</v>
      </c>
      <c r="Y52" t="n">
        <v>54</v>
      </c>
      <c r="Z52" t="n">
        <v>52</v>
      </c>
      <c r="AA52" t="n">
        <v>51</v>
      </c>
      <c r="AB52" t="n">
        <v>44</v>
      </c>
      <c r="AC52" t="n">
        <v>41</v>
      </c>
      <c r="AD52" t="n">
        <v>41</v>
      </c>
      <c r="AE52" t="n">
        <v>36</v>
      </c>
      <c r="AF52" t="n">
        <v>33</v>
      </c>
    </row>
    <row r="53">
      <c r="A53" t="s">
        <v>124</v>
      </c>
      <c r="B53" t="s">
        <v>376</v>
      </c>
      <c r="C53" t="s">
        <v>236</v>
      </c>
      <c r="D53" t="s">
        <v>377</v>
      </c>
      <c r="E53" t="s">
        <v>237</v>
      </c>
      <c r="F53" t="n">
        <v>28</v>
      </c>
      <c r="G53" t="n">
        <v>30</v>
      </c>
      <c r="H53" t="n">
        <v>33</v>
      </c>
      <c r="I53" t="n">
        <v>37</v>
      </c>
      <c r="J53" t="n">
        <v>41</v>
      </c>
      <c r="K53" t="n">
        <v>44</v>
      </c>
      <c r="L53" t="n">
        <v>48</v>
      </c>
      <c r="M53" t="n">
        <v>51</v>
      </c>
      <c r="N53" t="n">
        <v>61</v>
      </c>
      <c r="O53" t="n">
        <v>70</v>
      </c>
      <c r="P53" t="n">
        <v>82</v>
      </c>
      <c r="Q53" t="n">
        <v>91</v>
      </c>
      <c r="R53" t="n">
        <v>108</v>
      </c>
      <c r="S53" t="n">
        <v>109</v>
      </c>
      <c r="T53" t="n">
        <v>113</v>
      </c>
      <c r="U53" t="n">
        <v>107</v>
      </c>
      <c r="V53" t="n">
        <v>110</v>
      </c>
      <c r="W53" t="n">
        <v>110</v>
      </c>
      <c r="X53" t="n">
        <v>114</v>
      </c>
      <c r="Y53" t="n">
        <v>109</v>
      </c>
      <c r="Z53" t="n">
        <v>101</v>
      </c>
      <c r="AA53" t="n">
        <v>100</v>
      </c>
      <c r="AB53" t="n">
        <v>94</v>
      </c>
      <c r="AC53" t="n">
        <v>85</v>
      </c>
      <c r="AD53" t="n">
        <v>75</v>
      </c>
      <c r="AE53" t="n">
        <v>66</v>
      </c>
      <c r="AF53" t="n">
        <v>60</v>
      </c>
    </row>
    <row r="54">
      <c r="A54" t="s">
        <v>124</v>
      </c>
      <c r="B54" t="s">
        <v>378</v>
      </c>
      <c r="C54" t="s">
        <v>236</v>
      </c>
      <c r="D54" t="s">
        <v>379</v>
      </c>
      <c r="E54" t="s">
        <v>237</v>
      </c>
      <c r="F54" t="n">
        <v>69</v>
      </c>
      <c r="G54" t="n">
        <v>70</v>
      </c>
      <c r="H54" t="n">
        <v>74</v>
      </c>
      <c r="I54" t="n">
        <v>81</v>
      </c>
      <c r="J54" t="n">
        <v>88</v>
      </c>
      <c r="K54" t="n">
        <v>91</v>
      </c>
      <c r="L54" t="n">
        <v>100</v>
      </c>
      <c r="M54" t="n">
        <v>110</v>
      </c>
      <c r="N54" t="n">
        <v>121</v>
      </c>
      <c r="O54" t="n">
        <v>134</v>
      </c>
      <c r="P54" t="n">
        <v>151</v>
      </c>
      <c r="Q54" t="n">
        <v>162</v>
      </c>
      <c r="R54" t="n">
        <v>180</v>
      </c>
      <c r="S54" t="n">
        <v>182</v>
      </c>
      <c r="T54" t="n">
        <v>186</v>
      </c>
      <c r="U54" t="n">
        <v>182</v>
      </c>
      <c r="V54" t="n">
        <v>182</v>
      </c>
      <c r="W54" t="n">
        <v>178</v>
      </c>
      <c r="X54" t="n">
        <v>176</v>
      </c>
      <c r="Y54" t="n">
        <v>162</v>
      </c>
      <c r="Z54" t="n">
        <v>151</v>
      </c>
      <c r="AA54" t="n">
        <v>145</v>
      </c>
      <c r="AB54" t="n">
        <v>133</v>
      </c>
      <c r="AC54" t="n">
        <v>120</v>
      </c>
      <c r="AD54" t="n">
        <v>100</v>
      </c>
      <c r="AE54" t="n">
        <v>86</v>
      </c>
      <c r="AF54" t="n">
        <v>78</v>
      </c>
    </row>
    <row r="55">
      <c r="A55" t="s">
        <v>124</v>
      </c>
      <c r="B55" t="s">
        <v>380</v>
      </c>
      <c r="C55" t="s">
        <v>236</v>
      </c>
      <c r="D55" t="s">
        <v>381</v>
      </c>
      <c r="E55" t="s">
        <v>237</v>
      </c>
      <c r="F55" t="n">
        <v>41</v>
      </c>
      <c r="G55" t="n">
        <v>40</v>
      </c>
      <c r="H55" t="n">
        <v>41</v>
      </c>
      <c r="I55" t="n">
        <v>44</v>
      </c>
      <c r="J55" t="n">
        <v>47</v>
      </c>
      <c r="K55" t="n">
        <v>47</v>
      </c>
      <c r="L55" t="n">
        <v>52</v>
      </c>
      <c r="M55" t="n">
        <v>59</v>
      </c>
      <c r="N55" t="n">
        <v>60</v>
      </c>
      <c r="O55" t="n">
        <v>64</v>
      </c>
      <c r="P55" t="n">
        <v>69</v>
      </c>
      <c r="Q55" t="n">
        <v>71</v>
      </c>
      <c r="R55" t="n">
        <v>72</v>
      </c>
      <c r="S55" t="n">
        <v>73</v>
      </c>
      <c r="T55" t="n">
        <v>73</v>
      </c>
      <c r="U55" t="n">
        <v>75</v>
      </c>
      <c r="V55" t="n">
        <v>72</v>
      </c>
      <c r="W55" t="n">
        <v>68</v>
      </c>
      <c r="X55" t="n">
        <v>62</v>
      </c>
      <c r="Y55" t="n">
        <v>53</v>
      </c>
      <c r="Z55" t="n">
        <v>50</v>
      </c>
      <c r="AA55" t="n">
        <v>45</v>
      </c>
      <c r="AB55" t="n">
        <v>39</v>
      </c>
      <c r="AC55" t="n">
        <v>35</v>
      </c>
      <c r="AD55" t="n">
        <v>25</v>
      </c>
      <c r="AE55" t="n">
        <v>20</v>
      </c>
      <c r="AF55" t="n">
        <v>18</v>
      </c>
    </row>
    <row r="56">
      <c r="A56" t="s">
        <v>124</v>
      </c>
      <c r="B56" t="s">
        <v>382</v>
      </c>
      <c r="C56" t="s">
        <v>236</v>
      </c>
      <c r="D56" t="s">
        <v>383</v>
      </c>
      <c r="E56" t="s">
        <v>237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124</v>
      </c>
      <c r="B57" t="s">
        <v>384</v>
      </c>
      <c r="C57" t="s">
        <v>236</v>
      </c>
      <c r="D57" t="s">
        <v>385</v>
      </c>
      <c r="E57" t="s">
        <v>237</v>
      </c>
      <c r="F57" t="n">
        <v>11394</v>
      </c>
      <c r="G57" t="n">
        <v>10627</v>
      </c>
      <c r="H57" t="n">
        <v>10758</v>
      </c>
      <c r="I57" t="n">
        <v>11283</v>
      </c>
      <c r="J57" t="n">
        <v>11587</v>
      </c>
      <c r="K57" t="n">
        <v>11781</v>
      </c>
      <c r="L57" t="n">
        <v>12777</v>
      </c>
      <c r="M57" t="n">
        <v>13200</v>
      </c>
      <c r="N57" t="n">
        <v>13149</v>
      </c>
      <c r="O57" t="n">
        <v>13430</v>
      </c>
      <c r="P57" t="n">
        <v>13662</v>
      </c>
      <c r="Q57" t="n">
        <v>14018</v>
      </c>
      <c r="R57" t="n">
        <v>14462</v>
      </c>
      <c r="S57" t="n">
        <v>14582</v>
      </c>
      <c r="T57" t="n">
        <v>14445</v>
      </c>
      <c r="U57" t="n">
        <v>14438</v>
      </c>
      <c r="V57" t="n">
        <v>14418</v>
      </c>
      <c r="W57" t="n">
        <v>14544</v>
      </c>
      <c r="X57" t="n">
        <v>14857</v>
      </c>
      <c r="Y57" t="n">
        <v>14342</v>
      </c>
      <c r="Z57" t="n">
        <v>14297</v>
      </c>
      <c r="AA57" t="n">
        <v>14754</v>
      </c>
      <c r="AB57" t="n">
        <v>14777</v>
      </c>
      <c r="AC57" t="n">
        <v>14166</v>
      </c>
      <c r="AD57" t="n">
        <v>14303</v>
      </c>
      <c r="AE57" t="n">
        <v>13794</v>
      </c>
      <c r="AF57" t="n">
        <v>13339</v>
      </c>
    </row>
    <row r="58">
      <c r="A58" t="s">
        <v>124</v>
      </c>
      <c r="B58" t="s">
        <v>386</v>
      </c>
      <c r="C58" t="s">
        <v>236</v>
      </c>
      <c r="D58" t="s">
        <v>387</v>
      </c>
      <c r="E58" t="s">
        <v>237</v>
      </c>
      <c r="F58" t="n">
        <v>11394</v>
      </c>
      <c r="G58" t="n">
        <v>10627</v>
      </c>
      <c r="H58" t="n">
        <v>10758</v>
      </c>
      <c r="I58" t="n">
        <v>11283</v>
      </c>
      <c r="J58" t="n">
        <v>11587</v>
      </c>
      <c r="K58" t="n">
        <v>11781</v>
      </c>
      <c r="L58" t="n">
        <v>12777</v>
      </c>
      <c r="M58" t="n">
        <v>13200</v>
      </c>
      <c r="N58" t="n">
        <v>13149</v>
      </c>
      <c r="O58" t="n">
        <v>13430</v>
      </c>
      <c r="P58" t="n">
        <v>13662</v>
      </c>
      <c r="Q58" t="n">
        <v>14018</v>
      </c>
      <c r="R58" t="n">
        <v>14462</v>
      </c>
      <c r="S58" t="n">
        <v>14582</v>
      </c>
      <c r="T58" t="n">
        <v>14445</v>
      </c>
      <c r="U58" t="n">
        <v>14438</v>
      </c>
      <c r="V58" t="n">
        <v>14418</v>
      </c>
      <c r="W58" t="n">
        <v>14544</v>
      </c>
      <c r="X58" t="n">
        <v>14857</v>
      </c>
      <c r="Y58" t="n">
        <v>14342</v>
      </c>
      <c r="Z58" t="n">
        <v>14297</v>
      </c>
      <c r="AA58" t="n">
        <v>14754</v>
      </c>
      <c r="AB58" t="n">
        <v>14777</v>
      </c>
      <c r="AC58" t="n">
        <v>14166</v>
      </c>
      <c r="AD58" t="n">
        <v>14303</v>
      </c>
      <c r="AE58" t="n">
        <v>13794</v>
      </c>
      <c r="AF58" t="n">
        <v>13339</v>
      </c>
    </row>
    <row r="59">
      <c r="A59" t="s">
        <v>124</v>
      </c>
      <c r="B59" t="s">
        <v>388</v>
      </c>
      <c r="C59" t="s">
        <v>236</v>
      </c>
      <c r="D59" t="s">
        <v>389</v>
      </c>
      <c r="E59" t="s">
        <v>237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126</v>
      </c>
      <c r="B2" t="s">
        <v>197</v>
      </c>
      <c r="C2" t="s">
        <v>236</v>
      </c>
      <c r="D2" t="s">
        <v>199</v>
      </c>
      <c r="E2" t="s">
        <v>237</v>
      </c>
      <c r="F2" t="n">
        <v>1582</v>
      </c>
      <c r="G2" t="n">
        <v>1146</v>
      </c>
      <c r="H2" t="n">
        <v>1136</v>
      </c>
      <c r="I2" t="n">
        <v>1139</v>
      </c>
      <c r="J2" t="n">
        <v>1142</v>
      </c>
      <c r="K2" t="n">
        <v>1115</v>
      </c>
      <c r="L2" t="n">
        <v>1132</v>
      </c>
      <c r="M2" t="n">
        <v>1229</v>
      </c>
      <c r="N2" t="n">
        <v>1311</v>
      </c>
      <c r="O2" t="n">
        <v>1370</v>
      </c>
      <c r="P2" t="n">
        <v>1399</v>
      </c>
      <c r="Q2" t="n">
        <v>1484</v>
      </c>
      <c r="R2" t="n">
        <v>1579</v>
      </c>
      <c r="S2" t="n">
        <v>1613</v>
      </c>
      <c r="T2" t="n">
        <v>1702</v>
      </c>
      <c r="U2" t="n">
        <v>1730</v>
      </c>
      <c r="V2" t="n">
        <v>1777</v>
      </c>
      <c r="W2" t="n">
        <v>1835</v>
      </c>
      <c r="X2" t="n">
        <v>1888</v>
      </c>
      <c r="Y2" t="n">
        <v>1924</v>
      </c>
      <c r="Z2" t="n">
        <v>1911</v>
      </c>
      <c r="AA2" t="n">
        <v>1866</v>
      </c>
      <c r="AB2" t="n">
        <v>1835</v>
      </c>
      <c r="AC2" t="n">
        <v>1908</v>
      </c>
      <c r="AD2" t="n">
        <v>1951</v>
      </c>
      <c r="AE2" t="n">
        <v>1916</v>
      </c>
      <c r="AF2" t="n">
        <v>1868</v>
      </c>
    </row>
    <row r="3">
      <c r="A3" t="s">
        <v>126</v>
      </c>
      <c r="B3" t="s">
        <v>276</v>
      </c>
      <c r="C3" t="s">
        <v>236</v>
      </c>
      <c r="D3" t="s">
        <v>277</v>
      </c>
      <c r="E3" t="s">
        <v>237</v>
      </c>
      <c r="F3" t="n">
        <v>407</v>
      </c>
      <c r="G3" t="n">
        <v>381</v>
      </c>
      <c r="H3" t="n">
        <v>374</v>
      </c>
      <c r="I3" t="n">
        <v>387</v>
      </c>
      <c r="J3" t="n">
        <v>395</v>
      </c>
      <c r="K3" t="n">
        <v>387</v>
      </c>
      <c r="L3" t="n">
        <v>409</v>
      </c>
      <c r="M3" t="n">
        <v>422</v>
      </c>
      <c r="N3" t="n">
        <v>464</v>
      </c>
      <c r="O3" t="n">
        <v>470</v>
      </c>
      <c r="P3" t="n">
        <v>481</v>
      </c>
      <c r="Q3" t="n">
        <v>512</v>
      </c>
      <c r="R3" t="n">
        <v>531</v>
      </c>
      <c r="S3" t="n">
        <v>830</v>
      </c>
      <c r="T3" t="n">
        <v>918</v>
      </c>
      <c r="U3" t="n">
        <v>946</v>
      </c>
      <c r="V3" t="n">
        <v>1034</v>
      </c>
      <c r="W3" t="n">
        <v>1119</v>
      </c>
      <c r="X3" t="n">
        <v>1186</v>
      </c>
      <c r="Y3" t="n">
        <v>1224</v>
      </c>
      <c r="Z3" t="n">
        <v>1246</v>
      </c>
      <c r="AA3" t="n">
        <v>1247</v>
      </c>
      <c r="AB3" t="n">
        <v>1246</v>
      </c>
      <c r="AC3" t="n">
        <v>1255</v>
      </c>
      <c r="AD3" t="n">
        <v>1277</v>
      </c>
      <c r="AE3" t="n">
        <v>1409</v>
      </c>
      <c r="AF3" t="n">
        <v>1567</v>
      </c>
    </row>
    <row r="4">
      <c r="A4" t="s">
        <v>126</v>
      </c>
      <c r="B4" t="s">
        <v>278</v>
      </c>
      <c r="C4" t="s">
        <v>236</v>
      </c>
      <c r="D4" t="s">
        <v>279</v>
      </c>
      <c r="E4" t="s">
        <v>237</v>
      </c>
      <c r="F4" t="n">
        <v>23086</v>
      </c>
      <c r="G4" t="n">
        <v>22348</v>
      </c>
      <c r="H4" t="n">
        <v>23203</v>
      </c>
      <c r="I4" t="n">
        <v>24212</v>
      </c>
      <c r="J4" t="n">
        <v>24344</v>
      </c>
      <c r="K4" t="n">
        <v>24337</v>
      </c>
      <c r="L4" t="n">
        <v>25343</v>
      </c>
      <c r="M4" t="n">
        <v>25333</v>
      </c>
      <c r="N4" t="n">
        <v>25116</v>
      </c>
      <c r="O4" t="n">
        <v>24717</v>
      </c>
      <c r="P4" t="n">
        <v>24579</v>
      </c>
      <c r="Q4" t="n">
        <v>24369</v>
      </c>
      <c r="R4" t="n">
        <v>24477</v>
      </c>
      <c r="S4" t="n">
        <v>24713</v>
      </c>
      <c r="T4" t="n">
        <v>24651</v>
      </c>
      <c r="U4" t="n">
        <v>23853</v>
      </c>
      <c r="V4" t="n">
        <v>23002</v>
      </c>
      <c r="W4" t="n">
        <v>22930</v>
      </c>
      <c r="X4" t="n">
        <v>22627</v>
      </c>
      <c r="Y4" t="n">
        <v>22151</v>
      </c>
      <c r="Z4" t="n">
        <v>21871</v>
      </c>
      <c r="AA4" t="n">
        <v>22066</v>
      </c>
      <c r="AB4" t="n">
        <v>22754</v>
      </c>
      <c r="AC4" t="n">
        <v>22862</v>
      </c>
      <c r="AD4" t="n">
        <v>22990</v>
      </c>
      <c r="AE4" t="n">
        <v>22903</v>
      </c>
      <c r="AF4" t="n">
        <v>23170</v>
      </c>
    </row>
    <row r="5">
      <c r="A5" t="s">
        <v>126</v>
      </c>
      <c r="B5" t="s">
        <v>280</v>
      </c>
      <c r="C5" t="s">
        <v>236</v>
      </c>
      <c r="D5" t="s">
        <v>281</v>
      </c>
      <c r="E5" t="s">
        <v>237</v>
      </c>
      <c r="F5" t="n">
        <v>2204</v>
      </c>
      <c r="G5" t="n">
        <v>2040</v>
      </c>
      <c r="H5" t="n">
        <v>2061</v>
      </c>
      <c r="I5" t="n">
        <v>2122</v>
      </c>
      <c r="J5" t="n">
        <v>2122</v>
      </c>
      <c r="K5" t="n">
        <v>2088</v>
      </c>
      <c r="L5" t="n">
        <v>2125</v>
      </c>
      <c r="M5" t="n">
        <v>2165</v>
      </c>
      <c r="N5" t="n">
        <v>2198</v>
      </c>
      <c r="O5" t="n">
        <v>2166</v>
      </c>
      <c r="P5" t="n">
        <v>2158</v>
      </c>
      <c r="Q5" t="n">
        <v>2148</v>
      </c>
      <c r="R5" t="n">
        <v>2161</v>
      </c>
      <c r="S5" t="n">
        <v>2210</v>
      </c>
      <c r="T5" t="n">
        <v>2258</v>
      </c>
      <c r="U5" t="n">
        <v>2217</v>
      </c>
      <c r="V5" t="n">
        <v>2159</v>
      </c>
      <c r="W5" t="n">
        <v>2148</v>
      </c>
      <c r="X5" t="n">
        <v>2165</v>
      </c>
      <c r="Y5" t="n">
        <v>2176</v>
      </c>
      <c r="Z5" t="n">
        <v>2157</v>
      </c>
      <c r="AA5" t="n">
        <v>2206</v>
      </c>
      <c r="AB5" t="n">
        <v>2321</v>
      </c>
      <c r="AC5" t="n">
        <v>2349</v>
      </c>
      <c r="AD5" t="n">
        <v>2340</v>
      </c>
      <c r="AE5" t="n">
        <v>2319</v>
      </c>
      <c r="AF5" t="n">
        <v>2296</v>
      </c>
    </row>
    <row r="6">
      <c r="A6" t="s">
        <v>126</v>
      </c>
      <c r="B6" t="s">
        <v>282</v>
      </c>
      <c r="C6" t="s">
        <v>236</v>
      </c>
      <c r="D6" t="s">
        <v>283</v>
      </c>
      <c r="E6" t="s">
        <v>237</v>
      </c>
      <c r="F6" t="n">
        <v>431</v>
      </c>
      <c r="G6" t="n">
        <v>378</v>
      </c>
      <c r="H6" t="n">
        <v>374</v>
      </c>
      <c r="I6" t="n">
        <v>368</v>
      </c>
      <c r="J6" t="n">
        <v>348</v>
      </c>
      <c r="K6" t="n">
        <v>330</v>
      </c>
      <c r="L6" t="n">
        <v>327</v>
      </c>
      <c r="M6" t="n">
        <v>317</v>
      </c>
      <c r="N6" t="n">
        <v>302</v>
      </c>
      <c r="O6" t="n">
        <v>286</v>
      </c>
      <c r="P6" t="n">
        <v>277</v>
      </c>
      <c r="Q6" t="n">
        <v>266</v>
      </c>
      <c r="R6" t="n">
        <v>261</v>
      </c>
      <c r="S6" t="n">
        <v>248</v>
      </c>
      <c r="T6" t="n">
        <v>233</v>
      </c>
      <c r="U6" t="n">
        <v>218</v>
      </c>
      <c r="V6" t="n">
        <v>205</v>
      </c>
      <c r="W6" t="n">
        <v>192</v>
      </c>
      <c r="X6" t="n">
        <v>176</v>
      </c>
      <c r="Y6" t="n">
        <v>165</v>
      </c>
      <c r="Z6" t="n">
        <v>158</v>
      </c>
      <c r="AA6" t="n">
        <v>173</v>
      </c>
      <c r="AB6" t="n">
        <v>173</v>
      </c>
      <c r="AC6" t="n">
        <v>172</v>
      </c>
      <c r="AD6" t="n">
        <v>180</v>
      </c>
      <c r="AE6" t="n">
        <v>197</v>
      </c>
      <c r="AF6" t="n">
        <v>194</v>
      </c>
    </row>
    <row r="7">
      <c r="A7" t="s">
        <v>126</v>
      </c>
      <c r="B7" t="s">
        <v>284</v>
      </c>
      <c r="C7" t="s">
        <v>236</v>
      </c>
      <c r="D7" t="s">
        <v>285</v>
      </c>
      <c r="E7" t="s">
        <v>237</v>
      </c>
      <c r="F7" t="n">
        <v>10757</v>
      </c>
      <c r="G7" t="n">
        <v>10701</v>
      </c>
      <c r="H7" t="n">
        <v>10838</v>
      </c>
      <c r="I7" t="n">
        <v>11160</v>
      </c>
      <c r="J7" t="n">
        <v>11010</v>
      </c>
      <c r="K7" t="n">
        <v>10782</v>
      </c>
      <c r="L7" t="n">
        <v>11320</v>
      </c>
      <c r="M7" t="n">
        <v>11008</v>
      </c>
      <c r="N7" t="n">
        <v>10887</v>
      </c>
      <c r="O7" t="n">
        <v>10516</v>
      </c>
      <c r="P7" t="n">
        <v>10316</v>
      </c>
      <c r="Q7" t="n">
        <v>10164</v>
      </c>
      <c r="R7" t="n">
        <v>9819</v>
      </c>
      <c r="S7" t="n">
        <v>9894</v>
      </c>
      <c r="T7" t="n">
        <v>9566</v>
      </c>
      <c r="U7" t="n">
        <v>9132</v>
      </c>
      <c r="V7" t="n">
        <v>8709</v>
      </c>
      <c r="W7" t="n">
        <v>8504</v>
      </c>
      <c r="X7" t="n">
        <v>8355</v>
      </c>
      <c r="Y7" t="n">
        <v>8081</v>
      </c>
      <c r="Z7" t="n">
        <v>7832</v>
      </c>
      <c r="AA7" t="n">
        <v>7928</v>
      </c>
      <c r="AB7" t="n">
        <v>8124</v>
      </c>
      <c r="AC7" t="n">
        <v>7968</v>
      </c>
      <c r="AD7" t="n">
        <v>7913</v>
      </c>
      <c r="AE7" t="n">
        <v>7763</v>
      </c>
      <c r="AF7" t="n">
        <v>7642</v>
      </c>
    </row>
    <row r="8">
      <c r="A8" t="s">
        <v>126</v>
      </c>
      <c r="B8" t="s">
        <v>286</v>
      </c>
      <c r="C8" t="s">
        <v>236</v>
      </c>
      <c r="D8" t="s">
        <v>287</v>
      </c>
      <c r="E8" t="s">
        <v>237</v>
      </c>
      <c r="F8" t="n">
        <v>731</v>
      </c>
      <c r="G8" t="n">
        <v>658</v>
      </c>
      <c r="H8" t="n">
        <v>725</v>
      </c>
      <c r="I8" t="n">
        <v>711</v>
      </c>
      <c r="J8" t="n">
        <v>706</v>
      </c>
      <c r="K8" t="n">
        <v>675</v>
      </c>
      <c r="L8" t="n">
        <v>713</v>
      </c>
      <c r="M8" t="n">
        <v>677</v>
      </c>
      <c r="N8" t="n">
        <v>674</v>
      </c>
      <c r="O8" t="n">
        <v>646</v>
      </c>
      <c r="P8" t="n">
        <v>728</v>
      </c>
      <c r="Q8" t="n">
        <v>842</v>
      </c>
      <c r="R8" t="n">
        <v>1323</v>
      </c>
      <c r="S8" t="n">
        <v>1286</v>
      </c>
      <c r="T8" t="n">
        <v>1254</v>
      </c>
      <c r="U8" t="n">
        <v>1252</v>
      </c>
      <c r="V8" t="n">
        <v>1190</v>
      </c>
      <c r="W8" t="n">
        <v>1190</v>
      </c>
      <c r="X8" t="n">
        <v>1171</v>
      </c>
      <c r="Y8" t="n">
        <v>1154</v>
      </c>
      <c r="Z8" t="n">
        <v>1252</v>
      </c>
      <c r="AA8" t="n">
        <v>1249</v>
      </c>
      <c r="AB8" t="n">
        <v>1591</v>
      </c>
      <c r="AC8" t="n">
        <v>1610</v>
      </c>
      <c r="AD8" t="n">
        <v>1562</v>
      </c>
      <c r="AE8" t="n">
        <v>1525</v>
      </c>
      <c r="AF8" t="n">
        <v>1756</v>
      </c>
    </row>
    <row r="9">
      <c r="A9" t="s">
        <v>126</v>
      </c>
      <c r="B9" t="s">
        <v>288</v>
      </c>
      <c r="C9" t="s">
        <v>236</v>
      </c>
      <c r="D9" t="s">
        <v>289</v>
      </c>
      <c r="E9" t="s">
        <v>237</v>
      </c>
      <c r="F9" t="n">
        <v>1643</v>
      </c>
      <c r="G9" t="n">
        <v>1517</v>
      </c>
      <c r="H9" t="n">
        <v>1629</v>
      </c>
      <c r="I9" t="n">
        <v>1693</v>
      </c>
      <c r="J9" t="n">
        <v>1721</v>
      </c>
      <c r="K9" t="n">
        <v>1690</v>
      </c>
      <c r="L9" t="n">
        <v>1708</v>
      </c>
      <c r="M9" t="n">
        <v>1787</v>
      </c>
      <c r="N9" t="n">
        <v>1764</v>
      </c>
      <c r="O9" t="n">
        <v>1744</v>
      </c>
      <c r="P9" t="n">
        <v>1726</v>
      </c>
      <c r="Q9" t="n">
        <v>1708</v>
      </c>
      <c r="R9" t="n">
        <v>1774</v>
      </c>
      <c r="S9" t="n">
        <v>1805</v>
      </c>
      <c r="T9" t="n">
        <v>1861</v>
      </c>
      <c r="U9" t="n">
        <v>1771</v>
      </c>
      <c r="V9" t="n">
        <v>1721</v>
      </c>
      <c r="W9" t="n">
        <v>1730</v>
      </c>
      <c r="X9" t="n">
        <v>1769</v>
      </c>
      <c r="Y9" t="n">
        <v>1738</v>
      </c>
      <c r="Z9" t="n">
        <v>1723</v>
      </c>
      <c r="AA9" t="n">
        <v>1756</v>
      </c>
      <c r="AB9" t="n">
        <v>1801</v>
      </c>
      <c r="AC9" t="n">
        <v>1828</v>
      </c>
      <c r="AD9" t="n">
        <v>1834</v>
      </c>
      <c r="AE9" t="n">
        <v>1828</v>
      </c>
      <c r="AF9" t="n">
        <v>1904</v>
      </c>
    </row>
    <row r="10">
      <c r="A10" t="s">
        <v>126</v>
      </c>
      <c r="B10" t="s">
        <v>290</v>
      </c>
      <c r="C10" t="s">
        <v>236</v>
      </c>
      <c r="D10" t="s">
        <v>291</v>
      </c>
      <c r="E10" t="s">
        <v>237</v>
      </c>
      <c r="F10" t="n">
        <v>1878</v>
      </c>
      <c r="G10" t="n">
        <v>1732</v>
      </c>
      <c r="H10" t="n">
        <v>1845</v>
      </c>
      <c r="I10" t="n">
        <v>1917</v>
      </c>
      <c r="J10" t="n">
        <v>1942</v>
      </c>
      <c r="K10" t="n">
        <v>1912</v>
      </c>
      <c r="L10" t="n">
        <v>1921</v>
      </c>
      <c r="M10" t="n">
        <v>2016</v>
      </c>
      <c r="N10" t="n">
        <v>1987</v>
      </c>
      <c r="O10" t="n">
        <v>1960</v>
      </c>
      <c r="P10" t="n">
        <v>1936</v>
      </c>
      <c r="Q10" t="n">
        <v>1913</v>
      </c>
      <c r="R10" t="n">
        <v>1977</v>
      </c>
      <c r="S10" t="n">
        <v>2005</v>
      </c>
      <c r="T10" t="n">
        <v>2076</v>
      </c>
      <c r="U10" t="n">
        <v>1991</v>
      </c>
      <c r="V10" t="n">
        <v>1939</v>
      </c>
      <c r="W10" t="n">
        <v>1956</v>
      </c>
      <c r="X10" t="n">
        <v>2013</v>
      </c>
      <c r="Y10" t="n">
        <v>1988</v>
      </c>
      <c r="Z10" t="n">
        <v>1972</v>
      </c>
      <c r="AA10" t="n">
        <v>2006</v>
      </c>
      <c r="AB10" t="n">
        <v>2041</v>
      </c>
      <c r="AC10" t="n">
        <v>2071</v>
      </c>
      <c r="AD10" t="n">
        <v>2082</v>
      </c>
      <c r="AE10" t="n">
        <v>2067</v>
      </c>
      <c r="AF10" t="n">
        <v>2145</v>
      </c>
    </row>
    <row r="11">
      <c r="A11" t="s">
        <v>126</v>
      </c>
      <c r="B11" t="s">
        <v>292</v>
      </c>
      <c r="C11" t="s">
        <v>236</v>
      </c>
      <c r="D11" t="s">
        <v>293</v>
      </c>
      <c r="E11" t="s">
        <v>237</v>
      </c>
      <c r="F11" t="n">
        <v>235</v>
      </c>
      <c r="G11" t="n">
        <v>215</v>
      </c>
      <c r="H11" t="n">
        <v>216</v>
      </c>
      <c r="I11" t="n">
        <v>224</v>
      </c>
      <c r="J11" t="n">
        <v>221</v>
      </c>
      <c r="K11" t="n">
        <v>222</v>
      </c>
      <c r="L11" t="n">
        <v>213</v>
      </c>
      <c r="M11" t="n">
        <v>229</v>
      </c>
      <c r="N11" t="n">
        <v>223</v>
      </c>
      <c r="O11" t="n">
        <v>216</v>
      </c>
      <c r="P11" t="n">
        <v>210</v>
      </c>
      <c r="Q11" t="n">
        <v>205</v>
      </c>
      <c r="R11" t="n">
        <v>203</v>
      </c>
      <c r="S11" t="n">
        <v>200</v>
      </c>
      <c r="T11" t="n">
        <v>215</v>
      </c>
      <c r="U11" t="n">
        <v>220</v>
      </c>
      <c r="V11" t="n">
        <v>218</v>
      </c>
      <c r="W11" t="n">
        <v>226</v>
      </c>
      <c r="X11" t="n">
        <v>244</v>
      </c>
      <c r="Y11" t="n">
        <v>250</v>
      </c>
      <c r="Z11" t="n">
        <v>249</v>
      </c>
      <c r="AA11" t="n">
        <v>250</v>
      </c>
      <c r="AB11" t="n">
        <v>240</v>
      </c>
      <c r="AC11" t="n">
        <v>243</v>
      </c>
      <c r="AD11" t="n">
        <v>248</v>
      </c>
      <c r="AE11" t="n">
        <v>239</v>
      </c>
      <c r="AF11" t="n">
        <v>241</v>
      </c>
    </row>
    <row r="12">
      <c r="A12" t="s">
        <v>126</v>
      </c>
      <c r="B12" t="s">
        <v>294</v>
      </c>
      <c r="C12" t="s">
        <v>236</v>
      </c>
      <c r="D12" t="s">
        <v>295</v>
      </c>
      <c r="E12" t="s">
        <v>237</v>
      </c>
      <c r="F12" t="n">
        <v>1444</v>
      </c>
      <c r="G12" t="n">
        <v>1359</v>
      </c>
      <c r="H12" t="n">
        <v>1403</v>
      </c>
      <c r="I12" t="n">
        <v>1499</v>
      </c>
      <c r="J12" t="n">
        <v>1549</v>
      </c>
      <c r="K12" t="n">
        <v>1599</v>
      </c>
      <c r="L12" t="n">
        <v>1645</v>
      </c>
      <c r="M12" t="n">
        <v>1658</v>
      </c>
      <c r="N12" t="n">
        <v>1671</v>
      </c>
      <c r="O12" t="n">
        <v>1666</v>
      </c>
      <c r="P12" t="n">
        <v>1690</v>
      </c>
      <c r="Q12" t="n">
        <v>1700</v>
      </c>
      <c r="R12" t="n">
        <v>1700</v>
      </c>
      <c r="S12" t="n">
        <v>1725</v>
      </c>
      <c r="T12" t="n">
        <v>1754</v>
      </c>
      <c r="U12" t="n">
        <v>1697</v>
      </c>
      <c r="V12" t="n">
        <v>1658</v>
      </c>
      <c r="W12" t="n">
        <v>1625</v>
      </c>
      <c r="X12" t="n">
        <v>1602</v>
      </c>
      <c r="Y12" t="n">
        <v>1578</v>
      </c>
      <c r="Z12" t="n">
        <v>1589</v>
      </c>
      <c r="AA12" t="n">
        <v>1637</v>
      </c>
      <c r="AB12" t="n">
        <v>1661</v>
      </c>
      <c r="AC12" t="n">
        <v>1732</v>
      </c>
      <c r="AD12" t="n">
        <v>1799</v>
      </c>
      <c r="AE12" t="n">
        <v>1883</v>
      </c>
      <c r="AF12" t="n">
        <v>1915</v>
      </c>
    </row>
    <row r="13">
      <c r="A13" t="s">
        <v>126</v>
      </c>
      <c r="B13" t="s">
        <v>296</v>
      </c>
      <c r="C13" t="s">
        <v>236</v>
      </c>
      <c r="D13" t="s">
        <v>297</v>
      </c>
      <c r="E13" t="s">
        <v>237</v>
      </c>
      <c r="F13" t="n">
        <v>2614</v>
      </c>
      <c r="G13" t="n">
        <v>2577</v>
      </c>
      <c r="H13" t="n">
        <v>2859</v>
      </c>
      <c r="I13" t="n">
        <v>3084</v>
      </c>
      <c r="J13" t="n">
        <v>3112</v>
      </c>
      <c r="K13" t="n">
        <v>3220</v>
      </c>
      <c r="L13" t="n">
        <v>3324</v>
      </c>
      <c r="M13" t="n">
        <v>3559</v>
      </c>
      <c r="N13" t="n">
        <v>3555</v>
      </c>
      <c r="O13" t="n">
        <v>3780</v>
      </c>
      <c r="P13" t="n">
        <v>3757</v>
      </c>
      <c r="Q13" t="n">
        <v>3716</v>
      </c>
      <c r="R13" t="n">
        <v>3711</v>
      </c>
      <c r="S13" t="n">
        <v>3863</v>
      </c>
      <c r="T13" t="n">
        <v>4027</v>
      </c>
      <c r="U13" t="n">
        <v>4010</v>
      </c>
      <c r="V13" t="n">
        <v>3904</v>
      </c>
      <c r="W13" t="n">
        <v>4136</v>
      </c>
      <c r="X13" t="n">
        <v>4042</v>
      </c>
      <c r="Y13" t="n">
        <v>3982</v>
      </c>
      <c r="Z13" t="n">
        <v>3939</v>
      </c>
      <c r="AA13" t="n">
        <v>3883</v>
      </c>
      <c r="AB13" t="n">
        <v>3856</v>
      </c>
      <c r="AC13" t="n">
        <v>3877</v>
      </c>
      <c r="AD13" t="n">
        <v>3970</v>
      </c>
      <c r="AE13" t="n">
        <v>3971</v>
      </c>
      <c r="AF13" t="n">
        <v>3884</v>
      </c>
    </row>
    <row r="14">
      <c r="A14" t="s">
        <v>126</v>
      </c>
      <c r="B14" t="s">
        <v>298</v>
      </c>
      <c r="C14" t="s">
        <v>236</v>
      </c>
      <c r="D14" t="s">
        <v>299</v>
      </c>
      <c r="E14" t="s">
        <v>237</v>
      </c>
      <c r="F14" t="n">
        <v>763</v>
      </c>
      <c r="G14" t="n">
        <v>744</v>
      </c>
      <c r="H14" t="n">
        <v>843</v>
      </c>
      <c r="I14" t="n">
        <v>990</v>
      </c>
      <c r="J14" t="n">
        <v>1180</v>
      </c>
      <c r="K14" t="n">
        <v>1365</v>
      </c>
      <c r="L14" t="n">
        <v>1561</v>
      </c>
      <c r="M14" t="n">
        <v>1541</v>
      </c>
      <c r="N14" t="n">
        <v>1471</v>
      </c>
      <c r="O14" t="n">
        <v>1410</v>
      </c>
      <c r="P14" t="n">
        <v>1442</v>
      </c>
      <c r="Q14" t="n">
        <v>1343</v>
      </c>
      <c r="R14" t="n">
        <v>1243</v>
      </c>
      <c r="S14" t="n">
        <v>1100</v>
      </c>
      <c r="T14" t="n">
        <v>1001</v>
      </c>
      <c r="U14" t="n">
        <v>922</v>
      </c>
      <c r="V14" t="n">
        <v>843</v>
      </c>
      <c r="W14" t="n">
        <v>788</v>
      </c>
      <c r="X14" t="n">
        <v>701</v>
      </c>
      <c r="Y14" t="n">
        <v>660</v>
      </c>
      <c r="Z14" t="n">
        <v>647</v>
      </c>
      <c r="AA14" t="n">
        <v>623</v>
      </c>
      <c r="AB14" t="n">
        <v>610</v>
      </c>
      <c r="AC14" t="n">
        <v>600</v>
      </c>
      <c r="AD14" t="n">
        <v>589</v>
      </c>
      <c r="AE14" t="n">
        <v>609</v>
      </c>
      <c r="AF14" t="n">
        <v>628</v>
      </c>
    </row>
    <row r="15">
      <c r="A15" t="s">
        <v>126</v>
      </c>
      <c r="B15" t="s">
        <v>300</v>
      </c>
      <c r="C15" t="s">
        <v>236</v>
      </c>
      <c r="D15" t="s">
        <v>301</v>
      </c>
      <c r="E15" t="s">
        <v>237</v>
      </c>
      <c r="F15" t="n">
        <v>1093</v>
      </c>
      <c r="G15" t="n">
        <v>1055</v>
      </c>
      <c r="H15" t="n">
        <v>1169</v>
      </c>
      <c r="I15" t="n">
        <v>1341</v>
      </c>
      <c r="J15" t="n">
        <v>1525</v>
      </c>
      <c r="K15" t="n">
        <v>1704</v>
      </c>
      <c r="L15" t="n">
        <v>1900</v>
      </c>
      <c r="M15" t="n">
        <v>1863</v>
      </c>
      <c r="N15" t="n">
        <v>1785</v>
      </c>
      <c r="O15" t="n">
        <v>1705</v>
      </c>
      <c r="P15" t="n">
        <v>1740</v>
      </c>
      <c r="Q15" t="n">
        <v>1627</v>
      </c>
      <c r="R15" t="n">
        <v>1524</v>
      </c>
      <c r="S15" t="n">
        <v>1393</v>
      </c>
      <c r="T15" t="n">
        <v>1297</v>
      </c>
      <c r="U15" t="n">
        <v>1216</v>
      </c>
      <c r="V15" t="n">
        <v>1128</v>
      </c>
      <c r="W15" t="n">
        <v>1069</v>
      </c>
      <c r="X15" t="n">
        <v>981</v>
      </c>
      <c r="Y15" t="n">
        <v>922</v>
      </c>
      <c r="Z15" t="n">
        <v>920</v>
      </c>
      <c r="AA15" t="n">
        <v>938</v>
      </c>
      <c r="AB15" t="n">
        <v>926</v>
      </c>
      <c r="AC15" t="n">
        <v>912</v>
      </c>
      <c r="AD15" t="n">
        <v>905</v>
      </c>
      <c r="AE15" t="n">
        <v>916</v>
      </c>
      <c r="AF15" t="n">
        <v>943</v>
      </c>
    </row>
    <row r="16">
      <c r="A16" t="s">
        <v>126</v>
      </c>
      <c r="B16" t="s">
        <v>302</v>
      </c>
      <c r="C16" t="s">
        <v>236</v>
      </c>
      <c r="D16" t="s">
        <v>303</v>
      </c>
      <c r="E16" t="s">
        <v>237</v>
      </c>
      <c r="F16" t="n">
        <v>330</v>
      </c>
      <c r="G16" t="n">
        <v>311</v>
      </c>
      <c r="H16" t="n">
        <v>326</v>
      </c>
      <c r="I16" t="n">
        <v>351</v>
      </c>
      <c r="J16" t="n">
        <v>345</v>
      </c>
      <c r="K16" t="n">
        <v>339</v>
      </c>
      <c r="L16" t="n">
        <v>339</v>
      </c>
      <c r="M16" t="n">
        <v>322</v>
      </c>
      <c r="N16" t="n">
        <v>314</v>
      </c>
      <c r="O16" t="n">
        <v>295</v>
      </c>
      <c r="P16" t="n">
        <v>298</v>
      </c>
      <c r="Q16" t="n">
        <v>284</v>
      </c>
      <c r="R16" t="n">
        <v>281</v>
      </c>
      <c r="S16" t="n">
        <v>293</v>
      </c>
      <c r="T16" t="n">
        <v>296</v>
      </c>
      <c r="U16" t="n">
        <v>294</v>
      </c>
      <c r="V16" t="n">
        <v>285</v>
      </c>
      <c r="W16" t="n">
        <v>281</v>
      </c>
      <c r="X16" t="n">
        <v>280</v>
      </c>
      <c r="Y16" t="n">
        <v>262</v>
      </c>
      <c r="Z16" t="n">
        <v>273</v>
      </c>
      <c r="AA16" t="n">
        <v>315</v>
      </c>
      <c r="AB16" t="n">
        <v>316</v>
      </c>
      <c r="AC16" t="n">
        <v>312</v>
      </c>
      <c r="AD16" t="n">
        <v>316</v>
      </c>
      <c r="AE16" t="n">
        <v>307</v>
      </c>
      <c r="AF16" t="n">
        <v>315</v>
      </c>
    </row>
    <row r="17">
      <c r="A17" t="s">
        <v>126</v>
      </c>
      <c r="B17" t="s">
        <v>304</v>
      </c>
      <c r="C17" t="s">
        <v>236</v>
      </c>
      <c r="D17" t="s">
        <v>305</v>
      </c>
      <c r="E17" t="s">
        <v>237</v>
      </c>
      <c r="F17" t="n">
        <v>865</v>
      </c>
      <c r="G17" t="n">
        <v>848</v>
      </c>
      <c r="H17" t="n">
        <v>885</v>
      </c>
      <c r="I17" t="n">
        <v>916</v>
      </c>
      <c r="J17" t="n">
        <v>911</v>
      </c>
      <c r="K17" t="n">
        <v>911</v>
      </c>
      <c r="L17" t="n">
        <v>913</v>
      </c>
      <c r="M17" t="n">
        <v>888</v>
      </c>
      <c r="N17" t="n">
        <v>901</v>
      </c>
      <c r="O17" t="n">
        <v>862</v>
      </c>
      <c r="P17" t="n">
        <v>849</v>
      </c>
      <c r="Q17" t="n">
        <v>860</v>
      </c>
      <c r="R17" t="n">
        <v>874</v>
      </c>
      <c r="S17" t="n">
        <v>949</v>
      </c>
      <c r="T17" t="n">
        <v>1055</v>
      </c>
      <c r="U17" t="n">
        <v>1013</v>
      </c>
      <c r="V17" t="n">
        <v>1007</v>
      </c>
      <c r="W17" t="n">
        <v>1027</v>
      </c>
      <c r="X17" t="n">
        <v>1010</v>
      </c>
      <c r="Y17" t="n">
        <v>1031</v>
      </c>
      <c r="Z17" t="n">
        <v>1017</v>
      </c>
      <c r="AA17" t="n">
        <v>1007</v>
      </c>
      <c r="AB17" t="n">
        <v>964</v>
      </c>
      <c r="AC17" t="n">
        <v>967</v>
      </c>
      <c r="AD17" t="n">
        <v>1009</v>
      </c>
      <c r="AE17" t="n">
        <v>1003</v>
      </c>
      <c r="AF17" t="n">
        <v>1030</v>
      </c>
    </row>
    <row r="18">
      <c r="A18" t="s">
        <v>126</v>
      </c>
      <c r="B18" t="s">
        <v>306</v>
      </c>
      <c r="C18" t="s">
        <v>236</v>
      </c>
      <c r="D18" t="s">
        <v>307</v>
      </c>
      <c r="E18" t="s">
        <v>237</v>
      </c>
      <c r="F18" t="n">
        <v>435</v>
      </c>
      <c r="G18" t="n">
        <v>402</v>
      </c>
      <c r="H18" t="n">
        <v>407</v>
      </c>
      <c r="I18" t="n">
        <v>410</v>
      </c>
      <c r="J18" t="n">
        <v>404</v>
      </c>
      <c r="K18" t="n">
        <v>386</v>
      </c>
      <c r="L18" t="n">
        <v>397</v>
      </c>
      <c r="M18" t="n">
        <v>391</v>
      </c>
      <c r="N18" t="n">
        <v>384</v>
      </c>
      <c r="O18" t="n">
        <v>382</v>
      </c>
      <c r="P18" t="n">
        <v>385</v>
      </c>
      <c r="Q18" t="n">
        <v>387</v>
      </c>
      <c r="R18" t="n">
        <v>385</v>
      </c>
      <c r="S18" t="n">
        <v>394</v>
      </c>
      <c r="T18" t="n">
        <v>408</v>
      </c>
      <c r="U18" t="n">
        <v>412</v>
      </c>
      <c r="V18" t="n">
        <v>431</v>
      </c>
      <c r="W18" t="n">
        <v>436</v>
      </c>
      <c r="X18" t="n">
        <v>505</v>
      </c>
      <c r="Y18" t="n">
        <v>499</v>
      </c>
      <c r="Z18" t="n">
        <v>480</v>
      </c>
      <c r="AA18" t="n">
        <v>479</v>
      </c>
      <c r="AB18" t="n">
        <v>534</v>
      </c>
      <c r="AC18" t="n">
        <v>624</v>
      </c>
      <c r="AD18" t="n">
        <v>634</v>
      </c>
      <c r="AE18" t="n">
        <v>648</v>
      </c>
      <c r="AF18" t="n">
        <v>682</v>
      </c>
    </row>
    <row r="19">
      <c r="A19" t="s">
        <v>126</v>
      </c>
      <c r="B19" t="s">
        <v>308</v>
      </c>
      <c r="C19" t="s">
        <v>236</v>
      </c>
      <c r="D19" t="s">
        <v>309</v>
      </c>
      <c r="E19" t="s">
        <v>237</v>
      </c>
      <c r="F19" t="n">
        <v>634</v>
      </c>
      <c r="G19" t="n">
        <v>598</v>
      </c>
      <c r="H19" t="n">
        <v>637</v>
      </c>
      <c r="I19" t="n">
        <v>684</v>
      </c>
      <c r="J19" t="n">
        <v>715</v>
      </c>
      <c r="K19" t="n">
        <v>730</v>
      </c>
      <c r="L19" t="n">
        <v>758</v>
      </c>
      <c r="M19" t="n">
        <v>791</v>
      </c>
      <c r="N19" t="n">
        <v>772</v>
      </c>
      <c r="O19" t="n">
        <v>748</v>
      </c>
      <c r="P19" t="n">
        <v>743</v>
      </c>
      <c r="Q19" t="n">
        <v>746</v>
      </c>
      <c r="R19" t="n">
        <v>742</v>
      </c>
      <c r="S19" t="n">
        <v>746</v>
      </c>
      <c r="T19" t="n">
        <v>723</v>
      </c>
      <c r="U19" t="n">
        <v>695</v>
      </c>
      <c r="V19" t="n">
        <v>672</v>
      </c>
      <c r="W19" t="n">
        <v>647</v>
      </c>
      <c r="X19" t="n">
        <v>607</v>
      </c>
      <c r="Y19" t="n">
        <v>575</v>
      </c>
      <c r="Z19" t="n">
        <v>555</v>
      </c>
      <c r="AA19" t="n">
        <v>560</v>
      </c>
      <c r="AB19" t="n">
        <v>563</v>
      </c>
      <c r="AC19" t="n">
        <v>580</v>
      </c>
      <c r="AD19" t="n">
        <v>596</v>
      </c>
      <c r="AE19" t="n">
        <v>611</v>
      </c>
      <c r="AF19" t="n">
        <v>683</v>
      </c>
    </row>
    <row r="20">
      <c r="A20" t="s">
        <v>126</v>
      </c>
      <c r="B20" t="s">
        <v>310</v>
      </c>
      <c r="C20" t="s">
        <v>236</v>
      </c>
      <c r="D20" t="s">
        <v>311</v>
      </c>
      <c r="E20" t="s">
        <v>237</v>
      </c>
      <c r="F20" t="n">
        <v>5768</v>
      </c>
      <c r="G20" t="n">
        <v>5467</v>
      </c>
      <c r="H20" t="n">
        <v>5606</v>
      </c>
      <c r="I20" t="n">
        <v>5641</v>
      </c>
      <c r="J20" t="n">
        <v>5566</v>
      </c>
      <c r="K20" t="n">
        <v>5551</v>
      </c>
      <c r="L20" t="n">
        <v>5576</v>
      </c>
      <c r="M20" t="n">
        <v>5618</v>
      </c>
      <c r="N20" t="n">
        <v>5570</v>
      </c>
      <c r="O20" t="n">
        <v>5575</v>
      </c>
      <c r="P20" t="n">
        <v>5670</v>
      </c>
      <c r="Q20" t="n">
        <v>5740</v>
      </c>
      <c r="R20" t="n">
        <v>5777</v>
      </c>
      <c r="S20" t="n">
        <v>6108</v>
      </c>
      <c r="T20" t="n">
        <v>6724</v>
      </c>
      <c r="U20" t="n">
        <v>7038</v>
      </c>
      <c r="V20" t="n">
        <v>7199</v>
      </c>
      <c r="W20" t="n">
        <v>7587</v>
      </c>
      <c r="X20" t="n">
        <v>8024</v>
      </c>
      <c r="Y20" t="n">
        <v>8638</v>
      </c>
      <c r="Z20" t="n">
        <v>9303</v>
      </c>
      <c r="AA20" t="n">
        <v>10323</v>
      </c>
      <c r="AB20" t="n">
        <v>10998</v>
      </c>
      <c r="AC20" t="n">
        <v>11419</v>
      </c>
      <c r="AD20" t="n">
        <v>11666</v>
      </c>
      <c r="AE20" t="n">
        <v>12419</v>
      </c>
      <c r="AF20" t="n">
        <v>12658</v>
      </c>
    </row>
    <row r="21">
      <c r="A21" t="s">
        <v>126</v>
      </c>
      <c r="B21" t="s">
        <v>312</v>
      </c>
      <c r="C21" t="s">
        <v>236</v>
      </c>
      <c r="D21" t="s">
        <v>313</v>
      </c>
      <c r="E21" t="s">
        <v>237</v>
      </c>
      <c r="F21" t="n">
        <v>6069</v>
      </c>
      <c r="G21" t="n">
        <v>5750</v>
      </c>
      <c r="H21" t="n">
        <v>5899</v>
      </c>
      <c r="I21" t="n">
        <v>5939</v>
      </c>
      <c r="J21" t="n">
        <v>5871</v>
      </c>
      <c r="K21" t="n">
        <v>5855</v>
      </c>
      <c r="L21" t="n">
        <v>5881</v>
      </c>
      <c r="M21" t="n">
        <v>5936</v>
      </c>
      <c r="N21" t="n">
        <v>5896</v>
      </c>
      <c r="O21" t="n">
        <v>5893</v>
      </c>
      <c r="P21" t="n">
        <v>5994</v>
      </c>
      <c r="Q21" t="n">
        <v>6076</v>
      </c>
      <c r="R21" t="n">
        <v>6161</v>
      </c>
      <c r="S21" t="n">
        <v>6519</v>
      </c>
      <c r="T21" t="n">
        <v>7191</v>
      </c>
      <c r="U21" t="n">
        <v>7514</v>
      </c>
      <c r="V21" t="n">
        <v>7703</v>
      </c>
      <c r="W21" t="n">
        <v>8183</v>
      </c>
      <c r="X21" t="n">
        <v>8651</v>
      </c>
      <c r="Y21" t="n">
        <v>9269</v>
      </c>
      <c r="Z21" t="n">
        <v>9943</v>
      </c>
      <c r="AA21" t="n">
        <v>10997</v>
      </c>
      <c r="AB21" t="n">
        <v>11696</v>
      </c>
      <c r="AC21" t="n">
        <v>12142</v>
      </c>
      <c r="AD21" t="n">
        <v>12402</v>
      </c>
      <c r="AE21" t="n">
        <v>13204</v>
      </c>
      <c r="AF21" t="n">
        <v>13585</v>
      </c>
    </row>
    <row r="22">
      <c r="A22" t="s">
        <v>126</v>
      </c>
      <c r="B22" t="s">
        <v>314</v>
      </c>
      <c r="C22" t="s">
        <v>236</v>
      </c>
      <c r="D22" t="s">
        <v>315</v>
      </c>
      <c r="E22" t="s">
        <v>237</v>
      </c>
      <c r="F22" t="n">
        <v>301</v>
      </c>
      <c r="G22" t="n">
        <v>283</v>
      </c>
      <c r="H22" t="n">
        <v>293</v>
      </c>
      <c r="I22" t="n">
        <v>298</v>
      </c>
      <c r="J22" t="n">
        <v>305</v>
      </c>
      <c r="K22" t="n">
        <v>304</v>
      </c>
      <c r="L22" t="n">
        <v>305</v>
      </c>
      <c r="M22" t="n">
        <v>318</v>
      </c>
      <c r="N22" t="n">
        <v>326</v>
      </c>
      <c r="O22" t="n">
        <v>318</v>
      </c>
      <c r="P22" t="n">
        <v>324</v>
      </c>
      <c r="Q22" t="n">
        <v>336</v>
      </c>
      <c r="R22" t="n">
        <v>384</v>
      </c>
      <c r="S22" t="n">
        <v>411</v>
      </c>
      <c r="T22" t="n">
        <v>467</v>
      </c>
      <c r="U22" t="n">
        <v>476</v>
      </c>
      <c r="V22" t="n">
        <v>504</v>
      </c>
      <c r="W22" t="n">
        <v>596</v>
      </c>
      <c r="X22" t="n">
        <v>627</v>
      </c>
      <c r="Y22" t="n">
        <v>631</v>
      </c>
      <c r="Z22" t="n">
        <v>640</v>
      </c>
      <c r="AA22" t="n">
        <v>674</v>
      </c>
      <c r="AB22" t="n">
        <v>698</v>
      </c>
      <c r="AC22" t="n">
        <v>723</v>
      </c>
      <c r="AD22" t="n">
        <v>736</v>
      </c>
      <c r="AE22" t="n">
        <v>785</v>
      </c>
      <c r="AF22" t="n">
        <v>927</v>
      </c>
    </row>
    <row r="23">
      <c r="A23" t="s">
        <v>126</v>
      </c>
      <c r="B23" t="s">
        <v>316</v>
      </c>
      <c r="C23" t="s">
        <v>236</v>
      </c>
      <c r="D23" t="s">
        <v>317</v>
      </c>
      <c r="E23" t="s">
        <v>237</v>
      </c>
      <c r="F23" t="n">
        <v>967</v>
      </c>
      <c r="G23" t="n">
        <v>902</v>
      </c>
      <c r="H23" t="n">
        <v>940</v>
      </c>
      <c r="I23" t="n">
        <v>950</v>
      </c>
      <c r="J23" t="n">
        <v>1019</v>
      </c>
      <c r="K23" t="n">
        <v>1106</v>
      </c>
      <c r="L23" t="n">
        <v>1182</v>
      </c>
      <c r="M23" t="n">
        <v>1230</v>
      </c>
      <c r="N23" t="n">
        <v>1318</v>
      </c>
      <c r="O23" t="n">
        <v>1378</v>
      </c>
      <c r="P23" t="n">
        <v>1493</v>
      </c>
      <c r="Q23" t="n">
        <v>1640</v>
      </c>
      <c r="R23" t="n">
        <v>1823</v>
      </c>
      <c r="S23" t="n">
        <v>2047</v>
      </c>
      <c r="T23" t="n">
        <v>2096</v>
      </c>
      <c r="U23" t="n">
        <v>2048</v>
      </c>
      <c r="V23" t="n">
        <v>2121</v>
      </c>
      <c r="W23" t="n">
        <v>2238</v>
      </c>
      <c r="X23" t="n">
        <v>2317</v>
      </c>
      <c r="Y23" t="n">
        <v>2355</v>
      </c>
      <c r="Z23" t="n">
        <v>2351</v>
      </c>
      <c r="AA23" t="n">
        <v>2498</v>
      </c>
      <c r="AB23" t="n">
        <v>2645</v>
      </c>
      <c r="AC23" t="n">
        <v>2889</v>
      </c>
      <c r="AD23" t="n">
        <v>3189</v>
      </c>
      <c r="AE23" t="n">
        <v>3459</v>
      </c>
      <c r="AF23" t="n">
        <v>3730</v>
      </c>
    </row>
    <row r="24">
      <c r="A24" t="s">
        <v>126</v>
      </c>
      <c r="B24" t="s">
        <v>318</v>
      </c>
      <c r="C24" t="s">
        <v>236</v>
      </c>
      <c r="D24" t="s">
        <v>319</v>
      </c>
      <c r="E24" t="s">
        <v>237</v>
      </c>
      <c r="F24" t="n">
        <v>3955</v>
      </c>
      <c r="G24" t="n">
        <v>3501</v>
      </c>
      <c r="H24" t="n">
        <v>3586</v>
      </c>
      <c r="I24" t="n">
        <v>3681</v>
      </c>
      <c r="J24" t="n">
        <v>3708</v>
      </c>
      <c r="K24" t="n">
        <v>3700</v>
      </c>
      <c r="L24" t="n">
        <v>3740</v>
      </c>
      <c r="M24" t="n">
        <v>3731</v>
      </c>
      <c r="N24" t="n">
        <v>3709</v>
      </c>
      <c r="O24" t="n">
        <v>3593</v>
      </c>
      <c r="P24" t="n">
        <v>3518</v>
      </c>
      <c r="Q24" t="n">
        <v>3439</v>
      </c>
      <c r="R24" t="n">
        <v>3472</v>
      </c>
      <c r="S24" t="n">
        <v>3567</v>
      </c>
      <c r="T24" t="n">
        <v>3672</v>
      </c>
      <c r="U24" t="n">
        <v>3610</v>
      </c>
      <c r="V24" t="n">
        <v>3685</v>
      </c>
      <c r="W24" t="n">
        <v>3925</v>
      </c>
      <c r="X24" t="n">
        <v>4000</v>
      </c>
      <c r="Y24" t="n">
        <v>4151</v>
      </c>
      <c r="Z24" t="n">
        <v>4129</v>
      </c>
      <c r="AA24" t="n">
        <v>4464</v>
      </c>
      <c r="AB24" t="n">
        <v>4714</v>
      </c>
      <c r="AC24" t="n">
        <v>5045</v>
      </c>
      <c r="AD24" t="n">
        <v>5313</v>
      </c>
      <c r="AE24" t="n">
        <v>5520</v>
      </c>
      <c r="AF24" t="n">
        <v>5726</v>
      </c>
    </row>
    <row r="25">
      <c r="A25" t="s">
        <v>126</v>
      </c>
      <c r="B25" t="s">
        <v>320</v>
      </c>
      <c r="C25" t="s">
        <v>236</v>
      </c>
      <c r="D25" t="s">
        <v>321</v>
      </c>
      <c r="E25" t="s">
        <v>237</v>
      </c>
      <c r="F25" t="n">
        <v>553</v>
      </c>
      <c r="G25" t="n">
        <v>490</v>
      </c>
      <c r="H25" t="n">
        <v>499</v>
      </c>
      <c r="I25" t="n">
        <v>513</v>
      </c>
      <c r="J25" t="n">
        <v>522</v>
      </c>
      <c r="K25" t="n">
        <v>520</v>
      </c>
      <c r="L25" t="n">
        <v>525</v>
      </c>
      <c r="M25" t="n">
        <v>523</v>
      </c>
      <c r="N25" t="n">
        <v>517</v>
      </c>
      <c r="O25" t="n">
        <v>508</v>
      </c>
      <c r="P25" t="n">
        <v>489</v>
      </c>
      <c r="Q25" t="n">
        <v>490</v>
      </c>
      <c r="R25" t="n">
        <v>472</v>
      </c>
      <c r="S25" t="n">
        <v>458</v>
      </c>
      <c r="T25" t="n">
        <v>471</v>
      </c>
      <c r="U25" t="n">
        <v>480</v>
      </c>
      <c r="V25" t="n">
        <v>529</v>
      </c>
      <c r="W25" t="n">
        <v>553</v>
      </c>
      <c r="X25" t="n">
        <v>555</v>
      </c>
      <c r="Y25" t="n">
        <v>578</v>
      </c>
      <c r="Z25" t="n">
        <v>573</v>
      </c>
      <c r="AA25" t="n">
        <v>632</v>
      </c>
      <c r="AB25" t="n">
        <v>648</v>
      </c>
      <c r="AC25" t="n">
        <v>683</v>
      </c>
      <c r="AD25" t="n">
        <v>731</v>
      </c>
      <c r="AE25" t="n">
        <v>779</v>
      </c>
      <c r="AF25" t="n">
        <v>825</v>
      </c>
    </row>
    <row r="26">
      <c r="A26" t="s">
        <v>126</v>
      </c>
      <c r="B26" t="s">
        <v>322</v>
      </c>
      <c r="C26" t="s">
        <v>236</v>
      </c>
      <c r="D26" t="s">
        <v>323</v>
      </c>
      <c r="E26" t="s">
        <v>237</v>
      </c>
      <c r="F26" t="n">
        <v>1599</v>
      </c>
      <c r="G26" t="n">
        <v>1381</v>
      </c>
      <c r="H26" t="n">
        <v>1453</v>
      </c>
      <c r="I26" t="n">
        <v>1490</v>
      </c>
      <c r="J26" t="n">
        <v>1485</v>
      </c>
      <c r="K26" t="n">
        <v>1486</v>
      </c>
      <c r="L26" t="n">
        <v>1505</v>
      </c>
      <c r="M26" t="n">
        <v>1508</v>
      </c>
      <c r="N26" t="n">
        <v>1483</v>
      </c>
      <c r="O26" t="n">
        <v>1421</v>
      </c>
      <c r="P26" t="n">
        <v>1380</v>
      </c>
      <c r="Q26" t="n">
        <v>1317</v>
      </c>
      <c r="R26" t="n">
        <v>1374</v>
      </c>
      <c r="S26" t="n">
        <v>1470</v>
      </c>
      <c r="T26" t="n">
        <v>1527</v>
      </c>
      <c r="U26" t="n">
        <v>1500</v>
      </c>
      <c r="V26" t="n">
        <v>1541</v>
      </c>
      <c r="W26" t="n">
        <v>1656</v>
      </c>
      <c r="X26" t="n">
        <v>1704</v>
      </c>
      <c r="Y26" t="n">
        <v>1793</v>
      </c>
      <c r="Z26" t="n">
        <v>1776</v>
      </c>
      <c r="AA26" t="n">
        <v>1949</v>
      </c>
      <c r="AB26" t="n">
        <v>2140</v>
      </c>
      <c r="AC26" t="n">
        <v>2346</v>
      </c>
      <c r="AD26" t="n">
        <v>2486</v>
      </c>
      <c r="AE26" t="n">
        <v>2560</v>
      </c>
      <c r="AF26" t="n">
        <v>2593</v>
      </c>
    </row>
    <row r="27">
      <c r="A27" t="s">
        <v>126</v>
      </c>
      <c r="B27" t="s">
        <v>324</v>
      </c>
      <c r="C27" t="s">
        <v>236</v>
      </c>
      <c r="D27" t="s">
        <v>325</v>
      </c>
      <c r="E27" t="s">
        <v>237</v>
      </c>
      <c r="F27" t="n">
        <v>1803</v>
      </c>
      <c r="G27" t="n">
        <v>1630</v>
      </c>
      <c r="H27" t="n">
        <v>1634</v>
      </c>
      <c r="I27" t="n">
        <v>1678</v>
      </c>
      <c r="J27" t="n">
        <v>1701</v>
      </c>
      <c r="K27" t="n">
        <v>1694</v>
      </c>
      <c r="L27" t="n">
        <v>1710</v>
      </c>
      <c r="M27" t="n">
        <v>1700</v>
      </c>
      <c r="N27" t="n">
        <v>1709</v>
      </c>
      <c r="O27" t="n">
        <v>1664</v>
      </c>
      <c r="P27" t="n">
        <v>1649</v>
      </c>
      <c r="Q27" t="n">
        <v>1632</v>
      </c>
      <c r="R27" t="n">
        <v>1626</v>
      </c>
      <c r="S27" t="n">
        <v>1639</v>
      </c>
      <c r="T27" t="n">
        <v>1674</v>
      </c>
      <c r="U27" t="n">
        <v>1630</v>
      </c>
      <c r="V27" t="n">
        <v>1615</v>
      </c>
      <c r="W27" t="n">
        <v>1716</v>
      </c>
      <c r="X27" t="n">
        <v>1741</v>
      </c>
      <c r="Y27" t="n">
        <v>1780</v>
      </c>
      <c r="Z27" t="n">
        <v>1780</v>
      </c>
      <c r="AA27" t="n">
        <v>1883</v>
      </c>
      <c r="AB27" t="n">
        <v>1926</v>
      </c>
      <c r="AC27" t="n">
        <v>2016</v>
      </c>
      <c r="AD27" t="n">
        <v>2096</v>
      </c>
      <c r="AE27" t="n">
        <v>2181</v>
      </c>
      <c r="AF27" t="n">
        <v>2308</v>
      </c>
    </row>
    <row r="28">
      <c r="A28" t="s">
        <v>126</v>
      </c>
      <c r="B28" t="s">
        <v>326</v>
      </c>
      <c r="C28" t="s">
        <v>236</v>
      </c>
      <c r="D28" t="s">
        <v>327</v>
      </c>
      <c r="E28" t="s">
        <v>237</v>
      </c>
      <c r="F28" t="n">
        <v>807</v>
      </c>
      <c r="G28" t="n">
        <v>793</v>
      </c>
      <c r="H28" t="n">
        <v>850</v>
      </c>
      <c r="I28" t="n">
        <v>943</v>
      </c>
      <c r="J28" t="n">
        <v>965</v>
      </c>
      <c r="K28" t="n">
        <v>990</v>
      </c>
      <c r="L28" t="n">
        <v>1028</v>
      </c>
      <c r="M28" t="n">
        <v>1073</v>
      </c>
      <c r="N28" t="n">
        <v>1133</v>
      </c>
      <c r="O28" t="n">
        <v>1141</v>
      </c>
      <c r="P28" t="n">
        <v>1136</v>
      </c>
      <c r="Q28" t="n">
        <v>1110</v>
      </c>
      <c r="R28" t="n">
        <v>1102</v>
      </c>
      <c r="S28" t="n">
        <v>1102</v>
      </c>
      <c r="T28" t="n">
        <v>1178</v>
      </c>
      <c r="U28" t="n">
        <v>1203</v>
      </c>
      <c r="V28" t="n">
        <v>1269</v>
      </c>
      <c r="W28" t="n">
        <v>1284</v>
      </c>
      <c r="X28" t="n">
        <v>1264</v>
      </c>
      <c r="Y28" t="n">
        <v>1335</v>
      </c>
      <c r="Z28" t="n">
        <v>1326</v>
      </c>
      <c r="AA28" t="n">
        <v>1418</v>
      </c>
      <c r="AB28" t="n">
        <v>1420</v>
      </c>
      <c r="AC28" t="n">
        <v>1467</v>
      </c>
      <c r="AD28" t="n">
        <v>1588</v>
      </c>
      <c r="AE28" t="n">
        <v>1631</v>
      </c>
      <c r="AF28" t="n">
        <v>1729</v>
      </c>
    </row>
    <row r="29">
      <c r="A29" t="s">
        <v>126</v>
      </c>
      <c r="B29" t="s">
        <v>328</v>
      </c>
      <c r="C29" t="s">
        <v>236</v>
      </c>
      <c r="D29" t="s">
        <v>329</v>
      </c>
      <c r="E29" t="s">
        <v>237</v>
      </c>
      <c r="F29" t="n">
        <v>297</v>
      </c>
      <c r="G29" t="n">
        <v>304</v>
      </c>
      <c r="H29" t="n">
        <v>332</v>
      </c>
      <c r="I29" t="n">
        <v>386</v>
      </c>
      <c r="J29" t="n">
        <v>376</v>
      </c>
      <c r="K29" t="n">
        <v>375</v>
      </c>
      <c r="L29" t="n">
        <v>382</v>
      </c>
      <c r="M29" t="n">
        <v>402</v>
      </c>
      <c r="N29" t="n">
        <v>433</v>
      </c>
      <c r="O29" t="n">
        <v>442</v>
      </c>
      <c r="P29" t="n">
        <v>431</v>
      </c>
      <c r="Q29" t="n">
        <v>395</v>
      </c>
      <c r="R29" t="n">
        <v>364</v>
      </c>
      <c r="S29" t="n">
        <v>360</v>
      </c>
      <c r="T29" t="n">
        <v>354</v>
      </c>
      <c r="U29" t="n">
        <v>349</v>
      </c>
      <c r="V29" t="n">
        <v>366</v>
      </c>
      <c r="W29" t="n">
        <v>358</v>
      </c>
      <c r="X29" t="n">
        <v>343</v>
      </c>
      <c r="Y29" t="n">
        <v>359</v>
      </c>
      <c r="Z29" t="n">
        <v>315</v>
      </c>
      <c r="AA29" t="n">
        <v>320</v>
      </c>
      <c r="AB29" t="n">
        <v>315</v>
      </c>
      <c r="AC29" t="n">
        <v>330</v>
      </c>
      <c r="AD29" t="n">
        <v>366</v>
      </c>
      <c r="AE29" t="n">
        <v>362</v>
      </c>
      <c r="AF29" t="n">
        <v>357</v>
      </c>
    </row>
    <row r="30">
      <c r="A30" t="s">
        <v>126</v>
      </c>
      <c r="B30" t="s">
        <v>330</v>
      </c>
      <c r="C30" t="s">
        <v>236</v>
      </c>
      <c r="D30" t="s">
        <v>331</v>
      </c>
      <c r="E30" t="s">
        <v>237</v>
      </c>
      <c r="F30" t="n">
        <v>9</v>
      </c>
      <c r="G30" t="n">
        <v>7</v>
      </c>
      <c r="H30" t="n">
        <v>6</v>
      </c>
      <c r="I30" t="n">
        <v>5</v>
      </c>
      <c r="J30" t="n">
        <v>2</v>
      </c>
      <c r="K30" t="n">
        <v>1</v>
      </c>
      <c r="L30" t="n">
        <v>8</v>
      </c>
      <c r="M30" t="n">
        <v>13</v>
      </c>
      <c r="N30" t="n">
        <v>18</v>
      </c>
      <c r="O30" t="n">
        <v>23</v>
      </c>
      <c r="P30" t="n">
        <v>30</v>
      </c>
      <c r="Q30" t="n">
        <v>46</v>
      </c>
      <c r="R30" t="n">
        <v>59</v>
      </c>
      <c r="S30" t="n">
        <v>68</v>
      </c>
      <c r="T30" t="n">
        <v>69</v>
      </c>
      <c r="U30" t="n">
        <v>66</v>
      </c>
      <c r="V30" t="n">
        <v>84</v>
      </c>
      <c r="W30" t="n">
        <v>104</v>
      </c>
      <c r="X30" t="n">
        <v>117</v>
      </c>
      <c r="Y30" t="n">
        <v>115</v>
      </c>
      <c r="Z30" t="n">
        <v>119</v>
      </c>
      <c r="AA30" t="n">
        <v>128</v>
      </c>
      <c r="AB30" t="n">
        <v>122</v>
      </c>
      <c r="AC30" t="n">
        <v>130</v>
      </c>
      <c r="AD30" t="n">
        <v>139</v>
      </c>
      <c r="AE30" t="n">
        <v>136</v>
      </c>
      <c r="AF30" t="n">
        <v>139</v>
      </c>
    </row>
    <row r="31">
      <c r="A31" t="s">
        <v>126</v>
      </c>
      <c r="B31" t="s">
        <v>332</v>
      </c>
      <c r="C31" t="s">
        <v>236</v>
      </c>
      <c r="D31" t="s">
        <v>333</v>
      </c>
      <c r="E31" t="s">
        <v>237</v>
      </c>
      <c r="F31" t="n">
        <v>99</v>
      </c>
      <c r="G31" t="n">
        <v>91</v>
      </c>
      <c r="H31" t="n">
        <v>92</v>
      </c>
      <c r="I31" t="n">
        <v>99</v>
      </c>
      <c r="J31" t="n">
        <v>102</v>
      </c>
      <c r="K31" t="n">
        <v>97</v>
      </c>
      <c r="L31" t="n">
        <v>99</v>
      </c>
      <c r="M31" t="n">
        <v>93</v>
      </c>
      <c r="N31" t="n">
        <v>86</v>
      </c>
      <c r="O31" t="n">
        <v>81</v>
      </c>
      <c r="P31" t="n">
        <v>80</v>
      </c>
      <c r="Q31" t="n">
        <v>82</v>
      </c>
      <c r="R31" t="n">
        <v>84</v>
      </c>
      <c r="S31" t="n">
        <v>86</v>
      </c>
      <c r="T31" t="n">
        <v>91</v>
      </c>
      <c r="U31" t="n">
        <v>82</v>
      </c>
      <c r="V31" t="n">
        <v>72</v>
      </c>
      <c r="W31" t="n">
        <v>63</v>
      </c>
      <c r="X31" t="n">
        <v>57</v>
      </c>
      <c r="Y31" t="n">
        <v>51</v>
      </c>
      <c r="Z31" t="n">
        <v>46</v>
      </c>
      <c r="AA31" t="n">
        <v>43</v>
      </c>
      <c r="AB31" t="n">
        <v>41</v>
      </c>
      <c r="AC31" t="n">
        <v>40</v>
      </c>
      <c r="AD31" t="n">
        <v>40</v>
      </c>
      <c r="AE31" t="n">
        <v>38</v>
      </c>
      <c r="AF31" t="n">
        <v>36</v>
      </c>
    </row>
    <row r="32">
      <c r="A32" t="s">
        <v>126</v>
      </c>
      <c r="B32" t="s">
        <v>334</v>
      </c>
      <c r="C32" t="s">
        <v>236</v>
      </c>
      <c r="D32" t="s">
        <v>335</v>
      </c>
      <c r="E32" t="s">
        <v>237</v>
      </c>
      <c r="F32" t="n">
        <v>289</v>
      </c>
      <c r="G32" t="n">
        <v>289</v>
      </c>
      <c r="H32" t="n">
        <v>310</v>
      </c>
      <c r="I32" t="n">
        <v>335</v>
      </c>
      <c r="J32" t="n">
        <v>357</v>
      </c>
      <c r="K32" t="n">
        <v>379</v>
      </c>
      <c r="L32" t="n">
        <v>394</v>
      </c>
      <c r="M32" t="n">
        <v>411</v>
      </c>
      <c r="N32" t="n">
        <v>443</v>
      </c>
      <c r="O32" t="n">
        <v>455</v>
      </c>
      <c r="P32" t="n">
        <v>469</v>
      </c>
      <c r="Q32" t="n">
        <v>473</v>
      </c>
      <c r="R32" t="n">
        <v>492</v>
      </c>
      <c r="S32" t="n">
        <v>494</v>
      </c>
      <c r="T32" t="n">
        <v>575</v>
      </c>
      <c r="U32" t="n">
        <v>622</v>
      </c>
      <c r="V32" t="n">
        <v>672</v>
      </c>
      <c r="W32" t="n">
        <v>691</v>
      </c>
      <c r="X32" t="n">
        <v>683</v>
      </c>
      <c r="Y32" t="n">
        <v>747</v>
      </c>
      <c r="Z32" t="n">
        <v>782</v>
      </c>
      <c r="AA32" t="n">
        <v>859</v>
      </c>
      <c r="AB32" t="n">
        <v>873</v>
      </c>
      <c r="AC32" t="n">
        <v>895</v>
      </c>
      <c r="AD32" t="n">
        <v>970</v>
      </c>
      <c r="AE32" t="n">
        <v>1022</v>
      </c>
      <c r="AF32" t="n">
        <v>1124</v>
      </c>
    </row>
    <row r="33">
      <c r="A33" t="s">
        <v>126</v>
      </c>
      <c r="B33" t="s">
        <v>336</v>
      </c>
      <c r="C33" t="s">
        <v>236</v>
      </c>
      <c r="D33" t="s">
        <v>337</v>
      </c>
      <c r="E33" t="s">
        <v>237</v>
      </c>
      <c r="F33" t="n">
        <v>113</v>
      </c>
      <c r="G33" t="n">
        <v>102</v>
      </c>
      <c r="H33" t="n">
        <v>110</v>
      </c>
      <c r="I33" t="n">
        <v>118</v>
      </c>
      <c r="J33" t="n">
        <v>128</v>
      </c>
      <c r="K33" t="n">
        <v>138</v>
      </c>
      <c r="L33" t="n">
        <v>145</v>
      </c>
      <c r="M33" t="n">
        <v>154</v>
      </c>
      <c r="N33" t="n">
        <v>153</v>
      </c>
      <c r="O33" t="n">
        <v>140</v>
      </c>
      <c r="P33" t="n">
        <v>126</v>
      </c>
      <c r="Q33" t="n">
        <v>114</v>
      </c>
      <c r="R33" t="n">
        <v>103</v>
      </c>
      <c r="S33" t="n">
        <v>94</v>
      </c>
      <c r="T33" t="n">
        <v>89</v>
      </c>
      <c r="U33" t="n">
        <v>84</v>
      </c>
      <c r="V33" t="n">
        <v>75</v>
      </c>
      <c r="W33" t="n">
        <v>68</v>
      </c>
      <c r="X33" t="n">
        <v>64</v>
      </c>
      <c r="Y33" t="n">
        <v>63</v>
      </c>
      <c r="Z33" t="n">
        <v>64</v>
      </c>
      <c r="AA33" t="n">
        <v>68</v>
      </c>
      <c r="AB33" t="n">
        <v>69</v>
      </c>
      <c r="AC33" t="n">
        <v>72</v>
      </c>
      <c r="AD33" t="n">
        <v>73</v>
      </c>
      <c r="AE33" t="n">
        <v>73</v>
      </c>
      <c r="AF33" t="n">
        <v>73</v>
      </c>
    </row>
    <row r="34">
      <c r="A34" t="s">
        <v>126</v>
      </c>
      <c r="B34" t="s">
        <v>338</v>
      </c>
      <c r="C34" t="s">
        <v>236</v>
      </c>
      <c r="D34" t="s">
        <v>339</v>
      </c>
      <c r="E34" t="s">
        <v>237</v>
      </c>
      <c r="F34" t="n">
        <v>482</v>
      </c>
      <c r="G34" t="n">
        <v>438</v>
      </c>
      <c r="H34" t="n">
        <v>456</v>
      </c>
      <c r="I34" t="n">
        <v>493</v>
      </c>
      <c r="J34" t="n">
        <v>501</v>
      </c>
      <c r="K34" t="n">
        <v>506</v>
      </c>
      <c r="L34" t="n">
        <v>511</v>
      </c>
      <c r="M34" t="n">
        <v>513</v>
      </c>
      <c r="N34" t="n">
        <v>520</v>
      </c>
      <c r="O34" t="n">
        <v>519</v>
      </c>
      <c r="P34" t="n">
        <v>531</v>
      </c>
      <c r="Q34" t="n">
        <v>561</v>
      </c>
      <c r="R34" t="n">
        <v>584</v>
      </c>
      <c r="S34" t="n">
        <v>618</v>
      </c>
      <c r="T34" t="n">
        <v>637</v>
      </c>
      <c r="U34" t="n">
        <v>626</v>
      </c>
      <c r="V34" t="n">
        <v>634</v>
      </c>
      <c r="W34" t="n">
        <v>663</v>
      </c>
      <c r="X34" t="n">
        <v>670</v>
      </c>
      <c r="Y34" t="n">
        <v>682</v>
      </c>
      <c r="Z34" t="n">
        <v>697</v>
      </c>
      <c r="AA34" t="n">
        <v>756</v>
      </c>
      <c r="AB34" t="n">
        <v>779</v>
      </c>
      <c r="AC34" t="n">
        <v>846</v>
      </c>
      <c r="AD34" t="n">
        <v>911</v>
      </c>
      <c r="AE34" t="n">
        <v>942</v>
      </c>
      <c r="AF34" t="n">
        <v>999</v>
      </c>
    </row>
    <row r="35">
      <c r="A35" t="s">
        <v>126</v>
      </c>
      <c r="B35" t="s">
        <v>340</v>
      </c>
      <c r="C35" t="s">
        <v>236</v>
      </c>
      <c r="D35" t="s">
        <v>341</v>
      </c>
      <c r="E35" t="s">
        <v>237</v>
      </c>
      <c r="F35" t="n">
        <v>1830</v>
      </c>
      <c r="G35" t="n">
        <v>1490</v>
      </c>
      <c r="H35" t="n">
        <v>1586</v>
      </c>
      <c r="I35" t="n">
        <v>1660</v>
      </c>
      <c r="J35" t="n">
        <v>1687</v>
      </c>
      <c r="K35" t="n">
        <v>1804</v>
      </c>
      <c r="L35" t="n">
        <v>1985</v>
      </c>
      <c r="M35" t="n">
        <v>2083</v>
      </c>
      <c r="N35" t="n">
        <v>2005</v>
      </c>
      <c r="O35" t="n">
        <v>1937</v>
      </c>
      <c r="P35" t="n">
        <v>1875</v>
      </c>
      <c r="Q35" t="n">
        <v>1806</v>
      </c>
      <c r="R35" t="n">
        <v>1740</v>
      </c>
      <c r="S35" t="n">
        <v>1740</v>
      </c>
      <c r="T35" t="n">
        <v>1738</v>
      </c>
      <c r="U35" t="n">
        <v>1739</v>
      </c>
      <c r="V35" t="n">
        <v>1760</v>
      </c>
      <c r="W35" t="n">
        <v>1860</v>
      </c>
      <c r="X35" t="n">
        <v>1902</v>
      </c>
      <c r="Y35" t="n">
        <v>1924</v>
      </c>
      <c r="Z35" t="n">
        <v>1932</v>
      </c>
      <c r="AA35" t="n">
        <v>1985</v>
      </c>
      <c r="AB35" t="n">
        <v>1982</v>
      </c>
      <c r="AC35" t="n">
        <v>2028</v>
      </c>
      <c r="AD35" t="n">
        <v>2046</v>
      </c>
      <c r="AE35" t="n">
        <v>2124</v>
      </c>
      <c r="AF35" t="n">
        <v>2365</v>
      </c>
    </row>
    <row r="36">
      <c r="A36" t="s">
        <v>126</v>
      </c>
      <c r="B36" t="s">
        <v>342</v>
      </c>
      <c r="C36" t="s">
        <v>236</v>
      </c>
      <c r="D36" t="s">
        <v>343</v>
      </c>
      <c r="E36" t="s">
        <v>237</v>
      </c>
      <c r="F36" t="n">
        <v>435</v>
      </c>
      <c r="G36" t="n">
        <v>395</v>
      </c>
      <c r="H36" t="n">
        <v>423</v>
      </c>
      <c r="I36" t="n">
        <v>436</v>
      </c>
      <c r="J36" t="n">
        <v>394</v>
      </c>
      <c r="K36" t="n">
        <v>397</v>
      </c>
      <c r="L36" t="n">
        <v>401</v>
      </c>
      <c r="M36" t="n">
        <v>390</v>
      </c>
      <c r="N36" t="n">
        <v>372</v>
      </c>
      <c r="O36" t="n">
        <v>349</v>
      </c>
      <c r="P36" t="n">
        <v>340</v>
      </c>
      <c r="Q36" t="n">
        <v>325</v>
      </c>
      <c r="R36" t="n">
        <v>304</v>
      </c>
      <c r="S36" t="n">
        <v>292</v>
      </c>
      <c r="T36" t="n">
        <v>286</v>
      </c>
      <c r="U36" t="n">
        <v>293</v>
      </c>
      <c r="V36" t="n">
        <v>291</v>
      </c>
      <c r="W36" t="n">
        <v>309</v>
      </c>
      <c r="X36" t="n">
        <v>308</v>
      </c>
      <c r="Y36" t="n">
        <v>309</v>
      </c>
      <c r="Z36" t="n">
        <v>310</v>
      </c>
      <c r="AA36" t="n">
        <v>307</v>
      </c>
      <c r="AB36" t="n">
        <v>309</v>
      </c>
      <c r="AC36" t="n">
        <v>297</v>
      </c>
      <c r="AD36" t="n">
        <v>278</v>
      </c>
      <c r="AE36" t="n">
        <v>253</v>
      </c>
      <c r="AF36" t="n">
        <v>315</v>
      </c>
    </row>
    <row r="37">
      <c r="A37" t="s">
        <v>126</v>
      </c>
      <c r="B37" t="s">
        <v>344</v>
      </c>
      <c r="C37" t="s">
        <v>236</v>
      </c>
      <c r="D37" t="s">
        <v>345</v>
      </c>
      <c r="E37" t="s">
        <v>237</v>
      </c>
      <c r="F37" t="n">
        <v>1188</v>
      </c>
      <c r="G37" t="n">
        <v>909</v>
      </c>
      <c r="H37" t="n">
        <v>964</v>
      </c>
      <c r="I37" t="n">
        <v>1002</v>
      </c>
      <c r="J37" t="n">
        <v>1034</v>
      </c>
      <c r="K37" t="n">
        <v>1111</v>
      </c>
      <c r="L37" t="n">
        <v>1205</v>
      </c>
      <c r="M37" t="n">
        <v>1293</v>
      </c>
      <c r="N37" t="n">
        <v>1228</v>
      </c>
      <c r="O37" t="n">
        <v>1197</v>
      </c>
      <c r="P37" t="n">
        <v>1144</v>
      </c>
      <c r="Q37" t="n">
        <v>1094</v>
      </c>
      <c r="R37" t="n">
        <v>1052</v>
      </c>
      <c r="S37" t="n">
        <v>1080</v>
      </c>
      <c r="T37" t="n">
        <v>1113</v>
      </c>
      <c r="U37" t="n">
        <v>1119</v>
      </c>
      <c r="V37" t="n">
        <v>1148</v>
      </c>
      <c r="W37" t="n">
        <v>1187</v>
      </c>
      <c r="X37" t="n">
        <v>1207</v>
      </c>
      <c r="Y37" t="n">
        <v>1222</v>
      </c>
      <c r="Z37" t="n">
        <v>1215</v>
      </c>
      <c r="AA37" t="n">
        <v>1270</v>
      </c>
      <c r="AB37" t="n">
        <v>1293</v>
      </c>
      <c r="AC37" t="n">
        <v>1329</v>
      </c>
      <c r="AD37" t="n">
        <v>1361</v>
      </c>
      <c r="AE37" t="n">
        <v>1450</v>
      </c>
      <c r="AF37" t="n">
        <v>1581</v>
      </c>
    </row>
    <row r="38">
      <c r="A38" t="s">
        <v>126</v>
      </c>
      <c r="B38" t="s">
        <v>346</v>
      </c>
      <c r="C38" t="s">
        <v>236</v>
      </c>
      <c r="D38" t="s">
        <v>347</v>
      </c>
      <c r="E38" t="s">
        <v>237</v>
      </c>
      <c r="F38" t="n">
        <v>207</v>
      </c>
      <c r="G38" t="n">
        <v>186</v>
      </c>
      <c r="H38" t="n">
        <v>199</v>
      </c>
      <c r="I38" t="n">
        <v>222</v>
      </c>
      <c r="J38" t="n">
        <v>259</v>
      </c>
      <c r="K38" t="n">
        <v>296</v>
      </c>
      <c r="L38" t="n">
        <v>379</v>
      </c>
      <c r="M38" t="n">
        <v>400</v>
      </c>
      <c r="N38" t="n">
        <v>405</v>
      </c>
      <c r="O38" t="n">
        <v>391</v>
      </c>
      <c r="P38" t="n">
        <v>391</v>
      </c>
      <c r="Q38" t="n">
        <v>387</v>
      </c>
      <c r="R38" t="n">
        <v>384</v>
      </c>
      <c r="S38" t="n">
        <v>368</v>
      </c>
      <c r="T38" t="n">
        <v>339</v>
      </c>
      <c r="U38" t="n">
        <v>327</v>
      </c>
      <c r="V38" t="n">
        <v>321</v>
      </c>
      <c r="W38" t="n">
        <v>364</v>
      </c>
      <c r="X38" t="n">
        <v>387</v>
      </c>
      <c r="Y38" t="n">
        <v>393</v>
      </c>
      <c r="Z38" t="n">
        <v>407</v>
      </c>
      <c r="AA38" t="n">
        <v>408</v>
      </c>
      <c r="AB38" t="n">
        <v>380</v>
      </c>
      <c r="AC38" t="n">
        <v>402</v>
      </c>
      <c r="AD38" t="n">
        <v>407</v>
      </c>
      <c r="AE38" t="n">
        <v>421</v>
      </c>
      <c r="AF38" t="n">
        <v>469</v>
      </c>
    </row>
    <row r="39">
      <c r="A39" t="s">
        <v>126</v>
      </c>
      <c r="B39" t="s">
        <v>348</v>
      </c>
      <c r="C39" t="s">
        <v>236</v>
      </c>
      <c r="D39" t="s">
        <v>349</v>
      </c>
      <c r="E39" t="s">
        <v>237</v>
      </c>
      <c r="F39" t="n">
        <v>686</v>
      </c>
      <c r="G39" t="n">
        <v>563</v>
      </c>
      <c r="H39" t="n">
        <v>479</v>
      </c>
      <c r="I39" t="n">
        <v>410</v>
      </c>
      <c r="J39" t="n">
        <v>347</v>
      </c>
      <c r="K39" t="n">
        <v>285</v>
      </c>
      <c r="L39" t="n">
        <v>229</v>
      </c>
      <c r="M39" t="n">
        <v>278</v>
      </c>
      <c r="N39" t="n">
        <v>222</v>
      </c>
      <c r="O39" t="n">
        <v>171</v>
      </c>
      <c r="P39" t="n">
        <v>140</v>
      </c>
      <c r="Q39" t="n">
        <v>162</v>
      </c>
      <c r="R39" t="n">
        <v>159</v>
      </c>
      <c r="S39" t="n">
        <v>169</v>
      </c>
      <c r="T39" t="n">
        <v>163</v>
      </c>
      <c r="U39" t="n">
        <v>88</v>
      </c>
      <c r="V39" t="n">
        <v>42</v>
      </c>
      <c r="W39" t="n">
        <v>57</v>
      </c>
      <c r="X39" t="n">
        <v>64</v>
      </c>
      <c r="Y39" t="n">
        <v>63</v>
      </c>
      <c r="Z39" t="n">
        <v>55</v>
      </c>
      <c r="AA39" t="n">
        <v>58</v>
      </c>
      <c r="AB39" t="n">
        <v>90</v>
      </c>
      <c r="AC39" t="n">
        <v>105</v>
      </c>
      <c r="AD39" t="n">
        <v>136</v>
      </c>
      <c r="AE39" t="n">
        <v>150</v>
      </c>
      <c r="AF39" t="n">
        <v>154</v>
      </c>
    </row>
    <row r="40">
      <c r="A40" t="s">
        <v>126</v>
      </c>
      <c r="B40" t="s">
        <v>350</v>
      </c>
      <c r="C40" t="s">
        <v>236</v>
      </c>
      <c r="D40" t="s">
        <v>351</v>
      </c>
      <c r="E40" t="s">
        <v>237</v>
      </c>
      <c r="F40" t="n">
        <v>293</v>
      </c>
      <c r="G40" t="n">
        <v>253</v>
      </c>
      <c r="H40" t="n">
        <v>246</v>
      </c>
      <c r="I40" t="n">
        <v>228</v>
      </c>
      <c r="J40" t="n">
        <v>209</v>
      </c>
      <c r="K40" t="n">
        <v>220</v>
      </c>
      <c r="L40" t="n">
        <v>221</v>
      </c>
      <c r="M40" t="n">
        <v>238</v>
      </c>
      <c r="N40" t="n">
        <v>287</v>
      </c>
      <c r="O40" t="n">
        <v>302</v>
      </c>
      <c r="P40" t="n">
        <v>347</v>
      </c>
      <c r="Q40" t="n">
        <v>393</v>
      </c>
      <c r="R40" t="n">
        <v>407</v>
      </c>
      <c r="S40" t="n">
        <v>485</v>
      </c>
      <c r="T40" t="n">
        <v>555</v>
      </c>
      <c r="U40" t="n">
        <v>540</v>
      </c>
      <c r="V40" t="n">
        <v>521</v>
      </c>
      <c r="W40" t="n">
        <v>519</v>
      </c>
      <c r="X40" t="n">
        <v>526</v>
      </c>
      <c r="Y40" t="n">
        <v>539</v>
      </c>
      <c r="Z40" t="n">
        <v>555</v>
      </c>
      <c r="AA40" t="n">
        <v>592</v>
      </c>
      <c r="AB40" t="n">
        <v>640</v>
      </c>
      <c r="AC40" t="n">
        <v>799</v>
      </c>
      <c r="AD40" t="n">
        <v>899</v>
      </c>
      <c r="AE40" t="n">
        <v>955</v>
      </c>
      <c r="AF40" t="n">
        <v>1041</v>
      </c>
    </row>
    <row r="41">
      <c r="A41" t="s">
        <v>126</v>
      </c>
      <c r="B41" t="s">
        <v>352</v>
      </c>
      <c r="C41" t="s">
        <v>236</v>
      </c>
      <c r="D41" t="s">
        <v>353</v>
      </c>
      <c r="E41" t="s">
        <v>237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126</v>
      </c>
      <c r="B42" t="s">
        <v>354</v>
      </c>
      <c r="C42" t="s">
        <v>236</v>
      </c>
      <c r="D42" t="s">
        <v>355</v>
      </c>
      <c r="E42" t="s">
        <v>237</v>
      </c>
      <c r="F42" t="n">
        <v>599</v>
      </c>
      <c r="G42" t="n">
        <v>579</v>
      </c>
      <c r="H42" t="n">
        <v>625</v>
      </c>
      <c r="I42" t="n">
        <v>679</v>
      </c>
      <c r="J42" t="n">
        <v>714</v>
      </c>
      <c r="K42" t="n">
        <v>747</v>
      </c>
      <c r="L42" t="n">
        <v>776</v>
      </c>
      <c r="M42" t="n">
        <v>818</v>
      </c>
      <c r="N42" t="n">
        <v>836</v>
      </c>
      <c r="O42" t="n">
        <v>859</v>
      </c>
      <c r="P42" t="n">
        <v>866</v>
      </c>
      <c r="Q42" t="n">
        <v>860</v>
      </c>
      <c r="R42" t="n">
        <v>924</v>
      </c>
      <c r="S42" t="n">
        <v>941</v>
      </c>
      <c r="T42" t="n">
        <v>913</v>
      </c>
      <c r="U42" t="n">
        <v>922</v>
      </c>
      <c r="V42" t="n">
        <v>950</v>
      </c>
      <c r="W42" t="n">
        <v>1008</v>
      </c>
      <c r="X42" t="n">
        <v>1026</v>
      </c>
      <c r="Y42" t="n">
        <v>1057</v>
      </c>
      <c r="Z42" t="n">
        <v>1059</v>
      </c>
      <c r="AA42" t="n">
        <v>1071</v>
      </c>
      <c r="AB42" t="n">
        <v>1077</v>
      </c>
      <c r="AC42" t="n">
        <v>1123</v>
      </c>
      <c r="AD42" t="n">
        <v>1197</v>
      </c>
      <c r="AE42" t="n">
        <v>1229</v>
      </c>
      <c r="AF42" t="n">
        <v>1357</v>
      </c>
    </row>
    <row r="43">
      <c r="A43" t="s">
        <v>126</v>
      </c>
      <c r="B43" t="s">
        <v>356</v>
      </c>
      <c r="C43" t="s">
        <v>236</v>
      </c>
      <c r="D43" t="s">
        <v>357</v>
      </c>
      <c r="E43" t="s">
        <v>237</v>
      </c>
      <c r="F43" t="n">
        <v>1200</v>
      </c>
      <c r="G43" t="n">
        <v>1176</v>
      </c>
      <c r="H43" t="n">
        <v>1240</v>
      </c>
      <c r="I43" t="n">
        <v>1333</v>
      </c>
      <c r="J43" t="n">
        <v>1399</v>
      </c>
      <c r="K43" t="n">
        <v>1501</v>
      </c>
      <c r="L43" t="n">
        <v>1472</v>
      </c>
      <c r="M43" t="n">
        <v>1504</v>
      </c>
      <c r="N43" t="n">
        <v>1538</v>
      </c>
      <c r="O43" t="n">
        <v>1603</v>
      </c>
      <c r="P43" t="n">
        <v>1665</v>
      </c>
      <c r="Q43" t="n">
        <v>1708</v>
      </c>
      <c r="R43" t="n">
        <v>1830</v>
      </c>
      <c r="S43" t="n">
        <v>1983</v>
      </c>
      <c r="T43" t="n">
        <v>1978</v>
      </c>
      <c r="U43" t="n">
        <v>1968</v>
      </c>
      <c r="V43" t="n">
        <v>2023</v>
      </c>
      <c r="W43" t="n">
        <v>2138</v>
      </c>
      <c r="X43" t="n">
        <v>2188</v>
      </c>
      <c r="Y43" t="n">
        <v>2294</v>
      </c>
      <c r="Z43" t="n">
        <v>2227</v>
      </c>
      <c r="AA43" t="n">
        <v>2292</v>
      </c>
      <c r="AB43" t="n">
        <v>2317</v>
      </c>
      <c r="AC43" t="n">
        <v>2456</v>
      </c>
      <c r="AD43" t="n">
        <v>2649</v>
      </c>
      <c r="AE43" t="n">
        <v>2728</v>
      </c>
      <c r="AF43" t="n">
        <v>2949</v>
      </c>
    </row>
    <row r="44">
      <c r="A44" t="s">
        <v>126</v>
      </c>
      <c r="B44" t="s">
        <v>358</v>
      </c>
      <c r="C44" t="s">
        <v>236</v>
      </c>
      <c r="D44" t="s">
        <v>359</v>
      </c>
      <c r="E44" t="s">
        <v>237</v>
      </c>
      <c r="F44" t="n">
        <v>41628</v>
      </c>
      <c r="G44" t="n">
        <v>39019</v>
      </c>
      <c r="H44" t="n">
        <v>40330</v>
      </c>
      <c r="I44" t="n">
        <v>41762</v>
      </c>
      <c r="J44" t="n">
        <v>41948</v>
      </c>
      <c r="K44" t="n">
        <v>42175</v>
      </c>
      <c r="L44" t="n">
        <v>43532</v>
      </c>
      <c r="M44" t="n">
        <v>43961</v>
      </c>
      <c r="N44" t="n">
        <v>43881</v>
      </c>
      <c r="O44" t="n">
        <v>43455</v>
      </c>
      <c r="P44" t="n">
        <v>43484</v>
      </c>
      <c r="Q44" t="n">
        <v>43562</v>
      </c>
      <c r="R44" t="n">
        <v>44185</v>
      </c>
      <c r="S44" t="n">
        <v>45670</v>
      </c>
      <c r="T44" t="n">
        <v>46743</v>
      </c>
      <c r="U44" t="n">
        <v>46155</v>
      </c>
      <c r="V44" t="n">
        <v>45908</v>
      </c>
      <c r="W44" t="n">
        <v>47124</v>
      </c>
      <c r="X44" t="n">
        <v>47661</v>
      </c>
      <c r="Y44" t="n">
        <v>48307</v>
      </c>
      <c r="Z44" t="n">
        <v>48658</v>
      </c>
      <c r="AA44" t="n">
        <v>50683</v>
      </c>
      <c r="AB44" t="n">
        <v>52547</v>
      </c>
      <c r="AC44" t="n">
        <v>54127</v>
      </c>
      <c r="AD44" t="n">
        <v>55623</v>
      </c>
      <c r="AE44" t="n">
        <v>57191</v>
      </c>
      <c r="AF44" t="n">
        <v>59087</v>
      </c>
    </row>
    <row r="45">
      <c r="A45" t="s">
        <v>126</v>
      </c>
      <c r="B45" t="s">
        <v>360</v>
      </c>
      <c r="C45" t="s">
        <v>236</v>
      </c>
      <c r="D45" t="s">
        <v>361</v>
      </c>
      <c r="E45" t="s">
        <v>237</v>
      </c>
      <c r="F45" t="n">
        <v>40046</v>
      </c>
      <c r="G45" t="n">
        <v>37873</v>
      </c>
      <c r="H45" t="n">
        <v>39194</v>
      </c>
      <c r="I45" t="n">
        <v>40623</v>
      </c>
      <c r="J45" t="n">
        <v>40806</v>
      </c>
      <c r="K45" t="n">
        <v>41060</v>
      </c>
      <c r="L45" t="n">
        <v>42400</v>
      </c>
      <c r="M45" t="n">
        <v>42732</v>
      </c>
      <c r="N45" t="n">
        <v>42570</v>
      </c>
      <c r="O45" t="n">
        <v>42085</v>
      </c>
      <c r="P45" t="n">
        <v>42085</v>
      </c>
      <c r="Q45" t="n">
        <v>42078</v>
      </c>
      <c r="R45" t="n">
        <v>42606</v>
      </c>
      <c r="S45" t="n">
        <v>44057</v>
      </c>
      <c r="T45" t="n">
        <v>45041</v>
      </c>
      <c r="U45" t="n">
        <v>44425</v>
      </c>
      <c r="V45" t="n">
        <v>44131</v>
      </c>
      <c r="W45" t="n">
        <v>45289</v>
      </c>
      <c r="X45" t="n">
        <v>45773</v>
      </c>
      <c r="Y45" t="n">
        <v>46383</v>
      </c>
      <c r="Z45" t="n">
        <v>46747</v>
      </c>
      <c r="AA45" t="n">
        <v>48817</v>
      </c>
      <c r="AB45" t="n">
        <v>50712</v>
      </c>
      <c r="AC45" t="n">
        <v>52219</v>
      </c>
      <c r="AD45" t="n">
        <v>53672</v>
      </c>
      <c r="AE45" t="n">
        <v>55275</v>
      </c>
      <c r="AF45" t="n">
        <v>57219</v>
      </c>
    </row>
    <row r="46">
      <c r="A46" t="s">
        <v>126</v>
      </c>
      <c r="B46" t="s">
        <v>362</v>
      </c>
      <c r="C46" t="s">
        <v>236</v>
      </c>
      <c r="D46" t="s">
        <v>363</v>
      </c>
      <c r="E46" t="s">
        <v>237</v>
      </c>
      <c r="F46" t="n">
        <v>601</v>
      </c>
      <c r="G46" t="n">
        <v>597</v>
      </c>
      <c r="H46" t="n">
        <v>615</v>
      </c>
      <c r="I46" t="n">
        <v>654</v>
      </c>
      <c r="J46" t="n">
        <v>685</v>
      </c>
      <c r="K46" t="n">
        <v>754</v>
      </c>
      <c r="L46" t="n">
        <v>696</v>
      </c>
      <c r="M46" t="n">
        <v>686</v>
      </c>
      <c r="N46" t="n">
        <v>702</v>
      </c>
      <c r="O46" t="n">
        <v>744</v>
      </c>
      <c r="P46" t="n">
        <v>799</v>
      </c>
      <c r="Q46" t="n">
        <v>848</v>
      </c>
      <c r="R46" t="n">
        <v>906</v>
      </c>
      <c r="S46" t="n">
        <v>1042</v>
      </c>
      <c r="T46" t="n">
        <v>1065</v>
      </c>
      <c r="U46" t="n">
        <v>1046</v>
      </c>
      <c r="V46" t="n">
        <v>1073</v>
      </c>
      <c r="W46" t="n">
        <v>1130</v>
      </c>
      <c r="X46" t="n">
        <v>1162</v>
      </c>
      <c r="Y46" t="n">
        <v>1237</v>
      </c>
      <c r="Z46" t="n">
        <v>1168</v>
      </c>
      <c r="AA46" t="n">
        <v>1221</v>
      </c>
      <c r="AB46" t="n">
        <v>1240</v>
      </c>
      <c r="AC46" t="n">
        <v>1333</v>
      </c>
      <c r="AD46" t="n">
        <v>1452</v>
      </c>
      <c r="AE46" t="n">
        <v>1499</v>
      </c>
      <c r="AF46" t="n">
        <v>1592</v>
      </c>
    </row>
    <row r="47">
      <c r="A47" t="s">
        <v>126</v>
      </c>
      <c r="B47" t="s">
        <v>364</v>
      </c>
      <c r="C47" t="s">
        <v>236</v>
      </c>
      <c r="D47" t="s">
        <v>365</v>
      </c>
      <c r="E47" t="s">
        <v>237</v>
      </c>
      <c r="F47" t="n">
        <v>5800</v>
      </c>
      <c r="G47" t="n">
        <v>5975</v>
      </c>
      <c r="H47" t="n">
        <v>6426</v>
      </c>
      <c r="I47" t="n">
        <v>6988</v>
      </c>
      <c r="J47" t="n">
        <v>7307</v>
      </c>
      <c r="K47" t="n">
        <v>7509</v>
      </c>
      <c r="L47" t="n">
        <v>7613</v>
      </c>
      <c r="M47" t="n">
        <v>7222</v>
      </c>
      <c r="N47" t="n">
        <v>6845</v>
      </c>
      <c r="O47" t="n">
        <v>6678</v>
      </c>
      <c r="P47" t="n">
        <v>7028</v>
      </c>
      <c r="Q47" t="n">
        <v>7011</v>
      </c>
      <c r="R47" t="n">
        <v>7000</v>
      </c>
      <c r="S47" t="n">
        <v>7495</v>
      </c>
      <c r="T47" t="n">
        <v>7583</v>
      </c>
      <c r="U47" t="n">
        <v>7524</v>
      </c>
      <c r="V47" t="n">
        <v>7532</v>
      </c>
      <c r="W47" t="n">
        <v>7927</v>
      </c>
      <c r="X47" t="n">
        <v>8217</v>
      </c>
      <c r="Y47" t="n">
        <v>8352</v>
      </c>
      <c r="Z47" t="n">
        <v>8424</v>
      </c>
      <c r="AA47" t="n">
        <v>8735</v>
      </c>
      <c r="AB47" t="n">
        <v>8939</v>
      </c>
      <c r="AC47" t="n">
        <v>9095</v>
      </c>
      <c r="AD47" t="n">
        <v>9275</v>
      </c>
      <c r="AE47" t="n">
        <v>9869</v>
      </c>
      <c r="AF47" t="n">
        <v>9880</v>
      </c>
    </row>
    <row r="48">
      <c r="A48" t="s">
        <v>126</v>
      </c>
      <c r="B48" t="s">
        <v>366</v>
      </c>
      <c r="C48" t="s">
        <v>236</v>
      </c>
      <c r="D48" t="s">
        <v>367</v>
      </c>
      <c r="E48" t="s">
        <v>237</v>
      </c>
      <c r="F48" t="n">
        <v>7241</v>
      </c>
      <c r="G48" t="n">
        <v>7344</v>
      </c>
      <c r="H48" t="n">
        <v>7879</v>
      </c>
      <c r="I48" t="n">
        <v>8516</v>
      </c>
      <c r="J48" t="n">
        <v>8880</v>
      </c>
      <c r="K48" t="n">
        <v>9155</v>
      </c>
      <c r="L48" t="n">
        <v>9369</v>
      </c>
      <c r="M48" t="n">
        <v>9107</v>
      </c>
      <c r="N48" t="n">
        <v>8805</v>
      </c>
      <c r="O48" t="n">
        <v>8674</v>
      </c>
      <c r="P48" t="n">
        <v>9072</v>
      </c>
      <c r="Q48" t="n">
        <v>9141</v>
      </c>
      <c r="R48" t="n">
        <v>9207</v>
      </c>
      <c r="S48" t="n">
        <v>9767</v>
      </c>
      <c r="T48" t="n">
        <v>9957</v>
      </c>
      <c r="U48" t="n">
        <v>9940</v>
      </c>
      <c r="V48" t="n">
        <v>10011</v>
      </c>
      <c r="W48" t="n">
        <v>10543</v>
      </c>
      <c r="X48" t="n">
        <v>10895</v>
      </c>
      <c r="Y48" t="n">
        <v>11100</v>
      </c>
      <c r="Z48" t="n">
        <v>11236</v>
      </c>
      <c r="AA48" t="n">
        <v>11645</v>
      </c>
      <c r="AB48" t="n">
        <v>11874</v>
      </c>
      <c r="AC48" t="n">
        <v>12078</v>
      </c>
      <c r="AD48" t="n">
        <v>12354</v>
      </c>
      <c r="AE48" t="n">
        <v>13041</v>
      </c>
      <c r="AF48" t="n">
        <v>13091</v>
      </c>
    </row>
    <row r="49">
      <c r="A49" t="s">
        <v>126</v>
      </c>
      <c r="B49" t="s">
        <v>368</v>
      </c>
      <c r="C49" t="s">
        <v>236</v>
      </c>
      <c r="D49" t="s">
        <v>369</v>
      </c>
      <c r="E49" t="s">
        <v>237</v>
      </c>
      <c r="F49" t="n">
        <v>907</v>
      </c>
      <c r="G49" t="n">
        <v>866</v>
      </c>
      <c r="H49" t="n">
        <v>921</v>
      </c>
      <c r="I49" t="n">
        <v>971</v>
      </c>
      <c r="J49" t="n">
        <v>1002</v>
      </c>
      <c r="K49" t="n">
        <v>1041</v>
      </c>
      <c r="L49" t="n">
        <v>1103</v>
      </c>
      <c r="M49" t="n">
        <v>1173</v>
      </c>
      <c r="N49" t="n">
        <v>1214</v>
      </c>
      <c r="O49" t="n">
        <v>1236</v>
      </c>
      <c r="P49" t="n">
        <v>1237</v>
      </c>
      <c r="Q49" t="n">
        <v>1239</v>
      </c>
      <c r="R49" t="n">
        <v>1230</v>
      </c>
      <c r="S49" t="n">
        <v>1224</v>
      </c>
      <c r="T49" t="n">
        <v>1259</v>
      </c>
      <c r="U49" t="n">
        <v>1245</v>
      </c>
      <c r="V49" t="n">
        <v>1257</v>
      </c>
      <c r="W49" t="n">
        <v>1286</v>
      </c>
      <c r="X49" t="n">
        <v>1278</v>
      </c>
      <c r="Y49" t="n">
        <v>1288</v>
      </c>
      <c r="Z49" t="n">
        <v>1282</v>
      </c>
      <c r="AA49" t="n">
        <v>1309</v>
      </c>
      <c r="AB49" t="n">
        <v>1317</v>
      </c>
      <c r="AC49" t="n">
        <v>1306</v>
      </c>
      <c r="AD49" t="n">
        <v>1334</v>
      </c>
      <c r="AE49" t="n">
        <v>1360</v>
      </c>
      <c r="AF49" t="n">
        <v>1364</v>
      </c>
    </row>
    <row r="50">
      <c r="A50" t="s">
        <v>126</v>
      </c>
      <c r="B50" t="s">
        <v>370</v>
      </c>
      <c r="C50" t="s">
        <v>236</v>
      </c>
      <c r="D50" t="s">
        <v>371</v>
      </c>
      <c r="E50" t="s">
        <v>237</v>
      </c>
      <c r="F50" t="n">
        <v>534</v>
      </c>
      <c r="G50" t="n">
        <v>503</v>
      </c>
      <c r="H50" t="n">
        <v>532</v>
      </c>
      <c r="I50" t="n">
        <v>557</v>
      </c>
      <c r="J50" t="n">
        <v>571</v>
      </c>
      <c r="K50" t="n">
        <v>605</v>
      </c>
      <c r="L50" t="n">
        <v>653</v>
      </c>
      <c r="M50" t="n">
        <v>712</v>
      </c>
      <c r="N50" t="n">
        <v>746</v>
      </c>
      <c r="O50" t="n">
        <v>760</v>
      </c>
      <c r="P50" t="n">
        <v>807</v>
      </c>
      <c r="Q50" t="n">
        <v>891</v>
      </c>
      <c r="R50" t="n">
        <v>977</v>
      </c>
      <c r="S50" t="n">
        <v>1048</v>
      </c>
      <c r="T50" t="n">
        <v>1115</v>
      </c>
      <c r="U50" t="n">
        <v>1171</v>
      </c>
      <c r="V50" t="n">
        <v>1222</v>
      </c>
      <c r="W50" t="n">
        <v>1330</v>
      </c>
      <c r="X50" t="n">
        <v>1400</v>
      </c>
      <c r="Y50" t="n">
        <v>1460</v>
      </c>
      <c r="Z50" t="n">
        <v>1530</v>
      </c>
      <c r="AA50" t="n">
        <v>1601</v>
      </c>
      <c r="AB50" t="n">
        <v>1618</v>
      </c>
      <c r="AC50" t="n">
        <v>1677</v>
      </c>
      <c r="AD50" t="n">
        <v>1745</v>
      </c>
      <c r="AE50" t="n">
        <v>1812</v>
      </c>
      <c r="AF50" t="n">
        <v>1847</v>
      </c>
    </row>
    <row r="51">
      <c r="A51" t="s">
        <v>126</v>
      </c>
      <c r="B51" t="s">
        <v>372</v>
      </c>
      <c r="C51" t="s">
        <v>236</v>
      </c>
      <c r="D51" t="s">
        <v>373</v>
      </c>
      <c r="E51" t="s">
        <v>237</v>
      </c>
      <c r="F51" t="n">
        <v>402</v>
      </c>
      <c r="G51" t="n">
        <v>379</v>
      </c>
      <c r="H51" t="n">
        <v>406</v>
      </c>
      <c r="I51" t="n">
        <v>430</v>
      </c>
      <c r="J51" t="n">
        <v>446</v>
      </c>
      <c r="K51" t="n">
        <v>477</v>
      </c>
      <c r="L51" t="n">
        <v>516</v>
      </c>
      <c r="M51" t="n">
        <v>567</v>
      </c>
      <c r="N51" t="n">
        <v>597</v>
      </c>
      <c r="O51" t="n">
        <v>608</v>
      </c>
      <c r="P51" t="n">
        <v>649</v>
      </c>
      <c r="Q51" t="n">
        <v>719</v>
      </c>
      <c r="R51" t="n">
        <v>790</v>
      </c>
      <c r="S51" t="n">
        <v>846</v>
      </c>
      <c r="T51" t="n">
        <v>896</v>
      </c>
      <c r="U51" t="n">
        <v>938</v>
      </c>
      <c r="V51" t="n">
        <v>979</v>
      </c>
      <c r="W51" t="n">
        <v>1067</v>
      </c>
      <c r="X51" t="n">
        <v>1121</v>
      </c>
      <c r="Y51" t="n">
        <v>1159</v>
      </c>
      <c r="Z51" t="n">
        <v>1213</v>
      </c>
      <c r="AA51" t="n">
        <v>1254</v>
      </c>
      <c r="AB51" t="n">
        <v>1277</v>
      </c>
      <c r="AC51" t="n">
        <v>1321</v>
      </c>
      <c r="AD51" t="n">
        <v>1361</v>
      </c>
      <c r="AE51" t="n">
        <v>1412</v>
      </c>
      <c r="AF51" t="n">
        <v>1442</v>
      </c>
    </row>
    <row r="52">
      <c r="A52" t="s">
        <v>126</v>
      </c>
      <c r="B52" t="s">
        <v>374</v>
      </c>
      <c r="C52" t="s">
        <v>236</v>
      </c>
      <c r="D52" t="s">
        <v>375</v>
      </c>
      <c r="E52" t="s">
        <v>237</v>
      </c>
      <c r="F52" t="n">
        <v>132</v>
      </c>
      <c r="G52" t="n">
        <v>124</v>
      </c>
      <c r="H52" t="n">
        <v>126</v>
      </c>
      <c r="I52" t="n">
        <v>127</v>
      </c>
      <c r="J52" t="n">
        <v>125</v>
      </c>
      <c r="K52" t="n">
        <v>128</v>
      </c>
      <c r="L52" t="n">
        <v>137</v>
      </c>
      <c r="M52" t="n">
        <v>145</v>
      </c>
      <c r="N52" t="n">
        <v>149</v>
      </c>
      <c r="O52" t="n">
        <v>152</v>
      </c>
      <c r="P52" t="n">
        <v>158</v>
      </c>
      <c r="Q52" t="n">
        <v>172</v>
      </c>
      <c r="R52" t="n">
        <v>187</v>
      </c>
      <c r="S52" t="n">
        <v>202</v>
      </c>
      <c r="T52" t="n">
        <v>219</v>
      </c>
      <c r="U52" t="n">
        <v>233</v>
      </c>
      <c r="V52" t="n">
        <v>243</v>
      </c>
      <c r="W52" t="n">
        <v>263</v>
      </c>
      <c r="X52" t="n">
        <v>279</v>
      </c>
      <c r="Y52" t="n">
        <v>301</v>
      </c>
      <c r="Z52" t="n">
        <v>317</v>
      </c>
      <c r="AA52" t="n">
        <v>347</v>
      </c>
      <c r="AB52" t="n">
        <v>341</v>
      </c>
      <c r="AC52" t="n">
        <v>356</v>
      </c>
      <c r="AD52" t="n">
        <v>384</v>
      </c>
      <c r="AE52" t="n">
        <v>400</v>
      </c>
      <c r="AF52" t="n">
        <v>405</v>
      </c>
    </row>
    <row r="53">
      <c r="A53" t="s">
        <v>126</v>
      </c>
      <c r="B53" t="s">
        <v>376</v>
      </c>
      <c r="C53" t="s">
        <v>236</v>
      </c>
      <c r="D53" t="s">
        <v>377</v>
      </c>
      <c r="E53" t="s">
        <v>237</v>
      </c>
      <c r="F53" t="n">
        <v>262</v>
      </c>
      <c r="G53" t="n">
        <v>251</v>
      </c>
      <c r="H53" t="n">
        <v>284</v>
      </c>
      <c r="I53" t="n">
        <v>299</v>
      </c>
      <c r="J53" t="n">
        <v>246</v>
      </c>
      <c r="K53" t="n">
        <v>260</v>
      </c>
      <c r="L53" t="n">
        <v>278</v>
      </c>
      <c r="M53" t="n">
        <v>283</v>
      </c>
      <c r="N53" t="n">
        <v>287</v>
      </c>
      <c r="O53" t="n">
        <v>296</v>
      </c>
      <c r="P53" t="n">
        <v>301</v>
      </c>
      <c r="Q53" t="n">
        <v>312</v>
      </c>
      <c r="R53" t="n">
        <v>322</v>
      </c>
      <c r="S53" t="n">
        <v>332</v>
      </c>
      <c r="T53" t="n">
        <v>345</v>
      </c>
      <c r="U53" t="n">
        <v>346</v>
      </c>
      <c r="V53" t="n">
        <v>355</v>
      </c>
      <c r="W53" t="n">
        <v>381</v>
      </c>
      <c r="X53" t="n">
        <v>399</v>
      </c>
      <c r="Y53" t="n">
        <v>426</v>
      </c>
      <c r="Z53" t="n">
        <v>440</v>
      </c>
      <c r="AA53" t="n">
        <v>489</v>
      </c>
      <c r="AB53" t="n">
        <v>521</v>
      </c>
      <c r="AC53" t="n">
        <v>570</v>
      </c>
      <c r="AD53" t="n">
        <v>606</v>
      </c>
      <c r="AE53" t="n">
        <v>629</v>
      </c>
      <c r="AF53" t="n">
        <v>645</v>
      </c>
    </row>
    <row r="54">
      <c r="A54" t="s">
        <v>126</v>
      </c>
      <c r="B54" t="s">
        <v>378</v>
      </c>
      <c r="C54" t="s">
        <v>236</v>
      </c>
      <c r="D54" t="s">
        <v>379</v>
      </c>
      <c r="E54" t="s">
        <v>237</v>
      </c>
      <c r="F54" t="n">
        <v>557</v>
      </c>
      <c r="G54" t="n">
        <v>531</v>
      </c>
      <c r="H54" t="n">
        <v>581</v>
      </c>
      <c r="I54" t="n">
        <v>615</v>
      </c>
      <c r="J54" t="n">
        <v>570</v>
      </c>
      <c r="K54" t="n">
        <v>589</v>
      </c>
      <c r="L54" t="n">
        <v>620</v>
      </c>
      <c r="M54" t="n">
        <v>629</v>
      </c>
      <c r="N54" t="n">
        <v>649</v>
      </c>
      <c r="O54" t="n">
        <v>663</v>
      </c>
      <c r="P54" t="n">
        <v>673</v>
      </c>
      <c r="Q54" t="n">
        <v>695</v>
      </c>
      <c r="R54" t="n">
        <v>727</v>
      </c>
      <c r="S54" t="n">
        <v>769</v>
      </c>
      <c r="T54" t="n">
        <v>819</v>
      </c>
      <c r="U54" t="n">
        <v>830</v>
      </c>
      <c r="V54" t="n">
        <v>858</v>
      </c>
      <c r="W54" t="n">
        <v>892</v>
      </c>
      <c r="X54" t="n">
        <v>904</v>
      </c>
      <c r="Y54" t="n">
        <v>935</v>
      </c>
      <c r="Z54" t="n">
        <v>970</v>
      </c>
      <c r="AA54" t="n">
        <v>1036</v>
      </c>
      <c r="AB54" t="n">
        <v>1069</v>
      </c>
      <c r="AC54" t="n">
        <v>1124</v>
      </c>
      <c r="AD54" t="n">
        <v>1171</v>
      </c>
      <c r="AE54" t="n">
        <v>1205</v>
      </c>
      <c r="AF54" t="n">
        <v>1245</v>
      </c>
    </row>
    <row r="55">
      <c r="A55" t="s">
        <v>126</v>
      </c>
      <c r="B55" t="s">
        <v>380</v>
      </c>
      <c r="C55" t="s">
        <v>236</v>
      </c>
      <c r="D55" t="s">
        <v>381</v>
      </c>
      <c r="E55" t="s">
        <v>237</v>
      </c>
      <c r="F55" t="n">
        <v>295</v>
      </c>
      <c r="G55" t="n">
        <v>280</v>
      </c>
      <c r="H55" t="n">
        <v>297</v>
      </c>
      <c r="I55" t="n">
        <v>316</v>
      </c>
      <c r="J55" t="n">
        <v>324</v>
      </c>
      <c r="K55" t="n">
        <v>329</v>
      </c>
      <c r="L55" t="n">
        <v>342</v>
      </c>
      <c r="M55" t="n">
        <v>346</v>
      </c>
      <c r="N55" t="n">
        <v>362</v>
      </c>
      <c r="O55" t="n">
        <v>367</v>
      </c>
      <c r="P55" t="n">
        <v>372</v>
      </c>
      <c r="Q55" t="n">
        <v>383</v>
      </c>
      <c r="R55" t="n">
        <v>405</v>
      </c>
      <c r="S55" t="n">
        <v>437</v>
      </c>
      <c r="T55" t="n">
        <v>474</v>
      </c>
      <c r="U55" t="n">
        <v>484</v>
      </c>
      <c r="V55" t="n">
        <v>503</v>
      </c>
      <c r="W55" t="n">
        <v>511</v>
      </c>
      <c r="X55" t="n">
        <v>505</v>
      </c>
      <c r="Y55" t="n">
        <v>509</v>
      </c>
      <c r="Z55" t="n">
        <v>530</v>
      </c>
      <c r="AA55" t="n">
        <v>547</v>
      </c>
      <c r="AB55" t="n">
        <v>548</v>
      </c>
      <c r="AC55" t="n">
        <v>554</v>
      </c>
      <c r="AD55" t="n">
        <v>565</v>
      </c>
      <c r="AE55" t="n">
        <v>576</v>
      </c>
      <c r="AF55" t="n">
        <v>600</v>
      </c>
    </row>
    <row r="56">
      <c r="A56" t="s">
        <v>126</v>
      </c>
      <c r="B56" t="s">
        <v>382</v>
      </c>
      <c r="C56" t="s">
        <v>236</v>
      </c>
      <c r="D56" t="s">
        <v>383</v>
      </c>
      <c r="E56" t="s">
        <v>237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126</v>
      </c>
      <c r="B57" t="s">
        <v>384</v>
      </c>
      <c r="C57" t="s">
        <v>236</v>
      </c>
      <c r="D57" t="s">
        <v>385</v>
      </c>
      <c r="E57" t="s">
        <v>237</v>
      </c>
      <c r="F57" t="n">
        <v>49162</v>
      </c>
      <c r="G57" t="n">
        <v>46616</v>
      </c>
      <c r="H57" t="n">
        <v>48455</v>
      </c>
      <c r="I57" t="n">
        <v>50506</v>
      </c>
      <c r="J57" t="n">
        <v>51037</v>
      </c>
      <c r="K57" t="n">
        <v>51550</v>
      </c>
      <c r="L57" t="n">
        <v>53122</v>
      </c>
      <c r="M57" t="n">
        <v>53306</v>
      </c>
      <c r="N57" t="n">
        <v>52973</v>
      </c>
      <c r="O57" t="n">
        <v>52431</v>
      </c>
      <c r="P57" t="n">
        <v>52903</v>
      </c>
      <c r="Q57" t="n">
        <v>53096</v>
      </c>
      <c r="R57" t="n">
        <v>53799</v>
      </c>
      <c r="S57" t="n">
        <v>55922</v>
      </c>
      <c r="T57" t="n">
        <v>57255</v>
      </c>
      <c r="U57" t="n">
        <v>56635</v>
      </c>
      <c r="V57" t="n">
        <v>56440</v>
      </c>
      <c r="W57" t="n">
        <v>58186</v>
      </c>
      <c r="X57" t="n">
        <v>59082</v>
      </c>
      <c r="Y57" t="n">
        <v>59946</v>
      </c>
      <c r="Z57" t="n">
        <v>60449</v>
      </c>
      <c r="AA57" t="n">
        <v>62920</v>
      </c>
      <c r="AB57" t="n">
        <v>65061</v>
      </c>
      <c r="AC57" t="n">
        <v>67004</v>
      </c>
      <c r="AD57" t="n">
        <v>68876</v>
      </c>
      <c r="AE57" t="n">
        <v>71187</v>
      </c>
      <c r="AF57" t="n">
        <v>73219</v>
      </c>
    </row>
    <row r="58">
      <c r="A58" t="s">
        <v>126</v>
      </c>
      <c r="B58" t="s">
        <v>386</v>
      </c>
      <c r="C58" t="s">
        <v>236</v>
      </c>
      <c r="D58" t="s">
        <v>387</v>
      </c>
      <c r="E58" t="s">
        <v>237</v>
      </c>
      <c r="F58" t="n">
        <v>49162</v>
      </c>
      <c r="G58" t="n">
        <v>46616</v>
      </c>
      <c r="H58" t="n">
        <v>48455</v>
      </c>
      <c r="I58" t="n">
        <v>50506</v>
      </c>
      <c r="J58" t="n">
        <v>51037</v>
      </c>
      <c r="K58" t="n">
        <v>51550</v>
      </c>
      <c r="L58" t="n">
        <v>53122</v>
      </c>
      <c r="M58" t="n">
        <v>53306</v>
      </c>
      <c r="N58" t="n">
        <v>52973</v>
      </c>
      <c r="O58" t="n">
        <v>52431</v>
      </c>
      <c r="P58" t="n">
        <v>52903</v>
      </c>
      <c r="Q58" t="n">
        <v>53096</v>
      </c>
      <c r="R58" t="n">
        <v>53799</v>
      </c>
      <c r="S58" t="n">
        <v>55922</v>
      </c>
      <c r="T58" t="n">
        <v>57255</v>
      </c>
      <c r="U58" t="n">
        <v>56635</v>
      </c>
      <c r="V58" t="n">
        <v>56440</v>
      </c>
      <c r="W58" t="n">
        <v>58186</v>
      </c>
      <c r="X58" t="n">
        <v>59082</v>
      </c>
      <c r="Y58" t="n">
        <v>59946</v>
      </c>
      <c r="Z58" t="n">
        <v>60449</v>
      </c>
      <c r="AA58" t="n">
        <v>62920</v>
      </c>
      <c r="AB58" t="n">
        <v>65061</v>
      </c>
      <c r="AC58" t="n">
        <v>67004</v>
      </c>
      <c r="AD58" t="n">
        <v>68876</v>
      </c>
      <c r="AE58" t="n">
        <v>71187</v>
      </c>
      <c r="AF58" t="n">
        <v>73219</v>
      </c>
    </row>
    <row r="59">
      <c r="A59" t="s">
        <v>126</v>
      </c>
      <c r="B59" t="s">
        <v>388</v>
      </c>
      <c r="C59" t="s">
        <v>236</v>
      </c>
      <c r="D59" t="s">
        <v>389</v>
      </c>
      <c r="E59" t="s">
        <v>237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128</v>
      </c>
      <c r="B2" t="s">
        <v>197</v>
      </c>
      <c r="C2" t="s">
        <v>236</v>
      </c>
      <c r="D2" t="s">
        <v>199</v>
      </c>
      <c r="E2" t="s">
        <v>237</v>
      </c>
      <c r="F2" t="n">
        <v>10111</v>
      </c>
      <c r="G2" t="n">
        <v>9530</v>
      </c>
      <c r="H2" t="n">
        <v>9476</v>
      </c>
      <c r="I2" t="n">
        <v>9908</v>
      </c>
      <c r="J2" t="n">
        <v>10087</v>
      </c>
      <c r="K2" t="n">
        <v>10269</v>
      </c>
      <c r="L2" t="n">
        <v>10806</v>
      </c>
      <c r="M2" t="n">
        <v>11123</v>
      </c>
      <c r="N2" t="n">
        <v>11341</v>
      </c>
      <c r="O2" t="n">
        <v>11492</v>
      </c>
      <c r="P2" t="n">
        <v>11825</v>
      </c>
      <c r="Q2" t="n">
        <v>12260</v>
      </c>
      <c r="R2" t="n">
        <v>12957</v>
      </c>
      <c r="S2" t="n">
        <v>14196</v>
      </c>
      <c r="T2" t="n">
        <v>14537</v>
      </c>
      <c r="U2" t="n">
        <v>14889</v>
      </c>
      <c r="V2" t="n">
        <v>14522</v>
      </c>
      <c r="W2" t="n">
        <v>14805</v>
      </c>
      <c r="X2" t="n">
        <v>15479</v>
      </c>
      <c r="Y2" t="n">
        <v>15778</v>
      </c>
      <c r="Z2" t="n">
        <v>15388</v>
      </c>
      <c r="AA2" t="n">
        <v>15243</v>
      </c>
      <c r="AB2" t="n">
        <v>15374</v>
      </c>
      <c r="AC2" t="n">
        <v>15519</v>
      </c>
      <c r="AD2" t="n">
        <v>16414</v>
      </c>
      <c r="AE2" t="n">
        <v>16930</v>
      </c>
      <c r="AF2" t="n">
        <v>17042</v>
      </c>
    </row>
    <row r="3">
      <c r="A3" t="s">
        <v>128</v>
      </c>
      <c r="B3" t="s">
        <v>276</v>
      </c>
      <c r="C3" t="s">
        <v>236</v>
      </c>
      <c r="D3" t="s">
        <v>277</v>
      </c>
      <c r="E3" t="s">
        <v>237</v>
      </c>
      <c r="F3" t="n">
        <v>271</v>
      </c>
      <c r="G3" t="n">
        <v>268</v>
      </c>
      <c r="H3" t="n">
        <v>255</v>
      </c>
      <c r="I3" t="n">
        <v>251</v>
      </c>
      <c r="J3" t="n">
        <v>258</v>
      </c>
      <c r="K3" t="n">
        <v>288</v>
      </c>
      <c r="L3" t="n">
        <v>309</v>
      </c>
      <c r="M3" t="n">
        <v>317</v>
      </c>
      <c r="N3" t="n">
        <v>331</v>
      </c>
      <c r="O3" t="n">
        <v>329</v>
      </c>
      <c r="P3" t="n">
        <v>341</v>
      </c>
      <c r="Q3" t="n">
        <v>363</v>
      </c>
      <c r="R3" t="n">
        <v>569</v>
      </c>
      <c r="S3" t="n">
        <v>826</v>
      </c>
      <c r="T3" t="n">
        <v>962</v>
      </c>
      <c r="U3" t="n">
        <v>1037</v>
      </c>
      <c r="V3" t="n">
        <v>1158</v>
      </c>
      <c r="W3" t="n">
        <v>1288</v>
      </c>
      <c r="X3" t="n">
        <v>1372</v>
      </c>
      <c r="Y3" t="n">
        <v>1417</v>
      </c>
      <c r="Z3" t="n">
        <v>1534</v>
      </c>
      <c r="AA3" t="n">
        <v>1540</v>
      </c>
      <c r="AB3" t="n">
        <v>1587</v>
      </c>
      <c r="AC3" t="n">
        <v>1703</v>
      </c>
      <c r="AD3" t="n">
        <v>1843</v>
      </c>
      <c r="AE3" t="n">
        <v>1963</v>
      </c>
      <c r="AF3" t="n">
        <v>1967</v>
      </c>
    </row>
    <row r="4">
      <c r="A4" t="s">
        <v>128</v>
      </c>
      <c r="B4" t="s">
        <v>278</v>
      </c>
      <c r="C4" t="s">
        <v>236</v>
      </c>
      <c r="D4" t="s">
        <v>279</v>
      </c>
      <c r="E4" t="s">
        <v>237</v>
      </c>
      <c r="F4" t="n">
        <v>12146</v>
      </c>
      <c r="G4" t="n">
        <v>12710</v>
      </c>
      <c r="H4" t="n">
        <v>12635</v>
      </c>
      <c r="I4" t="n">
        <v>12523</v>
      </c>
      <c r="J4" t="n">
        <v>12878</v>
      </c>
      <c r="K4" t="n">
        <v>13471</v>
      </c>
      <c r="L4" t="n">
        <v>13805</v>
      </c>
      <c r="M4" t="n">
        <v>14678</v>
      </c>
      <c r="N4" t="n">
        <v>14349</v>
      </c>
      <c r="O4" t="n">
        <v>14023</v>
      </c>
      <c r="P4" t="n">
        <v>14117</v>
      </c>
      <c r="Q4" t="n">
        <v>14647</v>
      </c>
      <c r="R4" t="n">
        <v>15124</v>
      </c>
      <c r="S4" t="n">
        <v>15904</v>
      </c>
      <c r="T4" t="n">
        <v>16461</v>
      </c>
      <c r="U4" t="n">
        <v>15730</v>
      </c>
      <c r="V4" t="n">
        <v>14416</v>
      </c>
      <c r="W4" t="n">
        <v>14283</v>
      </c>
      <c r="X4" t="n">
        <v>14694</v>
      </c>
      <c r="Y4" t="n">
        <v>14611</v>
      </c>
      <c r="Z4" t="n">
        <v>14465</v>
      </c>
      <c r="AA4" t="n">
        <v>14405</v>
      </c>
      <c r="AB4" t="n">
        <v>14621</v>
      </c>
      <c r="AC4" t="n">
        <v>14905</v>
      </c>
      <c r="AD4" t="n">
        <v>15269</v>
      </c>
      <c r="AE4" t="n">
        <v>15824</v>
      </c>
      <c r="AF4" t="n">
        <v>16099</v>
      </c>
    </row>
    <row r="5">
      <c r="A5" t="s">
        <v>128</v>
      </c>
      <c r="B5" t="s">
        <v>280</v>
      </c>
      <c r="C5" t="s">
        <v>236</v>
      </c>
      <c r="D5" t="s">
        <v>281</v>
      </c>
      <c r="E5" t="s">
        <v>237</v>
      </c>
      <c r="F5" t="n">
        <v>1837</v>
      </c>
      <c r="G5" t="n">
        <v>1923</v>
      </c>
      <c r="H5" t="n">
        <v>1905</v>
      </c>
      <c r="I5" t="n">
        <v>1858</v>
      </c>
      <c r="J5" t="n">
        <v>1889</v>
      </c>
      <c r="K5" t="n">
        <v>1979</v>
      </c>
      <c r="L5" t="n">
        <v>2049</v>
      </c>
      <c r="M5" t="n">
        <v>2208</v>
      </c>
      <c r="N5" t="n">
        <v>2156</v>
      </c>
      <c r="O5" t="n">
        <v>2091</v>
      </c>
      <c r="P5" t="n">
        <v>2141</v>
      </c>
      <c r="Q5" t="n">
        <v>2227</v>
      </c>
      <c r="R5" t="n">
        <v>2313</v>
      </c>
      <c r="S5" t="n">
        <v>2451</v>
      </c>
      <c r="T5" t="n">
        <v>2506</v>
      </c>
      <c r="U5" t="n">
        <v>2390</v>
      </c>
      <c r="V5" t="n">
        <v>2198</v>
      </c>
      <c r="W5" t="n">
        <v>2251</v>
      </c>
      <c r="X5" t="n">
        <v>2372</v>
      </c>
      <c r="Y5" t="n">
        <v>2443</v>
      </c>
      <c r="Z5" t="n">
        <v>2452</v>
      </c>
      <c r="AA5" t="n">
        <v>2543</v>
      </c>
      <c r="AB5" t="n">
        <v>2556</v>
      </c>
      <c r="AC5" t="n">
        <v>2569</v>
      </c>
      <c r="AD5" t="n">
        <v>2627</v>
      </c>
      <c r="AE5" t="n">
        <v>2757</v>
      </c>
      <c r="AF5" t="n">
        <v>2831</v>
      </c>
    </row>
    <row r="6">
      <c r="A6" t="s">
        <v>128</v>
      </c>
      <c r="B6" t="s">
        <v>282</v>
      </c>
      <c r="C6" t="s">
        <v>236</v>
      </c>
      <c r="D6" t="s">
        <v>283</v>
      </c>
      <c r="E6" t="s">
        <v>237</v>
      </c>
      <c r="F6" t="n">
        <v>285</v>
      </c>
      <c r="G6" t="n">
        <v>277</v>
      </c>
      <c r="H6" t="n">
        <v>263</v>
      </c>
      <c r="I6" t="n">
        <v>249</v>
      </c>
      <c r="J6" t="n">
        <v>242</v>
      </c>
      <c r="K6" t="n">
        <v>238</v>
      </c>
      <c r="L6" t="n">
        <v>230</v>
      </c>
      <c r="M6" t="n">
        <v>226</v>
      </c>
      <c r="N6" t="n">
        <v>205</v>
      </c>
      <c r="O6" t="n">
        <v>184</v>
      </c>
      <c r="P6" t="n">
        <v>171</v>
      </c>
      <c r="Q6" t="n">
        <v>168</v>
      </c>
      <c r="R6" t="n">
        <v>157</v>
      </c>
      <c r="S6" t="n">
        <v>153</v>
      </c>
      <c r="T6" t="n">
        <v>134</v>
      </c>
      <c r="U6" t="n">
        <v>117</v>
      </c>
      <c r="V6" t="n">
        <v>100</v>
      </c>
      <c r="W6" t="n">
        <v>103</v>
      </c>
      <c r="X6" t="n">
        <v>100</v>
      </c>
      <c r="Y6" t="n">
        <v>96</v>
      </c>
      <c r="Z6" t="n">
        <v>94</v>
      </c>
      <c r="AA6" t="n">
        <v>87</v>
      </c>
      <c r="AB6" t="n">
        <v>87</v>
      </c>
      <c r="AC6" t="n">
        <v>91</v>
      </c>
      <c r="AD6" t="n">
        <v>91</v>
      </c>
      <c r="AE6" t="n">
        <v>88</v>
      </c>
      <c r="AF6" t="n">
        <v>93</v>
      </c>
    </row>
    <row r="7">
      <c r="A7" t="s">
        <v>128</v>
      </c>
      <c r="B7" t="s">
        <v>284</v>
      </c>
      <c r="C7" t="s">
        <v>236</v>
      </c>
      <c r="D7" t="s">
        <v>285</v>
      </c>
      <c r="E7" t="s">
        <v>237</v>
      </c>
      <c r="F7" t="n">
        <v>3674</v>
      </c>
      <c r="G7" t="n">
        <v>3865</v>
      </c>
      <c r="H7" t="n">
        <v>3836</v>
      </c>
      <c r="I7" t="n">
        <v>3750</v>
      </c>
      <c r="J7" t="n">
        <v>3846</v>
      </c>
      <c r="K7" t="n">
        <v>4066</v>
      </c>
      <c r="L7" t="n">
        <v>4156</v>
      </c>
      <c r="M7" t="n">
        <v>4364</v>
      </c>
      <c r="N7" t="n">
        <v>4216</v>
      </c>
      <c r="O7" t="n">
        <v>4115</v>
      </c>
      <c r="P7" t="n">
        <v>4139</v>
      </c>
      <c r="Q7" t="n">
        <v>4231</v>
      </c>
      <c r="R7" t="n">
        <v>4355</v>
      </c>
      <c r="S7" t="n">
        <v>4524</v>
      </c>
      <c r="T7" t="n">
        <v>4560</v>
      </c>
      <c r="U7" t="n">
        <v>4266</v>
      </c>
      <c r="V7" t="n">
        <v>3840</v>
      </c>
      <c r="W7" t="n">
        <v>3761</v>
      </c>
      <c r="X7" t="n">
        <v>3835</v>
      </c>
      <c r="Y7" t="n">
        <v>3714</v>
      </c>
      <c r="Z7" t="n">
        <v>3581</v>
      </c>
      <c r="AA7" t="n">
        <v>3586</v>
      </c>
      <c r="AB7" t="n">
        <v>3587</v>
      </c>
      <c r="AC7" t="n">
        <v>3634</v>
      </c>
      <c r="AD7" t="n">
        <v>3683</v>
      </c>
      <c r="AE7" t="n">
        <v>3745</v>
      </c>
      <c r="AF7" t="n">
        <v>3794</v>
      </c>
    </row>
    <row r="8">
      <c r="A8" t="s">
        <v>128</v>
      </c>
      <c r="B8" t="s">
        <v>286</v>
      </c>
      <c r="C8" t="s">
        <v>236</v>
      </c>
      <c r="D8" t="s">
        <v>287</v>
      </c>
      <c r="E8" t="s">
        <v>237</v>
      </c>
      <c r="F8" t="n">
        <v>460</v>
      </c>
      <c r="G8" t="n">
        <v>456</v>
      </c>
      <c r="H8" t="n">
        <v>447</v>
      </c>
      <c r="I8" t="n">
        <v>443</v>
      </c>
      <c r="J8" t="n">
        <v>455</v>
      </c>
      <c r="K8" t="n">
        <v>461</v>
      </c>
      <c r="L8" t="n">
        <v>465</v>
      </c>
      <c r="M8" t="n">
        <v>478</v>
      </c>
      <c r="N8" t="n">
        <v>484</v>
      </c>
      <c r="O8" t="n">
        <v>494</v>
      </c>
      <c r="P8" t="n">
        <v>539</v>
      </c>
      <c r="Q8" t="n">
        <v>588</v>
      </c>
      <c r="R8" t="n">
        <v>744</v>
      </c>
      <c r="S8" t="n">
        <v>804</v>
      </c>
      <c r="T8" t="n">
        <v>954</v>
      </c>
      <c r="U8" t="n">
        <v>948</v>
      </c>
      <c r="V8" t="n">
        <v>920</v>
      </c>
      <c r="W8" t="n">
        <v>957</v>
      </c>
      <c r="X8" t="n">
        <v>1024</v>
      </c>
      <c r="Y8" t="n">
        <v>1048</v>
      </c>
      <c r="Z8" t="n">
        <v>1089</v>
      </c>
      <c r="AA8" t="n">
        <v>1029</v>
      </c>
      <c r="AB8" t="n">
        <v>1042</v>
      </c>
      <c r="AC8" t="n">
        <v>1072</v>
      </c>
      <c r="AD8" t="n">
        <v>1105</v>
      </c>
      <c r="AE8" t="n">
        <v>1108</v>
      </c>
      <c r="AF8" t="n">
        <v>1154</v>
      </c>
    </row>
    <row r="9">
      <c r="A9" t="s">
        <v>128</v>
      </c>
      <c r="B9" t="s">
        <v>288</v>
      </c>
      <c r="C9" t="s">
        <v>236</v>
      </c>
      <c r="D9" t="s">
        <v>289</v>
      </c>
      <c r="E9" t="s">
        <v>237</v>
      </c>
      <c r="F9" t="n">
        <v>883</v>
      </c>
      <c r="G9" t="n">
        <v>918</v>
      </c>
      <c r="H9" t="n">
        <v>915</v>
      </c>
      <c r="I9" t="n">
        <v>922</v>
      </c>
      <c r="J9" t="n">
        <v>941</v>
      </c>
      <c r="K9" t="n">
        <v>968</v>
      </c>
      <c r="L9" t="n">
        <v>989</v>
      </c>
      <c r="M9" t="n">
        <v>1064</v>
      </c>
      <c r="N9" t="n">
        <v>1037</v>
      </c>
      <c r="O9" t="n">
        <v>1034</v>
      </c>
      <c r="P9" t="n">
        <v>1013</v>
      </c>
      <c r="Q9" t="n">
        <v>1058</v>
      </c>
      <c r="R9" t="n">
        <v>1061</v>
      </c>
      <c r="S9" t="n">
        <v>1124</v>
      </c>
      <c r="T9" t="n">
        <v>1260</v>
      </c>
      <c r="U9" t="n">
        <v>1222</v>
      </c>
      <c r="V9" t="n">
        <v>1117</v>
      </c>
      <c r="W9" t="n">
        <v>1119</v>
      </c>
      <c r="X9" t="n">
        <v>1160</v>
      </c>
      <c r="Y9" t="n">
        <v>1160</v>
      </c>
      <c r="Z9" t="n">
        <v>1175</v>
      </c>
      <c r="AA9" t="n">
        <v>1186</v>
      </c>
      <c r="AB9" t="n">
        <v>1318</v>
      </c>
      <c r="AC9" t="n">
        <v>1370</v>
      </c>
      <c r="AD9" t="n">
        <v>1424</v>
      </c>
      <c r="AE9" t="n">
        <v>1464</v>
      </c>
      <c r="AF9" t="n">
        <v>1457</v>
      </c>
    </row>
    <row r="10">
      <c r="A10" t="s">
        <v>128</v>
      </c>
      <c r="B10" t="s">
        <v>290</v>
      </c>
      <c r="C10" t="s">
        <v>236</v>
      </c>
      <c r="D10" t="s">
        <v>291</v>
      </c>
      <c r="E10" t="s">
        <v>237</v>
      </c>
      <c r="F10" t="n">
        <v>1127</v>
      </c>
      <c r="G10" t="n">
        <v>1164</v>
      </c>
      <c r="H10" t="n">
        <v>1152</v>
      </c>
      <c r="I10" t="n">
        <v>1151</v>
      </c>
      <c r="J10" t="n">
        <v>1175</v>
      </c>
      <c r="K10" t="n">
        <v>1211</v>
      </c>
      <c r="L10" t="n">
        <v>1229</v>
      </c>
      <c r="M10" t="n">
        <v>1323</v>
      </c>
      <c r="N10" t="n">
        <v>1290</v>
      </c>
      <c r="O10" t="n">
        <v>1283</v>
      </c>
      <c r="P10" t="n">
        <v>1255</v>
      </c>
      <c r="Q10" t="n">
        <v>1307</v>
      </c>
      <c r="R10" t="n">
        <v>1310</v>
      </c>
      <c r="S10" t="n">
        <v>1380</v>
      </c>
      <c r="T10" t="n">
        <v>1523</v>
      </c>
      <c r="U10" t="n">
        <v>1472</v>
      </c>
      <c r="V10" t="n">
        <v>1342</v>
      </c>
      <c r="W10" t="n">
        <v>1357</v>
      </c>
      <c r="X10" t="n">
        <v>1465</v>
      </c>
      <c r="Y10" t="n">
        <v>1476</v>
      </c>
      <c r="Z10" t="n">
        <v>1492</v>
      </c>
      <c r="AA10" t="n">
        <v>1498</v>
      </c>
      <c r="AB10" t="n">
        <v>1638</v>
      </c>
      <c r="AC10" t="n">
        <v>1701</v>
      </c>
      <c r="AD10" t="n">
        <v>1770</v>
      </c>
      <c r="AE10" t="n">
        <v>1836</v>
      </c>
      <c r="AF10" t="n">
        <v>1913</v>
      </c>
    </row>
    <row r="11">
      <c r="A11" t="s">
        <v>128</v>
      </c>
      <c r="B11" t="s">
        <v>292</v>
      </c>
      <c r="C11" t="s">
        <v>236</v>
      </c>
      <c r="D11" t="s">
        <v>293</v>
      </c>
      <c r="E11" t="s">
        <v>237</v>
      </c>
      <c r="F11" t="n">
        <v>244</v>
      </c>
      <c r="G11" t="n">
        <v>246</v>
      </c>
      <c r="H11" t="n">
        <v>237</v>
      </c>
      <c r="I11" t="n">
        <v>229</v>
      </c>
      <c r="J11" t="n">
        <v>234</v>
      </c>
      <c r="K11" t="n">
        <v>243</v>
      </c>
      <c r="L11" t="n">
        <v>240</v>
      </c>
      <c r="M11" t="n">
        <v>259</v>
      </c>
      <c r="N11" t="n">
        <v>253</v>
      </c>
      <c r="O11" t="n">
        <v>249</v>
      </c>
      <c r="P11" t="n">
        <v>242</v>
      </c>
      <c r="Q11" t="n">
        <v>249</v>
      </c>
      <c r="R11" t="n">
        <v>249</v>
      </c>
      <c r="S11" t="n">
        <v>256</v>
      </c>
      <c r="T11" t="n">
        <v>263</v>
      </c>
      <c r="U11" t="n">
        <v>250</v>
      </c>
      <c r="V11" t="n">
        <v>225</v>
      </c>
      <c r="W11" t="n">
        <v>238</v>
      </c>
      <c r="X11" t="n">
        <v>305</v>
      </c>
      <c r="Y11" t="n">
        <v>316</v>
      </c>
      <c r="Z11" t="n">
        <v>317</v>
      </c>
      <c r="AA11" t="n">
        <v>312</v>
      </c>
      <c r="AB11" t="n">
        <v>320</v>
      </c>
      <c r="AC11" t="n">
        <v>331</v>
      </c>
      <c r="AD11" t="n">
        <v>346</v>
      </c>
      <c r="AE11" t="n">
        <v>372</v>
      </c>
      <c r="AF11" t="n">
        <v>456</v>
      </c>
    </row>
    <row r="12">
      <c r="A12" t="s">
        <v>128</v>
      </c>
      <c r="B12" t="s">
        <v>294</v>
      </c>
      <c r="C12" t="s">
        <v>236</v>
      </c>
      <c r="D12" t="s">
        <v>295</v>
      </c>
      <c r="E12" t="s">
        <v>237</v>
      </c>
      <c r="F12" t="n">
        <v>789</v>
      </c>
      <c r="G12" t="n">
        <v>805</v>
      </c>
      <c r="H12" t="n">
        <v>799</v>
      </c>
      <c r="I12" t="n">
        <v>815</v>
      </c>
      <c r="J12" t="n">
        <v>864</v>
      </c>
      <c r="K12" t="n">
        <v>884</v>
      </c>
      <c r="L12" t="n">
        <v>902</v>
      </c>
      <c r="M12" t="n">
        <v>948</v>
      </c>
      <c r="N12" t="n">
        <v>932</v>
      </c>
      <c r="O12" t="n">
        <v>924</v>
      </c>
      <c r="P12" t="n">
        <v>947</v>
      </c>
      <c r="Q12" t="n">
        <v>1009</v>
      </c>
      <c r="R12" t="n">
        <v>1011</v>
      </c>
      <c r="S12" t="n">
        <v>1060</v>
      </c>
      <c r="T12" t="n">
        <v>1092</v>
      </c>
      <c r="U12" t="n">
        <v>1054</v>
      </c>
      <c r="V12" t="n">
        <v>971</v>
      </c>
      <c r="W12" t="n">
        <v>975</v>
      </c>
      <c r="X12" t="n">
        <v>1008</v>
      </c>
      <c r="Y12" t="n">
        <v>995</v>
      </c>
      <c r="Z12" t="n">
        <v>986</v>
      </c>
      <c r="AA12" t="n">
        <v>982</v>
      </c>
      <c r="AB12" t="n">
        <v>986</v>
      </c>
      <c r="AC12" t="n">
        <v>1008</v>
      </c>
      <c r="AD12" t="n">
        <v>1041</v>
      </c>
      <c r="AE12" t="n">
        <v>1106</v>
      </c>
      <c r="AF12" t="n">
        <v>1117</v>
      </c>
    </row>
    <row r="13">
      <c r="A13" t="s">
        <v>128</v>
      </c>
      <c r="B13" t="s">
        <v>296</v>
      </c>
      <c r="C13" t="s">
        <v>236</v>
      </c>
      <c r="D13" t="s">
        <v>297</v>
      </c>
      <c r="E13" t="s">
        <v>237</v>
      </c>
      <c r="F13" t="n">
        <v>1221</v>
      </c>
      <c r="G13" t="n">
        <v>1335</v>
      </c>
      <c r="H13" t="n">
        <v>1374</v>
      </c>
      <c r="I13" t="n">
        <v>1380</v>
      </c>
      <c r="J13" t="n">
        <v>1430</v>
      </c>
      <c r="K13" t="n">
        <v>1491</v>
      </c>
      <c r="L13" t="n">
        <v>1546</v>
      </c>
      <c r="M13" t="n">
        <v>1774</v>
      </c>
      <c r="N13" t="n">
        <v>1816</v>
      </c>
      <c r="O13" t="n">
        <v>1810</v>
      </c>
      <c r="P13" t="n">
        <v>1824</v>
      </c>
      <c r="Q13" t="n">
        <v>1891</v>
      </c>
      <c r="R13" t="n">
        <v>1953</v>
      </c>
      <c r="S13" t="n">
        <v>2133</v>
      </c>
      <c r="T13" t="n">
        <v>2256</v>
      </c>
      <c r="U13" t="n">
        <v>2189</v>
      </c>
      <c r="V13" t="n">
        <v>2094</v>
      </c>
      <c r="W13" t="n">
        <v>2152</v>
      </c>
      <c r="X13" t="n">
        <v>2225</v>
      </c>
      <c r="Y13" t="n">
        <v>2231</v>
      </c>
      <c r="Z13" t="n">
        <v>2207</v>
      </c>
      <c r="AA13" t="n">
        <v>2160</v>
      </c>
      <c r="AB13" t="n">
        <v>2180</v>
      </c>
      <c r="AC13" t="n">
        <v>2222</v>
      </c>
      <c r="AD13" t="n">
        <v>2282</v>
      </c>
      <c r="AE13" t="n">
        <v>2350</v>
      </c>
      <c r="AF13" t="n">
        <v>2360</v>
      </c>
    </row>
    <row r="14">
      <c r="A14" t="s">
        <v>128</v>
      </c>
      <c r="B14" t="s">
        <v>298</v>
      </c>
      <c r="C14" t="s">
        <v>236</v>
      </c>
      <c r="D14" t="s">
        <v>299</v>
      </c>
      <c r="E14" t="s">
        <v>237</v>
      </c>
      <c r="F14" t="n">
        <v>379</v>
      </c>
      <c r="G14" t="n">
        <v>471</v>
      </c>
      <c r="H14" t="n">
        <v>471</v>
      </c>
      <c r="I14" t="n">
        <v>513</v>
      </c>
      <c r="J14" t="n">
        <v>582</v>
      </c>
      <c r="K14" t="n">
        <v>662</v>
      </c>
      <c r="L14" t="n">
        <v>724</v>
      </c>
      <c r="M14" t="n">
        <v>758</v>
      </c>
      <c r="N14" t="n">
        <v>736</v>
      </c>
      <c r="O14" t="n">
        <v>711</v>
      </c>
      <c r="P14" t="n">
        <v>715</v>
      </c>
      <c r="Q14" t="n">
        <v>786</v>
      </c>
      <c r="R14" t="n">
        <v>787</v>
      </c>
      <c r="S14" t="n">
        <v>820</v>
      </c>
      <c r="T14" t="n">
        <v>801</v>
      </c>
      <c r="U14" t="n">
        <v>796</v>
      </c>
      <c r="V14" t="n">
        <v>714</v>
      </c>
      <c r="W14" t="n">
        <v>510</v>
      </c>
      <c r="X14" t="n">
        <v>454</v>
      </c>
      <c r="Y14" t="n">
        <v>438</v>
      </c>
      <c r="Z14" t="n">
        <v>420</v>
      </c>
      <c r="AA14" t="n">
        <v>396</v>
      </c>
      <c r="AB14" t="n">
        <v>386</v>
      </c>
      <c r="AC14" t="n">
        <v>378</v>
      </c>
      <c r="AD14" t="n">
        <v>384</v>
      </c>
      <c r="AE14" t="n">
        <v>426</v>
      </c>
      <c r="AF14" t="n">
        <v>421</v>
      </c>
    </row>
    <row r="15">
      <c r="A15" t="s">
        <v>128</v>
      </c>
      <c r="B15" t="s">
        <v>300</v>
      </c>
      <c r="C15" t="s">
        <v>236</v>
      </c>
      <c r="D15" t="s">
        <v>301</v>
      </c>
      <c r="E15" t="s">
        <v>237</v>
      </c>
      <c r="F15" t="n">
        <v>570</v>
      </c>
      <c r="G15" t="n">
        <v>673</v>
      </c>
      <c r="H15" t="n">
        <v>678</v>
      </c>
      <c r="I15" t="n">
        <v>717</v>
      </c>
      <c r="J15" t="n">
        <v>795</v>
      </c>
      <c r="K15" t="n">
        <v>881</v>
      </c>
      <c r="L15" t="n">
        <v>954</v>
      </c>
      <c r="M15" t="n">
        <v>1005</v>
      </c>
      <c r="N15" t="n">
        <v>976</v>
      </c>
      <c r="O15" t="n">
        <v>947</v>
      </c>
      <c r="P15" t="n">
        <v>941</v>
      </c>
      <c r="Q15" t="n">
        <v>1029</v>
      </c>
      <c r="R15" t="n">
        <v>1062</v>
      </c>
      <c r="S15" t="n">
        <v>1121</v>
      </c>
      <c r="T15" t="n">
        <v>1116</v>
      </c>
      <c r="U15" t="n">
        <v>1111</v>
      </c>
      <c r="V15" t="n">
        <v>999</v>
      </c>
      <c r="W15" t="n">
        <v>794</v>
      </c>
      <c r="X15" t="n">
        <v>743</v>
      </c>
      <c r="Y15" t="n">
        <v>731</v>
      </c>
      <c r="Z15" t="n">
        <v>739</v>
      </c>
      <c r="AA15" t="n">
        <v>707</v>
      </c>
      <c r="AB15" t="n">
        <v>692</v>
      </c>
      <c r="AC15" t="n">
        <v>708</v>
      </c>
      <c r="AD15" t="n">
        <v>759</v>
      </c>
      <c r="AE15" t="n">
        <v>835</v>
      </c>
      <c r="AF15" t="n">
        <v>842</v>
      </c>
    </row>
    <row r="16">
      <c r="A16" t="s">
        <v>128</v>
      </c>
      <c r="B16" t="s">
        <v>302</v>
      </c>
      <c r="C16" t="s">
        <v>236</v>
      </c>
      <c r="D16" t="s">
        <v>303</v>
      </c>
      <c r="E16" t="s">
        <v>237</v>
      </c>
      <c r="F16" t="n">
        <v>191</v>
      </c>
      <c r="G16" t="n">
        <v>202</v>
      </c>
      <c r="H16" t="n">
        <v>207</v>
      </c>
      <c r="I16" t="n">
        <v>204</v>
      </c>
      <c r="J16" t="n">
        <v>213</v>
      </c>
      <c r="K16" t="n">
        <v>219</v>
      </c>
      <c r="L16" t="n">
        <v>230</v>
      </c>
      <c r="M16" t="n">
        <v>247</v>
      </c>
      <c r="N16" t="n">
        <v>240</v>
      </c>
      <c r="O16" t="n">
        <v>236</v>
      </c>
      <c r="P16" t="n">
        <v>226</v>
      </c>
      <c r="Q16" t="n">
        <v>243</v>
      </c>
      <c r="R16" t="n">
        <v>275</v>
      </c>
      <c r="S16" t="n">
        <v>301</v>
      </c>
      <c r="T16" t="n">
        <v>315</v>
      </c>
      <c r="U16" t="n">
        <v>315</v>
      </c>
      <c r="V16" t="n">
        <v>285</v>
      </c>
      <c r="W16" t="n">
        <v>284</v>
      </c>
      <c r="X16" t="n">
        <v>289</v>
      </c>
      <c r="Y16" t="n">
        <v>293</v>
      </c>
      <c r="Z16" t="n">
        <v>319</v>
      </c>
      <c r="AA16" t="n">
        <v>311</v>
      </c>
      <c r="AB16" t="n">
        <v>306</v>
      </c>
      <c r="AC16" t="n">
        <v>330</v>
      </c>
      <c r="AD16" t="n">
        <v>375</v>
      </c>
      <c r="AE16" t="n">
        <v>409</v>
      </c>
      <c r="AF16" t="n">
        <v>421</v>
      </c>
    </row>
    <row r="17">
      <c r="A17" t="s">
        <v>128</v>
      </c>
      <c r="B17" t="s">
        <v>304</v>
      </c>
      <c r="C17" t="s">
        <v>236</v>
      </c>
      <c r="D17" t="s">
        <v>305</v>
      </c>
      <c r="E17" t="s">
        <v>237</v>
      </c>
      <c r="F17" t="n">
        <v>774</v>
      </c>
      <c r="G17" t="n">
        <v>793</v>
      </c>
      <c r="H17" t="n">
        <v>799</v>
      </c>
      <c r="I17" t="n">
        <v>794</v>
      </c>
      <c r="J17" t="n">
        <v>803</v>
      </c>
      <c r="K17" t="n">
        <v>829</v>
      </c>
      <c r="L17" t="n">
        <v>846</v>
      </c>
      <c r="M17" t="n">
        <v>900</v>
      </c>
      <c r="N17" t="n">
        <v>896</v>
      </c>
      <c r="O17" t="n">
        <v>856</v>
      </c>
      <c r="P17" t="n">
        <v>852</v>
      </c>
      <c r="Q17" t="n">
        <v>875</v>
      </c>
      <c r="R17" t="n">
        <v>892</v>
      </c>
      <c r="S17" t="n">
        <v>916</v>
      </c>
      <c r="T17" t="n">
        <v>944</v>
      </c>
      <c r="U17" t="n">
        <v>906</v>
      </c>
      <c r="V17" t="n">
        <v>833</v>
      </c>
      <c r="W17" t="n">
        <v>838</v>
      </c>
      <c r="X17" t="n">
        <v>858</v>
      </c>
      <c r="Y17" t="n">
        <v>868</v>
      </c>
      <c r="Z17" t="n">
        <v>864</v>
      </c>
      <c r="AA17" t="n">
        <v>863</v>
      </c>
      <c r="AB17" t="n">
        <v>913</v>
      </c>
      <c r="AC17" t="n">
        <v>959</v>
      </c>
      <c r="AD17" t="n">
        <v>1000</v>
      </c>
      <c r="AE17" t="n">
        <v>1048</v>
      </c>
      <c r="AF17" t="n">
        <v>1040</v>
      </c>
    </row>
    <row r="18">
      <c r="A18" t="s">
        <v>128</v>
      </c>
      <c r="B18" t="s">
        <v>306</v>
      </c>
      <c r="C18" t="s">
        <v>236</v>
      </c>
      <c r="D18" t="s">
        <v>307</v>
      </c>
      <c r="E18" t="s">
        <v>237</v>
      </c>
      <c r="F18" t="n">
        <v>955</v>
      </c>
      <c r="G18" t="n">
        <v>960</v>
      </c>
      <c r="H18" t="n">
        <v>917</v>
      </c>
      <c r="I18" t="n">
        <v>894</v>
      </c>
      <c r="J18" t="n">
        <v>890</v>
      </c>
      <c r="K18" t="n">
        <v>896</v>
      </c>
      <c r="L18" t="n">
        <v>895</v>
      </c>
      <c r="M18" t="n">
        <v>917</v>
      </c>
      <c r="N18" t="n">
        <v>868</v>
      </c>
      <c r="O18" t="n">
        <v>832</v>
      </c>
      <c r="P18" t="n">
        <v>823</v>
      </c>
      <c r="Q18" t="n">
        <v>846</v>
      </c>
      <c r="R18" t="n">
        <v>851</v>
      </c>
      <c r="S18" t="n">
        <v>872</v>
      </c>
      <c r="T18" t="n">
        <v>877</v>
      </c>
      <c r="U18" t="n">
        <v>807</v>
      </c>
      <c r="V18" t="n">
        <v>706</v>
      </c>
      <c r="W18" t="n">
        <v>688</v>
      </c>
      <c r="X18" t="n">
        <v>660</v>
      </c>
      <c r="Y18" t="n">
        <v>620</v>
      </c>
      <c r="Z18" t="n">
        <v>586</v>
      </c>
      <c r="AA18" t="n">
        <v>553</v>
      </c>
      <c r="AB18" t="n">
        <v>553</v>
      </c>
      <c r="AC18" t="n">
        <v>557</v>
      </c>
      <c r="AD18" t="n">
        <v>535</v>
      </c>
      <c r="AE18" t="n">
        <v>549</v>
      </c>
      <c r="AF18" t="n">
        <v>542</v>
      </c>
    </row>
    <row r="19">
      <c r="A19" t="s">
        <v>128</v>
      </c>
      <c r="B19" t="s">
        <v>308</v>
      </c>
      <c r="C19" t="s">
        <v>236</v>
      </c>
      <c r="D19" t="s">
        <v>309</v>
      </c>
      <c r="E19" t="s">
        <v>237</v>
      </c>
      <c r="F19" t="n">
        <v>454</v>
      </c>
      <c r="G19" t="n">
        <v>459</v>
      </c>
      <c r="H19" t="n">
        <v>465</v>
      </c>
      <c r="I19" t="n">
        <v>472</v>
      </c>
      <c r="J19" t="n">
        <v>489</v>
      </c>
      <c r="K19" t="n">
        <v>535</v>
      </c>
      <c r="L19" t="n">
        <v>533</v>
      </c>
      <c r="M19" t="n">
        <v>535</v>
      </c>
      <c r="N19" t="n">
        <v>510</v>
      </c>
      <c r="O19" t="n">
        <v>487</v>
      </c>
      <c r="P19" t="n">
        <v>485</v>
      </c>
      <c r="Q19" t="n">
        <v>476</v>
      </c>
      <c r="R19" t="n">
        <v>476</v>
      </c>
      <c r="S19" t="n">
        <v>490</v>
      </c>
      <c r="T19" t="n">
        <v>499</v>
      </c>
      <c r="U19" t="n">
        <v>470</v>
      </c>
      <c r="V19" t="n">
        <v>413</v>
      </c>
      <c r="W19" t="n">
        <v>407</v>
      </c>
      <c r="X19" t="n">
        <v>404</v>
      </c>
      <c r="Y19" t="n">
        <v>389</v>
      </c>
      <c r="Z19" t="n">
        <v>375</v>
      </c>
      <c r="AA19" t="n">
        <v>397</v>
      </c>
      <c r="AB19" t="n">
        <v>387</v>
      </c>
      <c r="AC19" t="n">
        <v>384</v>
      </c>
      <c r="AD19" t="n">
        <v>376</v>
      </c>
      <c r="AE19" t="n">
        <v>402</v>
      </c>
      <c r="AF19" t="n">
        <v>413</v>
      </c>
    </row>
    <row r="20">
      <c r="A20" t="s">
        <v>128</v>
      </c>
      <c r="B20" t="s">
        <v>310</v>
      </c>
      <c r="C20" t="s">
        <v>236</v>
      </c>
      <c r="D20" t="s">
        <v>311</v>
      </c>
      <c r="E20" t="s">
        <v>237</v>
      </c>
      <c r="F20" t="n">
        <v>7388</v>
      </c>
      <c r="G20" t="n">
        <v>7497</v>
      </c>
      <c r="H20" t="n">
        <v>7526</v>
      </c>
      <c r="I20" t="n">
        <v>7719</v>
      </c>
      <c r="J20" t="n">
        <v>7767</v>
      </c>
      <c r="K20" t="n">
        <v>7986</v>
      </c>
      <c r="L20" t="n">
        <v>8505</v>
      </c>
      <c r="M20" t="n">
        <v>8870</v>
      </c>
      <c r="N20" t="n">
        <v>8924</v>
      </c>
      <c r="O20" t="n">
        <v>9320</v>
      </c>
      <c r="P20" t="n">
        <v>9761</v>
      </c>
      <c r="Q20" t="n">
        <v>10339</v>
      </c>
      <c r="R20" t="n">
        <v>11065</v>
      </c>
      <c r="S20" t="n">
        <v>12052</v>
      </c>
      <c r="T20" t="n">
        <v>13170</v>
      </c>
      <c r="U20" t="n">
        <v>13071</v>
      </c>
      <c r="V20" t="n">
        <v>13451</v>
      </c>
      <c r="W20" t="n">
        <v>14353</v>
      </c>
      <c r="X20" t="n">
        <v>15435</v>
      </c>
      <c r="Y20" t="n">
        <v>16060</v>
      </c>
      <c r="Z20" t="n">
        <v>16562</v>
      </c>
      <c r="AA20" t="n">
        <v>17098</v>
      </c>
      <c r="AB20" t="n">
        <v>17551</v>
      </c>
      <c r="AC20" t="n">
        <v>18399</v>
      </c>
      <c r="AD20" t="n">
        <v>19318</v>
      </c>
      <c r="AE20" t="n">
        <v>19934</v>
      </c>
      <c r="AF20" t="n">
        <v>20348</v>
      </c>
    </row>
    <row r="21">
      <c r="A21" t="s">
        <v>128</v>
      </c>
      <c r="B21" t="s">
        <v>312</v>
      </c>
      <c r="C21" t="s">
        <v>236</v>
      </c>
      <c r="D21" t="s">
        <v>313</v>
      </c>
      <c r="E21" t="s">
        <v>237</v>
      </c>
      <c r="F21" t="n">
        <v>11505</v>
      </c>
      <c r="G21" t="n">
        <v>11668</v>
      </c>
      <c r="H21" t="n">
        <v>11747</v>
      </c>
      <c r="I21" t="n">
        <v>12088</v>
      </c>
      <c r="J21" t="n">
        <v>12265</v>
      </c>
      <c r="K21" t="n">
        <v>12669</v>
      </c>
      <c r="L21" t="n">
        <v>13426</v>
      </c>
      <c r="M21" t="n">
        <v>14077</v>
      </c>
      <c r="N21" t="n">
        <v>14268</v>
      </c>
      <c r="O21" t="n">
        <v>14830</v>
      </c>
      <c r="P21" t="n">
        <v>15527</v>
      </c>
      <c r="Q21" t="n">
        <v>16525</v>
      </c>
      <c r="R21" t="n">
        <v>17693</v>
      </c>
      <c r="S21" t="n">
        <v>19260</v>
      </c>
      <c r="T21" t="n">
        <v>21037</v>
      </c>
      <c r="U21" t="n">
        <v>21006</v>
      </c>
      <c r="V21" t="n">
        <v>21479</v>
      </c>
      <c r="W21" t="n">
        <v>22727</v>
      </c>
      <c r="X21" t="n">
        <v>24245</v>
      </c>
      <c r="Y21" t="n">
        <v>24975</v>
      </c>
      <c r="Z21" t="n">
        <v>25493</v>
      </c>
      <c r="AA21" t="n">
        <v>25942</v>
      </c>
      <c r="AB21" t="n">
        <v>26314</v>
      </c>
      <c r="AC21" t="n">
        <v>27557</v>
      </c>
      <c r="AD21" t="n">
        <v>28802</v>
      </c>
      <c r="AE21" t="n">
        <v>29972</v>
      </c>
      <c r="AF21" t="n">
        <v>30506</v>
      </c>
    </row>
    <row r="22">
      <c r="A22" t="s">
        <v>128</v>
      </c>
      <c r="B22" t="s">
        <v>314</v>
      </c>
      <c r="C22" t="s">
        <v>236</v>
      </c>
      <c r="D22" t="s">
        <v>315</v>
      </c>
      <c r="E22" t="s">
        <v>237</v>
      </c>
      <c r="F22" t="n">
        <v>4117</v>
      </c>
      <c r="G22" t="n">
        <v>4171</v>
      </c>
      <c r="H22" t="n">
        <v>4221</v>
      </c>
      <c r="I22" t="n">
        <v>4369</v>
      </c>
      <c r="J22" t="n">
        <v>4498</v>
      </c>
      <c r="K22" t="n">
        <v>4683</v>
      </c>
      <c r="L22" t="n">
        <v>4921</v>
      </c>
      <c r="M22" t="n">
        <v>5207</v>
      </c>
      <c r="N22" t="n">
        <v>5344</v>
      </c>
      <c r="O22" t="n">
        <v>5510</v>
      </c>
      <c r="P22" t="n">
        <v>5766</v>
      </c>
      <c r="Q22" t="n">
        <v>6186</v>
      </c>
      <c r="R22" t="n">
        <v>6628</v>
      </c>
      <c r="S22" t="n">
        <v>7208</v>
      </c>
      <c r="T22" t="n">
        <v>7867</v>
      </c>
      <c r="U22" t="n">
        <v>7935</v>
      </c>
      <c r="V22" t="n">
        <v>8028</v>
      </c>
      <c r="W22" t="n">
        <v>8374</v>
      </c>
      <c r="X22" t="n">
        <v>8810</v>
      </c>
      <c r="Y22" t="n">
        <v>8915</v>
      </c>
      <c r="Z22" t="n">
        <v>8931</v>
      </c>
      <c r="AA22" t="n">
        <v>8844</v>
      </c>
      <c r="AB22" t="n">
        <v>8763</v>
      </c>
      <c r="AC22" t="n">
        <v>9158</v>
      </c>
      <c r="AD22" t="n">
        <v>9484</v>
      </c>
      <c r="AE22" t="n">
        <v>10038</v>
      </c>
      <c r="AF22" t="n">
        <v>10158</v>
      </c>
    </row>
    <row r="23">
      <c r="A23" t="s">
        <v>128</v>
      </c>
      <c r="B23" t="s">
        <v>316</v>
      </c>
      <c r="C23" t="s">
        <v>236</v>
      </c>
      <c r="D23" t="s">
        <v>317</v>
      </c>
      <c r="E23" t="s">
        <v>237</v>
      </c>
      <c r="F23" t="n">
        <v>828</v>
      </c>
      <c r="G23" t="n">
        <v>842</v>
      </c>
      <c r="H23" t="n">
        <v>834</v>
      </c>
      <c r="I23" t="n">
        <v>821</v>
      </c>
      <c r="J23" t="n">
        <v>853</v>
      </c>
      <c r="K23" t="n">
        <v>906</v>
      </c>
      <c r="L23" t="n">
        <v>929</v>
      </c>
      <c r="M23" t="n">
        <v>991</v>
      </c>
      <c r="N23" t="n">
        <v>984</v>
      </c>
      <c r="O23" t="n">
        <v>990</v>
      </c>
      <c r="P23" t="n">
        <v>1019</v>
      </c>
      <c r="Q23" t="n">
        <v>1085</v>
      </c>
      <c r="R23" t="n">
        <v>1168</v>
      </c>
      <c r="S23" t="n">
        <v>1290</v>
      </c>
      <c r="T23" t="n">
        <v>1404</v>
      </c>
      <c r="U23" t="n">
        <v>1455</v>
      </c>
      <c r="V23" t="n">
        <v>1395</v>
      </c>
      <c r="W23" t="n">
        <v>1485</v>
      </c>
      <c r="X23" t="n">
        <v>1592</v>
      </c>
      <c r="Y23" t="n">
        <v>1678</v>
      </c>
      <c r="Z23" t="n">
        <v>1732</v>
      </c>
      <c r="AA23" t="n">
        <v>1766</v>
      </c>
      <c r="AB23" t="n">
        <v>1852</v>
      </c>
      <c r="AC23" t="n">
        <v>1949</v>
      </c>
      <c r="AD23" t="n">
        <v>2087</v>
      </c>
      <c r="AE23" t="n">
        <v>2322</v>
      </c>
      <c r="AF23" t="n">
        <v>2454</v>
      </c>
    </row>
    <row r="24">
      <c r="A24" t="s">
        <v>128</v>
      </c>
      <c r="B24" t="s">
        <v>318</v>
      </c>
      <c r="C24" t="s">
        <v>236</v>
      </c>
      <c r="D24" t="s">
        <v>319</v>
      </c>
      <c r="E24" t="s">
        <v>237</v>
      </c>
      <c r="F24" t="n">
        <v>7087</v>
      </c>
      <c r="G24" t="n">
        <v>7354</v>
      </c>
      <c r="H24" t="n">
        <v>7206</v>
      </c>
      <c r="I24" t="n">
        <v>6961</v>
      </c>
      <c r="J24" t="n">
        <v>7138</v>
      </c>
      <c r="K24" t="n">
        <v>7461</v>
      </c>
      <c r="L24" t="n">
        <v>7511</v>
      </c>
      <c r="M24" t="n">
        <v>7835</v>
      </c>
      <c r="N24" t="n">
        <v>7625</v>
      </c>
      <c r="O24" t="n">
        <v>7496</v>
      </c>
      <c r="P24" t="n">
        <v>7529</v>
      </c>
      <c r="Q24" t="n">
        <v>7591</v>
      </c>
      <c r="R24" t="n">
        <v>7791</v>
      </c>
      <c r="S24" t="n">
        <v>8150</v>
      </c>
      <c r="T24" t="n">
        <v>8431</v>
      </c>
      <c r="U24" t="n">
        <v>8114</v>
      </c>
      <c r="V24" t="n">
        <v>7399</v>
      </c>
      <c r="W24" t="n">
        <v>7477</v>
      </c>
      <c r="X24" t="n">
        <v>7833</v>
      </c>
      <c r="Y24" t="n">
        <v>7780</v>
      </c>
      <c r="Z24" t="n">
        <v>7497</v>
      </c>
      <c r="AA24" t="n">
        <v>7456</v>
      </c>
      <c r="AB24" t="n">
        <v>7655</v>
      </c>
      <c r="AC24" t="n">
        <v>7860</v>
      </c>
      <c r="AD24" t="n">
        <v>8069</v>
      </c>
      <c r="AE24" t="n">
        <v>8330</v>
      </c>
      <c r="AF24" t="n">
        <v>8472</v>
      </c>
    </row>
    <row r="25">
      <c r="A25" t="s">
        <v>128</v>
      </c>
      <c r="B25" t="s">
        <v>320</v>
      </c>
      <c r="C25" t="s">
        <v>236</v>
      </c>
      <c r="D25" t="s">
        <v>321</v>
      </c>
      <c r="E25" t="s">
        <v>237</v>
      </c>
      <c r="F25" t="n">
        <v>1026</v>
      </c>
      <c r="G25" t="n">
        <v>1037</v>
      </c>
      <c r="H25" t="n">
        <v>1007</v>
      </c>
      <c r="I25" t="n">
        <v>973</v>
      </c>
      <c r="J25" t="n">
        <v>996</v>
      </c>
      <c r="K25" t="n">
        <v>1015</v>
      </c>
      <c r="L25" t="n">
        <v>1013</v>
      </c>
      <c r="M25" t="n">
        <v>1042</v>
      </c>
      <c r="N25" t="n">
        <v>1007</v>
      </c>
      <c r="O25" t="n">
        <v>996</v>
      </c>
      <c r="P25" t="n">
        <v>1009</v>
      </c>
      <c r="Q25" t="n">
        <v>1066</v>
      </c>
      <c r="R25" t="n">
        <v>1104</v>
      </c>
      <c r="S25" t="n">
        <v>1167</v>
      </c>
      <c r="T25" t="n">
        <v>1207</v>
      </c>
      <c r="U25" t="n">
        <v>1174</v>
      </c>
      <c r="V25" t="n">
        <v>1037</v>
      </c>
      <c r="W25" t="n">
        <v>1037</v>
      </c>
      <c r="X25" t="n">
        <v>1074</v>
      </c>
      <c r="Y25" t="n">
        <v>1049</v>
      </c>
      <c r="Z25" t="n">
        <v>1017</v>
      </c>
      <c r="AA25" t="n">
        <v>996</v>
      </c>
      <c r="AB25" t="n">
        <v>984</v>
      </c>
      <c r="AC25" t="n">
        <v>1001</v>
      </c>
      <c r="AD25" t="n">
        <v>1042</v>
      </c>
      <c r="AE25" t="n">
        <v>1063</v>
      </c>
      <c r="AF25" t="n">
        <v>1085</v>
      </c>
    </row>
    <row r="26">
      <c r="A26" t="s">
        <v>128</v>
      </c>
      <c r="B26" t="s">
        <v>322</v>
      </c>
      <c r="C26" t="s">
        <v>236</v>
      </c>
      <c r="D26" t="s">
        <v>323</v>
      </c>
      <c r="E26" t="s">
        <v>237</v>
      </c>
      <c r="F26" t="n">
        <v>3839</v>
      </c>
      <c r="G26" t="n">
        <v>3995</v>
      </c>
      <c r="H26" t="n">
        <v>3898</v>
      </c>
      <c r="I26" t="n">
        <v>3751</v>
      </c>
      <c r="J26" t="n">
        <v>3799</v>
      </c>
      <c r="K26" t="n">
        <v>3937</v>
      </c>
      <c r="L26" t="n">
        <v>3935</v>
      </c>
      <c r="M26" t="n">
        <v>4081</v>
      </c>
      <c r="N26" t="n">
        <v>3880</v>
      </c>
      <c r="O26" t="n">
        <v>3678</v>
      </c>
      <c r="P26" t="n">
        <v>3667</v>
      </c>
      <c r="Q26" t="n">
        <v>3616</v>
      </c>
      <c r="R26" t="n">
        <v>3690</v>
      </c>
      <c r="S26" t="n">
        <v>3810</v>
      </c>
      <c r="T26" t="n">
        <v>3824</v>
      </c>
      <c r="U26" t="n">
        <v>3565</v>
      </c>
      <c r="V26" t="n">
        <v>3249</v>
      </c>
      <c r="W26" t="n">
        <v>3252</v>
      </c>
      <c r="X26" t="n">
        <v>3343</v>
      </c>
      <c r="Y26" t="n">
        <v>3324</v>
      </c>
      <c r="Z26" t="n">
        <v>3050</v>
      </c>
      <c r="AA26" t="n">
        <v>3022</v>
      </c>
      <c r="AB26" t="n">
        <v>3094</v>
      </c>
      <c r="AC26" t="n">
        <v>3187</v>
      </c>
      <c r="AD26" t="n">
        <v>3210</v>
      </c>
      <c r="AE26" t="n">
        <v>3226</v>
      </c>
      <c r="AF26" t="n">
        <v>3142</v>
      </c>
    </row>
    <row r="27">
      <c r="A27" t="s">
        <v>128</v>
      </c>
      <c r="B27" t="s">
        <v>324</v>
      </c>
      <c r="C27" t="s">
        <v>236</v>
      </c>
      <c r="D27" t="s">
        <v>325</v>
      </c>
      <c r="E27" t="s">
        <v>237</v>
      </c>
      <c r="F27" t="n">
        <v>2222</v>
      </c>
      <c r="G27" t="n">
        <v>2322</v>
      </c>
      <c r="H27" t="n">
        <v>2301</v>
      </c>
      <c r="I27" t="n">
        <v>2237</v>
      </c>
      <c r="J27" t="n">
        <v>2343</v>
      </c>
      <c r="K27" t="n">
        <v>2509</v>
      </c>
      <c r="L27" t="n">
        <v>2563</v>
      </c>
      <c r="M27" t="n">
        <v>2712</v>
      </c>
      <c r="N27" t="n">
        <v>2738</v>
      </c>
      <c r="O27" t="n">
        <v>2822</v>
      </c>
      <c r="P27" t="n">
        <v>2853</v>
      </c>
      <c r="Q27" t="n">
        <v>2909</v>
      </c>
      <c r="R27" t="n">
        <v>2997</v>
      </c>
      <c r="S27" t="n">
        <v>3173</v>
      </c>
      <c r="T27" t="n">
        <v>3400</v>
      </c>
      <c r="U27" t="n">
        <v>3375</v>
      </c>
      <c r="V27" t="n">
        <v>3113</v>
      </c>
      <c r="W27" t="n">
        <v>3188</v>
      </c>
      <c r="X27" t="n">
        <v>3416</v>
      </c>
      <c r="Y27" t="n">
        <v>3407</v>
      </c>
      <c r="Z27" t="n">
        <v>3430</v>
      </c>
      <c r="AA27" t="n">
        <v>3438</v>
      </c>
      <c r="AB27" t="n">
        <v>3577</v>
      </c>
      <c r="AC27" t="n">
        <v>3672</v>
      </c>
      <c r="AD27" t="n">
        <v>3817</v>
      </c>
      <c r="AE27" t="n">
        <v>4041</v>
      </c>
      <c r="AF27" t="n">
        <v>4245</v>
      </c>
    </row>
    <row r="28">
      <c r="A28" t="s">
        <v>128</v>
      </c>
      <c r="B28" t="s">
        <v>326</v>
      </c>
      <c r="C28" t="s">
        <v>236</v>
      </c>
      <c r="D28" t="s">
        <v>327</v>
      </c>
      <c r="E28" t="s">
        <v>237</v>
      </c>
      <c r="F28" t="n">
        <v>3954</v>
      </c>
      <c r="G28" t="n">
        <v>4163</v>
      </c>
      <c r="H28" t="n">
        <v>4195</v>
      </c>
      <c r="I28" t="n">
        <v>4418</v>
      </c>
      <c r="J28" t="n">
        <v>4558</v>
      </c>
      <c r="K28" t="n">
        <v>4759</v>
      </c>
      <c r="L28" t="n">
        <v>4979</v>
      </c>
      <c r="M28" t="n">
        <v>5197</v>
      </c>
      <c r="N28" t="n">
        <v>5254</v>
      </c>
      <c r="O28" t="n">
        <v>5343</v>
      </c>
      <c r="P28" t="n">
        <v>5415</v>
      </c>
      <c r="Q28" t="n">
        <v>5713</v>
      </c>
      <c r="R28" t="n">
        <v>6068</v>
      </c>
      <c r="S28" t="n">
        <v>6618</v>
      </c>
      <c r="T28" t="n">
        <v>7108</v>
      </c>
      <c r="U28" t="n">
        <v>6992</v>
      </c>
      <c r="V28" t="n">
        <v>6903</v>
      </c>
      <c r="W28" t="n">
        <v>7156</v>
      </c>
      <c r="X28" t="n">
        <v>7499</v>
      </c>
      <c r="Y28" t="n">
        <v>7512</v>
      </c>
      <c r="Z28" t="n">
        <v>7522</v>
      </c>
      <c r="AA28" t="n">
        <v>7434</v>
      </c>
      <c r="AB28" t="n">
        <v>7534</v>
      </c>
      <c r="AC28" t="n">
        <v>7175</v>
      </c>
      <c r="AD28" t="n">
        <v>8450</v>
      </c>
      <c r="AE28" t="n">
        <v>8879</v>
      </c>
      <c r="AF28" t="n">
        <v>8973</v>
      </c>
    </row>
    <row r="29">
      <c r="A29" t="s">
        <v>128</v>
      </c>
      <c r="B29" t="s">
        <v>328</v>
      </c>
      <c r="C29" t="s">
        <v>236</v>
      </c>
      <c r="D29" t="s">
        <v>329</v>
      </c>
      <c r="E29" t="s">
        <v>237</v>
      </c>
      <c r="F29" t="n">
        <v>1032</v>
      </c>
      <c r="G29" t="n">
        <v>1112</v>
      </c>
      <c r="H29" t="n">
        <v>1131</v>
      </c>
      <c r="I29" t="n">
        <v>1148</v>
      </c>
      <c r="J29" t="n">
        <v>1186</v>
      </c>
      <c r="K29" t="n">
        <v>1235</v>
      </c>
      <c r="L29" t="n">
        <v>1288</v>
      </c>
      <c r="M29" t="n">
        <v>1340</v>
      </c>
      <c r="N29" t="n">
        <v>1329</v>
      </c>
      <c r="O29" t="n">
        <v>1323</v>
      </c>
      <c r="P29" t="n">
        <v>1364</v>
      </c>
      <c r="Q29" t="n">
        <v>1448</v>
      </c>
      <c r="R29" t="n">
        <v>1511</v>
      </c>
      <c r="S29" t="n">
        <v>1640</v>
      </c>
      <c r="T29" t="n">
        <v>1780</v>
      </c>
      <c r="U29" t="n">
        <v>1743</v>
      </c>
      <c r="V29" t="n">
        <v>1749</v>
      </c>
      <c r="W29" t="n">
        <v>1782</v>
      </c>
      <c r="X29" t="n">
        <v>1884</v>
      </c>
      <c r="Y29" t="n">
        <v>1869</v>
      </c>
      <c r="Z29" t="n">
        <v>1892</v>
      </c>
      <c r="AA29" t="n">
        <v>1847</v>
      </c>
      <c r="AB29" t="n">
        <v>1797</v>
      </c>
      <c r="AC29" t="n">
        <v>1125</v>
      </c>
      <c r="AD29" t="n">
        <v>2004</v>
      </c>
      <c r="AE29" t="n">
        <v>2130</v>
      </c>
      <c r="AF29" t="n">
        <v>2165</v>
      </c>
    </row>
    <row r="30">
      <c r="A30" t="s">
        <v>128</v>
      </c>
      <c r="B30" t="s">
        <v>330</v>
      </c>
      <c r="C30" t="s">
        <v>236</v>
      </c>
      <c r="D30" t="s">
        <v>331</v>
      </c>
      <c r="E30" t="s">
        <v>237</v>
      </c>
      <c r="F30" t="n">
        <v>143</v>
      </c>
      <c r="G30" t="n">
        <v>135</v>
      </c>
      <c r="H30" t="n">
        <v>120</v>
      </c>
      <c r="I30" t="n">
        <v>121</v>
      </c>
      <c r="J30" t="n">
        <v>118</v>
      </c>
      <c r="K30" t="n">
        <v>116</v>
      </c>
      <c r="L30" t="n">
        <v>118</v>
      </c>
      <c r="M30" t="n">
        <v>120</v>
      </c>
      <c r="N30" t="n">
        <v>108</v>
      </c>
      <c r="O30" t="n">
        <v>105</v>
      </c>
      <c r="P30" t="n">
        <v>102</v>
      </c>
      <c r="Q30" t="n">
        <v>103</v>
      </c>
      <c r="R30" t="n">
        <v>104</v>
      </c>
      <c r="S30" t="n">
        <v>105</v>
      </c>
      <c r="T30" t="n">
        <v>108</v>
      </c>
      <c r="U30" t="n">
        <v>111</v>
      </c>
      <c r="V30" t="n">
        <v>106</v>
      </c>
      <c r="W30" t="n">
        <v>104</v>
      </c>
      <c r="X30" t="n">
        <v>106</v>
      </c>
      <c r="Y30" t="n">
        <v>102</v>
      </c>
      <c r="Z30" t="n">
        <v>96</v>
      </c>
      <c r="AA30" t="n">
        <v>90</v>
      </c>
      <c r="AB30" t="n">
        <v>86</v>
      </c>
      <c r="AC30" t="n">
        <v>97</v>
      </c>
      <c r="AD30" t="n">
        <v>95</v>
      </c>
      <c r="AE30" t="n">
        <v>96</v>
      </c>
      <c r="AF30" t="n">
        <v>72</v>
      </c>
    </row>
    <row r="31">
      <c r="A31" t="s">
        <v>128</v>
      </c>
      <c r="B31" t="s">
        <v>332</v>
      </c>
      <c r="C31" t="s">
        <v>236</v>
      </c>
      <c r="D31" t="s">
        <v>333</v>
      </c>
      <c r="E31" t="s">
        <v>237</v>
      </c>
      <c r="F31" t="n">
        <v>92</v>
      </c>
      <c r="G31" t="n">
        <v>98</v>
      </c>
      <c r="H31" t="n">
        <v>98</v>
      </c>
      <c r="I31" t="n">
        <v>103</v>
      </c>
      <c r="J31" t="n">
        <v>116</v>
      </c>
      <c r="K31" t="n">
        <v>115</v>
      </c>
      <c r="L31" t="n">
        <v>105</v>
      </c>
      <c r="M31" t="n">
        <v>99</v>
      </c>
      <c r="N31" t="n">
        <v>87</v>
      </c>
      <c r="O31" t="n">
        <v>76</v>
      </c>
      <c r="P31" t="n">
        <v>67</v>
      </c>
      <c r="Q31" t="n">
        <v>61</v>
      </c>
      <c r="R31" t="n">
        <v>50</v>
      </c>
      <c r="S31" t="n">
        <v>59</v>
      </c>
      <c r="T31" t="n">
        <v>12</v>
      </c>
      <c r="U31" t="n">
        <v>9</v>
      </c>
      <c r="V31" t="n">
        <v>6</v>
      </c>
      <c r="W31" t="n">
        <v>3</v>
      </c>
      <c r="X31" t="n">
        <v>2</v>
      </c>
      <c r="Y31" t="n">
        <v>2</v>
      </c>
      <c r="Z31" t="n">
        <v>2</v>
      </c>
      <c r="AA31" t="n">
        <v>3</v>
      </c>
      <c r="AB31" t="n">
        <v>7</v>
      </c>
      <c r="AC31" t="n">
        <v>16</v>
      </c>
      <c r="AD31" t="n">
        <v>22</v>
      </c>
      <c r="AE31" t="n">
        <v>22</v>
      </c>
      <c r="AF31" t="n">
        <v>23</v>
      </c>
    </row>
    <row r="32">
      <c r="A32" t="s">
        <v>128</v>
      </c>
      <c r="B32" t="s">
        <v>334</v>
      </c>
      <c r="C32" t="s">
        <v>236</v>
      </c>
      <c r="D32" t="s">
        <v>335</v>
      </c>
      <c r="E32" t="s">
        <v>237</v>
      </c>
      <c r="F32" t="n">
        <v>2425</v>
      </c>
      <c r="G32" t="n">
        <v>2541</v>
      </c>
      <c r="H32" t="n">
        <v>2561</v>
      </c>
      <c r="I32" t="n">
        <v>2740</v>
      </c>
      <c r="J32" t="n">
        <v>2820</v>
      </c>
      <c r="K32" t="n">
        <v>2954</v>
      </c>
      <c r="L32" t="n">
        <v>3123</v>
      </c>
      <c r="M32" t="n">
        <v>3282</v>
      </c>
      <c r="N32" t="n">
        <v>3386</v>
      </c>
      <c r="O32" t="n">
        <v>3506</v>
      </c>
      <c r="P32" t="n">
        <v>3552</v>
      </c>
      <c r="Q32" t="n">
        <v>3770</v>
      </c>
      <c r="R32" t="n">
        <v>4079</v>
      </c>
      <c r="S32" t="n">
        <v>4449</v>
      </c>
      <c r="T32" t="n">
        <v>4805</v>
      </c>
      <c r="U32" t="n">
        <v>4746</v>
      </c>
      <c r="V32" t="n">
        <v>4697</v>
      </c>
      <c r="W32" t="n">
        <v>4899</v>
      </c>
      <c r="X32" t="n">
        <v>5136</v>
      </c>
      <c r="Y32" t="n">
        <v>5168</v>
      </c>
      <c r="Z32" t="n">
        <v>5247</v>
      </c>
      <c r="AA32" t="n">
        <v>5260</v>
      </c>
      <c r="AB32" t="n">
        <v>5423</v>
      </c>
      <c r="AC32" t="n">
        <v>5728</v>
      </c>
      <c r="AD32" t="n">
        <v>6129</v>
      </c>
      <c r="AE32" t="n">
        <v>6438</v>
      </c>
      <c r="AF32" t="n">
        <v>6533</v>
      </c>
    </row>
    <row r="33">
      <c r="A33" t="s">
        <v>128</v>
      </c>
      <c r="B33" t="s">
        <v>336</v>
      </c>
      <c r="C33" t="s">
        <v>236</v>
      </c>
      <c r="D33" t="s">
        <v>337</v>
      </c>
      <c r="E33" t="s">
        <v>237</v>
      </c>
      <c r="F33" t="n">
        <v>262</v>
      </c>
      <c r="G33" t="n">
        <v>277</v>
      </c>
      <c r="H33" t="n">
        <v>285</v>
      </c>
      <c r="I33" t="n">
        <v>306</v>
      </c>
      <c r="J33" t="n">
        <v>318</v>
      </c>
      <c r="K33" t="n">
        <v>339</v>
      </c>
      <c r="L33" t="n">
        <v>345</v>
      </c>
      <c r="M33" t="n">
        <v>356</v>
      </c>
      <c r="N33" t="n">
        <v>344</v>
      </c>
      <c r="O33" t="n">
        <v>333</v>
      </c>
      <c r="P33" t="n">
        <v>330</v>
      </c>
      <c r="Q33" t="n">
        <v>331</v>
      </c>
      <c r="R33" t="n">
        <v>324</v>
      </c>
      <c r="S33" t="n">
        <v>365</v>
      </c>
      <c r="T33" t="n">
        <v>403</v>
      </c>
      <c r="U33" t="n">
        <v>383</v>
      </c>
      <c r="V33" t="n">
        <v>345</v>
      </c>
      <c r="W33" t="n">
        <v>368</v>
      </c>
      <c r="X33" t="n">
        <v>371</v>
      </c>
      <c r="Y33" t="n">
        <v>371</v>
      </c>
      <c r="Z33" t="n">
        <v>285</v>
      </c>
      <c r="AA33" t="n">
        <v>234</v>
      </c>
      <c r="AB33" t="n">
        <v>221</v>
      </c>
      <c r="AC33" t="n">
        <v>209</v>
      </c>
      <c r="AD33" t="n">
        <v>200</v>
      </c>
      <c r="AE33" t="n">
        <v>193</v>
      </c>
      <c r="AF33" t="n">
        <v>180</v>
      </c>
    </row>
    <row r="34">
      <c r="A34" t="s">
        <v>128</v>
      </c>
      <c r="B34" t="s">
        <v>338</v>
      </c>
      <c r="C34" t="s">
        <v>236</v>
      </c>
      <c r="D34" t="s">
        <v>339</v>
      </c>
      <c r="E34" t="s">
        <v>237</v>
      </c>
      <c r="F34" t="n">
        <v>1054</v>
      </c>
      <c r="G34" t="n">
        <v>1093</v>
      </c>
      <c r="H34" t="n">
        <v>1083</v>
      </c>
      <c r="I34" t="n">
        <v>1055</v>
      </c>
      <c r="J34" t="n">
        <v>1085</v>
      </c>
      <c r="K34" t="n">
        <v>1126</v>
      </c>
      <c r="L34" t="n">
        <v>1128</v>
      </c>
      <c r="M34" t="n">
        <v>1197</v>
      </c>
      <c r="N34" t="n">
        <v>1150</v>
      </c>
      <c r="O34" t="n">
        <v>1129</v>
      </c>
      <c r="P34" t="n">
        <v>1140</v>
      </c>
      <c r="Q34" t="n">
        <v>1204</v>
      </c>
      <c r="R34" t="n">
        <v>1258</v>
      </c>
      <c r="S34" t="n">
        <v>1341</v>
      </c>
      <c r="T34" t="n">
        <v>1421</v>
      </c>
      <c r="U34" t="n">
        <v>1423</v>
      </c>
      <c r="V34" t="n">
        <v>1312</v>
      </c>
      <c r="W34" t="n">
        <v>1329</v>
      </c>
      <c r="X34" t="n">
        <v>1378</v>
      </c>
      <c r="Y34" t="n">
        <v>1379</v>
      </c>
      <c r="Z34" t="n">
        <v>1372</v>
      </c>
      <c r="AA34" t="n">
        <v>1376</v>
      </c>
      <c r="AB34" t="n">
        <v>1429</v>
      </c>
      <c r="AC34" t="n">
        <v>1481</v>
      </c>
      <c r="AD34" t="n">
        <v>1541</v>
      </c>
      <c r="AE34" t="n">
        <v>1647</v>
      </c>
      <c r="AF34" t="n">
        <v>1678</v>
      </c>
    </row>
    <row r="35">
      <c r="A35" t="s">
        <v>128</v>
      </c>
      <c r="B35" t="s">
        <v>340</v>
      </c>
      <c r="C35" t="s">
        <v>236</v>
      </c>
      <c r="D35" t="s">
        <v>341</v>
      </c>
      <c r="E35" t="s">
        <v>237</v>
      </c>
      <c r="F35" t="n">
        <v>2950</v>
      </c>
      <c r="G35" t="n">
        <v>3146</v>
      </c>
      <c r="H35" t="n">
        <v>3275</v>
      </c>
      <c r="I35" t="n">
        <v>3466</v>
      </c>
      <c r="J35" t="n">
        <v>3721</v>
      </c>
      <c r="K35" t="n">
        <v>4029</v>
      </c>
      <c r="L35" t="n">
        <v>4416</v>
      </c>
      <c r="M35" t="n">
        <v>4677</v>
      </c>
      <c r="N35" t="n">
        <v>4686</v>
      </c>
      <c r="O35" t="n">
        <v>4512</v>
      </c>
      <c r="P35" t="n">
        <v>4380</v>
      </c>
      <c r="Q35" t="n">
        <v>4335</v>
      </c>
      <c r="R35" t="n">
        <v>4328</v>
      </c>
      <c r="S35" t="n">
        <v>4332</v>
      </c>
      <c r="T35" t="n">
        <v>4367</v>
      </c>
      <c r="U35" t="n">
        <v>4046</v>
      </c>
      <c r="V35" t="n">
        <v>3801</v>
      </c>
      <c r="W35" t="n">
        <v>3687</v>
      </c>
      <c r="X35" t="n">
        <v>3652</v>
      </c>
      <c r="Y35" t="n">
        <v>3682</v>
      </c>
      <c r="Z35" t="n">
        <v>3682</v>
      </c>
      <c r="AA35" t="n">
        <v>3463</v>
      </c>
      <c r="AB35" t="n">
        <v>3338</v>
      </c>
      <c r="AC35" t="n">
        <v>3387</v>
      </c>
      <c r="AD35" t="n">
        <v>3475</v>
      </c>
      <c r="AE35" t="n">
        <v>3867</v>
      </c>
      <c r="AF35" t="n">
        <v>3901</v>
      </c>
    </row>
    <row r="36">
      <c r="A36" t="s">
        <v>128</v>
      </c>
      <c r="B36" t="s">
        <v>342</v>
      </c>
      <c r="C36" t="s">
        <v>236</v>
      </c>
      <c r="D36" t="s">
        <v>343</v>
      </c>
      <c r="E36" t="s">
        <v>237</v>
      </c>
      <c r="F36" t="n">
        <v>297</v>
      </c>
      <c r="G36" t="n">
        <v>307</v>
      </c>
      <c r="H36" t="n">
        <v>326</v>
      </c>
      <c r="I36" t="n">
        <v>343</v>
      </c>
      <c r="J36" t="n">
        <v>362</v>
      </c>
      <c r="K36" t="n">
        <v>381</v>
      </c>
      <c r="L36" t="n">
        <v>382</v>
      </c>
      <c r="M36" t="n">
        <v>402</v>
      </c>
      <c r="N36" t="n">
        <v>398</v>
      </c>
      <c r="O36" t="n">
        <v>393</v>
      </c>
      <c r="P36" t="n">
        <v>400</v>
      </c>
      <c r="Q36" t="n">
        <v>412</v>
      </c>
      <c r="R36" t="n">
        <v>424</v>
      </c>
      <c r="S36" t="n">
        <v>428</v>
      </c>
      <c r="T36" t="n">
        <v>444</v>
      </c>
      <c r="U36" t="n">
        <v>433</v>
      </c>
      <c r="V36" t="n">
        <v>404</v>
      </c>
      <c r="W36" t="n">
        <v>387</v>
      </c>
      <c r="X36" t="n">
        <v>417</v>
      </c>
      <c r="Y36" t="n">
        <v>299</v>
      </c>
      <c r="Z36" t="n">
        <v>293</v>
      </c>
      <c r="AA36" t="n">
        <v>272</v>
      </c>
      <c r="AB36" t="n">
        <v>285</v>
      </c>
      <c r="AC36" t="n">
        <v>297</v>
      </c>
      <c r="AD36" t="n">
        <v>310</v>
      </c>
      <c r="AE36" t="n">
        <v>306</v>
      </c>
      <c r="AF36" t="n">
        <v>305</v>
      </c>
    </row>
    <row r="37">
      <c r="A37" t="s">
        <v>128</v>
      </c>
      <c r="B37" t="s">
        <v>344</v>
      </c>
      <c r="C37" t="s">
        <v>236</v>
      </c>
      <c r="D37" t="s">
        <v>345</v>
      </c>
      <c r="E37" t="s">
        <v>237</v>
      </c>
      <c r="F37" t="n">
        <v>2595</v>
      </c>
      <c r="G37" t="n">
        <v>2778</v>
      </c>
      <c r="H37" t="n">
        <v>2890</v>
      </c>
      <c r="I37" t="n">
        <v>3063</v>
      </c>
      <c r="J37" t="n">
        <v>3298</v>
      </c>
      <c r="K37" t="n">
        <v>3581</v>
      </c>
      <c r="L37" t="n">
        <v>3966</v>
      </c>
      <c r="M37" t="n">
        <v>4206</v>
      </c>
      <c r="N37" t="n">
        <v>4224</v>
      </c>
      <c r="O37" t="n">
        <v>4109</v>
      </c>
      <c r="P37" t="n">
        <v>3972</v>
      </c>
      <c r="Q37" t="n">
        <v>3914</v>
      </c>
      <c r="R37" t="n">
        <v>3895</v>
      </c>
      <c r="S37" t="n">
        <v>3896</v>
      </c>
      <c r="T37" t="n">
        <v>3915</v>
      </c>
      <c r="U37" t="n">
        <v>3605</v>
      </c>
      <c r="V37" t="n">
        <v>3368</v>
      </c>
      <c r="W37" t="n">
        <v>3256</v>
      </c>
      <c r="X37" t="n">
        <v>3181</v>
      </c>
      <c r="Y37" t="n">
        <v>2936</v>
      </c>
      <c r="Z37" t="n">
        <v>2765</v>
      </c>
      <c r="AA37" t="n">
        <v>2568</v>
      </c>
      <c r="AB37" t="n">
        <v>2416</v>
      </c>
      <c r="AC37" t="n">
        <v>2358</v>
      </c>
      <c r="AD37" t="n">
        <v>2254</v>
      </c>
      <c r="AE37" t="n">
        <v>2237</v>
      </c>
      <c r="AF37" t="n">
        <v>2155</v>
      </c>
    </row>
    <row r="38">
      <c r="A38" t="s">
        <v>128</v>
      </c>
      <c r="B38" t="s">
        <v>346</v>
      </c>
      <c r="C38" t="s">
        <v>236</v>
      </c>
      <c r="D38" t="s">
        <v>347</v>
      </c>
      <c r="E38" t="s">
        <v>237</v>
      </c>
      <c r="F38" t="n">
        <v>58</v>
      </c>
      <c r="G38" t="n">
        <v>61</v>
      </c>
      <c r="H38" t="n">
        <v>59</v>
      </c>
      <c r="I38" t="n">
        <v>60</v>
      </c>
      <c r="J38" t="n">
        <v>61</v>
      </c>
      <c r="K38" t="n">
        <v>67</v>
      </c>
      <c r="L38" t="n">
        <v>68</v>
      </c>
      <c r="M38" t="n">
        <v>69</v>
      </c>
      <c r="N38" t="n">
        <v>64</v>
      </c>
      <c r="O38" t="n">
        <v>10</v>
      </c>
      <c r="P38" t="n">
        <v>8</v>
      </c>
      <c r="Q38" t="n">
        <v>9</v>
      </c>
      <c r="R38" t="n">
        <v>9</v>
      </c>
      <c r="S38" t="n">
        <v>8</v>
      </c>
      <c r="T38" t="n">
        <v>8</v>
      </c>
      <c r="U38" t="n">
        <v>8</v>
      </c>
      <c r="V38" t="n">
        <v>29</v>
      </c>
      <c r="W38" t="n">
        <v>44</v>
      </c>
      <c r="X38" t="n">
        <v>54</v>
      </c>
      <c r="Y38" t="n">
        <v>447</v>
      </c>
      <c r="Z38" t="n">
        <v>624</v>
      </c>
      <c r="AA38" t="n">
        <v>623</v>
      </c>
      <c r="AB38" t="n">
        <v>637</v>
      </c>
      <c r="AC38" t="n">
        <v>732</v>
      </c>
      <c r="AD38" t="n">
        <v>911</v>
      </c>
      <c r="AE38" t="n">
        <v>1324</v>
      </c>
      <c r="AF38" t="n">
        <v>1441</v>
      </c>
    </row>
    <row r="39">
      <c r="A39" t="s">
        <v>128</v>
      </c>
      <c r="B39" t="s">
        <v>348</v>
      </c>
      <c r="C39" t="s">
        <v>236</v>
      </c>
      <c r="D39" t="s">
        <v>349</v>
      </c>
      <c r="E39" t="s">
        <v>237</v>
      </c>
      <c r="F39" t="n">
        <v>1366</v>
      </c>
      <c r="G39" t="n">
        <v>1341</v>
      </c>
      <c r="H39" t="n">
        <v>1234</v>
      </c>
      <c r="I39" t="n">
        <v>1155</v>
      </c>
      <c r="J39" t="n">
        <v>1114</v>
      </c>
      <c r="K39" t="n">
        <v>1111</v>
      </c>
      <c r="L39" t="n">
        <v>1029</v>
      </c>
      <c r="M39" t="n">
        <v>983</v>
      </c>
      <c r="N39" t="n">
        <v>842</v>
      </c>
      <c r="O39" t="n">
        <v>672</v>
      </c>
      <c r="P39" t="n">
        <v>605</v>
      </c>
      <c r="Q39" t="n">
        <v>548</v>
      </c>
      <c r="R39" t="n">
        <v>578</v>
      </c>
      <c r="S39" t="n">
        <v>600</v>
      </c>
      <c r="T39" t="n">
        <v>683</v>
      </c>
      <c r="U39" t="n">
        <v>635</v>
      </c>
      <c r="V39" t="n">
        <v>572</v>
      </c>
      <c r="W39" t="n">
        <v>565</v>
      </c>
      <c r="X39" t="n">
        <v>574</v>
      </c>
      <c r="Y39" t="n">
        <v>562</v>
      </c>
      <c r="Z39" t="n">
        <v>539</v>
      </c>
      <c r="AA39" t="n">
        <v>514</v>
      </c>
      <c r="AB39" t="n">
        <v>499</v>
      </c>
      <c r="AC39" t="n">
        <v>488</v>
      </c>
      <c r="AD39" t="n">
        <v>477</v>
      </c>
      <c r="AE39" t="n">
        <v>464</v>
      </c>
      <c r="AF39" t="n">
        <v>435</v>
      </c>
    </row>
    <row r="40">
      <c r="A40" t="s">
        <v>128</v>
      </c>
      <c r="B40" t="s">
        <v>350</v>
      </c>
      <c r="C40" t="s">
        <v>236</v>
      </c>
      <c r="D40" t="s">
        <v>351</v>
      </c>
      <c r="E40" t="s">
        <v>237</v>
      </c>
      <c r="F40" t="n">
        <v>18257</v>
      </c>
      <c r="G40" t="n">
        <v>19463</v>
      </c>
      <c r="H40" t="n">
        <v>19283</v>
      </c>
      <c r="I40" t="n">
        <v>19483</v>
      </c>
      <c r="J40" t="n">
        <v>22809</v>
      </c>
      <c r="K40" t="n">
        <v>25909</v>
      </c>
      <c r="L40" t="n">
        <v>29207</v>
      </c>
      <c r="M40" t="n">
        <v>32991</v>
      </c>
      <c r="N40" t="n">
        <v>35548</v>
      </c>
      <c r="O40" t="n">
        <v>36856</v>
      </c>
      <c r="P40" t="n">
        <v>39863</v>
      </c>
      <c r="Q40" t="n">
        <v>44046</v>
      </c>
      <c r="R40" t="n">
        <v>49396</v>
      </c>
      <c r="S40" t="n">
        <v>56705</v>
      </c>
      <c r="T40" t="n">
        <v>62145</v>
      </c>
      <c r="U40" t="n">
        <v>62998</v>
      </c>
      <c r="V40" t="n">
        <v>61104</v>
      </c>
      <c r="W40" t="n">
        <v>64401</v>
      </c>
      <c r="X40" t="n">
        <v>70022</v>
      </c>
      <c r="Y40" t="n">
        <v>72264</v>
      </c>
      <c r="Z40" t="n">
        <v>74236</v>
      </c>
      <c r="AA40" t="n">
        <v>75669</v>
      </c>
      <c r="AB40" t="n">
        <v>78703</v>
      </c>
      <c r="AC40" t="n">
        <v>82684</v>
      </c>
      <c r="AD40" t="n">
        <v>88418</v>
      </c>
      <c r="AE40" t="n">
        <v>94587</v>
      </c>
      <c r="AF40" t="n">
        <v>97412</v>
      </c>
    </row>
    <row r="41">
      <c r="A41" t="s">
        <v>128</v>
      </c>
      <c r="B41" t="s">
        <v>352</v>
      </c>
      <c r="C41" t="s">
        <v>236</v>
      </c>
      <c r="D41" t="s">
        <v>353</v>
      </c>
      <c r="E41" t="s">
        <v>237</v>
      </c>
      <c r="F41" t="n">
        <v>1332</v>
      </c>
      <c r="G41" t="n">
        <v>1345</v>
      </c>
      <c r="H41" t="n">
        <v>1318</v>
      </c>
      <c r="I41" t="n">
        <v>1294</v>
      </c>
      <c r="J41" t="n">
        <v>1333</v>
      </c>
      <c r="K41" t="n">
        <v>1419</v>
      </c>
      <c r="L41" t="n">
        <v>1488</v>
      </c>
      <c r="M41" t="n">
        <v>1615</v>
      </c>
      <c r="N41" t="n">
        <v>1676</v>
      </c>
      <c r="O41" t="n">
        <v>1748</v>
      </c>
      <c r="P41" t="n">
        <v>1918</v>
      </c>
      <c r="Q41" t="n">
        <v>2157</v>
      </c>
      <c r="R41" t="n">
        <v>2375</v>
      </c>
      <c r="S41" t="n">
        <v>2601</v>
      </c>
      <c r="T41" t="n">
        <v>2783</v>
      </c>
      <c r="U41" t="n">
        <v>2879</v>
      </c>
      <c r="V41" t="n">
        <v>2949</v>
      </c>
      <c r="W41" t="n">
        <v>3123</v>
      </c>
      <c r="X41" t="n">
        <v>3397</v>
      </c>
      <c r="Y41" t="n">
        <v>3702</v>
      </c>
      <c r="Z41" t="n">
        <v>3953</v>
      </c>
      <c r="AA41" t="n">
        <v>4171</v>
      </c>
      <c r="AB41" t="n">
        <v>4420</v>
      </c>
      <c r="AC41" t="n">
        <v>4736</v>
      </c>
      <c r="AD41" t="n">
        <v>5089</v>
      </c>
      <c r="AE41" t="n">
        <v>5415</v>
      </c>
      <c r="AF41" t="n">
        <v>5554</v>
      </c>
    </row>
    <row r="42">
      <c r="A42" t="s">
        <v>128</v>
      </c>
      <c r="B42" t="s">
        <v>354</v>
      </c>
      <c r="C42" t="s">
        <v>236</v>
      </c>
      <c r="D42" t="s">
        <v>355</v>
      </c>
      <c r="E42" t="s">
        <v>237</v>
      </c>
      <c r="F42" t="n">
        <v>631</v>
      </c>
      <c r="G42" t="n">
        <v>651</v>
      </c>
      <c r="H42" t="n">
        <v>654</v>
      </c>
      <c r="I42" t="n">
        <v>656</v>
      </c>
      <c r="J42" t="n">
        <v>686</v>
      </c>
      <c r="K42" t="n">
        <v>737</v>
      </c>
      <c r="L42" t="n">
        <v>756</v>
      </c>
      <c r="M42" t="n">
        <v>807</v>
      </c>
      <c r="N42" t="n">
        <v>794</v>
      </c>
      <c r="O42" t="n">
        <v>788</v>
      </c>
      <c r="P42" t="n">
        <v>817</v>
      </c>
      <c r="Q42" t="n">
        <v>862</v>
      </c>
      <c r="R42" t="n">
        <v>939</v>
      </c>
      <c r="S42" t="n">
        <v>1016</v>
      </c>
      <c r="T42" t="n">
        <v>1082</v>
      </c>
      <c r="U42" t="n">
        <v>1144</v>
      </c>
      <c r="V42" t="n">
        <v>1141</v>
      </c>
      <c r="W42" t="n">
        <v>1159</v>
      </c>
      <c r="X42" t="n">
        <v>1176</v>
      </c>
      <c r="Y42" t="n">
        <v>1191</v>
      </c>
      <c r="Z42" t="n">
        <v>1228</v>
      </c>
      <c r="AA42" t="n">
        <v>1217</v>
      </c>
      <c r="AB42" t="n">
        <v>1262</v>
      </c>
      <c r="AC42" t="n">
        <v>1328</v>
      </c>
      <c r="AD42" t="n">
        <v>1446</v>
      </c>
      <c r="AE42" t="n">
        <v>1545</v>
      </c>
      <c r="AF42" t="n">
        <v>1662</v>
      </c>
    </row>
    <row r="43">
      <c r="A43" t="s">
        <v>128</v>
      </c>
      <c r="B43" t="s">
        <v>356</v>
      </c>
      <c r="C43" t="s">
        <v>236</v>
      </c>
      <c r="D43" t="s">
        <v>357</v>
      </c>
      <c r="E43" t="s">
        <v>237</v>
      </c>
      <c r="F43" t="n">
        <v>842</v>
      </c>
      <c r="G43" t="n">
        <v>925</v>
      </c>
      <c r="H43" t="n">
        <v>938</v>
      </c>
      <c r="I43" t="n">
        <v>971</v>
      </c>
      <c r="J43" t="n">
        <v>1042</v>
      </c>
      <c r="K43" t="n">
        <v>1162</v>
      </c>
      <c r="L43" t="n">
        <v>1252</v>
      </c>
      <c r="M43" t="n">
        <v>1396</v>
      </c>
      <c r="N43" t="n">
        <v>1435</v>
      </c>
      <c r="O43" t="n">
        <v>1474</v>
      </c>
      <c r="P43" t="n">
        <v>1540</v>
      </c>
      <c r="Q43" t="n">
        <v>1637</v>
      </c>
      <c r="R43" t="n">
        <v>1773</v>
      </c>
      <c r="S43" t="n">
        <v>1947</v>
      </c>
      <c r="T43" t="n">
        <v>2110</v>
      </c>
      <c r="U43" t="n">
        <v>2246</v>
      </c>
      <c r="V43" t="n">
        <v>2218</v>
      </c>
      <c r="W43" t="n">
        <v>2260</v>
      </c>
      <c r="X43" t="n">
        <v>2366</v>
      </c>
      <c r="Y43" t="n">
        <v>2385</v>
      </c>
      <c r="Z43" t="n">
        <v>2310</v>
      </c>
      <c r="AA43" t="n">
        <v>2320</v>
      </c>
      <c r="AB43" t="n">
        <v>2399</v>
      </c>
      <c r="AC43" t="n">
        <v>2553</v>
      </c>
      <c r="AD43" t="n">
        <v>2758</v>
      </c>
      <c r="AE43" t="n">
        <v>2957</v>
      </c>
      <c r="AF43" t="n">
        <v>3554</v>
      </c>
    </row>
    <row r="44">
      <c r="A44" t="s">
        <v>128</v>
      </c>
      <c r="B44" t="s">
        <v>358</v>
      </c>
      <c r="C44" t="s">
        <v>236</v>
      </c>
      <c r="D44" t="s">
        <v>359</v>
      </c>
      <c r="E44" t="s">
        <v>237</v>
      </c>
      <c r="F44" t="n">
        <v>59371</v>
      </c>
      <c r="G44" t="n">
        <v>60665</v>
      </c>
      <c r="H44" t="n">
        <v>60584</v>
      </c>
      <c r="I44" t="n">
        <v>61480</v>
      </c>
      <c r="J44" t="n">
        <v>63193</v>
      </c>
      <c r="K44" t="n">
        <v>65907</v>
      </c>
      <c r="L44" t="n">
        <v>68655</v>
      </c>
      <c r="M44" t="n">
        <v>72109</v>
      </c>
      <c r="N44" t="n">
        <v>71988</v>
      </c>
      <c r="O44" t="n">
        <v>72150</v>
      </c>
      <c r="P44" t="n">
        <v>73655</v>
      </c>
      <c r="Q44" t="n">
        <v>76683</v>
      </c>
      <c r="R44" t="n">
        <v>80695</v>
      </c>
      <c r="S44" t="n">
        <v>86669</v>
      </c>
      <c r="T44" t="n">
        <v>91543</v>
      </c>
      <c r="U44" t="n">
        <v>90513</v>
      </c>
      <c r="V44" t="n">
        <v>87733</v>
      </c>
      <c r="W44" t="n">
        <v>90118</v>
      </c>
      <c r="X44" t="n">
        <v>94422</v>
      </c>
      <c r="Y44" t="n">
        <v>95745</v>
      </c>
      <c r="Z44" t="n">
        <v>95663</v>
      </c>
      <c r="AA44" t="n">
        <v>95411</v>
      </c>
      <c r="AB44" t="n">
        <v>96928</v>
      </c>
      <c r="AC44" t="n">
        <v>99511</v>
      </c>
      <c r="AD44" t="n">
        <v>104845</v>
      </c>
      <c r="AE44" t="n">
        <v>109534</v>
      </c>
      <c r="AF44" t="n">
        <v>111596</v>
      </c>
    </row>
    <row r="45">
      <c r="A45" t="s">
        <v>128</v>
      </c>
      <c r="B45" t="s">
        <v>360</v>
      </c>
      <c r="C45" t="s">
        <v>236</v>
      </c>
      <c r="D45" t="s">
        <v>361</v>
      </c>
      <c r="E45" t="s">
        <v>237</v>
      </c>
      <c r="F45" t="n">
        <v>49260</v>
      </c>
      <c r="G45" t="n">
        <v>51135</v>
      </c>
      <c r="H45" t="n">
        <v>51108</v>
      </c>
      <c r="I45" t="n">
        <v>51572</v>
      </c>
      <c r="J45" t="n">
        <v>53106</v>
      </c>
      <c r="K45" t="n">
        <v>55638</v>
      </c>
      <c r="L45" t="n">
        <v>57849</v>
      </c>
      <c r="M45" t="n">
        <v>60986</v>
      </c>
      <c r="N45" t="n">
        <v>60647</v>
      </c>
      <c r="O45" t="n">
        <v>60658</v>
      </c>
      <c r="P45" t="n">
        <v>61830</v>
      </c>
      <c r="Q45" t="n">
        <v>64423</v>
      </c>
      <c r="R45" t="n">
        <v>67738</v>
      </c>
      <c r="S45" t="n">
        <v>72473</v>
      </c>
      <c r="T45" t="n">
        <v>77006</v>
      </c>
      <c r="U45" t="n">
        <v>75624</v>
      </c>
      <c r="V45" t="n">
        <v>73211</v>
      </c>
      <c r="W45" t="n">
        <v>75313</v>
      </c>
      <c r="X45" t="n">
        <v>78943</v>
      </c>
      <c r="Y45" t="n">
        <v>79967</v>
      </c>
      <c r="Z45" t="n">
        <v>80275</v>
      </c>
      <c r="AA45" t="n">
        <v>80168</v>
      </c>
      <c r="AB45" t="n">
        <v>81554</v>
      </c>
      <c r="AC45" t="n">
        <v>83992</v>
      </c>
      <c r="AD45" t="n">
        <v>88431</v>
      </c>
      <c r="AE45" t="n">
        <v>92604</v>
      </c>
      <c r="AF45" t="n">
        <v>94554</v>
      </c>
    </row>
    <row r="46">
      <c r="A46" t="s">
        <v>128</v>
      </c>
      <c r="B46" t="s">
        <v>362</v>
      </c>
      <c r="C46" t="s">
        <v>236</v>
      </c>
      <c r="D46" t="s">
        <v>363</v>
      </c>
      <c r="E46" t="s">
        <v>237</v>
      </c>
      <c r="F46" t="n">
        <v>211</v>
      </c>
      <c r="G46" t="n">
        <v>274</v>
      </c>
      <c r="H46" t="n">
        <v>284</v>
      </c>
      <c r="I46" t="n">
        <v>315</v>
      </c>
      <c r="J46" t="n">
        <v>356</v>
      </c>
      <c r="K46" t="n">
        <v>425</v>
      </c>
      <c r="L46" t="n">
        <v>496</v>
      </c>
      <c r="M46" t="n">
        <v>589</v>
      </c>
      <c r="N46" t="n">
        <v>641</v>
      </c>
      <c r="O46" t="n">
        <v>686</v>
      </c>
      <c r="P46" t="n">
        <v>723</v>
      </c>
      <c r="Q46" t="n">
        <v>775</v>
      </c>
      <c r="R46" t="n">
        <v>834</v>
      </c>
      <c r="S46" t="n">
        <v>931</v>
      </c>
      <c r="T46" t="n">
        <v>1028</v>
      </c>
      <c r="U46" t="n">
        <v>1102</v>
      </c>
      <c r="V46" t="n">
        <v>1077</v>
      </c>
      <c r="W46" t="n">
        <v>1101</v>
      </c>
      <c r="X46" t="n">
        <v>1190</v>
      </c>
      <c r="Y46" t="n">
        <v>1194</v>
      </c>
      <c r="Z46" t="n">
        <v>1082</v>
      </c>
      <c r="AA46" t="n">
        <v>1103</v>
      </c>
      <c r="AB46" t="n">
        <v>1137</v>
      </c>
      <c r="AC46" t="n">
        <v>1225</v>
      </c>
      <c r="AD46" t="n">
        <v>1312</v>
      </c>
      <c r="AE46" t="n">
        <v>1412</v>
      </c>
      <c r="AF46" t="n">
        <v>1892</v>
      </c>
    </row>
    <row r="47">
      <c r="A47" t="s">
        <v>128</v>
      </c>
      <c r="B47" t="s">
        <v>364</v>
      </c>
      <c r="C47" t="s">
        <v>236</v>
      </c>
      <c r="D47" t="s">
        <v>365</v>
      </c>
      <c r="E47" t="s">
        <v>237</v>
      </c>
      <c r="F47" t="n">
        <v>27445</v>
      </c>
      <c r="G47" t="n">
        <v>29219</v>
      </c>
      <c r="H47" t="n">
        <v>29441</v>
      </c>
      <c r="I47" t="n">
        <v>30460</v>
      </c>
      <c r="J47" t="n">
        <v>31129</v>
      </c>
      <c r="K47" t="n">
        <v>32066</v>
      </c>
      <c r="L47" t="n">
        <v>33693</v>
      </c>
      <c r="M47" t="n">
        <v>35460</v>
      </c>
      <c r="N47" t="n">
        <v>34475</v>
      </c>
      <c r="O47" t="n">
        <v>35723</v>
      </c>
      <c r="P47" t="n">
        <v>37440</v>
      </c>
      <c r="Q47" t="n">
        <v>39601</v>
      </c>
      <c r="R47" t="n">
        <v>42117</v>
      </c>
      <c r="S47" t="n">
        <v>45215</v>
      </c>
      <c r="T47" t="n">
        <v>49140</v>
      </c>
      <c r="U47" t="n">
        <v>48786</v>
      </c>
      <c r="V47" t="n">
        <v>49474</v>
      </c>
      <c r="W47" t="n">
        <v>52400</v>
      </c>
      <c r="X47" t="n">
        <v>55061</v>
      </c>
      <c r="Y47" t="n">
        <v>56594</v>
      </c>
      <c r="Z47" t="n">
        <v>57312</v>
      </c>
      <c r="AA47" t="n">
        <v>56647</v>
      </c>
      <c r="AB47" t="n">
        <v>56148</v>
      </c>
      <c r="AC47" t="n">
        <v>58307</v>
      </c>
      <c r="AD47" t="n">
        <v>60104</v>
      </c>
      <c r="AE47" t="n">
        <v>61978</v>
      </c>
      <c r="AF47" t="n">
        <v>60898</v>
      </c>
    </row>
    <row r="48">
      <c r="A48" t="s">
        <v>128</v>
      </c>
      <c r="B48" t="s">
        <v>366</v>
      </c>
      <c r="C48" t="s">
        <v>236</v>
      </c>
      <c r="D48" t="s">
        <v>367</v>
      </c>
      <c r="E48" t="s">
        <v>237</v>
      </c>
      <c r="F48" t="n">
        <v>43071</v>
      </c>
      <c r="G48" t="n">
        <v>45737</v>
      </c>
      <c r="H48" t="n">
        <v>46036</v>
      </c>
      <c r="I48" t="n">
        <v>47025</v>
      </c>
      <c r="J48" t="n">
        <v>46585</v>
      </c>
      <c r="K48" t="n">
        <v>48551</v>
      </c>
      <c r="L48" t="n">
        <v>50989</v>
      </c>
      <c r="M48" t="n">
        <v>54306</v>
      </c>
      <c r="N48" t="n">
        <v>53608</v>
      </c>
      <c r="O48" t="n">
        <v>55194</v>
      </c>
      <c r="P48" t="n">
        <v>57661</v>
      </c>
      <c r="Q48" t="n">
        <v>61191</v>
      </c>
      <c r="R48" t="n">
        <v>65012</v>
      </c>
      <c r="S48" t="n">
        <v>70148</v>
      </c>
      <c r="T48" t="n">
        <v>76014</v>
      </c>
      <c r="U48" t="n">
        <v>75853</v>
      </c>
      <c r="V48" t="n">
        <v>75397</v>
      </c>
      <c r="W48" t="n">
        <v>79355</v>
      </c>
      <c r="X48" t="n">
        <v>84045</v>
      </c>
      <c r="Y48" t="n">
        <v>86821</v>
      </c>
      <c r="Z48" t="n">
        <v>88330</v>
      </c>
      <c r="AA48" t="n">
        <v>88553</v>
      </c>
      <c r="AB48" t="n">
        <v>89663</v>
      </c>
      <c r="AC48" t="n">
        <v>93473</v>
      </c>
      <c r="AD48" t="n">
        <v>97699</v>
      </c>
      <c r="AE48" t="n">
        <v>102666</v>
      </c>
      <c r="AF48" t="n">
        <v>103519</v>
      </c>
    </row>
    <row r="49">
      <c r="A49" t="s">
        <v>128</v>
      </c>
      <c r="B49" t="s">
        <v>368</v>
      </c>
      <c r="C49" t="s">
        <v>236</v>
      </c>
      <c r="D49" t="s">
        <v>369</v>
      </c>
      <c r="E49" t="s">
        <v>237</v>
      </c>
      <c r="F49" t="n">
        <v>8111</v>
      </c>
      <c r="G49" t="n">
        <v>8559</v>
      </c>
      <c r="H49" t="n">
        <v>8634</v>
      </c>
      <c r="I49" t="n">
        <v>8681</v>
      </c>
      <c r="J49" t="n">
        <v>7265</v>
      </c>
      <c r="K49" t="n">
        <v>7772</v>
      </c>
      <c r="L49" t="n">
        <v>8191</v>
      </c>
      <c r="M49" t="n">
        <v>8971</v>
      </c>
      <c r="N49" t="n">
        <v>9201</v>
      </c>
      <c r="O49" t="n">
        <v>9453</v>
      </c>
      <c r="P49" t="n">
        <v>9857</v>
      </c>
      <c r="Q49" t="n">
        <v>10516</v>
      </c>
      <c r="R49" t="n">
        <v>11132</v>
      </c>
      <c r="S49" t="n">
        <v>12100</v>
      </c>
      <c r="T49" t="n">
        <v>12933</v>
      </c>
      <c r="U49" t="n">
        <v>13036</v>
      </c>
      <c r="V49" t="n">
        <v>12501</v>
      </c>
      <c r="W49" t="n">
        <v>12871</v>
      </c>
      <c r="X49" t="n">
        <v>13714</v>
      </c>
      <c r="Y49" t="n">
        <v>14204</v>
      </c>
      <c r="Z49" t="n">
        <v>14683</v>
      </c>
      <c r="AA49" t="n">
        <v>15101</v>
      </c>
      <c r="AB49" t="n">
        <v>15742</v>
      </c>
      <c r="AC49" t="n">
        <v>16436</v>
      </c>
      <c r="AD49" t="n">
        <v>17585</v>
      </c>
      <c r="AE49" t="n">
        <v>19072</v>
      </c>
      <c r="AF49" t="n">
        <v>20028</v>
      </c>
    </row>
    <row r="50">
      <c r="A50" t="s">
        <v>128</v>
      </c>
      <c r="B50" t="s">
        <v>370</v>
      </c>
      <c r="C50" t="s">
        <v>236</v>
      </c>
      <c r="D50" t="s">
        <v>371</v>
      </c>
      <c r="E50" t="s">
        <v>237</v>
      </c>
      <c r="F50" t="n">
        <v>7515</v>
      </c>
      <c r="G50" t="n">
        <v>7959</v>
      </c>
      <c r="H50" t="n">
        <v>7961</v>
      </c>
      <c r="I50" t="n">
        <v>7884</v>
      </c>
      <c r="J50" t="n">
        <v>8191</v>
      </c>
      <c r="K50" t="n">
        <v>8713</v>
      </c>
      <c r="L50" t="n">
        <v>9105</v>
      </c>
      <c r="M50" t="n">
        <v>9875</v>
      </c>
      <c r="N50" t="n">
        <v>9932</v>
      </c>
      <c r="O50" t="n">
        <v>10018</v>
      </c>
      <c r="P50" t="n">
        <v>10364</v>
      </c>
      <c r="Q50" t="n">
        <v>11074</v>
      </c>
      <c r="R50" t="n">
        <v>11763</v>
      </c>
      <c r="S50" t="n">
        <v>12833</v>
      </c>
      <c r="T50" t="n">
        <v>13941</v>
      </c>
      <c r="U50" t="n">
        <v>14031</v>
      </c>
      <c r="V50" t="n">
        <v>13422</v>
      </c>
      <c r="W50" t="n">
        <v>14084</v>
      </c>
      <c r="X50" t="n">
        <v>15270</v>
      </c>
      <c r="Y50" t="n">
        <v>16023</v>
      </c>
      <c r="Z50" t="n">
        <v>16335</v>
      </c>
      <c r="AA50" t="n">
        <v>16805</v>
      </c>
      <c r="AB50" t="n">
        <v>17773</v>
      </c>
      <c r="AC50" t="n">
        <v>18730</v>
      </c>
      <c r="AD50" t="n">
        <v>20010</v>
      </c>
      <c r="AE50" t="n">
        <v>21616</v>
      </c>
      <c r="AF50" t="n">
        <v>22593</v>
      </c>
    </row>
    <row r="51">
      <c r="A51" t="s">
        <v>128</v>
      </c>
      <c r="B51" t="s">
        <v>372</v>
      </c>
      <c r="C51" t="s">
        <v>236</v>
      </c>
      <c r="D51" t="s">
        <v>373</v>
      </c>
      <c r="E51" t="s">
        <v>237</v>
      </c>
      <c r="F51" t="n">
        <v>4516</v>
      </c>
      <c r="G51" t="n">
        <v>4723</v>
      </c>
      <c r="H51" t="n">
        <v>4703</v>
      </c>
      <c r="I51" t="n">
        <v>4637</v>
      </c>
      <c r="J51" t="n">
        <v>4778</v>
      </c>
      <c r="K51" t="n">
        <v>5027</v>
      </c>
      <c r="L51" t="n">
        <v>5221</v>
      </c>
      <c r="M51" t="n">
        <v>5653</v>
      </c>
      <c r="N51" t="n">
        <v>5672</v>
      </c>
      <c r="O51" t="n">
        <v>5701</v>
      </c>
      <c r="P51" t="n">
        <v>5883</v>
      </c>
      <c r="Q51" t="n">
        <v>6300</v>
      </c>
      <c r="R51" t="n">
        <v>6640</v>
      </c>
      <c r="S51" t="n">
        <v>7187</v>
      </c>
      <c r="T51" t="n">
        <v>7801</v>
      </c>
      <c r="U51" t="n">
        <v>7834</v>
      </c>
      <c r="V51" t="n">
        <v>7493</v>
      </c>
      <c r="W51" t="n">
        <v>7880</v>
      </c>
      <c r="X51" t="n">
        <v>8571</v>
      </c>
      <c r="Y51" t="n">
        <v>9011</v>
      </c>
      <c r="Z51" t="n">
        <v>9183</v>
      </c>
      <c r="AA51" t="n">
        <v>9489</v>
      </c>
      <c r="AB51" t="n">
        <v>10141</v>
      </c>
      <c r="AC51" t="n">
        <v>10810</v>
      </c>
      <c r="AD51" t="n">
        <v>11680</v>
      </c>
      <c r="AE51" t="n">
        <v>12743</v>
      </c>
      <c r="AF51" t="n">
        <v>13447</v>
      </c>
    </row>
    <row r="52">
      <c r="A52" t="s">
        <v>128</v>
      </c>
      <c r="B52" t="s">
        <v>374</v>
      </c>
      <c r="C52" t="s">
        <v>236</v>
      </c>
      <c r="D52" t="s">
        <v>375</v>
      </c>
      <c r="E52" t="s">
        <v>237</v>
      </c>
      <c r="F52" t="n">
        <v>2999</v>
      </c>
      <c r="G52" t="n">
        <v>3236</v>
      </c>
      <c r="H52" t="n">
        <v>3258</v>
      </c>
      <c r="I52" t="n">
        <v>3247</v>
      </c>
      <c r="J52" t="n">
        <v>3413</v>
      </c>
      <c r="K52" t="n">
        <v>3686</v>
      </c>
      <c r="L52" t="n">
        <v>3884</v>
      </c>
      <c r="M52" t="n">
        <v>4222</v>
      </c>
      <c r="N52" t="n">
        <v>4260</v>
      </c>
      <c r="O52" t="n">
        <v>4317</v>
      </c>
      <c r="P52" t="n">
        <v>4481</v>
      </c>
      <c r="Q52" t="n">
        <v>4774</v>
      </c>
      <c r="R52" t="n">
        <v>5123</v>
      </c>
      <c r="S52" t="n">
        <v>5646</v>
      </c>
      <c r="T52" t="n">
        <v>6140</v>
      </c>
      <c r="U52" t="n">
        <v>6197</v>
      </c>
      <c r="V52" t="n">
        <v>5929</v>
      </c>
      <c r="W52" t="n">
        <v>6204</v>
      </c>
      <c r="X52" t="n">
        <v>6699</v>
      </c>
      <c r="Y52" t="n">
        <v>7012</v>
      </c>
      <c r="Z52" t="n">
        <v>7152</v>
      </c>
      <c r="AA52" t="n">
        <v>7316</v>
      </c>
      <c r="AB52" t="n">
        <v>7632</v>
      </c>
      <c r="AC52" t="n">
        <v>7920</v>
      </c>
      <c r="AD52" t="n">
        <v>8330</v>
      </c>
      <c r="AE52" t="n">
        <v>8873</v>
      </c>
      <c r="AF52" t="n">
        <v>9146</v>
      </c>
    </row>
    <row r="53">
      <c r="A53" t="s">
        <v>128</v>
      </c>
      <c r="B53" t="s">
        <v>376</v>
      </c>
      <c r="C53" t="s">
        <v>236</v>
      </c>
      <c r="D53" t="s">
        <v>377</v>
      </c>
      <c r="E53" t="s">
        <v>237</v>
      </c>
      <c r="F53" t="n">
        <v>5350</v>
      </c>
      <c r="G53" t="n">
        <v>5639</v>
      </c>
      <c r="H53" t="n">
        <v>5716</v>
      </c>
      <c r="I53" t="n">
        <v>5861</v>
      </c>
      <c r="J53" t="n">
        <v>6068</v>
      </c>
      <c r="K53" t="n">
        <v>6392</v>
      </c>
      <c r="L53" t="n">
        <v>6719</v>
      </c>
      <c r="M53" t="n">
        <v>7146</v>
      </c>
      <c r="N53" t="n">
        <v>7243</v>
      </c>
      <c r="O53" t="n">
        <v>7355</v>
      </c>
      <c r="P53" t="n">
        <v>7621</v>
      </c>
      <c r="Q53" t="n">
        <v>8039</v>
      </c>
      <c r="R53" t="n">
        <v>8539</v>
      </c>
      <c r="S53" t="n">
        <v>9123</v>
      </c>
      <c r="T53" t="n">
        <v>9771</v>
      </c>
      <c r="U53" t="n">
        <v>9641</v>
      </c>
      <c r="V53" t="n">
        <v>9428</v>
      </c>
      <c r="W53" t="n">
        <v>9857</v>
      </c>
      <c r="X53" t="n">
        <v>10383</v>
      </c>
      <c r="Y53" t="n">
        <v>10562</v>
      </c>
      <c r="Z53" t="n">
        <v>10717</v>
      </c>
      <c r="AA53" t="n">
        <v>10569</v>
      </c>
      <c r="AB53" t="n">
        <v>10912</v>
      </c>
      <c r="AC53" t="n">
        <v>11486</v>
      </c>
      <c r="AD53" t="n">
        <v>12125</v>
      </c>
      <c r="AE53" t="n">
        <v>12725</v>
      </c>
      <c r="AF53" t="n">
        <v>12804</v>
      </c>
    </row>
    <row r="54">
      <c r="A54" t="s">
        <v>128</v>
      </c>
      <c r="B54" t="s">
        <v>378</v>
      </c>
      <c r="C54" t="s">
        <v>236</v>
      </c>
      <c r="D54" t="s">
        <v>379</v>
      </c>
      <c r="E54" t="s">
        <v>237</v>
      </c>
      <c r="F54" t="n">
        <v>7257</v>
      </c>
      <c r="G54" t="n">
        <v>7625</v>
      </c>
      <c r="H54" t="n">
        <v>7706</v>
      </c>
      <c r="I54" t="n">
        <v>7863</v>
      </c>
      <c r="J54" t="n">
        <v>8194</v>
      </c>
      <c r="K54" t="n">
        <v>8656</v>
      </c>
      <c r="L54" t="n">
        <v>9065</v>
      </c>
      <c r="M54" t="n">
        <v>9638</v>
      </c>
      <c r="N54" t="n">
        <v>9723</v>
      </c>
      <c r="O54" t="n">
        <v>9860</v>
      </c>
      <c r="P54" t="n">
        <v>10217</v>
      </c>
      <c r="Q54" t="n">
        <v>10775</v>
      </c>
      <c r="R54" t="n">
        <v>11388</v>
      </c>
      <c r="S54" t="n">
        <v>12205</v>
      </c>
      <c r="T54" t="n">
        <v>13022</v>
      </c>
      <c r="U54" t="n">
        <v>12940</v>
      </c>
      <c r="V54" t="n">
        <v>12558</v>
      </c>
      <c r="W54" t="n">
        <v>13056</v>
      </c>
      <c r="X54" t="n">
        <v>13738</v>
      </c>
      <c r="Y54" t="n">
        <v>13986</v>
      </c>
      <c r="Z54" t="n">
        <v>14129</v>
      </c>
      <c r="AA54" t="n">
        <v>13952</v>
      </c>
      <c r="AB54" t="n">
        <v>14326</v>
      </c>
      <c r="AC54" t="n">
        <v>14934</v>
      </c>
      <c r="AD54" t="n">
        <v>15660</v>
      </c>
      <c r="AE54" t="n">
        <v>16379</v>
      </c>
      <c r="AF54" t="n">
        <v>16515</v>
      </c>
    </row>
    <row r="55">
      <c r="A55" t="s">
        <v>128</v>
      </c>
      <c r="B55" t="s">
        <v>380</v>
      </c>
      <c r="C55" t="s">
        <v>236</v>
      </c>
      <c r="D55" t="s">
        <v>381</v>
      </c>
      <c r="E55" t="s">
        <v>237</v>
      </c>
      <c r="F55" t="n">
        <v>1907</v>
      </c>
      <c r="G55" t="n">
        <v>1986</v>
      </c>
      <c r="H55" t="n">
        <v>1990</v>
      </c>
      <c r="I55" t="n">
        <v>2002</v>
      </c>
      <c r="J55" t="n">
        <v>2126</v>
      </c>
      <c r="K55" t="n">
        <v>2264</v>
      </c>
      <c r="L55" t="n">
        <v>2346</v>
      </c>
      <c r="M55" t="n">
        <v>2492</v>
      </c>
      <c r="N55" t="n">
        <v>2480</v>
      </c>
      <c r="O55" t="n">
        <v>2505</v>
      </c>
      <c r="P55" t="n">
        <v>2596</v>
      </c>
      <c r="Q55" t="n">
        <v>2736</v>
      </c>
      <c r="R55" t="n">
        <v>2849</v>
      </c>
      <c r="S55" t="n">
        <v>3082</v>
      </c>
      <c r="T55" t="n">
        <v>3251</v>
      </c>
      <c r="U55" t="n">
        <v>3299</v>
      </c>
      <c r="V55" t="n">
        <v>3130</v>
      </c>
      <c r="W55" t="n">
        <v>3199</v>
      </c>
      <c r="X55" t="n">
        <v>3355</v>
      </c>
      <c r="Y55" t="n">
        <v>3424</v>
      </c>
      <c r="Z55" t="n">
        <v>3412</v>
      </c>
      <c r="AA55" t="n">
        <v>3383</v>
      </c>
      <c r="AB55" t="n">
        <v>3414</v>
      </c>
      <c r="AC55" t="n">
        <v>3448</v>
      </c>
      <c r="AD55" t="n">
        <v>3535</v>
      </c>
      <c r="AE55" t="n">
        <v>3654</v>
      </c>
      <c r="AF55" t="n">
        <v>3711</v>
      </c>
    </row>
    <row r="56">
      <c r="A56" t="s">
        <v>128</v>
      </c>
      <c r="B56" t="s">
        <v>382</v>
      </c>
      <c r="C56" t="s">
        <v>236</v>
      </c>
      <c r="D56" t="s">
        <v>383</v>
      </c>
      <c r="E56" t="s">
        <v>237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128</v>
      </c>
      <c r="B57" t="s">
        <v>384</v>
      </c>
      <c r="C57" t="s">
        <v>236</v>
      </c>
      <c r="D57" t="s">
        <v>385</v>
      </c>
      <c r="E57" t="s">
        <v>237</v>
      </c>
      <c r="F57" t="n">
        <v>120699</v>
      </c>
      <c r="G57" t="n">
        <v>125865</v>
      </c>
      <c r="H57" t="n">
        <v>125903</v>
      </c>
      <c r="I57" t="n">
        <v>127988</v>
      </c>
      <c r="J57" t="n">
        <v>132587</v>
      </c>
      <c r="K57" t="n">
        <v>140367</v>
      </c>
      <c r="L57" t="n">
        <v>148851</v>
      </c>
      <c r="M57" t="n">
        <v>159406</v>
      </c>
      <c r="N57" t="n">
        <v>161144</v>
      </c>
      <c r="O57" t="n">
        <v>164200</v>
      </c>
      <c r="P57" t="n">
        <v>171179</v>
      </c>
      <c r="Q57" t="n">
        <v>181920</v>
      </c>
      <c r="R57" t="n">
        <v>195103</v>
      </c>
      <c r="S57" t="n">
        <v>213522</v>
      </c>
      <c r="T57" t="n">
        <v>229702</v>
      </c>
      <c r="U57" t="n">
        <v>229364</v>
      </c>
      <c r="V57" t="n">
        <v>224234</v>
      </c>
      <c r="W57" t="n">
        <v>233874</v>
      </c>
      <c r="X57" t="n">
        <v>248489</v>
      </c>
      <c r="Y57" t="n">
        <v>254830</v>
      </c>
      <c r="Z57" t="n">
        <v>258229</v>
      </c>
      <c r="AA57" t="n">
        <v>259633</v>
      </c>
      <c r="AB57" t="n">
        <v>265294</v>
      </c>
      <c r="AC57" t="n">
        <v>275668</v>
      </c>
      <c r="AD57" t="n">
        <v>290962</v>
      </c>
      <c r="AE57" t="n">
        <v>306787</v>
      </c>
      <c r="AF57" t="n">
        <v>312527</v>
      </c>
    </row>
    <row r="58">
      <c r="A58" t="s">
        <v>128</v>
      </c>
      <c r="B58" t="s">
        <v>386</v>
      </c>
      <c r="C58" t="s">
        <v>236</v>
      </c>
      <c r="D58" t="s">
        <v>387</v>
      </c>
      <c r="E58" t="s">
        <v>237</v>
      </c>
      <c r="F58" t="n">
        <v>120699</v>
      </c>
      <c r="G58" t="n">
        <v>125865</v>
      </c>
      <c r="H58" t="n">
        <v>125903</v>
      </c>
      <c r="I58" t="n">
        <v>127988</v>
      </c>
      <c r="J58" t="n">
        <v>132587</v>
      </c>
      <c r="K58" t="n">
        <v>140367</v>
      </c>
      <c r="L58" t="n">
        <v>148851</v>
      </c>
      <c r="M58" t="n">
        <v>159406</v>
      </c>
      <c r="N58" t="n">
        <v>161144</v>
      </c>
      <c r="O58" t="n">
        <v>164200</v>
      </c>
      <c r="P58" t="n">
        <v>171179</v>
      </c>
      <c r="Q58" t="n">
        <v>181920</v>
      </c>
      <c r="R58" t="n">
        <v>195103</v>
      </c>
      <c r="S58" t="n">
        <v>213522</v>
      </c>
      <c r="T58" t="n">
        <v>229702</v>
      </c>
      <c r="U58" t="n">
        <v>229364</v>
      </c>
      <c r="V58" t="n">
        <v>224234</v>
      </c>
      <c r="W58" t="n">
        <v>233874</v>
      </c>
      <c r="X58" t="n">
        <v>248489</v>
      </c>
      <c r="Y58" t="n">
        <v>254830</v>
      </c>
      <c r="Z58" t="n">
        <v>258229</v>
      </c>
      <c r="AA58" t="n">
        <v>259633</v>
      </c>
      <c r="AB58" t="n">
        <v>265294</v>
      </c>
      <c r="AC58" t="n">
        <v>275668</v>
      </c>
      <c r="AD58" t="n">
        <v>290962</v>
      </c>
      <c r="AE58" t="n">
        <v>306787</v>
      </c>
      <c r="AF58" t="n">
        <v>312527</v>
      </c>
    </row>
    <row r="59">
      <c r="A59" t="s">
        <v>128</v>
      </c>
      <c r="B59" t="s">
        <v>388</v>
      </c>
      <c r="C59" t="s">
        <v>236</v>
      </c>
      <c r="D59" t="s">
        <v>389</v>
      </c>
      <c r="E59" t="s">
        <v>237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130</v>
      </c>
      <c r="B2" t="s">
        <v>197</v>
      </c>
      <c r="C2" t="s">
        <v>236</v>
      </c>
      <c r="D2" t="s">
        <v>199</v>
      </c>
      <c r="E2" t="s">
        <v>237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130</v>
      </c>
      <c r="B3" t="s">
        <v>276</v>
      </c>
      <c r="C3" t="s">
        <v>236</v>
      </c>
      <c r="D3" t="s">
        <v>277</v>
      </c>
      <c r="E3" t="s">
        <v>237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130</v>
      </c>
      <c r="B4" t="s">
        <v>278</v>
      </c>
      <c r="C4" t="s">
        <v>236</v>
      </c>
      <c r="D4" t="s">
        <v>279</v>
      </c>
      <c r="E4" t="s">
        <v>237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130</v>
      </c>
      <c r="B5" t="s">
        <v>280</v>
      </c>
      <c r="C5" t="s">
        <v>236</v>
      </c>
      <c r="D5" t="s">
        <v>281</v>
      </c>
      <c r="E5" t="s">
        <v>237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130</v>
      </c>
      <c r="B6" t="s">
        <v>282</v>
      </c>
      <c r="C6" t="s">
        <v>236</v>
      </c>
      <c r="D6" t="s">
        <v>283</v>
      </c>
      <c r="E6" t="s">
        <v>237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130</v>
      </c>
      <c r="B7" t="s">
        <v>284</v>
      </c>
      <c r="C7" t="s">
        <v>236</v>
      </c>
      <c r="D7" t="s">
        <v>285</v>
      </c>
      <c r="E7" t="s">
        <v>237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130</v>
      </c>
      <c r="B8" t="s">
        <v>286</v>
      </c>
      <c r="C8" t="s">
        <v>236</v>
      </c>
      <c r="D8" t="s">
        <v>287</v>
      </c>
      <c r="E8" t="s">
        <v>237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130</v>
      </c>
      <c r="B9" t="s">
        <v>288</v>
      </c>
      <c r="C9" t="s">
        <v>236</v>
      </c>
      <c r="D9" t="s">
        <v>289</v>
      </c>
      <c r="E9" t="s">
        <v>237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130</v>
      </c>
      <c r="B10" t="s">
        <v>290</v>
      </c>
      <c r="C10" t="s">
        <v>236</v>
      </c>
      <c r="D10" t="s">
        <v>291</v>
      </c>
      <c r="E10" t="s">
        <v>237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130</v>
      </c>
      <c r="B11" t="s">
        <v>292</v>
      </c>
      <c r="C11" t="s">
        <v>236</v>
      </c>
      <c r="D11" t="s">
        <v>293</v>
      </c>
      <c r="E11" t="s">
        <v>237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130</v>
      </c>
      <c r="B12" t="s">
        <v>294</v>
      </c>
      <c r="C12" t="s">
        <v>236</v>
      </c>
      <c r="D12" t="s">
        <v>295</v>
      </c>
      <c r="E12" t="s">
        <v>237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130</v>
      </c>
      <c r="B13" t="s">
        <v>296</v>
      </c>
      <c r="C13" t="s">
        <v>236</v>
      </c>
      <c r="D13" t="s">
        <v>297</v>
      </c>
      <c r="E13" t="s">
        <v>237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130</v>
      </c>
      <c r="B14" t="s">
        <v>298</v>
      </c>
      <c r="C14" t="s">
        <v>236</v>
      </c>
      <c r="D14" t="s">
        <v>299</v>
      </c>
      <c r="E14" t="s">
        <v>237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130</v>
      </c>
      <c r="B15" t="s">
        <v>300</v>
      </c>
      <c r="C15" t="s">
        <v>236</v>
      </c>
      <c r="D15" t="s">
        <v>301</v>
      </c>
      <c r="E15" t="s">
        <v>237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130</v>
      </c>
      <c r="B16" t="s">
        <v>302</v>
      </c>
      <c r="C16" t="s">
        <v>236</v>
      </c>
      <c r="D16" t="s">
        <v>303</v>
      </c>
      <c r="E16" t="s">
        <v>237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130</v>
      </c>
      <c r="B17" t="s">
        <v>304</v>
      </c>
      <c r="C17" t="s">
        <v>236</v>
      </c>
      <c r="D17" t="s">
        <v>305</v>
      </c>
      <c r="E17" t="s">
        <v>237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130</v>
      </c>
      <c r="B18" t="s">
        <v>306</v>
      </c>
      <c r="C18" t="s">
        <v>236</v>
      </c>
      <c r="D18" t="s">
        <v>307</v>
      </c>
      <c r="E18" t="s">
        <v>237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130</v>
      </c>
      <c r="B19" t="s">
        <v>308</v>
      </c>
      <c r="C19" t="s">
        <v>236</v>
      </c>
      <c r="D19" t="s">
        <v>309</v>
      </c>
      <c r="E19" t="s">
        <v>237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130</v>
      </c>
      <c r="B20" t="s">
        <v>310</v>
      </c>
      <c r="C20" t="s">
        <v>236</v>
      </c>
      <c r="D20" t="s">
        <v>311</v>
      </c>
      <c r="E20" t="s">
        <v>237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130</v>
      </c>
      <c r="B21" t="s">
        <v>312</v>
      </c>
      <c r="C21" t="s">
        <v>236</v>
      </c>
      <c r="D21" t="s">
        <v>313</v>
      </c>
      <c r="E21" t="s">
        <v>237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130</v>
      </c>
      <c r="B22" t="s">
        <v>314</v>
      </c>
      <c r="C22" t="s">
        <v>236</v>
      </c>
      <c r="D22" t="s">
        <v>315</v>
      </c>
      <c r="E22" t="s">
        <v>237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130</v>
      </c>
      <c r="B23" t="s">
        <v>316</v>
      </c>
      <c r="C23" t="s">
        <v>236</v>
      </c>
      <c r="D23" t="s">
        <v>317</v>
      </c>
      <c r="E23" t="s">
        <v>237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130</v>
      </c>
      <c r="B24" t="s">
        <v>318</v>
      </c>
      <c r="C24" t="s">
        <v>236</v>
      </c>
      <c r="D24" t="s">
        <v>319</v>
      </c>
      <c r="E24" t="s">
        <v>237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130</v>
      </c>
      <c r="B25" t="s">
        <v>320</v>
      </c>
      <c r="C25" t="s">
        <v>236</v>
      </c>
      <c r="D25" t="s">
        <v>321</v>
      </c>
      <c r="E25" t="s">
        <v>237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130</v>
      </c>
      <c r="B26" t="s">
        <v>322</v>
      </c>
      <c r="C26" t="s">
        <v>236</v>
      </c>
      <c r="D26" t="s">
        <v>323</v>
      </c>
      <c r="E26" t="s">
        <v>237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130</v>
      </c>
      <c r="B27" t="s">
        <v>324</v>
      </c>
      <c r="C27" t="s">
        <v>236</v>
      </c>
      <c r="D27" t="s">
        <v>325</v>
      </c>
      <c r="E27" t="s">
        <v>237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130</v>
      </c>
      <c r="B28" t="s">
        <v>326</v>
      </c>
      <c r="C28" t="s">
        <v>236</v>
      </c>
      <c r="D28" t="s">
        <v>327</v>
      </c>
      <c r="E28" t="s">
        <v>237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130</v>
      </c>
      <c r="B29" t="s">
        <v>328</v>
      </c>
      <c r="C29" t="s">
        <v>236</v>
      </c>
      <c r="D29" t="s">
        <v>329</v>
      </c>
      <c r="E29" t="s">
        <v>237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130</v>
      </c>
      <c r="B30" t="s">
        <v>330</v>
      </c>
      <c r="C30" t="s">
        <v>236</v>
      </c>
      <c r="D30" t="s">
        <v>331</v>
      </c>
      <c r="E30" t="s">
        <v>237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130</v>
      </c>
      <c r="B31" t="s">
        <v>332</v>
      </c>
      <c r="C31" t="s">
        <v>236</v>
      </c>
      <c r="D31" t="s">
        <v>333</v>
      </c>
      <c r="E31" t="s">
        <v>237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130</v>
      </c>
      <c r="B32" t="s">
        <v>334</v>
      </c>
      <c r="C32" t="s">
        <v>236</v>
      </c>
      <c r="D32" t="s">
        <v>335</v>
      </c>
      <c r="E32" t="s">
        <v>237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130</v>
      </c>
      <c r="B33" t="s">
        <v>336</v>
      </c>
      <c r="C33" t="s">
        <v>236</v>
      </c>
      <c r="D33" t="s">
        <v>337</v>
      </c>
      <c r="E33" t="s">
        <v>237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130</v>
      </c>
      <c r="B34" t="s">
        <v>338</v>
      </c>
      <c r="C34" t="s">
        <v>236</v>
      </c>
      <c r="D34" t="s">
        <v>339</v>
      </c>
      <c r="E34" t="s">
        <v>237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130</v>
      </c>
      <c r="B35" t="s">
        <v>340</v>
      </c>
      <c r="C35" t="s">
        <v>236</v>
      </c>
      <c r="D35" t="s">
        <v>341</v>
      </c>
      <c r="E35" t="s">
        <v>237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130</v>
      </c>
      <c r="B36" t="s">
        <v>342</v>
      </c>
      <c r="C36" t="s">
        <v>236</v>
      </c>
      <c r="D36" t="s">
        <v>343</v>
      </c>
      <c r="E36" t="s">
        <v>237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130</v>
      </c>
      <c r="B37" t="s">
        <v>344</v>
      </c>
      <c r="C37" t="s">
        <v>236</v>
      </c>
      <c r="D37" t="s">
        <v>345</v>
      </c>
      <c r="E37" t="s">
        <v>237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130</v>
      </c>
      <c r="B38" t="s">
        <v>346</v>
      </c>
      <c r="C38" t="s">
        <v>236</v>
      </c>
      <c r="D38" t="s">
        <v>347</v>
      </c>
      <c r="E38" t="s">
        <v>237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130</v>
      </c>
      <c r="B39" t="s">
        <v>348</v>
      </c>
      <c r="C39" t="s">
        <v>236</v>
      </c>
      <c r="D39" t="s">
        <v>349</v>
      </c>
      <c r="E39" t="s">
        <v>237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130</v>
      </c>
      <c r="B40" t="s">
        <v>350</v>
      </c>
      <c r="C40" t="s">
        <v>236</v>
      </c>
      <c r="D40" t="s">
        <v>351</v>
      </c>
      <c r="E40" t="s">
        <v>237</v>
      </c>
      <c r="F40" t="n">
        <v>116417</v>
      </c>
      <c r="G40" t="n">
        <v>125082</v>
      </c>
      <c r="H40" t="n">
        <v>126068</v>
      </c>
      <c r="I40" t="n">
        <v>134323</v>
      </c>
      <c r="J40" t="n">
        <v>146089</v>
      </c>
      <c r="K40" t="n">
        <v>155574</v>
      </c>
      <c r="L40" t="n">
        <v>169899</v>
      </c>
      <c r="M40" t="n">
        <v>179910</v>
      </c>
      <c r="N40" t="n">
        <v>179819</v>
      </c>
      <c r="O40" t="n">
        <v>184440</v>
      </c>
      <c r="P40" t="n">
        <v>193760</v>
      </c>
      <c r="Q40" t="n">
        <v>209255</v>
      </c>
      <c r="R40" t="n">
        <v>222814</v>
      </c>
      <c r="S40" t="n">
        <v>241963</v>
      </c>
      <c r="T40" t="n">
        <v>257576</v>
      </c>
      <c r="U40" t="n">
        <v>254934</v>
      </c>
      <c r="V40" t="n">
        <v>251665</v>
      </c>
      <c r="W40" t="n">
        <v>265938</v>
      </c>
      <c r="X40" t="n">
        <v>284698</v>
      </c>
      <c r="Y40" t="n">
        <v>293808</v>
      </c>
      <c r="Z40" t="n">
        <v>299875</v>
      </c>
      <c r="AA40" t="n">
        <v>306708</v>
      </c>
      <c r="AB40" t="n">
        <v>319765</v>
      </c>
      <c r="AC40" t="n">
        <v>337064</v>
      </c>
      <c r="AD40" t="n">
        <v>357400</v>
      </c>
      <c r="AE40" t="n">
        <v>378827</v>
      </c>
      <c r="AF40" t="n">
        <v>391566</v>
      </c>
    </row>
    <row r="41">
      <c r="A41" t="s">
        <v>130</v>
      </c>
      <c r="B41" t="s">
        <v>352</v>
      </c>
      <c r="C41" t="s">
        <v>236</v>
      </c>
      <c r="D41" t="s">
        <v>353</v>
      </c>
      <c r="E41" t="s">
        <v>237</v>
      </c>
      <c r="F41" t="n">
        <v>73925</v>
      </c>
      <c r="G41" t="n">
        <v>79726</v>
      </c>
      <c r="H41" t="n">
        <v>80619</v>
      </c>
      <c r="I41" t="n">
        <v>86363</v>
      </c>
      <c r="J41" t="n">
        <v>94663</v>
      </c>
      <c r="K41" t="n">
        <v>101446</v>
      </c>
      <c r="L41" t="n">
        <v>111361</v>
      </c>
      <c r="M41" t="n">
        <v>118571</v>
      </c>
      <c r="N41" t="n">
        <v>119358</v>
      </c>
      <c r="O41" t="n">
        <v>123441</v>
      </c>
      <c r="P41" t="n">
        <v>130850</v>
      </c>
      <c r="Q41" t="n">
        <v>142601</v>
      </c>
      <c r="R41" t="n">
        <v>153189</v>
      </c>
      <c r="S41" t="n">
        <v>167573</v>
      </c>
      <c r="T41" t="n">
        <v>179597</v>
      </c>
      <c r="U41" t="n">
        <v>179148</v>
      </c>
      <c r="V41" t="n">
        <v>178208</v>
      </c>
      <c r="W41" t="n">
        <v>189586</v>
      </c>
      <c r="X41" t="n">
        <v>203639</v>
      </c>
      <c r="Y41" t="n">
        <v>211831</v>
      </c>
      <c r="Z41" t="n">
        <v>217146</v>
      </c>
      <c r="AA41" t="n">
        <v>222815</v>
      </c>
      <c r="AB41" t="n">
        <v>233372</v>
      </c>
      <c r="AC41" t="n">
        <v>246728</v>
      </c>
      <c r="AD41" t="n">
        <v>262361</v>
      </c>
      <c r="AE41" t="n">
        <v>278734</v>
      </c>
      <c r="AF41" t="n">
        <v>288727</v>
      </c>
    </row>
    <row r="42">
      <c r="A42" t="s">
        <v>130</v>
      </c>
      <c r="B42" t="s">
        <v>354</v>
      </c>
      <c r="C42" t="s">
        <v>236</v>
      </c>
      <c r="D42" t="s">
        <v>355</v>
      </c>
      <c r="E42" t="s">
        <v>237</v>
      </c>
      <c r="F42" t="n">
        <v>1</v>
      </c>
      <c r="G42" t="n">
        <v>1</v>
      </c>
      <c r="H42" t="n">
        <v>1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130</v>
      </c>
      <c r="B43" t="s">
        <v>356</v>
      </c>
      <c r="C43" t="s">
        <v>236</v>
      </c>
      <c r="D43" t="s">
        <v>357</v>
      </c>
      <c r="E43" t="s">
        <v>237</v>
      </c>
      <c r="F43" t="n">
        <v>1</v>
      </c>
      <c r="G43" t="n">
        <v>1</v>
      </c>
      <c r="H43" t="n">
        <v>1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130</v>
      </c>
      <c r="B44" t="s">
        <v>358</v>
      </c>
      <c r="C44" t="s">
        <v>236</v>
      </c>
      <c r="D44" t="s">
        <v>359</v>
      </c>
      <c r="E44" t="s">
        <v>237</v>
      </c>
      <c r="F44" t="n">
        <v>2</v>
      </c>
      <c r="G44" t="n">
        <v>2</v>
      </c>
      <c r="H44" t="n">
        <v>2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1</v>
      </c>
      <c r="AB44" t="n">
        <v>2</v>
      </c>
      <c r="AC44" t="n">
        <v>4</v>
      </c>
      <c r="AD44" t="n">
        <v>5</v>
      </c>
      <c r="AE44" t="n">
        <v>5</v>
      </c>
      <c r="AF44" t="n">
        <v>6</v>
      </c>
    </row>
    <row r="45">
      <c r="A45" t="s">
        <v>130</v>
      </c>
      <c r="B45" t="s">
        <v>360</v>
      </c>
      <c r="C45" t="s">
        <v>236</v>
      </c>
      <c r="D45" t="s">
        <v>361</v>
      </c>
      <c r="E45" t="s">
        <v>237</v>
      </c>
      <c r="F45" t="n">
        <v>2</v>
      </c>
      <c r="G45" t="n">
        <v>2</v>
      </c>
      <c r="H45" t="n">
        <v>2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1</v>
      </c>
      <c r="AB45" t="n">
        <v>2</v>
      </c>
      <c r="AC45" t="n">
        <v>4</v>
      </c>
      <c r="AD45" t="n">
        <v>5</v>
      </c>
      <c r="AE45" t="n">
        <v>5</v>
      </c>
      <c r="AF45" t="n">
        <v>6</v>
      </c>
    </row>
    <row r="46">
      <c r="A46" t="s">
        <v>130</v>
      </c>
      <c r="B46" t="s">
        <v>362</v>
      </c>
      <c r="C46" t="s">
        <v>236</v>
      </c>
      <c r="D46" t="s">
        <v>363</v>
      </c>
      <c r="E46" t="s">
        <v>237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130</v>
      </c>
      <c r="B47" t="s">
        <v>364</v>
      </c>
      <c r="C47" t="s">
        <v>236</v>
      </c>
      <c r="D47" t="s">
        <v>365</v>
      </c>
      <c r="E47" t="s">
        <v>237</v>
      </c>
      <c r="F47" t="n">
        <v>1724</v>
      </c>
      <c r="G47" t="n">
        <v>1728</v>
      </c>
      <c r="H47" t="n">
        <v>1690</v>
      </c>
      <c r="I47" t="n">
        <v>1707</v>
      </c>
      <c r="J47" t="n">
        <v>1756</v>
      </c>
      <c r="K47" t="n">
        <v>1728</v>
      </c>
      <c r="L47" t="n">
        <v>1745</v>
      </c>
      <c r="M47" t="n">
        <v>1757</v>
      </c>
      <c r="N47" t="n">
        <v>1648</v>
      </c>
      <c r="O47" t="n">
        <v>1588</v>
      </c>
      <c r="P47" t="n">
        <v>1568</v>
      </c>
      <c r="Q47" t="n">
        <v>1559</v>
      </c>
      <c r="R47" t="n">
        <v>1528</v>
      </c>
      <c r="S47" t="n">
        <v>1543</v>
      </c>
      <c r="T47" t="n">
        <v>1534</v>
      </c>
      <c r="U47" t="n">
        <v>1408</v>
      </c>
      <c r="V47" t="n">
        <v>1281</v>
      </c>
      <c r="W47" t="n">
        <v>1226</v>
      </c>
      <c r="X47" t="n">
        <v>1197</v>
      </c>
      <c r="Y47" t="n">
        <v>1130</v>
      </c>
      <c r="Z47" t="n">
        <v>1057</v>
      </c>
      <c r="AA47" t="n">
        <v>982</v>
      </c>
      <c r="AB47" t="n">
        <v>937</v>
      </c>
      <c r="AC47" t="n">
        <v>893</v>
      </c>
      <c r="AD47" t="n">
        <v>864</v>
      </c>
      <c r="AE47" t="n">
        <v>847</v>
      </c>
      <c r="AF47" t="n">
        <v>795</v>
      </c>
    </row>
    <row r="48">
      <c r="A48" t="s">
        <v>130</v>
      </c>
      <c r="B48" t="s">
        <v>366</v>
      </c>
      <c r="C48" t="s">
        <v>236</v>
      </c>
      <c r="D48" t="s">
        <v>367</v>
      </c>
      <c r="E48" t="s">
        <v>237</v>
      </c>
      <c r="F48" t="n">
        <v>2173</v>
      </c>
      <c r="G48" t="n">
        <v>2208</v>
      </c>
      <c r="H48" t="n">
        <v>2161</v>
      </c>
      <c r="I48" t="n">
        <v>2189</v>
      </c>
      <c r="J48" t="n">
        <v>2260</v>
      </c>
      <c r="K48" t="n">
        <v>2240</v>
      </c>
      <c r="L48" t="n">
        <v>2273</v>
      </c>
      <c r="M48" t="n">
        <v>2292</v>
      </c>
      <c r="N48" t="n">
        <v>2155</v>
      </c>
      <c r="O48" t="n">
        <v>2085</v>
      </c>
      <c r="P48" t="n">
        <v>2061</v>
      </c>
      <c r="Q48" t="n">
        <v>2062</v>
      </c>
      <c r="R48" t="n">
        <v>2037</v>
      </c>
      <c r="S48" t="n">
        <v>2074</v>
      </c>
      <c r="T48" t="n">
        <v>2071</v>
      </c>
      <c r="U48" t="n">
        <v>1917</v>
      </c>
      <c r="V48" t="n">
        <v>1756</v>
      </c>
      <c r="W48" t="n">
        <v>1705</v>
      </c>
      <c r="X48" t="n">
        <v>1686</v>
      </c>
      <c r="Y48" t="n">
        <v>1608</v>
      </c>
      <c r="Z48" t="n">
        <v>1533</v>
      </c>
      <c r="AA48" t="n">
        <v>1455</v>
      </c>
      <c r="AB48" t="n">
        <v>1411</v>
      </c>
      <c r="AC48" t="n">
        <v>1365</v>
      </c>
      <c r="AD48" t="n">
        <v>1329</v>
      </c>
      <c r="AE48" t="n">
        <v>1319</v>
      </c>
      <c r="AF48" t="n">
        <v>1266</v>
      </c>
    </row>
    <row r="49">
      <c r="A49" t="s">
        <v>130</v>
      </c>
      <c r="B49" t="s">
        <v>368</v>
      </c>
      <c r="C49" t="s">
        <v>236</v>
      </c>
      <c r="D49" t="s">
        <v>369</v>
      </c>
      <c r="E49" t="s">
        <v>237</v>
      </c>
      <c r="F49" t="n">
        <v>127</v>
      </c>
      <c r="G49" t="n">
        <v>134</v>
      </c>
      <c r="H49" t="n">
        <v>129</v>
      </c>
      <c r="I49" t="n">
        <v>132</v>
      </c>
      <c r="J49" t="n">
        <v>136</v>
      </c>
      <c r="K49" t="n">
        <v>136</v>
      </c>
      <c r="L49" t="n">
        <v>141</v>
      </c>
      <c r="M49" t="n">
        <v>142</v>
      </c>
      <c r="N49" t="n">
        <v>135</v>
      </c>
      <c r="O49" t="n">
        <v>132</v>
      </c>
      <c r="P49" t="n">
        <v>129</v>
      </c>
      <c r="Q49" t="n">
        <v>134</v>
      </c>
      <c r="R49" t="n">
        <v>134</v>
      </c>
      <c r="S49" t="n">
        <v>136</v>
      </c>
      <c r="T49" t="n">
        <v>137</v>
      </c>
      <c r="U49" t="n">
        <v>127</v>
      </c>
      <c r="V49" t="n">
        <v>118</v>
      </c>
      <c r="W49" t="n">
        <v>116</v>
      </c>
      <c r="X49" t="n">
        <v>117</v>
      </c>
      <c r="Y49" t="n">
        <v>113</v>
      </c>
      <c r="Z49" t="n">
        <v>114</v>
      </c>
      <c r="AA49" t="n">
        <v>110</v>
      </c>
      <c r="AB49" t="n">
        <v>109</v>
      </c>
      <c r="AC49" t="n">
        <v>106</v>
      </c>
      <c r="AD49" t="n">
        <v>92</v>
      </c>
      <c r="AE49" t="n">
        <v>92</v>
      </c>
      <c r="AF49" t="n">
        <v>89</v>
      </c>
    </row>
    <row r="50">
      <c r="A50" t="s">
        <v>130</v>
      </c>
      <c r="B50" t="s">
        <v>370</v>
      </c>
      <c r="C50" t="s">
        <v>236</v>
      </c>
      <c r="D50" t="s">
        <v>371</v>
      </c>
      <c r="E50" t="s">
        <v>237</v>
      </c>
      <c r="F50" t="n">
        <v>322</v>
      </c>
      <c r="G50" t="n">
        <v>346</v>
      </c>
      <c r="H50" t="n">
        <v>342</v>
      </c>
      <c r="I50" t="n">
        <v>350</v>
      </c>
      <c r="J50" t="n">
        <v>368</v>
      </c>
      <c r="K50" t="n">
        <v>376</v>
      </c>
      <c r="L50" t="n">
        <v>387</v>
      </c>
      <c r="M50" t="n">
        <v>393</v>
      </c>
      <c r="N50" t="n">
        <v>372</v>
      </c>
      <c r="O50" t="n">
        <v>365</v>
      </c>
      <c r="P50" t="n">
        <v>364</v>
      </c>
      <c r="Q50" t="n">
        <v>369</v>
      </c>
      <c r="R50" t="n">
        <v>375</v>
      </c>
      <c r="S50" t="n">
        <v>395</v>
      </c>
      <c r="T50" t="n">
        <v>400</v>
      </c>
      <c r="U50" t="n">
        <v>382</v>
      </c>
      <c r="V50" t="n">
        <v>357</v>
      </c>
      <c r="W50" t="n">
        <v>363</v>
      </c>
      <c r="X50" t="n">
        <v>372</v>
      </c>
      <c r="Y50" t="n">
        <v>365</v>
      </c>
      <c r="Z50" t="n">
        <v>362</v>
      </c>
      <c r="AA50" t="n">
        <v>363</v>
      </c>
      <c r="AB50" t="n">
        <v>365</v>
      </c>
      <c r="AC50" t="n">
        <v>366</v>
      </c>
      <c r="AD50" t="n">
        <v>373</v>
      </c>
      <c r="AE50" t="n">
        <v>380</v>
      </c>
      <c r="AF50" t="n">
        <v>382</v>
      </c>
    </row>
    <row r="51">
      <c r="A51" t="s">
        <v>130</v>
      </c>
      <c r="B51" t="s">
        <v>372</v>
      </c>
      <c r="C51" t="s">
        <v>236</v>
      </c>
      <c r="D51" t="s">
        <v>373</v>
      </c>
      <c r="E51" t="s">
        <v>237</v>
      </c>
      <c r="F51" t="n">
        <v>35</v>
      </c>
      <c r="G51" t="n">
        <v>35</v>
      </c>
      <c r="H51" t="n">
        <v>33</v>
      </c>
      <c r="I51" t="n">
        <v>33</v>
      </c>
      <c r="J51" t="n">
        <v>34</v>
      </c>
      <c r="K51" t="n">
        <v>33</v>
      </c>
      <c r="L51" t="n">
        <v>27</v>
      </c>
      <c r="M51" t="n">
        <v>22</v>
      </c>
      <c r="N51" t="n">
        <v>17</v>
      </c>
      <c r="O51" t="n">
        <v>16</v>
      </c>
      <c r="P51" t="n">
        <v>14</v>
      </c>
      <c r="Q51" t="n">
        <v>10</v>
      </c>
      <c r="R51" t="n">
        <v>10</v>
      </c>
      <c r="S51" t="n">
        <v>10</v>
      </c>
      <c r="T51" t="n">
        <v>9</v>
      </c>
      <c r="U51" t="n">
        <v>8</v>
      </c>
      <c r="V51" t="n">
        <v>7</v>
      </c>
      <c r="W51" t="n">
        <v>8</v>
      </c>
      <c r="X51" t="n">
        <v>8</v>
      </c>
      <c r="Y51" t="n">
        <v>7</v>
      </c>
      <c r="Z51" t="n">
        <v>6</v>
      </c>
      <c r="AA51" t="n">
        <v>5</v>
      </c>
      <c r="AB51" t="n">
        <v>5</v>
      </c>
      <c r="AC51" t="n">
        <v>4</v>
      </c>
      <c r="AD51" t="n">
        <v>1</v>
      </c>
      <c r="AE51" t="n">
        <v>0</v>
      </c>
      <c r="AF51" t="n">
        <v>0</v>
      </c>
    </row>
    <row r="52">
      <c r="A52" t="s">
        <v>130</v>
      </c>
      <c r="B52" t="s">
        <v>374</v>
      </c>
      <c r="C52" t="s">
        <v>236</v>
      </c>
      <c r="D52" t="s">
        <v>375</v>
      </c>
      <c r="E52" t="s">
        <v>237</v>
      </c>
      <c r="F52" t="n">
        <v>287</v>
      </c>
      <c r="G52" t="n">
        <v>311</v>
      </c>
      <c r="H52" t="n">
        <v>309</v>
      </c>
      <c r="I52" t="n">
        <v>317</v>
      </c>
      <c r="J52" t="n">
        <v>334</v>
      </c>
      <c r="K52" t="n">
        <v>343</v>
      </c>
      <c r="L52" t="n">
        <v>360</v>
      </c>
      <c r="M52" t="n">
        <v>371</v>
      </c>
      <c r="N52" t="n">
        <v>355</v>
      </c>
      <c r="O52" t="n">
        <v>349</v>
      </c>
      <c r="P52" t="n">
        <v>350</v>
      </c>
      <c r="Q52" t="n">
        <v>359</v>
      </c>
      <c r="R52" t="n">
        <v>365</v>
      </c>
      <c r="S52" t="n">
        <v>385</v>
      </c>
      <c r="T52" t="n">
        <v>391</v>
      </c>
      <c r="U52" t="n">
        <v>374</v>
      </c>
      <c r="V52" t="n">
        <v>350</v>
      </c>
      <c r="W52" t="n">
        <v>355</v>
      </c>
      <c r="X52" t="n">
        <v>364</v>
      </c>
      <c r="Y52" t="n">
        <v>358</v>
      </c>
      <c r="Z52" t="n">
        <v>356</v>
      </c>
      <c r="AA52" t="n">
        <v>358</v>
      </c>
      <c r="AB52" t="n">
        <v>360</v>
      </c>
      <c r="AC52" t="n">
        <v>362</v>
      </c>
      <c r="AD52" t="n">
        <v>372</v>
      </c>
      <c r="AE52" t="n">
        <v>380</v>
      </c>
      <c r="AF52" t="n">
        <v>382</v>
      </c>
    </row>
    <row r="53">
      <c r="A53" t="s">
        <v>130</v>
      </c>
      <c r="B53" t="s">
        <v>376</v>
      </c>
      <c r="C53" t="s">
        <v>236</v>
      </c>
      <c r="D53" t="s">
        <v>377</v>
      </c>
      <c r="E53" t="s">
        <v>237</v>
      </c>
      <c r="F53" t="n">
        <v>1</v>
      </c>
      <c r="G53" t="n">
        <v>1</v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1</v>
      </c>
      <c r="AB53" t="n">
        <v>2</v>
      </c>
      <c r="AC53" t="n">
        <v>4</v>
      </c>
      <c r="AD53" t="n">
        <v>5</v>
      </c>
      <c r="AE53" t="n">
        <v>5</v>
      </c>
      <c r="AF53" t="n">
        <v>6</v>
      </c>
    </row>
    <row r="54">
      <c r="A54" t="s">
        <v>130</v>
      </c>
      <c r="B54" t="s">
        <v>378</v>
      </c>
      <c r="C54" t="s">
        <v>236</v>
      </c>
      <c r="D54" t="s">
        <v>379</v>
      </c>
      <c r="E54" t="s">
        <v>237</v>
      </c>
      <c r="F54" t="n">
        <v>1</v>
      </c>
      <c r="G54" t="n">
        <v>1</v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1</v>
      </c>
      <c r="AB54" t="n">
        <v>2</v>
      </c>
      <c r="AC54" t="n">
        <v>4</v>
      </c>
      <c r="AD54" t="n">
        <v>5</v>
      </c>
      <c r="AE54" t="n">
        <v>5</v>
      </c>
      <c r="AF54" t="n">
        <v>6</v>
      </c>
    </row>
    <row r="55">
      <c r="A55" t="s">
        <v>130</v>
      </c>
      <c r="B55" t="s">
        <v>380</v>
      </c>
      <c r="C55" t="s">
        <v>236</v>
      </c>
      <c r="D55" t="s">
        <v>381</v>
      </c>
      <c r="E55" t="s">
        <v>237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130</v>
      </c>
      <c r="B56" t="s">
        <v>382</v>
      </c>
      <c r="C56" t="s">
        <v>236</v>
      </c>
      <c r="D56" t="s">
        <v>383</v>
      </c>
      <c r="E56" t="s">
        <v>237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130</v>
      </c>
      <c r="B57" t="s">
        <v>384</v>
      </c>
      <c r="C57" t="s">
        <v>236</v>
      </c>
      <c r="D57" t="s">
        <v>385</v>
      </c>
      <c r="E57" t="s">
        <v>237</v>
      </c>
      <c r="F57" t="n">
        <v>118592</v>
      </c>
      <c r="G57" t="n">
        <v>127292</v>
      </c>
      <c r="H57" t="n">
        <v>128231</v>
      </c>
      <c r="I57" t="n">
        <v>136513</v>
      </c>
      <c r="J57" t="n">
        <v>148349</v>
      </c>
      <c r="K57" t="n">
        <v>157814</v>
      </c>
      <c r="L57" t="n">
        <v>172172</v>
      </c>
      <c r="M57" t="n">
        <v>182202</v>
      </c>
      <c r="N57" t="n">
        <v>181974</v>
      </c>
      <c r="O57" t="n">
        <v>186525</v>
      </c>
      <c r="P57" t="n">
        <v>195821</v>
      </c>
      <c r="Q57" t="n">
        <v>211317</v>
      </c>
      <c r="R57" t="n">
        <v>224851</v>
      </c>
      <c r="S57" t="n">
        <v>244037</v>
      </c>
      <c r="T57" t="n">
        <v>259647</v>
      </c>
      <c r="U57" t="n">
        <v>256851</v>
      </c>
      <c r="V57" t="n">
        <v>253421</v>
      </c>
      <c r="W57" t="n">
        <v>267643</v>
      </c>
      <c r="X57" t="n">
        <v>286384</v>
      </c>
      <c r="Y57" t="n">
        <v>295416</v>
      </c>
      <c r="Z57" t="n">
        <v>301408</v>
      </c>
      <c r="AA57" t="n">
        <v>308164</v>
      </c>
      <c r="AB57" t="n">
        <v>321178</v>
      </c>
      <c r="AC57" t="n">
        <v>338433</v>
      </c>
      <c r="AD57" t="n">
        <v>358734</v>
      </c>
      <c r="AE57" t="n">
        <v>380151</v>
      </c>
      <c r="AF57" t="n">
        <v>392838</v>
      </c>
    </row>
    <row r="58">
      <c r="A58" t="s">
        <v>130</v>
      </c>
      <c r="B58" t="s">
        <v>386</v>
      </c>
      <c r="C58" t="s">
        <v>236</v>
      </c>
      <c r="D58" t="s">
        <v>387</v>
      </c>
      <c r="E58" t="s">
        <v>237</v>
      </c>
      <c r="F58" t="n">
        <v>118592</v>
      </c>
      <c r="G58" t="n">
        <v>127292</v>
      </c>
      <c r="H58" t="n">
        <v>128231</v>
      </c>
      <c r="I58" t="n">
        <v>136513</v>
      </c>
      <c r="J58" t="n">
        <v>148349</v>
      </c>
      <c r="K58" t="n">
        <v>157814</v>
      </c>
      <c r="L58" t="n">
        <v>172172</v>
      </c>
      <c r="M58" t="n">
        <v>182202</v>
      </c>
      <c r="N58" t="n">
        <v>181974</v>
      </c>
      <c r="O58" t="n">
        <v>186525</v>
      </c>
      <c r="P58" t="n">
        <v>195821</v>
      </c>
      <c r="Q58" t="n">
        <v>211317</v>
      </c>
      <c r="R58" t="n">
        <v>224851</v>
      </c>
      <c r="S58" t="n">
        <v>244037</v>
      </c>
      <c r="T58" t="n">
        <v>259647</v>
      </c>
      <c r="U58" t="n">
        <v>256851</v>
      </c>
      <c r="V58" t="n">
        <v>253421</v>
      </c>
      <c r="W58" t="n">
        <v>267643</v>
      </c>
      <c r="X58" t="n">
        <v>286384</v>
      </c>
      <c r="Y58" t="n">
        <v>295416</v>
      </c>
      <c r="Z58" t="n">
        <v>301408</v>
      </c>
      <c r="AA58" t="n">
        <v>308164</v>
      </c>
      <c r="AB58" t="n">
        <v>321178</v>
      </c>
      <c r="AC58" t="n">
        <v>338433</v>
      </c>
      <c r="AD58" t="n">
        <v>358734</v>
      </c>
      <c r="AE58" t="n">
        <v>380151</v>
      </c>
      <c r="AF58" t="n">
        <v>392838</v>
      </c>
    </row>
    <row r="59">
      <c r="A59" t="s">
        <v>130</v>
      </c>
      <c r="B59" t="s">
        <v>388</v>
      </c>
      <c r="C59" t="s">
        <v>236</v>
      </c>
      <c r="D59" t="s">
        <v>389</v>
      </c>
      <c r="E59" t="s">
        <v>237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132</v>
      </c>
      <c r="B2" t="s">
        <v>197</v>
      </c>
      <c r="C2" t="s">
        <v>236</v>
      </c>
      <c r="D2" t="s">
        <v>199</v>
      </c>
      <c r="E2" t="s">
        <v>237</v>
      </c>
      <c r="F2" t="n">
        <v>194</v>
      </c>
      <c r="G2" t="n">
        <v>205</v>
      </c>
      <c r="H2" t="n">
        <v>145</v>
      </c>
      <c r="I2" t="n">
        <v>181</v>
      </c>
      <c r="J2" t="n">
        <v>158</v>
      </c>
      <c r="K2" t="n">
        <v>155</v>
      </c>
      <c r="L2" t="n">
        <v>176</v>
      </c>
      <c r="M2" t="n">
        <v>179</v>
      </c>
      <c r="N2" t="n">
        <v>204</v>
      </c>
      <c r="O2" t="n">
        <v>202</v>
      </c>
      <c r="P2" t="n">
        <v>174</v>
      </c>
      <c r="Q2" t="n">
        <v>184</v>
      </c>
      <c r="R2" t="n">
        <v>161</v>
      </c>
      <c r="S2" t="n">
        <v>162</v>
      </c>
      <c r="T2" t="n">
        <v>162</v>
      </c>
      <c r="U2" t="n">
        <v>151</v>
      </c>
      <c r="V2" t="n">
        <v>141</v>
      </c>
      <c r="W2" t="n">
        <v>131</v>
      </c>
      <c r="X2" t="n">
        <v>121</v>
      </c>
      <c r="Y2" t="n">
        <v>124</v>
      </c>
      <c r="Z2" t="n">
        <v>110</v>
      </c>
      <c r="AA2" t="n">
        <v>98</v>
      </c>
      <c r="AB2" t="n">
        <v>93</v>
      </c>
      <c r="AC2" t="n">
        <v>84</v>
      </c>
      <c r="AD2" t="n">
        <v>87</v>
      </c>
      <c r="AE2" t="n">
        <v>100</v>
      </c>
      <c r="AF2" t="n">
        <v>85</v>
      </c>
    </row>
    <row r="3">
      <c r="A3" t="s">
        <v>132</v>
      </c>
      <c r="B3" t="s">
        <v>276</v>
      </c>
      <c r="C3" t="s">
        <v>236</v>
      </c>
      <c r="D3" t="s">
        <v>277</v>
      </c>
      <c r="E3" t="s">
        <v>237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132</v>
      </c>
      <c r="B4" t="s">
        <v>278</v>
      </c>
      <c r="C4" t="s">
        <v>236</v>
      </c>
      <c r="D4" t="s">
        <v>279</v>
      </c>
      <c r="E4" t="s">
        <v>237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132</v>
      </c>
      <c r="B5" t="s">
        <v>280</v>
      </c>
      <c r="C5" t="s">
        <v>236</v>
      </c>
      <c r="D5" t="s">
        <v>281</v>
      </c>
      <c r="E5" t="s">
        <v>237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132</v>
      </c>
      <c r="B6" t="s">
        <v>282</v>
      </c>
      <c r="C6" t="s">
        <v>236</v>
      </c>
      <c r="D6" t="s">
        <v>283</v>
      </c>
      <c r="E6" t="s">
        <v>237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132</v>
      </c>
      <c r="B7" t="s">
        <v>284</v>
      </c>
      <c r="C7" t="s">
        <v>236</v>
      </c>
      <c r="D7" t="s">
        <v>285</v>
      </c>
      <c r="E7" t="s">
        <v>237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132</v>
      </c>
      <c r="B8" t="s">
        <v>286</v>
      </c>
      <c r="C8" t="s">
        <v>236</v>
      </c>
      <c r="D8" t="s">
        <v>287</v>
      </c>
      <c r="E8" t="s">
        <v>237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132</v>
      </c>
      <c r="B9" t="s">
        <v>288</v>
      </c>
      <c r="C9" t="s">
        <v>236</v>
      </c>
      <c r="D9" t="s">
        <v>289</v>
      </c>
      <c r="E9" t="s">
        <v>237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132</v>
      </c>
      <c r="B10" t="s">
        <v>290</v>
      </c>
      <c r="C10" t="s">
        <v>236</v>
      </c>
      <c r="D10" t="s">
        <v>291</v>
      </c>
      <c r="E10" t="s">
        <v>237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132</v>
      </c>
      <c r="B11" t="s">
        <v>292</v>
      </c>
      <c r="C11" t="s">
        <v>236</v>
      </c>
      <c r="D11" t="s">
        <v>293</v>
      </c>
      <c r="E11" t="s">
        <v>237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132</v>
      </c>
      <c r="B12" t="s">
        <v>294</v>
      </c>
      <c r="C12" t="s">
        <v>236</v>
      </c>
      <c r="D12" t="s">
        <v>295</v>
      </c>
      <c r="E12" t="s">
        <v>237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132</v>
      </c>
      <c r="B13" t="s">
        <v>296</v>
      </c>
      <c r="C13" t="s">
        <v>236</v>
      </c>
      <c r="D13" t="s">
        <v>297</v>
      </c>
      <c r="E13" t="s">
        <v>237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132</v>
      </c>
      <c r="B14" t="s">
        <v>298</v>
      </c>
      <c r="C14" t="s">
        <v>236</v>
      </c>
      <c r="D14" t="s">
        <v>299</v>
      </c>
      <c r="E14" t="s">
        <v>237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132</v>
      </c>
      <c r="B15" t="s">
        <v>300</v>
      </c>
      <c r="C15" t="s">
        <v>236</v>
      </c>
      <c r="D15" t="s">
        <v>301</v>
      </c>
      <c r="E15" t="s">
        <v>237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132</v>
      </c>
      <c r="B16" t="s">
        <v>302</v>
      </c>
      <c r="C16" t="s">
        <v>236</v>
      </c>
      <c r="D16" t="s">
        <v>303</v>
      </c>
      <c r="E16" t="s">
        <v>237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132</v>
      </c>
      <c r="B17" t="s">
        <v>304</v>
      </c>
      <c r="C17" t="s">
        <v>236</v>
      </c>
      <c r="D17" t="s">
        <v>305</v>
      </c>
      <c r="E17" t="s">
        <v>237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132</v>
      </c>
      <c r="B18" t="s">
        <v>306</v>
      </c>
      <c r="C18" t="s">
        <v>236</v>
      </c>
      <c r="D18" t="s">
        <v>307</v>
      </c>
      <c r="E18" t="s">
        <v>237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132</v>
      </c>
      <c r="B19" t="s">
        <v>308</v>
      </c>
      <c r="C19" t="s">
        <v>236</v>
      </c>
      <c r="D19" t="s">
        <v>309</v>
      </c>
      <c r="E19" t="s">
        <v>237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132</v>
      </c>
      <c r="B20" t="s">
        <v>310</v>
      </c>
      <c r="C20" t="s">
        <v>236</v>
      </c>
      <c r="D20" t="s">
        <v>311</v>
      </c>
      <c r="E20" t="s">
        <v>237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132</v>
      </c>
      <c r="B21" t="s">
        <v>312</v>
      </c>
      <c r="C21" t="s">
        <v>236</v>
      </c>
      <c r="D21" t="s">
        <v>313</v>
      </c>
      <c r="E21" t="s">
        <v>237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132</v>
      </c>
      <c r="B22" t="s">
        <v>314</v>
      </c>
      <c r="C22" t="s">
        <v>236</v>
      </c>
      <c r="D22" t="s">
        <v>315</v>
      </c>
      <c r="E22" t="s">
        <v>237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132</v>
      </c>
      <c r="B23" t="s">
        <v>316</v>
      </c>
      <c r="C23" t="s">
        <v>236</v>
      </c>
      <c r="D23" t="s">
        <v>317</v>
      </c>
      <c r="E23" t="s">
        <v>237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132</v>
      </c>
      <c r="B24" t="s">
        <v>318</v>
      </c>
      <c r="C24" t="s">
        <v>236</v>
      </c>
      <c r="D24" t="s">
        <v>319</v>
      </c>
      <c r="E24" t="s">
        <v>237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132</v>
      </c>
      <c r="B25" t="s">
        <v>320</v>
      </c>
      <c r="C25" t="s">
        <v>236</v>
      </c>
      <c r="D25" t="s">
        <v>321</v>
      </c>
      <c r="E25" t="s">
        <v>237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132</v>
      </c>
      <c r="B26" t="s">
        <v>322</v>
      </c>
      <c r="C26" t="s">
        <v>236</v>
      </c>
      <c r="D26" t="s">
        <v>323</v>
      </c>
      <c r="E26" t="s">
        <v>237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132</v>
      </c>
      <c r="B27" t="s">
        <v>324</v>
      </c>
      <c r="C27" t="s">
        <v>236</v>
      </c>
      <c r="D27" t="s">
        <v>325</v>
      </c>
      <c r="E27" t="s">
        <v>237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132</v>
      </c>
      <c r="B28" t="s">
        <v>326</v>
      </c>
      <c r="C28" t="s">
        <v>236</v>
      </c>
      <c r="D28" t="s">
        <v>327</v>
      </c>
      <c r="E28" t="s">
        <v>237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132</v>
      </c>
      <c r="B29" t="s">
        <v>328</v>
      </c>
      <c r="C29" t="s">
        <v>236</v>
      </c>
      <c r="D29" t="s">
        <v>329</v>
      </c>
      <c r="E29" t="s">
        <v>237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132</v>
      </c>
      <c r="B30" t="s">
        <v>330</v>
      </c>
      <c r="C30" t="s">
        <v>236</v>
      </c>
      <c r="D30" t="s">
        <v>331</v>
      </c>
      <c r="E30" t="s">
        <v>237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132</v>
      </c>
      <c r="B31" t="s">
        <v>332</v>
      </c>
      <c r="C31" t="s">
        <v>236</v>
      </c>
      <c r="D31" t="s">
        <v>333</v>
      </c>
      <c r="E31" t="s">
        <v>237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132</v>
      </c>
      <c r="B32" t="s">
        <v>334</v>
      </c>
      <c r="C32" t="s">
        <v>236</v>
      </c>
      <c r="D32" t="s">
        <v>335</v>
      </c>
      <c r="E32" t="s">
        <v>237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132</v>
      </c>
      <c r="B33" t="s">
        <v>336</v>
      </c>
      <c r="C33" t="s">
        <v>236</v>
      </c>
      <c r="D33" t="s">
        <v>337</v>
      </c>
      <c r="E33" t="s">
        <v>237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132</v>
      </c>
      <c r="B34" t="s">
        <v>338</v>
      </c>
      <c r="C34" t="s">
        <v>236</v>
      </c>
      <c r="D34" t="s">
        <v>339</v>
      </c>
      <c r="E34" t="s">
        <v>237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132</v>
      </c>
      <c r="B35" t="s">
        <v>340</v>
      </c>
      <c r="C35" t="s">
        <v>236</v>
      </c>
      <c r="D35" t="s">
        <v>341</v>
      </c>
      <c r="E35" t="s">
        <v>237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132</v>
      </c>
      <c r="B36" t="s">
        <v>342</v>
      </c>
      <c r="C36" t="s">
        <v>236</v>
      </c>
      <c r="D36" t="s">
        <v>343</v>
      </c>
      <c r="E36" t="s">
        <v>237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132</v>
      </c>
      <c r="B37" t="s">
        <v>344</v>
      </c>
      <c r="C37" t="s">
        <v>236</v>
      </c>
      <c r="D37" t="s">
        <v>345</v>
      </c>
      <c r="E37" t="s">
        <v>237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132</v>
      </c>
      <c r="B38" t="s">
        <v>346</v>
      </c>
      <c r="C38" t="s">
        <v>236</v>
      </c>
      <c r="D38" t="s">
        <v>347</v>
      </c>
      <c r="E38" t="s">
        <v>237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132</v>
      </c>
      <c r="B39" t="s">
        <v>348</v>
      </c>
      <c r="C39" t="s">
        <v>236</v>
      </c>
      <c r="D39" t="s">
        <v>349</v>
      </c>
      <c r="E39" t="s">
        <v>237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132</v>
      </c>
      <c r="B40" t="s">
        <v>350</v>
      </c>
      <c r="C40" t="s">
        <v>236</v>
      </c>
      <c r="D40" t="s">
        <v>351</v>
      </c>
      <c r="E40" t="s">
        <v>237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132</v>
      </c>
      <c r="B41" t="s">
        <v>352</v>
      </c>
      <c r="C41" t="s">
        <v>236</v>
      </c>
      <c r="D41" t="s">
        <v>353</v>
      </c>
      <c r="E41" t="s">
        <v>237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132</v>
      </c>
      <c r="B42" t="s">
        <v>354</v>
      </c>
      <c r="C42" t="s">
        <v>236</v>
      </c>
      <c r="D42" t="s">
        <v>355</v>
      </c>
      <c r="E42" t="s">
        <v>237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132</v>
      </c>
      <c r="B43" t="s">
        <v>356</v>
      </c>
      <c r="C43" t="s">
        <v>236</v>
      </c>
      <c r="D43" t="s">
        <v>357</v>
      </c>
      <c r="E43" t="s">
        <v>237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132</v>
      </c>
      <c r="B44" t="s">
        <v>358</v>
      </c>
      <c r="C44" t="s">
        <v>236</v>
      </c>
      <c r="D44" t="s">
        <v>359</v>
      </c>
      <c r="E44" t="s">
        <v>237</v>
      </c>
      <c r="F44" t="n">
        <v>223</v>
      </c>
      <c r="G44" t="n">
        <v>232</v>
      </c>
      <c r="H44" t="n">
        <v>163</v>
      </c>
      <c r="I44" t="n">
        <v>203</v>
      </c>
      <c r="J44" t="n">
        <v>176</v>
      </c>
      <c r="K44" t="n">
        <v>173</v>
      </c>
      <c r="L44" t="n">
        <v>198</v>
      </c>
      <c r="M44" t="n">
        <v>202</v>
      </c>
      <c r="N44" t="n">
        <v>232</v>
      </c>
      <c r="O44" t="n">
        <v>231</v>
      </c>
      <c r="P44" t="n">
        <v>200</v>
      </c>
      <c r="Q44" t="n">
        <v>215</v>
      </c>
      <c r="R44" t="n">
        <v>192</v>
      </c>
      <c r="S44" t="n">
        <v>197</v>
      </c>
      <c r="T44" t="n">
        <v>201</v>
      </c>
      <c r="U44" t="n">
        <v>191</v>
      </c>
      <c r="V44" t="n">
        <v>181</v>
      </c>
      <c r="W44" t="n">
        <v>174</v>
      </c>
      <c r="X44" t="n">
        <v>157</v>
      </c>
      <c r="Y44" t="n">
        <v>163</v>
      </c>
      <c r="Z44" t="n">
        <v>148</v>
      </c>
      <c r="AA44" t="n">
        <v>137</v>
      </c>
      <c r="AB44" t="n">
        <v>113</v>
      </c>
      <c r="AC44" t="n">
        <v>107</v>
      </c>
      <c r="AD44" t="n">
        <v>112</v>
      </c>
      <c r="AE44" t="n">
        <v>118</v>
      </c>
      <c r="AF44" t="n">
        <v>99</v>
      </c>
    </row>
    <row r="45">
      <c r="A45" t="s">
        <v>132</v>
      </c>
      <c r="B45" t="s">
        <v>360</v>
      </c>
      <c r="C45" t="s">
        <v>236</v>
      </c>
      <c r="D45" t="s">
        <v>361</v>
      </c>
      <c r="E45" t="s">
        <v>237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132</v>
      </c>
      <c r="B46" t="s">
        <v>362</v>
      </c>
      <c r="C46" t="s">
        <v>236</v>
      </c>
      <c r="D46" t="s">
        <v>363</v>
      </c>
      <c r="E46" t="s">
        <v>237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132</v>
      </c>
      <c r="B47" t="s">
        <v>364</v>
      </c>
      <c r="C47" t="s">
        <v>236</v>
      </c>
      <c r="D47" t="s">
        <v>365</v>
      </c>
      <c r="E47" t="s">
        <v>237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132</v>
      </c>
      <c r="B48" t="s">
        <v>366</v>
      </c>
      <c r="C48" t="s">
        <v>236</v>
      </c>
      <c r="D48" t="s">
        <v>367</v>
      </c>
      <c r="E48" t="s">
        <v>237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132</v>
      </c>
      <c r="B49" t="s">
        <v>368</v>
      </c>
      <c r="C49" t="s">
        <v>236</v>
      </c>
      <c r="D49" t="s">
        <v>369</v>
      </c>
      <c r="E49" t="s">
        <v>237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132</v>
      </c>
      <c r="B50" t="s">
        <v>370</v>
      </c>
      <c r="C50" t="s">
        <v>236</v>
      </c>
      <c r="D50" t="s">
        <v>371</v>
      </c>
      <c r="E50" t="s">
        <v>237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132</v>
      </c>
      <c r="B51" t="s">
        <v>372</v>
      </c>
      <c r="C51" t="s">
        <v>236</v>
      </c>
      <c r="D51" t="s">
        <v>373</v>
      </c>
      <c r="E51" t="s">
        <v>237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132</v>
      </c>
      <c r="B52" t="s">
        <v>374</v>
      </c>
      <c r="C52" t="s">
        <v>236</v>
      </c>
      <c r="D52" t="s">
        <v>375</v>
      </c>
      <c r="E52" t="s">
        <v>237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132</v>
      </c>
      <c r="B53" t="s">
        <v>376</v>
      </c>
      <c r="C53" t="s">
        <v>236</v>
      </c>
      <c r="D53" t="s">
        <v>377</v>
      </c>
      <c r="E53" t="s">
        <v>237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132</v>
      </c>
      <c r="B54" t="s">
        <v>378</v>
      </c>
      <c r="C54" t="s">
        <v>236</v>
      </c>
      <c r="D54" t="s">
        <v>379</v>
      </c>
      <c r="E54" t="s">
        <v>237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132</v>
      </c>
      <c r="B55" t="s">
        <v>380</v>
      </c>
      <c r="C55" t="s">
        <v>236</v>
      </c>
      <c r="D55" t="s">
        <v>381</v>
      </c>
      <c r="E55" t="s">
        <v>237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132</v>
      </c>
      <c r="B56" t="s">
        <v>382</v>
      </c>
      <c r="C56" t="s">
        <v>236</v>
      </c>
      <c r="D56" t="s">
        <v>383</v>
      </c>
      <c r="E56" t="s">
        <v>237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132</v>
      </c>
      <c r="B57" t="s">
        <v>384</v>
      </c>
      <c r="C57" t="s">
        <v>236</v>
      </c>
      <c r="D57" t="s">
        <v>385</v>
      </c>
      <c r="E57" t="s">
        <v>237</v>
      </c>
      <c r="F57" t="n">
        <v>223</v>
      </c>
      <c r="G57" t="n">
        <v>232</v>
      </c>
      <c r="H57" t="n">
        <v>163</v>
      </c>
      <c r="I57" t="n">
        <v>203</v>
      </c>
      <c r="J57" t="n">
        <v>176</v>
      </c>
      <c r="K57" t="n">
        <v>173</v>
      </c>
      <c r="L57" t="n">
        <v>198</v>
      </c>
      <c r="M57" t="n">
        <v>202</v>
      </c>
      <c r="N57" t="n">
        <v>232</v>
      </c>
      <c r="O57" t="n">
        <v>231</v>
      </c>
      <c r="P57" t="n">
        <v>200</v>
      </c>
      <c r="Q57" t="n">
        <v>215</v>
      </c>
      <c r="R57" t="n">
        <v>192</v>
      </c>
      <c r="S57" t="n">
        <v>197</v>
      </c>
      <c r="T57" t="n">
        <v>201</v>
      </c>
      <c r="U57" t="n">
        <v>191</v>
      </c>
      <c r="V57" t="n">
        <v>181</v>
      </c>
      <c r="W57" t="n">
        <v>174</v>
      </c>
      <c r="X57" t="n">
        <v>157</v>
      </c>
      <c r="Y57" t="n">
        <v>163</v>
      </c>
      <c r="Z57" t="n">
        <v>148</v>
      </c>
      <c r="AA57" t="n">
        <v>137</v>
      </c>
      <c r="AB57" t="n">
        <v>113</v>
      </c>
      <c r="AC57" t="n">
        <v>107</v>
      </c>
      <c r="AD57" t="n">
        <v>112</v>
      </c>
      <c r="AE57" t="n">
        <v>118</v>
      </c>
      <c r="AF57" t="n">
        <v>99</v>
      </c>
    </row>
    <row r="58">
      <c r="A58" t="s">
        <v>132</v>
      </c>
      <c r="B58" t="s">
        <v>386</v>
      </c>
      <c r="C58" t="s">
        <v>236</v>
      </c>
      <c r="D58" t="s">
        <v>387</v>
      </c>
      <c r="E58" t="s">
        <v>237</v>
      </c>
      <c r="F58" t="n">
        <v>223</v>
      </c>
      <c r="G58" t="n">
        <v>232</v>
      </c>
      <c r="H58" t="n">
        <v>163</v>
      </c>
      <c r="I58" t="n">
        <v>203</v>
      </c>
      <c r="J58" t="n">
        <v>176</v>
      </c>
      <c r="K58" t="n">
        <v>173</v>
      </c>
      <c r="L58" t="n">
        <v>198</v>
      </c>
      <c r="M58" t="n">
        <v>202</v>
      </c>
      <c r="N58" t="n">
        <v>232</v>
      </c>
      <c r="O58" t="n">
        <v>231</v>
      </c>
      <c r="P58" t="n">
        <v>200</v>
      </c>
      <c r="Q58" t="n">
        <v>215</v>
      </c>
      <c r="R58" t="n">
        <v>192</v>
      </c>
      <c r="S58" t="n">
        <v>197</v>
      </c>
      <c r="T58" t="n">
        <v>201</v>
      </c>
      <c r="U58" t="n">
        <v>191</v>
      </c>
      <c r="V58" t="n">
        <v>181</v>
      </c>
      <c r="W58" t="n">
        <v>174</v>
      </c>
      <c r="X58" t="n">
        <v>157</v>
      </c>
      <c r="Y58" t="n">
        <v>163</v>
      </c>
      <c r="Z58" t="n">
        <v>148</v>
      </c>
      <c r="AA58" t="n">
        <v>137</v>
      </c>
      <c r="AB58" t="n">
        <v>113</v>
      </c>
      <c r="AC58" t="n">
        <v>107</v>
      </c>
      <c r="AD58" t="n">
        <v>112</v>
      </c>
      <c r="AE58" t="n">
        <v>118</v>
      </c>
      <c r="AF58" t="n">
        <v>99</v>
      </c>
    </row>
    <row r="59">
      <c r="A59" t="s">
        <v>132</v>
      </c>
      <c r="B59" t="s">
        <v>388</v>
      </c>
      <c r="C59" t="s">
        <v>236</v>
      </c>
      <c r="D59" t="s">
        <v>389</v>
      </c>
      <c r="E59" t="s">
        <v>237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134</v>
      </c>
      <c r="B2" t="s">
        <v>197</v>
      </c>
      <c r="C2" t="s">
        <v>236</v>
      </c>
      <c r="D2" t="s">
        <v>199</v>
      </c>
      <c r="E2" t="s">
        <v>237</v>
      </c>
      <c r="F2" t="n">
        <v>10</v>
      </c>
      <c r="G2" t="n">
        <v>9</v>
      </c>
      <c r="H2" t="n">
        <v>7</v>
      </c>
      <c r="I2" t="n">
        <v>9</v>
      </c>
      <c r="J2" t="n">
        <v>10</v>
      </c>
      <c r="K2" t="n">
        <v>9</v>
      </c>
      <c r="L2" t="n">
        <v>8</v>
      </c>
      <c r="M2" t="n">
        <v>8</v>
      </c>
      <c r="N2" t="n">
        <v>7</v>
      </c>
      <c r="O2" t="n">
        <v>5</v>
      </c>
      <c r="P2" t="n">
        <v>4</v>
      </c>
      <c r="Q2" t="n">
        <v>4</v>
      </c>
      <c r="R2" t="n">
        <v>3</v>
      </c>
      <c r="S2" t="n">
        <v>3</v>
      </c>
      <c r="T2" t="n">
        <v>3</v>
      </c>
      <c r="U2" t="n">
        <v>5</v>
      </c>
      <c r="V2" t="n">
        <v>9</v>
      </c>
      <c r="W2" t="n">
        <v>10</v>
      </c>
      <c r="X2" t="n">
        <v>8</v>
      </c>
      <c r="Y2" t="n">
        <v>9</v>
      </c>
      <c r="Z2" t="n">
        <v>8</v>
      </c>
      <c r="AA2" t="n">
        <v>9</v>
      </c>
      <c r="AB2" t="n">
        <v>11</v>
      </c>
      <c r="AC2" t="n">
        <v>21</v>
      </c>
      <c r="AD2" t="n">
        <v>31</v>
      </c>
      <c r="AE2" t="n">
        <v>38</v>
      </c>
      <c r="AF2" t="n">
        <v>43</v>
      </c>
    </row>
    <row r="3">
      <c r="A3" t="s">
        <v>134</v>
      </c>
      <c r="B3" t="s">
        <v>276</v>
      </c>
      <c r="C3" t="s">
        <v>236</v>
      </c>
      <c r="D3" t="s">
        <v>277</v>
      </c>
      <c r="E3" t="s">
        <v>237</v>
      </c>
      <c r="F3" t="n">
        <v>20</v>
      </c>
      <c r="G3" t="n">
        <v>22</v>
      </c>
      <c r="H3" t="n">
        <v>22</v>
      </c>
      <c r="I3" t="n">
        <v>26</v>
      </c>
      <c r="J3" t="n">
        <v>30</v>
      </c>
      <c r="K3" t="n">
        <v>34</v>
      </c>
      <c r="L3" t="n">
        <v>32</v>
      </c>
      <c r="M3" t="n">
        <v>30</v>
      </c>
      <c r="N3" t="n">
        <v>29</v>
      </c>
      <c r="O3" t="n">
        <v>29</v>
      </c>
      <c r="P3" t="n">
        <v>27</v>
      </c>
      <c r="Q3" t="n">
        <v>26</v>
      </c>
      <c r="R3" t="n">
        <v>26</v>
      </c>
      <c r="S3" t="n">
        <v>29</v>
      </c>
      <c r="T3" t="n">
        <v>38</v>
      </c>
      <c r="U3" t="n">
        <v>42</v>
      </c>
      <c r="V3" t="n">
        <v>42</v>
      </c>
      <c r="W3" t="n">
        <v>41</v>
      </c>
      <c r="X3" t="n">
        <v>42</v>
      </c>
      <c r="Y3" t="n">
        <v>39</v>
      </c>
      <c r="Z3" t="n">
        <v>36</v>
      </c>
      <c r="AA3" t="n">
        <v>42</v>
      </c>
      <c r="AB3" t="n">
        <v>56</v>
      </c>
      <c r="AC3" t="n">
        <v>61</v>
      </c>
      <c r="AD3" t="n">
        <v>56</v>
      </c>
      <c r="AE3" t="n">
        <v>61</v>
      </c>
      <c r="AF3" t="n">
        <v>66</v>
      </c>
    </row>
    <row r="4">
      <c r="A4" t="s">
        <v>134</v>
      </c>
      <c r="B4" t="s">
        <v>278</v>
      </c>
      <c r="C4" t="s">
        <v>236</v>
      </c>
      <c r="D4" t="s">
        <v>279</v>
      </c>
      <c r="E4" t="s">
        <v>237</v>
      </c>
      <c r="F4" t="n">
        <v>4279</v>
      </c>
      <c r="G4" t="n">
        <v>4814</v>
      </c>
      <c r="H4" t="n">
        <v>5441</v>
      </c>
      <c r="I4" t="n">
        <v>6165</v>
      </c>
      <c r="J4" t="n">
        <v>7261</v>
      </c>
      <c r="K4" t="n">
        <v>8357</v>
      </c>
      <c r="L4" t="n">
        <v>9604</v>
      </c>
      <c r="M4" t="n">
        <v>10708</v>
      </c>
      <c r="N4" t="n">
        <v>11832</v>
      </c>
      <c r="O4" t="n">
        <v>12832</v>
      </c>
      <c r="P4" t="n">
        <v>13904</v>
      </c>
      <c r="Q4" t="n">
        <v>15056</v>
      </c>
      <c r="R4" t="n">
        <v>16055</v>
      </c>
      <c r="S4" t="n">
        <v>17411</v>
      </c>
      <c r="T4" t="n">
        <v>18881</v>
      </c>
      <c r="U4" t="n">
        <v>19866</v>
      </c>
      <c r="V4" t="n">
        <v>20090</v>
      </c>
      <c r="W4" t="n">
        <v>19858</v>
      </c>
      <c r="X4" t="n">
        <v>19552</v>
      </c>
      <c r="Y4" t="n">
        <v>19115</v>
      </c>
      <c r="Z4" t="n">
        <v>18292</v>
      </c>
      <c r="AA4" t="n">
        <v>17434</v>
      </c>
      <c r="AB4" t="n">
        <v>16663</v>
      </c>
      <c r="AC4" t="n">
        <v>16032</v>
      </c>
      <c r="AD4" t="n">
        <v>15442</v>
      </c>
      <c r="AE4" t="n">
        <v>15540</v>
      </c>
      <c r="AF4" t="n">
        <v>15474</v>
      </c>
    </row>
    <row r="5">
      <c r="A5" t="s">
        <v>134</v>
      </c>
      <c r="B5" t="s">
        <v>280</v>
      </c>
      <c r="C5" t="s">
        <v>236</v>
      </c>
      <c r="D5" t="s">
        <v>281</v>
      </c>
      <c r="E5" t="s">
        <v>237</v>
      </c>
      <c r="F5" t="n">
        <v>174</v>
      </c>
      <c r="G5" t="n">
        <v>183</v>
      </c>
      <c r="H5" t="n">
        <v>186</v>
      </c>
      <c r="I5" t="n">
        <v>189</v>
      </c>
      <c r="J5" t="n">
        <v>197</v>
      </c>
      <c r="K5" t="n">
        <v>198</v>
      </c>
      <c r="L5" t="n">
        <v>207</v>
      </c>
      <c r="M5" t="n">
        <v>215</v>
      </c>
      <c r="N5" t="n">
        <v>215</v>
      </c>
      <c r="O5" t="n">
        <v>215</v>
      </c>
      <c r="P5" t="n">
        <v>227</v>
      </c>
      <c r="Q5" t="n">
        <v>236</v>
      </c>
      <c r="R5" t="n">
        <v>238</v>
      </c>
      <c r="S5" t="n">
        <v>243</v>
      </c>
      <c r="T5" t="n">
        <v>258</v>
      </c>
      <c r="U5" t="n">
        <v>270</v>
      </c>
      <c r="V5" t="n">
        <v>273</v>
      </c>
      <c r="W5" t="n">
        <v>279</v>
      </c>
      <c r="X5" t="n">
        <v>289</v>
      </c>
      <c r="Y5" t="n">
        <v>295</v>
      </c>
      <c r="Z5" t="n">
        <v>290</v>
      </c>
      <c r="AA5" t="n">
        <v>281</v>
      </c>
      <c r="AB5" t="n">
        <v>283</v>
      </c>
      <c r="AC5" t="n">
        <v>279</v>
      </c>
      <c r="AD5" t="n">
        <v>273</v>
      </c>
      <c r="AE5" t="n">
        <v>278</v>
      </c>
      <c r="AF5" t="n">
        <v>270</v>
      </c>
    </row>
    <row r="6">
      <c r="A6" t="s">
        <v>134</v>
      </c>
      <c r="B6" t="s">
        <v>282</v>
      </c>
      <c r="C6" t="s">
        <v>236</v>
      </c>
      <c r="D6" t="s">
        <v>283</v>
      </c>
      <c r="E6" t="s">
        <v>237</v>
      </c>
      <c r="F6" t="n">
        <v>22</v>
      </c>
      <c r="G6" t="n">
        <v>24</v>
      </c>
      <c r="H6" t="n">
        <v>27</v>
      </c>
      <c r="I6" t="n">
        <v>31</v>
      </c>
      <c r="J6" t="n">
        <v>38</v>
      </c>
      <c r="K6" t="n">
        <v>41</v>
      </c>
      <c r="L6" t="n">
        <v>50</v>
      </c>
      <c r="M6" t="n">
        <v>51</v>
      </c>
      <c r="N6" t="n">
        <v>53</v>
      </c>
      <c r="O6" t="n">
        <v>53</v>
      </c>
      <c r="P6" t="n">
        <v>49</v>
      </c>
      <c r="Q6" t="n">
        <v>52</v>
      </c>
      <c r="R6" t="n">
        <v>51</v>
      </c>
      <c r="S6" t="n">
        <v>53</v>
      </c>
      <c r="T6" t="n">
        <v>60</v>
      </c>
      <c r="U6" t="n">
        <v>55</v>
      </c>
      <c r="V6" t="n">
        <v>51</v>
      </c>
      <c r="W6" t="n">
        <v>47</v>
      </c>
      <c r="X6" t="n">
        <v>44</v>
      </c>
      <c r="Y6" t="n">
        <v>42</v>
      </c>
      <c r="Z6" t="n">
        <v>43</v>
      </c>
      <c r="AA6" t="n">
        <v>40</v>
      </c>
      <c r="AB6" t="n">
        <v>37</v>
      </c>
      <c r="AC6" t="n">
        <v>34</v>
      </c>
      <c r="AD6" t="n">
        <v>29</v>
      </c>
      <c r="AE6" t="n">
        <v>28</v>
      </c>
      <c r="AF6" t="n">
        <v>29</v>
      </c>
    </row>
    <row r="7">
      <c r="A7" t="s">
        <v>134</v>
      </c>
      <c r="B7" t="s">
        <v>284</v>
      </c>
      <c r="C7" t="s">
        <v>236</v>
      </c>
      <c r="D7" t="s">
        <v>285</v>
      </c>
      <c r="E7" t="s">
        <v>237</v>
      </c>
      <c r="F7" t="n">
        <v>232</v>
      </c>
      <c r="G7" t="n">
        <v>254</v>
      </c>
      <c r="H7" t="n">
        <v>278</v>
      </c>
      <c r="I7" t="n">
        <v>296</v>
      </c>
      <c r="J7" t="n">
        <v>319</v>
      </c>
      <c r="K7" t="n">
        <v>341</v>
      </c>
      <c r="L7" t="n">
        <v>375</v>
      </c>
      <c r="M7" t="n">
        <v>413</v>
      </c>
      <c r="N7" t="n">
        <v>442</v>
      </c>
      <c r="O7" t="n">
        <v>460</v>
      </c>
      <c r="P7" t="n">
        <v>480</v>
      </c>
      <c r="Q7" t="n">
        <v>494</v>
      </c>
      <c r="R7" t="n">
        <v>499</v>
      </c>
      <c r="S7" t="n">
        <v>507</v>
      </c>
      <c r="T7" t="n">
        <v>514</v>
      </c>
      <c r="U7" t="n">
        <v>521</v>
      </c>
      <c r="V7" t="n">
        <v>493</v>
      </c>
      <c r="W7" t="n">
        <v>487</v>
      </c>
      <c r="X7" t="n">
        <v>478</v>
      </c>
      <c r="Y7" t="n">
        <v>463</v>
      </c>
      <c r="Z7" t="n">
        <v>456</v>
      </c>
      <c r="AA7" t="n">
        <v>445</v>
      </c>
      <c r="AB7" t="n">
        <v>451</v>
      </c>
      <c r="AC7" t="n">
        <v>459</v>
      </c>
      <c r="AD7" t="n">
        <v>464</v>
      </c>
      <c r="AE7" t="n">
        <v>485</v>
      </c>
      <c r="AF7" t="n">
        <v>485</v>
      </c>
    </row>
    <row r="8">
      <c r="A8" t="s">
        <v>134</v>
      </c>
      <c r="B8" t="s">
        <v>286</v>
      </c>
      <c r="C8" t="s">
        <v>236</v>
      </c>
      <c r="D8" t="s">
        <v>287</v>
      </c>
      <c r="E8" t="s">
        <v>237</v>
      </c>
      <c r="F8" t="n">
        <v>110</v>
      </c>
      <c r="G8" t="n">
        <v>119</v>
      </c>
      <c r="H8" t="n">
        <v>128</v>
      </c>
      <c r="I8" t="n">
        <v>138</v>
      </c>
      <c r="J8" t="n">
        <v>132</v>
      </c>
      <c r="K8" t="n">
        <v>132</v>
      </c>
      <c r="L8" t="n">
        <v>135</v>
      </c>
      <c r="M8" t="n">
        <v>131</v>
      </c>
      <c r="N8" t="n">
        <v>121</v>
      </c>
      <c r="O8" t="n">
        <v>109</v>
      </c>
      <c r="P8" t="n">
        <v>99</v>
      </c>
      <c r="Q8" t="n">
        <v>93</v>
      </c>
      <c r="R8" t="n">
        <v>96</v>
      </c>
      <c r="S8" t="n">
        <v>116</v>
      </c>
      <c r="T8" t="n">
        <v>135</v>
      </c>
      <c r="U8" t="n">
        <v>146</v>
      </c>
      <c r="V8" t="n">
        <v>154</v>
      </c>
      <c r="W8" t="n">
        <v>163</v>
      </c>
      <c r="X8" t="n">
        <v>166</v>
      </c>
      <c r="Y8" t="n">
        <v>163</v>
      </c>
      <c r="Z8" t="n">
        <v>159</v>
      </c>
      <c r="AA8" t="n">
        <v>158</v>
      </c>
      <c r="AB8" t="n">
        <v>159</v>
      </c>
      <c r="AC8" t="n">
        <v>162</v>
      </c>
      <c r="AD8" t="n">
        <v>164</v>
      </c>
      <c r="AE8" t="n">
        <v>172</v>
      </c>
      <c r="AF8" t="n">
        <v>182</v>
      </c>
    </row>
    <row r="9">
      <c r="A9" t="s">
        <v>134</v>
      </c>
      <c r="B9" t="s">
        <v>288</v>
      </c>
      <c r="C9" t="s">
        <v>236</v>
      </c>
      <c r="D9" t="s">
        <v>289</v>
      </c>
      <c r="E9" t="s">
        <v>237</v>
      </c>
      <c r="F9" t="n">
        <v>429</v>
      </c>
      <c r="G9" t="n">
        <v>472</v>
      </c>
      <c r="H9" t="n">
        <v>515</v>
      </c>
      <c r="I9" t="n">
        <v>547</v>
      </c>
      <c r="J9" t="n">
        <v>603</v>
      </c>
      <c r="K9" t="n">
        <v>642</v>
      </c>
      <c r="L9" t="n">
        <v>702</v>
      </c>
      <c r="M9" t="n">
        <v>764</v>
      </c>
      <c r="N9" t="n">
        <v>808</v>
      </c>
      <c r="O9" t="n">
        <v>851</v>
      </c>
      <c r="P9" t="n">
        <v>900</v>
      </c>
      <c r="Q9" t="n">
        <v>966</v>
      </c>
      <c r="R9" t="n">
        <v>1023</v>
      </c>
      <c r="S9" t="n">
        <v>1081</v>
      </c>
      <c r="T9" t="n">
        <v>1149</v>
      </c>
      <c r="U9" t="n">
        <v>1200</v>
      </c>
      <c r="V9" t="n">
        <v>1226</v>
      </c>
      <c r="W9" t="n">
        <v>1238</v>
      </c>
      <c r="X9" t="n">
        <v>1283</v>
      </c>
      <c r="Y9" t="n">
        <v>1263</v>
      </c>
      <c r="Z9" t="n">
        <v>1260</v>
      </c>
      <c r="AA9" t="n">
        <v>1250</v>
      </c>
      <c r="AB9" t="n">
        <v>1260</v>
      </c>
      <c r="AC9" t="n">
        <v>1248</v>
      </c>
      <c r="AD9" t="n">
        <v>1232</v>
      </c>
      <c r="AE9" t="n">
        <v>1263</v>
      </c>
      <c r="AF9" t="n">
        <v>1262</v>
      </c>
    </row>
    <row r="10">
      <c r="A10" t="s">
        <v>134</v>
      </c>
      <c r="B10" t="s">
        <v>290</v>
      </c>
      <c r="C10" t="s">
        <v>236</v>
      </c>
      <c r="D10" t="s">
        <v>291</v>
      </c>
      <c r="E10" t="s">
        <v>237</v>
      </c>
      <c r="F10" t="n">
        <v>906</v>
      </c>
      <c r="G10" t="n">
        <v>994</v>
      </c>
      <c r="H10" t="n">
        <v>1076</v>
      </c>
      <c r="I10" t="n">
        <v>1146</v>
      </c>
      <c r="J10" t="n">
        <v>1247</v>
      </c>
      <c r="K10" t="n">
        <v>1338</v>
      </c>
      <c r="L10" t="n">
        <v>1489</v>
      </c>
      <c r="M10" t="n">
        <v>1661</v>
      </c>
      <c r="N10" t="n">
        <v>1779</v>
      </c>
      <c r="O10" t="n">
        <v>1859</v>
      </c>
      <c r="P10" t="n">
        <v>1954</v>
      </c>
      <c r="Q10" t="n">
        <v>2075</v>
      </c>
      <c r="R10" t="n">
        <v>2207</v>
      </c>
      <c r="S10" t="n">
        <v>2336</v>
      </c>
      <c r="T10" t="n">
        <v>2511</v>
      </c>
      <c r="U10" t="n">
        <v>2630</v>
      </c>
      <c r="V10" t="n">
        <v>2690</v>
      </c>
      <c r="W10" t="n">
        <v>2798</v>
      </c>
      <c r="X10" t="n">
        <v>2931</v>
      </c>
      <c r="Y10" t="n">
        <v>3008</v>
      </c>
      <c r="Z10" t="n">
        <v>3061</v>
      </c>
      <c r="AA10" t="n">
        <v>3120</v>
      </c>
      <c r="AB10" t="n">
        <v>3225</v>
      </c>
      <c r="AC10" t="n">
        <v>3238</v>
      </c>
      <c r="AD10" t="n">
        <v>3175</v>
      </c>
      <c r="AE10" t="n">
        <v>3292</v>
      </c>
      <c r="AF10" t="n">
        <v>3370</v>
      </c>
    </row>
    <row r="11">
      <c r="A11" t="s">
        <v>134</v>
      </c>
      <c r="B11" t="s">
        <v>292</v>
      </c>
      <c r="C11" t="s">
        <v>236</v>
      </c>
      <c r="D11" t="s">
        <v>293</v>
      </c>
      <c r="E11" t="s">
        <v>237</v>
      </c>
      <c r="F11" t="n">
        <v>477</v>
      </c>
      <c r="G11" t="n">
        <v>522</v>
      </c>
      <c r="H11" t="n">
        <v>561</v>
      </c>
      <c r="I11" t="n">
        <v>599</v>
      </c>
      <c r="J11" t="n">
        <v>644</v>
      </c>
      <c r="K11" t="n">
        <v>696</v>
      </c>
      <c r="L11" t="n">
        <v>787</v>
      </c>
      <c r="M11" t="n">
        <v>897</v>
      </c>
      <c r="N11" t="n">
        <v>971</v>
      </c>
      <c r="O11" t="n">
        <v>1008</v>
      </c>
      <c r="P11" t="n">
        <v>1054</v>
      </c>
      <c r="Q11" t="n">
        <v>1109</v>
      </c>
      <c r="R11" t="n">
        <v>1184</v>
      </c>
      <c r="S11" t="n">
        <v>1255</v>
      </c>
      <c r="T11" t="n">
        <v>1362</v>
      </c>
      <c r="U11" t="n">
        <v>1430</v>
      </c>
      <c r="V11" t="n">
        <v>1464</v>
      </c>
      <c r="W11" t="n">
        <v>1560</v>
      </c>
      <c r="X11" t="n">
        <v>1648</v>
      </c>
      <c r="Y11" t="n">
        <v>1745</v>
      </c>
      <c r="Z11" t="n">
        <v>1801</v>
      </c>
      <c r="AA11" t="n">
        <v>1870</v>
      </c>
      <c r="AB11" t="n">
        <v>1965</v>
      </c>
      <c r="AC11" t="n">
        <v>1990</v>
      </c>
      <c r="AD11" t="n">
        <v>1943</v>
      </c>
      <c r="AE11" t="n">
        <v>2029</v>
      </c>
      <c r="AF11" t="n">
        <v>2108</v>
      </c>
    </row>
    <row r="12">
      <c r="A12" t="s">
        <v>134</v>
      </c>
      <c r="B12" t="s">
        <v>294</v>
      </c>
      <c r="C12" t="s">
        <v>236</v>
      </c>
      <c r="D12" t="s">
        <v>295</v>
      </c>
      <c r="E12" t="s">
        <v>237</v>
      </c>
      <c r="F12" t="n">
        <v>95</v>
      </c>
      <c r="G12" t="n">
        <v>104</v>
      </c>
      <c r="H12" t="n">
        <v>109</v>
      </c>
      <c r="I12" t="n">
        <v>115</v>
      </c>
      <c r="J12" t="n">
        <v>132</v>
      </c>
      <c r="K12" t="n">
        <v>150</v>
      </c>
      <c r="L12" t="n">
        <v>167</v>
      </c>
      <c r="M12" t="n">
        <v>190</v>
      </c>
      <c r="N12" t="n">
        <v>204</v>
      </c>
      <c r="O12" t="n">
        <v>215</v>
      </c>
      <c r="P12" t="n">
        <v>219</v>
      </c>
      <c r="Q12" t="n">
        <v>231</v>
      </c>
      <c r="R12" t="n">
        <v>243</v>
      </c>
      <c r="S12" t="n">
        <v>253</v>
      </c>
      <c r="T12" t="n">
        <v>270</v>
      </c>
      <c r="U12" t="n">
        <v>280</v>
      </c>
      <c r="V12" t="n">
        <v>284</v>
      </c>
      <c r="W12" t="n">
        <v>299</v>
      </c>
      <c r="X12" t="n">
        <v>306</v>
      </c>
      <c r="Y12" t="n">
        <v>311</v>
      </c>
      <c r="Z12" t="n">
        <v>321</v>
      </c>
      <c r="AA12" t="n">
        <v>319</v>
      </c>
      <c r="AB12" t="n">
        <v>341</v>
      </c>
      <c r="AC12" t="n">
        <v>345</v>
      </c>
      <c r="AD12" t="n">
        <v>353</v>
      </c>
      <c r="AE12" t="n">
        <v>373</v>
      </c>
      <c r="AF12" t="n">
        <v>384</v>
      </c>
    </row>
    <row r="13">
      <c r="A13" t="s">
        <v>134</v>
      </c>
      <c r="B13" t="s">
        <v>296</v>
      </c>
      <c r="C13" t="s">
        <v>236</v>
      </c>
      <c r="D13" t="s">
        <v>297</v>
      </c>
      <c r="E13" t="s">
        <v>237</v>
      </c>
      <c r="F13" t="n">
        <v>171</v>
      </c>
      <c r="G13" t="n">
        <v>186</v>
      </c>
      <c r="H13" t="n">
        <v>200</v>
      </c>
      <c r="I13" t="n">
        <v>213</v>
      </c>
      <c r="J13" t="n">
        <v>231</v>
      </c>
      <c r="K13" t="n">
        <v>241</v>
      </c>
      <c r="L13" t="n">
        <v>262</v>
      </c>
      <c r="M13" t="n">
        <v>270</v>
      </c>
      <c r="N13" t="n">
        <v>284</v>
      </c>
      <c r="O13" t="n">
        <v>298</v>
      </c>
      <c r="P13" t="n">
        <v>318</v>
      </c>
      <c r="Q13" t="n">
        <v>338</v>
      </c>
      <c r="R13" t="n">
        <v>356</v>
      </c>
      <c r="S13" t="n">
        <v>371</v>
      </c>
      <c r="T13" t="n">
        <v>402</v>
      </c>
      <c r="U13" t="n">
        <v>421</v>
      </c>
      <c r="V13" t="n">
        <v>424</v>
      </c>
      <c r="W13" t="n">
        <v>423</v>
      </c>
      <c r="X13" t="n">
        <v>414</v>
      </c>
      <c r="Y13" t="n">
        <v>397</v>
      </c>
      <c r="Z13" t="n">
        <v>377</v>
      </c>
      <c r="AA13" t="n">
        <v>360</v>
      </c>
      <c r="AB13" t="n">
        <v>357</v>
      </c>
      <c r="AC13" t="n">
        <v>352</v>
      </c>
      <c r="AD13" t="n">
        <v>342</v>
      </c>
      <c r="AE13" t="n">
        <v>356</v>
      </c>
      <c r="AF13" t="n">
        <v>355</v>
      </c>
    </row>
    <row r="14">
      <c r="A14" t="s">
        <v>134</v>
      </c>
      <c r="B14" t="s">
        <v>298</v>
      </c>
      <c r="C14" t="s">
        <v>236</v>
      </c>
      <c r="D14" t="s">
        <v>299</v>
      </c>
      <c r="E14" t="s">
        <v>237</v>
      </c>
      <c r="F14" t="n">
        <v>1504</v>
      </c>
      <c r="G14" t="n">
        <v>1779</v>
      </c>
      <c r="H14" t="n">
        <v>2163</v>
      </c>
      <c r="I14" t="n">
        <v>2660</v>
      </c>
      <c r="J14" t="n">
        <v>3441</v>
      </c>
      <c r="K14" t="n">
        <v>4287</v>
      </c>
      <c r="L14" t="n">
        <v>5107</v>
      </c>
      <c r="M14" t="n">
        <v>5793</v>
      </c>
      <c r="N14" t="n">
        <v>6632</v>
      </c>
      <c r="O14" t="n">
        <v>7458</v>
      </c>
      <c r="P14" t="n">
        <v>8319</v>
      </c>
      <c r="Q14" t="n">
        <v>9175</v>
      </c>
      <c r="R14" t="n">
        <v>9886</v>
      </c>
      <c r="S14" t="n">
        <v>10898</v>
      </c>
      <c r="T14" t="n">
        <v>11927</v>
      </c>
      <c r="U14" t="n">
        <v>12584</v>
      </c>
      <c r="V14" t="n">
        <v>12649</v>
      </c>
      <c r="W14" t="n">
        <v>12054</v>
      </c>
      <c r="X14" t="n">
        <v>11478</v>
      </c>
      <c r="Y14" t="n">
        <v>10858</v>
      </c>
      <c r="Z14" t="n">
        <v>9910</v>
      </c>
      <c r="AA14" t="n">
        <v>8936</v>
      </c>
      <c r="AB14" t="n">
        <v>8187</v>
      </c>
      <c r="AC14" t="n">
        <v>7370</v>
      </c>
      <c r="AD14" t="n">
        <v>6710</v>
      </c>
      <c r="AE14" t="n">
        <v>6353</v>
      </c>
      <c r="AF14" t="n">
        <v>6054</v>
      </c>
    </row>
    <row r="15">
      <c r="A15" t="s">
        <v>134</v>
      </c>
      <c r="B15" t="s">
        <v>300</v>
      </c>
      <c r="C15" t="s">
        <v>236</v>
      </c>
      <c r="D15" t="s">
        <v>301</v>
      </c>
      <c r="E15" t="s">
        <v>237</v>
      </c>
      <c r="F15" t="n">
        <v>1746</v>
      </c>
      <c r="G15" t="n">
        <v>2039</v>
      </c>
      <c r="H15" t="n">
        <v>2436</v>
      </c>
      <c r="I15" t="n">
        <v>2951</v>
      </c>
      <c r="J15" t="n">
        <v>3750</v>
      </c>
      <c r="K15" t="n">
        <v>4609</v>
      </c>
      <c r="L15" t="n">
        <v>5450</v>
      </c>
      <c r="M15" t="n">
        <v>6161</v>
      </c>
      <c r="N15" t="n">
        <v>7030</v>
      </c>
      <c r="O15" t="n">
        <v>7885</v>
      </c>
      <c r="P15" t="n">
        <v>8776</v>
      </c>
      <c r="Q15" t="n">
        <v>9656</v>
      </c>
      <c r="R15" t="n">
        <v>10401</v>
      </c>
      <c r="S15" t="n">
        <v>11502</v>
      </c>
      <c r="T15" t="n">
        <v>12630</v>
      </c>
      <c r="U15" t="n">
        <v>13405</v>
      </c>
      <c r="V15" t="n">
        <v>13545</v>
      </c>
      <c r="W15" t="n">
        <v>13052</v>
      </c>
      <c r="X15" t="n">
        <v>12499</v>
      </c>
      <c r="Y15" t="n">
        <v>11966</v>
      </c>
      <c r="Z15" t="n">
        <v>11065</v>
      </c>
      <c r="AA15" t="n">
        <v>10102</v>
      </c>
      <c r="AB15" t="n">
        <v>9097</v>
      </c>
      <c r="AC15" t="n">
        <v>8294</v>
      </c>
      <c r="AD15" t="n">
        <v>7652</v>
      </c>
      <c r="AE15" t="n">
        <v>7335</v>
      </c>
      <c r="AF15" t="n">
        <v>7041</v>
      </c>
    </row>
    <row r="16">
      <c r="A16" t="s">
        <v>134</v>
      </c>
      <c r="B16" t="s">
        <v>302</v>
      </c>
      <c r="C16" t="s">
        <v>236</v>
      </c>
      <c r="D16" t="s">
        <v>303</v>
      </c>
      <c r="E16" t="s">
        <v>237</v>
      </c>
      <c r="F16" t="n">
        <v>242</v>
      </c>
      <c r="G16" t="n">
        <v>260</v>
      </c>
      <c r="H16" t="n">
        <v>273</v>
      </c>
      <c r="I16" t="n">
        <v>291</v>
      </c>
      <c r="J16" t="n">
        <v>309</v>
      </c>
      <c r="K16" t="n">
        <v>322</v>
      </c>
      <c r="L16" t="n">
        <v>343</v>
      </c>
      <c r="M16" t="n">
        <v>368</v>
      </c>
      <c r="N16" t="n">
        <v>398</v>
      </c>
      <c r="O16" t="n">
        <v>427</v>
      </c>
      <c r="P16" t="n">
        <v>457</v>
      </c>
      <c r="Q16" t="n">
        <v>481</v>
      </c>
      <c r="R16" t="n">
        <v>515</v>
      </c>
      <c r="S16" t="n">
        <v>604</v>
      </c>
      <c r="T16" t="n">
        <v>703</v>
      </c>
      <c r="U16" t="n">
        <v>821</v>
      </c>
      <c r="V16" t="n">
        <v>896</v>
      </c>
      <c r="W16" t="n">
        <v>998</v>
      </c>
      <c r="X16" t="n">
        <v>1021</v>
      </c>
      <c r="Y16" t="n">
        <v>1108</v>
      </c>
      <c r="Z16" t="n">
        <v>1155</v>
      </c>
      <c r="AA16" t="n">
        <v>1166</v>
      </c>
      <c r="AB16" t="n">
        <v>910</v>
      </c>
      <c r="AC16" t="n">
        <v>924</v>
      </c>
      <c r="AD16" t="n">
        <v>942</v>
      </c>
      <c r="AE16" t="n">
        <v>982</v>
      </c>
      <c r="AF16" t="n">
        <v>987</v>
      </c>
    </row>
    <row r="17">
      <c r="A17" t="s">
        <v>134</v>
      </c>
      <c r="B17" t="s">
        <v>304</v>
      </c>
      <c r="C17" t="s">
        <v>236</v>
      </c>
      <c r="D17" t="s">
        <v>305</v>
      </c>
      <c r="E17" t="s">
        <v>237</v>
      </c>
      <c r="F17" t="n">
        <v>448</v>
      </c>
      <c r="G17" t="n">
        <v>494</v>
      </c>
      <c r="H17" t="n">
        <v>541</v>
      </c>
      <c r="I17" t="n">
        <v>586</v>
      </c>
      <c r="J17" t="n">
        <v>651</v>
      </c>
      <c r="K17" t="n">
        <v>685</v>
      </c>
      <c r="L17" t="n">
        <v>762</v>
      </c>
      <c r="M17" t="n">
        <v>826</v>
      </c>
      <c r="N17" t="n">
        <v>854</v>
      </c>
      <c r="O17" t="n">
        <v>858</v>
      </c>
      <c r="P17" t="n">
        <v>885</v>
      </c>
      <c r="Q17" t="n">
        <v>926</v>
      </c>
      <c r="R17" t="n">
        <v>971</v>
      </c>
      <c r="S17" t="n">
        <v>1147</v>
      </c>
      <c r="T17" t="n">
        <v>1275</v>
      </c>
      <c r="U17" t="n">
        <v>1379</v>
      </c>
      <c r="V17" t="n">
        <v>1475</v>
      </c>
      <c r="W17" t="n">
        <v>1636</v>
      </c>
      <c r="X17" t="n">
        <v>1790</v>
      </c>
      <c r="Y17" t="n">
        <v>1901</v>
      </c>
      <c r="Z17" t="n">
        <v>1998</v>
      </c>
      <c r="AA17" t="n">
        <v>2116</v>
      </c>
      <c r="AB17" t="n">
        <v>2238</v>
      </c>
      <c r="AC17" t="n">
        <v>2392</v>
      </c>
      <c r="AD17" t="n">
        <v>2507</v>
      </c>
      <c r="AE17" t="n">
        <v>2712</v>
      </c>
      <c r="AF17" t="n">
        <v>2807</v>
      </c>
    </row>
    <row r="18">
      <c r="A18" t="s">
        <v>134</v>
      </c>
      <c r="B18" t="s">
        <v>306</v>
      </c>
      <c r="C18" t="s">
        <v>236</v>
      </c>
      <c r="D18" t="s">
        <v>307</v>
      </c>
      <c r="E18" t="s">
        <v>237</v>
      </c>
      <c r="F18" t="n">
        <v>74</v>
      </c>
      <c r="G18" t="n">
        <v>82</v>
      </c>
      <c r="H18" t="n">
        <v>88</v>
      </c>
      <c r="I18" t="n">
        <v>92</v>
      </c>
      <c r="J18" t="n">
        <v>99</v>
      </c>
      <c r="K18" t="n">
        <v>105</v>
      </c>
      <c r="L18" t="n">
        <v>113</v>
      </c>
      <c r="M18" t="n">
        <v>119</v>
      </c>
      <c r="N18" t="n">
        <v>122</v>
      </c>
      <c r="O18" t="n">
        <v>126</v>
      </c>
      <c r="P18" t="n">
        <v>133</v>
      </c>
      <c r="Q18" t="n">
        <v>151</v>
      </c>
      <c r="R18" t="n">
        <v>151</v>
      </c>
      <c r="S18" t="n">
        <v>158</v>
      </c>
      <c r="T18" t="n">
        <v>184</v>
      </c>
      <c r="U18" t="n">
        <v>196</v>
      </c>
      <c r="V18" t="n">
        <v>217</v>
      </c>
      <c r="W18" t="n">
        <v>249</v>
      </c>
      <c r="X18" t="n">
        <v>267</v>
      </c>
      <c r="Y18" t="n">
        <v>255</v>
      </c>
      <c r="Z18" t="n">
        <v>255</v>
      </c>
      <c r="AA18" t="n">
        <v>261</v>
      </c>
      <c r="AB18" t="n">
        <v>277</v>
      </c>
      <c r="AC18" t="n">
        <v>293</v>
      </c>
      <c r="AD18" t="n">
        <v>311</v>
      </c>
      <c r="AE18" t="n">
        <v>339</v>
      </c>
      <c r="AF18" t="n">
        <v>369</v>
      </c>
    </row>
    <row r="19">
      <c r="A19" t="s">
        <v>134</v>
      </c>
      <c r="B19" t="s">
        <v>308</v>
      </c>
      <c r="C19" t="s">
        <v>236</v>
      </c>
      <c r="D19" t="s">
        <v>309</v>
      </c>
      <c r="E19" t="s">
        <v>237</v>
      </c>
      <c r="F19" t="n">
        <v>301</v>
      </c>
      <c r="G19" t="n">
        <v>335</v>
      </c>
      <c r="H19" t="n">
        <v>372</v>
      </c>
      <c r="I19" t="n">
        <v>408</v>
      </c>
      <c r="J19" t="n">
        <v>465</v>
      </c>
      <c r="K19" t="n">
        <v>517</v>
      </c>
      <c r="L19" t="n">
        <v>594</v>
      </c>
      <c r="M19" t="n">
        <v>671</v>
      </c>
      <c r="N19" t="n">
        <v>728</v>
      </c>
      <c r="O19" t="n">
        <v>754</v>
      </c>
      <c r="P19" t="n">
        <v>764</v>
      </c>
      <c r="Q19" t="n">
        <v>804</v>
      </c>
      <c r="R19" t="n">
        <v>842</v>
      </c>
      <c r="S19" t="n">
        <v>725</v>
      </c>
      <c r="T19" t="n">
        <v>642</v>
      </c>
      <c r="U19" t="n">
        <v>563</v>
      </c>
      <c r="V19" t="n">
        <v>484</v>
      </c>
      <c r="W19" t="n">
        <v>425</v>
      </c>
      <c r="X19" t="n">
        <v>368</v>
      </c>
      <c r="Y19" t="n">
        <v>314</v>
      </c>
      <c r="Z19" t="n">
        <v>267</v>
      </c>
      <c r="AA19" t="n">
        <v>232</v>
      </c>
      <c r="AB19" t="n">
        <v>198</v>
      </c>
      <c r="AC19" t="n">
        <v>184</v>
      </c>
      <c r="AD19" t="n">
        <v>172</v>
      </c>
      <c r="AE19" t="n">
        <v>170</v>
      </c>
      <c r="AF19" t="n">
        <v>182</v>
      </c>
    </row>
    <row r="20">
      <c r="A20" t="s">
        <v>134</v>
      </c>
      <c r="B20" t="s">
        <v>310</v>
      </c>
      <c r="C20" t="s">
        <v>236</v>
      </c>
      <c r="D20" t="s">
        <v>311</v>
      </c>
      <c r="E20" t="s">
        <v>237</v>
      </c>
      <c r="F20" t="n">
        <v>50</v>
      </c>
      <c r="G20" t="n">
        <v>62</v>
      </c>
      <c r="H20" t="n">
        <v>81</v>
      </c>
      <c r="I20" t="n">
        <v>97</v>
      </c>
      <c r="J20" t="n">
        <v>106</v>
      </c>
      <c r="K20" t="n">
        <v>105</v>
      </c>
      <c r="L20" t="n">
        <v>116</v>
      </c>
      <c r="M20" t="n">
        <v>110</v>
      </c>
      <c r="N20" t="n">
        <v>99</v>
      </c>
      <c r="O20" t="n">
        <v>87</v>
      </c>
      <c r="P20" t="n">
        <v>83</v>
      </c>
      <c r="Q20" t="n">
        <v>92</v>
      </c>
      <c r="R20" t="n">
        <v>87</v>
      </c>
      <c r="S20" t="n">
        <v>84</v>
      </c>
      <c r="T20" t="n">
        <v>87</v>
      </c>
      <c r="U20" t="n">
        <v>95</v>
      </c>
      <c r="V20" t="n">
        <v>100</v>
      </c>
      <c r="W20" t="n">
        <v>111</v>
      </c>
      <c r="X20" t="n">
        <v>116</v>
      </c>
      <c r="Y20" t="n">
        <v>113</v>
      </c>
      <c r="Z20" t="n">
        <v>112</v>
      </c>
      <c r="AA20" t="n">
        <v>128</v>
      </c>
      <c r="AB20" t="n">
        <v>169</v>
      </c>
      <c r="AC20" t="n">
        <v>191</v>
      </c>
      <c r="AD20" t="n">
        <v>217</v>
      </c>
      <c r="AE20" t="n">
        <v>239</v>
      </c>
      <c r="AF20" t="n">
        <v>250</v>
      </c>
    </row>
    <row r="21">
      <c r="A21" t="s">
        <v>134</v>
      </c>
      <c r="B21" t="s">
        <v>312</v>
      </c>
      <c r="C21" t="s">
        <v>236</v>
      </c>
      <c r="D21" t="s">
        <v>313</v>
      </c>
      <c r="E21" t="s">
        <v>237</v>
      </c>
      <c r="F21" t="n">
        <v>54</v>
      </c>
      <c r="G21" t="n">
        <v>66</v>
      </c>
      <c r="H21" t="n">
        <v>85</v>
      </c>
      <c r="I21" t="n">
        <v>101</v>
      </c>
      <c r="J21" t="n">
        <v>112</v>
      </c>
      <c r="K21" t="n">
        <v>112</v>
      </c>
      <c r="L21" t="n">
        <v>124</v>
      </c>
      <c r="M21" t="n">
        <v>122</v>
      </c>
      <c r="N21" t="n">
        <v>113</v>
      </c>
      <c r="O21" t="n">
        <v>107</v>
      </c>
      <c r="P21" t="n">
        <v>105</v>
      </c>
      <c r="Q21" t="n">
        <v>123</v>
      </c>
      <c r="R21" t="n">
        <v>128</v>
      </c>
      <c r="S21" t="n">
        <v>128</v>
      </c>
      <c r="T21" t="n">
        <v>137</v>
      </c>
      <c r="U21" t="n">
        <v>153</v>
      </c>
      <c r="V21" t="n">
        <v>159</v>
      </c>
      <c r="W21" t="n">
        <v>184</v>
      </c>
      <c r="X21" t="n">
        <v>196</v>
      </c>
      <c r="Y21" t="n">
        <v>195</v>
      </c>
      <c r="Z21" t="n">
        <v>205</v>
      </c>
      <c r="AA21" t="n">
        <v>230</v>
      </c>
      <c r="AB21" t="n">
        <v>269</v>
      </c>
      <c r="AC21" t="n">
        <v>285</v>
      </c>
      <c r="AD21" t="n">
        <v>304</v>
      </c>
      <c r="AE21" t="n">
        <v>316</v>
      </c>
      <c r="AF21" t="n">
        <v>319</v>
      </c>
    </row>
    <row r="22">
      <c r="A22" t="s">
        <v>134</v>
      </c>
      <c r="B22" t="s">
        <v>314</v>
      </c>
      <c r="C22" t="s">
        <v>236</v>
      </c>
      <c r="D22" t="s">
        <v>315</v>
      </c>
      <c r="E22" t="s">
        <v>237</v>
      </c>
      <c r="F22" t="n">
        <v>4</v>
      </c>
      <c r="G22" t="n">
        <v>4</v>
      </c>
      <c r="H22" t="n">
        <v>4</v>
      </c>
      <c r="I22" t="n">
        <v>4</v>
      </c>
      <c r="J22" t="n">
        <v>6</v>
      </c>
      <c r="K22" t="n">
        <v>7</v>
      </c>
      <c r="L22" t="n">
        <v>8</v>
      </c>
      <c r="M22" t="n">
        <v>12</v>
      </c>
      <c r="N22" t="n">
        <v>14</v>
      </c>
      <c r="O22" t="n">
        <v>20</v>
      </c>
      <c r="P22" t="n">
        <v>22</v>
      </c>
      <c r="Q22" t="n">
        <v>31</v>
      </c>
      <c r="R22" t="n">
        <v>41</v>
      </c>
      <c r="S22" t="n">
        <v>44</v>
      </c>
      <c r="T22" t="n">
        <v>50</v>
      </c>
      <c r="U22" t="n">
        <v>58</v>
      </c>
      <c r="V22" t="n">
        <v>59</v>
      </c>
      <c r="W22" t="n">
        <v>73</v>
      </c>
      <c r="X22" t="n">
        <v>80</v>
      </c>
      <c r="Y22" t="n">
        <v>82</v>
      </c>
      <c r="Z22" t="n">
        <v>93</v>
      </c>
      <c r="AA22" t="n">
        <v>102</v>
      </c>
      <c r="AB22" t="n">
        <v>100</v>
      </c>
      <c r="AC22" t="n">
        <v>94</v>
      </c>
      <c r="AD22" t="n">
        <v>87</v>
      </c>
      <c r="AE22" t="n">
        <v>77</v>
      </c>
      <c r="AF22" t="n">
        <v>69</v>
      </c>
    </row>
    <row r="23">
      <c r="A23" t="s">
        <v>134</v>
      </c>
      <c r="B23" t="s">
        <v>316</v>
      </c>
      <c r="C23" t="s">
        <v>236</v>
      </c>
      <c r="D23" t="s">
        <v>317</v>
      </c>
      <c r="E23" t="s">
        <v>237</v>
      </c>
      <c r="F23" t="n">
        <v>36</v>
      </c>
      <c r="G23" t="n">
        <v>39</v>
      </c>
      <c r="H23" t="n">
        <v>40</v>
      </c>
      <c r="I23" t="n">
        <v>43</v>
      </c>
      <c r="J23" t="n">
        <v>53</v>
      </c>
      <c r="K23" t="n">
        <v>71</v>
      </c>
      <c r="L23" t="n">
        <v>82</v>
      </c>
      <c r="M23" t="n">
        <v>96</v>
      </c>
      <c r="N23" t="n">
        <v>112</v>
      </c>
      <c r="O23" t="n">
        <v>110</v>
      </c>
      <c r="P23" t="n">
        <v>108</v>
      </c>
      <c r="Q23" t="n">
        <v>109</v>
      </c>
      <c r="R23" t="n">
        <v>111</v>
      </c>
      <c r="S23" t="n">
        <v>118</v>
      </c>
      <c r="T23" t="n">
        <v>139</v>
      </c>
      <c r="U23" t="n">
        <v>163</v>
      </c>
      <c r="V23" t="n">
        <v>175</v>
      </c>
      <c r="W23" t="n">
        <v>188</v>
      </c>
      <c r="X23" t="n">
        <v>210</v>
      </c>
      <c r="Y23" t="n">
        <v>187</v>
      </c>
      <c r="Z23" t="n">
        <v>177</v>
      </c>
      <c r="AA23" t="n">
        <v>161</v>
      </c>
      <c r="AB23" t="n">
        <v>157</v>
      </c>
      <c r="AC23" t="n">
        <v>149</v>
      </c>
      <c r="AD23" t="n">
        <v>141</v>
      </c>
      <c r="AE23" t="n">
        <v>145</v>
      </c>
      <c r="AF23" t="n">
        <v>150</v>
      </c>
    </row>
    <row r="24">
      <c r="A24" t="s">
        <v>134</v>
      </c>
      <c r="B24" t="s">
        <v>318</v>
      </c>
      <c r="C24" t="s">
        <v>236</v>
      </c>
      <c r="D24" t="s">
        <v>319</v>
      </c>
      <c r="E24" t="s">
        <v>237</v>
      </c>
      <c r="F24" t="n">
        <v>160</v>
      </c>
      <c r="G24" t="n">
        <v>183</v>
      </c>
      <c r="H24" t="n">
        <v>211</v>
      </c>
      <c r="I24" t="n">
        <v>247</v>
      </c>
      <c r="J24" t="n">
        <v>289</v>
      </c>
      <c r="K24" t="n">
        <v>340</v>
      </c>
      <c r="L24" t="n">
        <v>396</v>
      </c>
      <c r="M24" t="n">
        <v>338</v>
      </c>
      <c r="N24" t="n">
        <v>287</v>
      </c>
      <c r="O24" t="n">
        <v>236</v>
      </c>
      <c r="P24" t="n">
        <v>199</v>
      </c>
      <c r="Q24" t="n">
        <v>166</v>
      </c>
      <c r="R24" t="n">
        <v>189</v>
      </c>
      <c r="S24" t="n">
        <v>188</v>
      </c>
      <c r="T24" t="n">
        <v>203</v>
      </c>
      <c r="U24" t="n">
        <v>218</v>
      </c>
      <c r="V24" t="n">
        <v>232</v>
      </c>
      <c r="W24" t="n">
        <v>276</v>
      </c>
      <c r="X24" t="n">
        <v>291</v>
      </c>
      <c r="Y24" t="n">
        <v>295</v>
      </c>
      <c r="Z24" t="n">
        <v>297</v>
      </c>
      <c r="AA24" t="n">
        <v>296</v>
      </c>
      <c r="AB24" t="n">
        <v>286</v>
      </c>
      <c r="AC24" t="n">
        <v>297</v>
      </c>
      <c r="AD24" t="n">
        <v>302</v>
      </c>
      <c r="AE24" t="n">
        <v>309</v>
      </c>
      <c r="AF24" t="n">
        <v>355</v>
      </c>
    </row>
    <row r="25">
      <c r="A25" t="s">
        <v>134</v>
      </c>
      <c r="B25" t="s">
        <v>320</v>
      </c>
      <c r="C25" t="s">
        <v>236</v>
      </c>
      <c r="D25" t="s">
        <v>321</v>
      </c>
      <c r="E25" t="s">
        <v>237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</v>
      </c>
      <c r="T25" t="n">
        <v>3</v>
      </c>
      <c r="U25" t="n">
        <v>2</v>
      </c>
      <c r="V25" t="n">
        <v>2</v>
      </c>
      <c r="W25" t="n">
        <v>3</v>
      </c>
      <c r="X25" t="n">
        <v>4</v>
      </c>
      <c r="Y25" t="n">
        <v>7</v>
      </c>
      <c r="Z25" t="n">
        <v>11</v>
      </c>
      <c r="AA25" t="n">
        <v>13</v>
      </c>
      <c r="AB25" t="n">
        <v>12</v>
      </c>
      <c r="AC25" t="n">
        <v>10</v>
      </c>
      <c r="AD25" t="n">
        <v>12</v>
      </c>
      <c r="AE25" t="n">
        <v>11</v>
      </c>
      <c r="AF25" t="n">
        <v>12</v>
      </c>
    </row>
    <row r="26">
      <c r="A26" t="s">
        <v>134</v>
      </c>
      <c r="B26" t="s">
        <v>322</v>
      </c>
      <c r="C26" t="s">
        <v>236</v>
      </c>
      <c r="D26" t="s">
        <v>323</v>
      </c>
      <c r="E26" t="s">
        <v>237</v>
      </c>
      <c r="F26" t="n">
        <v>160</v>
      </c>
      <c r="G26" t="n">
        <v>183</v>
      </c>
      <c r="H26" t="n">
        <v>211</v>
      </c>
      <c r="I26" t="n">
        <v>246</v>
      </c>
      <c r="J26" t="n">
        <v>287</v>
      </c>
      <c r="K26" t="n">
        <v>337</v>
      </c>
      <c r="L26" t="n">
        <v>391</v>
      </c>
      <c r="M26" t="n">
        <v>334</v>
      </c>
      <c r="N26" t="n">
        <v>283</v>
      </c>
      <c r="O26" t="n">
        <v>233</v>
      </c>
      <c r="P26" t="n">
        <v>197</v>
      </c>
      <c r="Q26" t="n">
        <v>164</v>
      </c>
      <c r="R26" t="n">
        <v>187</v>
      </c>
      <c r="S26" t="n">
        <v>184</v>
      </c>
      <c r="T26" t="n">
        <v>199</v>
      </c>
      <c r="U26" t="n">
        <v>211</v>
      </c>
      <c r="V26" t="n">
        <v>222</v>
      </c>
      <c r="W26" t="n">
        <v>265</v>
      </c>
      <c r="X26" t="n">
        <v>279</v>
      </c>
      <c r="Y26" t="n">
        <v>280</v>
      </c>
      <c r="Z26" t="n">
        <v>280</v>
      </c>
      <c r="AA26" t="n">
        <v>275</v>
      </c>
      <c r="AB26" t="n">
        <v>268</v>
      </c>
      <c r="AC26" t="n">
        <v>282</v>
      </c>
      <c r="AD26" t="n">
        <v>286</v>
      </c>
      <c r="AE26" t="n">
        <v>294</v>
      </c>
      <c r="AF26" t="n">
        <v>339</v>
      </c>
    </row>
    <row r="27">
      <c r="A27" t="s">
        <v>134</v>
      </c>
      <c r="B27" t="s">
        <v>324</v>
      </c>
      <c r="C27" t="s">
        <v>236</v>
      </c>
      <c r="D27" t="s">
        <v>325</v>
      </c>
      <c r="E27" t="s">
        <v>237</v>
      </c>
      <c r="F27" t="n">
        <v>0</v>
      </c>
      <c r="G27" t="n">
        <v>0</v>
      </c>
      <c r="H27" t="n">
        <v>0</v>
      </c>
      <c r="I27" t="n">
        <v>1</v>
      </c>
      <c r="J27" t="n">
        <v>2</v>
      </c>
      <c r="K27" t="n">
        <v>3</v>
      </c>
      <c r="L27" t="n">
        <v>5</v>
      </c>
      <c r="M27" t="n">
        <v>4</v>
      </c>
      <c r="N27" t="n">
        <v>4</v>
      </c>
      <c r="O27" t="n">
        <v>3</v>
      </c>
      <c r="P27" t="n">
        <v>2</v>
      </c>
      <c r="Q27" t="n">
        <v>2</v>
      </c>
      <c r="R27" t="n">
        <v>2</v>
      </c>
      <c r="S27" t="n">
        <v>1</v>
      </c>
      <c r="T27" t="n">
        <v>1</v>
      </c>
      <c r="U27" t="n">
        <v>5</v>
      </c>
      <c r="V27" t="n">
        <v>8</v>
      </c>
      <c r="W27" t="n">
        <v>8</v>
      </c>
      <c r="X27" t="n">
        <v>8</v>
      </c>
      <c r="Y27" t="n">
        <v>8</v>
      </c>
      <c r="Z27" t="n">
        <v>6</v>
      </c>
      <c r="AA27" t="n">
        <v>8</v>
      </c>
      <c r="AB27" t="n">
        <v>6</v>
      </c>
      <c r="AC27" t="n">
        <v>5</v>
      </c>
      <c r="AD27" t="n">
        <v>4</v>
      </c>
      <c r="AE27" t="n">
        <v>4</v>
      </c>
      <c r="AF27" t="n">
        <v>4</v>
      </c>
    </row>
    <row r="28">
      <c r="A28" t="s">
        <v>134</v>
      </c>
      <c r="B28" t="s">
        <v>326</v>
      </c>
      <c r="C28" t="s">
        <v>236</v>
      </c>
      <c r="D28" t="s">
        <v>327</v>
      </c>
      <c r="E28" t="s">
        <v>237</v>
      </c>
      <c r="F28" t="n">
        <v>30</v>
      </c>
      <c r="G28" t="n">
        <v>34</v>
      </c>
      <c r="H28" t="n">
        <v>38</v>
      </c>
      <c r="I28" t="n">
        <v>39</v>
      </c>
      <c r="J28" t="n">
        <v>47</v>
      </c>
      <c r="K28" t="n">
        <v>52</v>
      </c>
      <c r="L28" t="n">
        <v>70</v>
      </c>
      <c r="M28" t="n">
        <v>75</v>
      </c>
      <c r="N28" t="n">
        <v>84</v>
      </c>
      <c r="O28" t="n">
        <v>89</v>
      </c>
      <c r="P28" t="n">
        <v>95</v>
      </c>
      <c r="Q28" t="n">
        <v>105</v>
      </c>
      <c r="R28" t="n">
        <v>105</v>
      </c>
      <c r="S28" t="n">
        <v>104</v>
      </c>
      <c r="T28" t="n">
        <v>103</v>
      </c>
      <c r="U28" t="n">
        <v>93</v>
      </c>
      <c r="V28" t="n">
        <v>90</v>
      </c>
      <c r="W28" t="n">
        <v>84</v>
      </c>
      <c r="X28" t="n">
        <v>81</v>
      </c>
      <c r="Y28" t="n">
        <v>80</v>
      </c>
      <c r="Z28" t="n">
        <v>74</v>
      </c>
      <c r="AA28" t="n">
        <v>71</v>
      </c>
      <c r="AB28" t="n">
        <v>69</v>
      </c>
      <c r="AC28" t="n">
        <v>63</v>
      </c>
      <c r="AD28" t="n">
        <v>59</v>
      </c>
      <c r="AE28" t="n">
        <v>62</v>
      </c>
      <c r="AF28" t="n">
        <v>76</v>
      </c>
    </row>
    <row r="29">
      <c r="A29" t="s">
        <v>134</v>
      </c>
      <c r="B29" t="s">
        <v>328</v>
      </c>
      <c r="C29" t="s">
        <v>236</v>
      </c>
      <c r="D29" t="s">
        <v>329</v>
      </c>
      <c r="E29" t="s">
        <v>237</v>
      </c>
      <c r="F29" t="n">
        <v>14</v>
      </c>
      <c r="G29" t="n">
        <v>15</v>
      </c>
      <c r="H29" t="n">
        <v>16</v>
      </c>
      <c r="I29" t="n">
        <v>16</v>
      </c>
      <c r="J29" t="n">
        <v>19</v>
      </c>
      <c r="K29" t="n">
        <v>20</v>
      </c>
      <c r="L29" t="n">
        <v>26</v>
      </c>
      <c r="M29" t="n">
        <v>23</v>
      </c>
      <c r="N29" t="n">
        <v>23</v>
      </c>
      <c r="O29" t="n">
        <v>22</v>
      </c>
      <c r="P29" t="n">
        <v>20</v>
      </c>
      <c r="Q29" t="n">
        <v>19</v>
      </c>
      <c r="R29" t="n">
        <v>16</v>
      </c>
      <c r="S29" t="n">
        <v>13</v>
      </c>
      <c r="T29" t="n">
        <v>10</v>
      </c>
      <c r="U29" t="n">
        <v>9</v>
      </c>
      <c r="V29" t="n">
        <v>9</v>
      </c>
      <c r="W29" t="n">
        <v>7</v>
      </c>
      <c r="X29" t="n">
        <v>7</v>
      </c>
      <c r="Y29" t="n">
        <v>6</v>
      </c>
      <c r="Z29" t="n">
        <v>6</v>
      </c>
      <c r="AA29" t="n">
        <v>6</v>
      </c>
      <c r="AB29" t="n">
        <v>5</v>
      </c>
      <c r="AC29" t="n">
        <v>5</v>
      </c>
      <c r="AD29" t="n">
        <v>7</v>
      </c>
      <c r="AE29" t="n">
        <v>6</v>
      </c>
      <c r="AF29" t="n">
        <v>6</v>
      </c>
    </row>
    <row r="30">
      <c r="A30" t="s">
        <v>134</v>
      </c>
      <c r="B30" t="s">
        <v>330</v>
      </c>
      <c r="C30" t="s">
        <v>236</v>
      </c>
      <c r="D30" t="s">
        <v>331</v>
      </c>
      <c r="E30" t="s">
        <v>237</v>
      </c>
      <c r="F30" t="n">
        <v>0</v>
      </c>
      <c r="G30" t="n">
        <v>1</v>
      </c>
      <c r="H30" t="n">
        <v>2</v>
      </c>
      <c r="I30" t="n">
        <v>2</v>
      </c>
      <c r="J30" t="n">
        <v>3</v>
      </c>
      <c r="K30" t="n">
        <v>3</v>
      </c>
      <c r="L30" t="n">
        <v>4</v>
      </c>
      <c r="M30" t="n">
        <v>4</v>
      </c>
      <c r="N30" t="n">
        <v>5</v>
      </c>
      <c r="O30" t="n">
        <v>5</v>
      </c>
      <c r="P30" t="n">
        <v>5</v>
      </c>
      <c r="Q30" t="n">
        <v>4</v>
      </c>
      <c r="R30" t="n">
        <v>4</v>
      </c>
      <c r="S30" t="n">
        <v>4</v>
      </c>
      <c r="T30" t="n">
        <v>4</v>
      </c>
      <c r="U30" t="n">
        <v>3</v>
      </c>
      <c r="V30" t="n">
        <v>3</v>
      </c>
      <c r="W30" t="n">
        <v>3</v>
      </c>
      <c r="X30" t="n">
        <v>2</v>
      </c>
      <c r="Y30" t="n">
        <v>3</v>
      </c>
      <c r="Z30" t="n">
        <v>2</v>
      </c>
      <c r="AA30" t="n">
        <v>2</v>
      </c>
      <c r="AB30" t="n">
        <v>2</v>
      </c>
      <c r="AC30" t="n">
        <v>2</v>
      </c>
      <c r="AD30" t="n">
        <v>2</v>
      </c>
      <c r="AE30" t="n">
        <v>3</v>
      </c>
      <c r="AF30" t="n">
        <v>4</v>
      </c>
    </row>
    <row r="31">
      <c r="A31" t="s">
        <v>134</v>
      </c>
      <c r="B31" t="s">
        <v>332</v>
      </c>
      <c r="C31" t="s">
        <v>236</v>
      </c>
      <c r="D31" t="s">
        <v>333</v>
      </c>
      <c r="E31" t="s">
        <v>237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134</v>
      </c>
      <c r="B32" t="s">
        <v>334</v>
      </c>
      <c r="C32" t="s">
        <v>236</v>
      </c>
      <c r="D32" t="s">
        <v>335</v>
      </c>
      <c r="E32" t="s">
        <v>237</v>
      </c>
      <c r="F32" t="n">
        <v>0</v>
      </c>
      <c r="G32" t="n">
        <v>0</v>
      </c>
      <c r="H32" t="n">
        <v>0</v>
      </c>
      <c r="I32" t="n">
        <v>0</v>
      </c>
      <c r="J32" t="n">
        <v>3</v>
      </c>
      <c r="K32" t="n">
        <v>2</v>
      </c>
      <c r="L32" t="n">
        <v>2</v>
      </c>
      <c r="M32" t="n">
        <v>2</v>
      </c>
      <c r="N32" t="n">
        <v>3</v>
      </c>
      <c r="O32" t="n">
        <v>5</v>
      </c>
      <c r="P32" t="n">
        <v>6</v>
      </c>
      <c r="Q32" t="n">
        <v>7</v>
      </c>
      <c r="R32" t="n">
        <v>5</v>
      </c>
      <c r="S32" t="n">
        <v>6</v>
      </c>
      <c r="T32" t="n">
        <v>6</v>
      </c>
      <c r="U32" t="n">
        <v>5</v>
      </c>
      <c r="V32" t="n">
        <v>6</v>
      </c>
      <c r="W32" t="n">
        <v>6</v>
      </c>
      <c r="X32" t="n">
        <v>7</v>
      </c>
      <c r="Y32" t="n">
        <v>8</v>
      </c>
      <c r="Z32" t="n">
        <v>6</v>
      </c>
      <c r="AA32" t="n">
        <v>5</v>
      </c>
      <c r="AB32" t="n">
        <v>7</v>
      </c>
      <c r="AC32" t="n">
        <v>7</v>
      </c>
      <c r="AD32" t="n">
        <v>8</v>
      </c>
      <c r="AE32" t="n">
        <v>12</v>
      </c>
      <c r="AF32" t="n">
        <v>17</v>
      </c>
    </row>
    <row r="33">
      <c r="A33" t="s">
        <v>134</v>
      </c>
      <c r="B33" t="s">
        <v>336</v>
      </c>
      <c r="C33" t="s">
        <v>236</v>
      </c>
      <c r="D33" t="s">
        <v>337</v>
      </c>
      <c r="E33" t="s">
        <v>237</v>
      </c>
      <c r="F33" t="n">
        <v>16</v>
      </c>
      <c r="G33" t="n">
        <v>18</v>
      </c>
      <c r="H33" t="n">
        <v>20</v>
      </c>
      <c r="I33" t="n">
        <v>21</v>
      </c>
      <c r="J33" t="n">
        <v>22</v>
      </c>
      <c r="K33" t="n">
        <v>27</v>
      </c>
      <c r="L33" t="n">
        <v>38</v>
      </c>
      <c r="M33" t="n">
        <v>46</v>
      </c>
      <c r="N33" t="n">
        <v>53</v>
      </c>
      <c r="O33" t="n">
        <v>57</v>
      </c>
      <c r="P33" t="n">
        <v>64</v>
      </c>
      <c r="Q33" t="n">
        <v>75</v>
      </c>
      <c r="R33" t="n">
        <v>80</v>
      </c>
      <c r="S33" t="n">
        <v>81</v>
      </c>
      <c r="T33" t="n">
        <v>83</v>
      </c>
      <c r="U33" t="n">
        <v>76</v>
      </c>
      <c r="V33" t="n">
        <v>72</v>
      </c>
      <c r="W33" t="n">
        <v>68</v>
      </c>
      <c r="X33" t="n">
        <v>65</v>
      </c>
      <c r="Y33" t="n">
        <v>63</v>
      </c>
      <c r="Z33" t="n">
        <v>60</v>
      </c>
      <c r="AA33" t="n">
        <v>58</v>
      </c>
      <c r="AB33" t="n">
        <v>55</v>
      </c>
      <c r="AC33" t="n">
        <v>49</v>
      </c>
      <c r="AD33" t="n">
        <v>42</v>
      </c>
      <c r="AE33" t="n">
        <v>41</v>
      </c>
      <c r="AF33" t="n">
        <v>49</v>
      </c>
    </row>
    <row r="34">
      <c r="A34" t="s">
        <v>134</v>
      </c>
      <c r="B34" t="s">
        <v>338</v>
      </c>
      <c r="C34" t="s">
        <v>236</v>
      </c>
      <c r="D34" t="s">
        <v>339</v>
      </c>
      <c r="E34" t="s">
        <v>237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2</v>
      </c>
      <c r="W34" t="n">
        <v>2</v>
      </c>
      <c r="X34" t="n">
        <v>2</v>
      </c>
      <c r="Y34" t="n">
        <v>1</v>
      </c>
      <c r="Z34" t="n">
        <v>1</v>
      </c>
      <c r="AA34" t="n">
        <v>1</v>
      </c>
      <c r="AB34" t="n">
        <v>1</v>
      </c>
      <c r="AC34" t="n">
        <v>2</v>
      </c>
      <c r="AD34" t="n">
        <v>1</v>
      </c>
      <c r="AE34" t="n">
        <v>3</v>
      </c>
      <c r="AF34" t="n">
        <v>6</v>
      </c>
    </row>
    <row r="35">
      <c r="A35" t="s">
        <v>134</v>
      </c>
      <c r="B35" t="s">
        <v>340</v>
      </c>
      <c r="C35" t="s">
        <v>236</v>
      </c>
      <c r="D35" t="s">
        <v>341</v>
      </c>
      <c r="E35" t="s">
        <v>237</v>
      </c>
      <c r="F35" t="n">
        <v>147</v>
      </c>
      <c r="G35" t="n">
        <v>167</v>
      </c>
      <c r="H35" t="n">
        <v>190</v>
      </c>
      <c r="I35" t="n">
        <v>227</v>
      </c>
      <c r="J35" t="n">
        <v>308</v>
      </c>
      <c r="K35" t="n">
        <v>369</v>
      </c>
      <c r="L35" t="n">
        <v>416</v>
      </c>
      <c r="M35" t="n">
        <v>560</v>
      </c>
      <c r="N35" t="n">
        <v>661</v>
      </c>
      <c r="O35" t="n">
        <v>688</v>
      </c>
      <c r="P35" t="n">
        <v>750</v>
      </c>
      <c r="Q35" t="n">
        <v>733</v>
      </c>
      <c r="R35" t="n">
        <v>864</v>
      </c>
      <c r="S35" t="n">
        <v>901</v>
      </c>
      <c r="T35" t="n">
        <v>917</v>
      </c>
      <c r="U35" t="n">
        <v>941</v>
      </c>
      <c r="V35" t="n">
        <v>953</v>
      </c>
      <c r="W35" t="n">
        <v>1022</v>
      </c>
      <c r="X35" t="n">
        <v>1155</v>
      </c>
      <c r="Y35" t="n">
        <v>1198</v>
      </c>
      <c r="Z35" t="n">
        <v>1147</v>
      </c>
      <c r="AA35" t="n">
        <v>1108</v>
      </c>
      <c r="AB35" t="n">
        <v>1175</v>
      </c>
      <c r="AC35" t="n">
        <v>1127</v>
      </c>
      <c r="AD35" t="n">
        <v>1075</v>
      </c>
      <c r="AE35" t="n">
        <v>1127</v>
      </c>
      <c r="AF35" t="n">
        <v>1271</v>
      </c>
    </row>
    <row r="36">
      <c r="A36" t="s">
        <v>134</v>
      </c>
      <c r="B36" t="s">
        <v>342</v>
      </c>
      <c r="C36" t="s">
        <v>236</v>
      </c>
      <c r="D36" t="s">
        <v>343</v>
      </c>
      <c r="E36" t="s">
        <v>237</v>
      </c>
      <c r="F36" t="n">
        <v>13</v>
      </c>
      <c r="G36" t="n">
        <v>16</v>
      </c>
      <c r="H36" t="n">
        <v>17</v>
      </c>
      <c r="I36" t="n">
        <v>18</v>
      </c>
      <c r="J36" t="n">
        <v>20</v>
      </c>
      <c r="K36" t="n">
        <v>19</v>
      </c>
      <c r="L36" t="n">
        <v>20</v>
      </c>
      <c r="M36" t="n">
        <v>21</v>
      </c>
      <c r="N36" t="n">
        <v>24</v>
      </c>
      <c r="O36" t="n">
        <v>24</v>
      </c>
      <c r="P36" t="n">
        <v>23</v>
      </c>
      <c r="Q36" t="n">
        <v>24</v>
      </c>
      <c r="R36" t="n">
        <v>25</v>
      </c>
      <c r="S36" t="n">
        <v>33</v>
      </c>
      <c r="T36" t="n">
        <v>37</v>
      </c>
      <c r="U36" t="n">
        <v>79</v>
      </c>
      <c r="V36" t="n">
        <v>117</v>
      </c>
      <c r="W36" t="n">
        <v>148</v>
      </c>
      <c r="X36" t="n">
        <v>184</v>
      </c>
      <c r="Y36" t="n">
        <v>224</v>
      </c>
      <c r="Z36" t="n">
        <v>249</v>
      </c>
      <c r="AA36" t="n">
        <v>246</v>
      </c>
      <c r="AB36" t="n">
        <v>298</v>
      </c>
      <c r="AC36" t="n">
        <v>353</v>
      </c>
      <c r="AD36" t="n">
        <v>413</v>
      </c>
      <c r="AE36" t="n">
        <v>464</v>
      </c>
      <c r="AF36" t="n">
        <v>561</v>
      </c>
    </row>
    <row r="37">
      <c r="A37" t="s">
        <v>134</v>
      </c>
      <c r="B37" t="s">
        <v>344</v>
      </c>
      <c r="C37" t="s">
        <v>236</v>
      </c>
      <c r="D37" t="s">
        <v>345</v>
      </c>
      <c r="E37" t="s">
        <v>237</v>
      </c>
      <c r="F37" t="n">
        <v>119</v>
      </c>
      <c r="G37" t="n">
        <v>136</v>
      </c>
      <c r="H37" t="n">
        <v>158</v>
      </c>
      <c r="I37" t="n">
        <v>190</v>
      </c>
      <c r="J37" t="n">
        <v>241</v>
      </c>
      <c r="K37" t="n">
        <v>275</v>
      </c>
      <c r="L37" t="n">
        <v>294</v>
      </c>
      <c r="M37" t="n">
        <v>337</v>
      </c>
      <c r="N37" t="n">
        <v>338</v>
      </c>
      <c r="O37" t="n">
        <v>347</v>
      </c>
      <c r="P37" t="n">
        <v>357</v>
      </c>
      <c r="Q37" t="n">
        <v>357</v>
      </c>
      <c r="R37" t="n">
        <v>343</v>
      </c>
      <c r="S37" t="n">
        <v>334</v>
      </c>
      <c r="T37" t="n">
        <v>325</v>
      </c>
      <c r="U37" t="n">
        <v>310</v>
      </c>
      <c r="V37" t="n">
        <v>290</v>
      </c>
      <c r="W37" t="n">
        <v>262</v>
      </c>
      <c r="X37" t="n">
        <v>250</v>
      </c>
      <c r="Y37" t="n">
        <v>237</v>
      </c>
      <c r="Z37" t="n">
        <v>219</v>
      </c>
      <c r="AA37" t="n">
        <v>205</v>
      </c>
      <c r="AB37" t="n">
        <v>191</v>
      </c>
      <c r="AC37" t="n">
        <v>175</v>
      </c>
      <c r="AD37" t="n">
        <v>167</v>
      </c>
      <c r="AE37" t="n">
        <v>160</v>
      </c>
      <c r="AF37" t="n">
        <v>169</v>
      </c>
    </row>
    <row r="38">
      <c r="A38" t="s">
        <v>134</v>
      </c>
      <c r="B38" t="s">
        <v>346</v>
      </c>
      <c r="C38" t="s">
        <v>236</v>
      </c>
      <c r="D38" t="s">
        <v>347</v>
      </c>
      <c r="E38" t="s">
        <v>237</v>
      </c>
      <c r="F38" t="n">
        <v>15</v>
      </c>
      <c r="G38" t="n">
        <v>15</v>
      </c>
      <c r="H38" t="n">
        <v>15</v>
      </c>
      <c r="I38" t="n">
        <v>19</v>
      </c>
      <c r="J38" t="n">
        <v>47</v>
      </c>
      <c r="K38" t="n">
        <v>75</v>
      </c>
      <c r="L38" t="n">
        <v>102</v>
      </c>
      <c r="M38" t="n">
        <v>202</v>
      </c>
      <c r="N38" t="n">
        <v>299</v>
      </c>
      <c r="O38" t="n">
        <v>317</v>
      </c>
      <c r="P38" t="n">
        <v>370</v>
      </c>
      <c r="Q38" t="n">
        <v>352</v>
      </c>
      <c r="R38" t="n">
        <v>496</v>
      </c>
      <c r="S38" t="n">
        <v>534</v>
      </c>
      <c r="T38" t="n">
        <v>555</v>
      </c>
      <c r="U38" t="n">
        <v>552</v>
      </c>
      <c r="V38" t="n">
        <v>546</v>
      </c>
      <c r="W38" t="n">
        <v>612</v>
      </c>
      <c r="X38" t="n">
        <v>721</v>
      </c>
      <c r="Y38" t="n">
        <v>737</v>
      </c>
      <c r="Z38" t="n">
        <v>679</v>
      </c>
      <c r="AA38" t="n">
        <v>657</v>
      </c>
      <c r="AB38" t="n">
        <v>686</v>
      </c>
      <c r="AC38" t="n">
        <v>599</v>
      </c>
      <c r="AD38" t="n">
        <v>495</v>
      </c>
      <c r="AE38" t="n">
        <v>503</v>
      </c>
      <c r="AF38" t="n">
        <v>541</v>
      </c>
    </row>
    <row r="39">
      <c r="A39" t="s">
        <v>134</v>
      </c>
      <c r="B39" t="s">
        <v>348</v>
      </c>
      <c r="C39" t="s">
        <v>236</v>
      </c>
      <c r="D39" t="s">
        <v>349</v>
      </c>
      <c r="E39" t="s">
        <v>237</v>
      </c>
      <c r="F39" t="n">
        <v>0</v>
      </c>
      <c r="G39" t="n">
        <v>7</v>
      </c>
      <c r="H39" t="n">
        <v>20</v>
      </c>
      <c r="I39" t="n">
        <v>20</v>
      </c>
      <c r="J39" t="n">
        <v>20</v>
      </c>
      <c r="K39" t="n">
        <v>25</v>
      </c>
      <c r="L39" t="n">
        <v>67</v>
      </c>
      <c r="M39" t="n">
        <v>57</v>
      </c>
      <c r="N39" t="n">
        <v>48</v>
      </c>
      <c r="O39" t="n">
        <v>39</v>
      </c>
      <c r="P39" t="n">
        <v>33</v>
      </c>
      <c r="Q39" t="n">
        <v>28</v>
      </c>
      <c r="R39" t="n">
        <v>55</v>
      </c>
      <c r="S39" t="n">
        <v>113</v>
      </c>
      <c r="T39" t="n">
        <v>159</v>
      </c>
      <c r="U39" t="n">
        <v>198</v>
      </c>
      <c r="V39" t="n">
        <v>231</v>
      </c>
      <c r="W39" t="n">
        <v>271</v>
      </c>
      <c r="X39" t="n">
        <v>284</v>
      </c>
      <c r="Y39" t="n">
        <v>303</v>
      </c>
      <c r="Z39" t="n">
        <v>324</v>
      </c>
      <c r="AA39" t="n">
        <v>331</v>
      </c>
      <c r="AB39" t="n">
        <v>368</v>
      </c>
      <c r="AC39" t="n">
        <v>389</v>
      </c>
      <c r="AD39" t="n">
        <v>399</v>
      </c>
      <c r="AE39" t="n">
        <v>416</v>
      </c>
      <c r="AF39" t="n">
        <v>420</v>
      </c>
    </row>
    <row r="40">
      <c r="A40" t="s">
        <v>134</v>
      </c>
      <c r="B40" t="s">
        <v>350</v>
      </c>
      <c r="C40" t="s">
        <v>236</v>
      </c>
      <c r="D40" t="s">
        <v>351</v>
      </c>
      <c r="E40" t="s">
        <v>237</v>
      </c>
      <c r="F40" t="n">
        <v>8</v>
      </c>
      <c r="G40" t="n">
        <v>9</v>
      </c>
      <c r="H40" t="n">
        <v>10</v>
      </c>
      <c r="I40" t="n">
        <v>9</v>
      </c>
      <c r="J40" t="n">
        <v>9</v>
      </c>
      <c r="K40" t="n">
        <v>9</v>
      </c>
      <c r="L40" t="n">
        <v>9</v>
      </c>
      <c r="M40" t="n">
        <v>8</v>
      </c>
      <c r="N40" t="n">
        <v>6</v>
      </c>
      <c r="O40" t="n">
        <v>5</v>
      </c>
      <c r="P40" t="n">
        <v>4</v>
      </c>
      <c r="Q40" t="n">
        <v>3</v>
      </c>
      <c r="R40" t="n">
        <v>3</v>
      </c>
      <c r="S40" t="n">
        <v>2</v>
      </c>
      <c r="T40" t="n">
        <v>2</v>
      </c>
      <c r="U40" t="n">
        <v>5</v>
      </c>
      <c r="V40" t="n">
        <v>7</v>
      </c>
      <c r="W40" t="n">
        <v>9</v>
      </c>
      <c r="X40" t="n">
        <v>7</v>
      </c>
      <c r="Y40" t="n">
        <v>7</v>
      </c>
      <c r="Z40" t="n">
        <v>8</v>
      </c>
      <c r="AA40" t="n">
        <v>9</v>
      </c>
      <c r="AB40" t="n">
        <v>9</v>
      </c>
      <c r="AC40" t="n">
        <v>9</v>
      </c>
      <c r="AD40" t="n">
        <v>9</v>
      </c>
      <c r="AE40" t="n">
        <v>10</v>
      </c>
      <c r="AF40" t="n">
        <v>9</v>
      </c>
    </row>
    <row r="41">
      <c r="A41" t="s">
        <v>134</v>
      </c>
      <c r="B41" t="s">
        <v>352</v>
      </c>
      <c r="C41" t="s">
        <v>236</v>
      </c>
      <c r="D41" t="s">
        <v>353</v>
      </c>
      <c r="E41" t="s">
        <v>237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134</v>
      </c>
      <c r="B42" t="s">
        <v>354</v>
      </c>
      <c r="C42" t="s">
        <v>236</v>
      </c>
      <c r="D42" t="s">
        <v>355</v>
      </c>
      <c r="E42" t="s">
        <v>237</v>
      </c>
      <c r="F42" t="n">
        <v>1507</v>
      </c>
      <c r="G42" t="n">
        <v>1623</v>
      </c>
      <c r="H42" t="n">
        <v>1743</v>
      </c>
      <c r="I42" t="n">
        <v>1838</v>
      </c>
      <c r="J42" t="n">
        <v>1991</v>
      </c>
      <c r="K42" t="n">
        <v>2106</v>
      </c>
      <c r="L42" t="n">
        <v>2295</v>
      </c>
      <c r="M42" t="n">
        <v>2556</v>
      </c>
      <c r="N42" t="n">
        <v>2689</v>
      </c>
      <c r="O42" t="n">
        <v>2797</v>
      </c>
      <c r="P42" t="n">
        <v>2927</v>
      </c>
      <c r="Q42" t="n">
        <v>3107</v>
      </c>
      <c r="R42" t="n">
        <v>3169</v>
      </c>
      <c r="S42" t="n">
        <v>3227</v>
      </c>
      <c r="T42" t="n">
        <v>3432</v>
      </c>
      <c r="U42" t="n">
        <v>3570</v>
      </c>
      <c r="V42" t="n">
        <v>3578</v>
      </c>
      <c r="W42" t="n">
        <v>3660</v>
      </c>
      <c r="X42" t="n">
        <v>3717</v>
      </c>
      <c r="Y42" t="n">
        <v>3682</v>
      </c>
      <c r="Z42" t="n">
        <v>3623</v>
      </c>
      <c r="AA42" t="n">
        <v>3539</v>
      </c>
      <c r="AB42" t="n">
        <v>3459</v>
      </c>
      <c r="AC42" t="n">
        <v>3455</v>
      </c>
      <c r="AD42" t="n">
        <v>3469</v>
      </c>
      <c r="AE42" t="n">
        <v>3582</v>
      </c>
      <c r="AF42" t="n">
        <v>3697</v>
      </c>
    </row>
    <row r="43">
      <c r="A43" t="s">
        <v>134</v>
      </c>
      <c r="B43" t="s">
        <v>356</v>
      </c>
      <c r="C43" t="s">
        <v>236</v>
      </c>
      <c r="D43" t="s">
        <v>357</v>
      </c>
      <c r="E43" t="s">
        <v>237</v>
      </c>
      <c r="F43" t="n">
        <v>1511</v>
      </c>
      <c r="G43" t="n">
        <v>1629</v>
      </c>
      <c r="H43" t="n">
        <v>1751</v>
      </c>
      <c r="I43" t="n">
        <v>1846</v>
      </c>
      <c r="J43" t="n">
        <v>2001</v>
      </c>
      <c r="K43" t="n">
        <v>2114</v>
      </c>
      <c r="L43" t="n">
        <v>2303</v>
      </c>
      <c r="M43" t="n">
        <v>2568</v>
      </c>
      <c r="N43" t="n">
        <v>2703</v>
      </c>
      <c r="O43" t="n">
        <v>2816</v>
      </c>
      <c r="P43" t="n">
        <v>2951</v>
      </c>
      <c r="Q43" t="n">
        <v>3136</v>
      </c>
      <c r="R43" t="n">
        <v>3200</v>
      </c>
      <c r="S43" t="n">
        <v>3252</v>
      </c>
      <c r="T43" t="n">
        <v>3454</v>
      </c>
      <c r="U43" t="n">
        <v>3591</v>
      </c>
      <c r="V43" t="n">
        <v>3598</v>
      </c>
      <c r="W43" t="n">
        <v>3682</v>
      </c>
      <c r="X43" t="n">
        <v>3737</v>
      </c>
      <c r="Y43" t="n">
        <v>3707</v>
      </c>
      <c r="Z43" t="n">
        <v>3648</v>
      </c>
      <c r="AA43" t="n">
        <v>3573</v>
      </c>
      <c r="AB43" t="n">
        <v>3492</v>
      </c>
      <c r="AC43" t="n">
        <v>3488</v>
      </c>
      <c r="AD43" t="n">
        <v>3499</v>
      </c>
      <c r="AE43" t="n">
        <v>3624</v>
      </c>
      <c r="AF43" t="n">
        <v>3741</v>
      </c>
    </row>
    <row r="44">
      <c r="A44" t="s">
        <v>134</v>
      </c>
      <c r="B44" t="s">
        <v>358</v>
      </c>
      <c r="C44" t="s">
        <v>236</v>
      </c>
      <c r="D44" t="s">
        <v>359</v>
      </c>
      <c r="E44" t="s">
        <v>237</v>
      </c>
      <c r="F44" t="n">
        <v>6273</v>
      </c>
      <c r="G44" t="n">
        <v>6998</v>
      </c>
      <c r="H44" t="n">
        <v>7833</v>
      </c>
      <c r="I44" t="n">
        <v>8754</v>
      </c>
      <c r="J44" t="n">
        <v>10164</v>
      </c>
      <c r="K44" t="n">
        <v>11519</v>
      </c>
      <c r="L44" t="n">
        <v>13144</v>
      </c>
      <c r="M44" t="n">
        <v>14606</v>
      </c>
      <c r="N44" t="n">
        <v>15924</v>
      </c>
      <c r="O44" t="n">
        <v>17001</v>
      </c>
      <c r="P44" t="n">
        <v>18229</v>
      </c>
      <c r="Q44" t="n">
        <v>19540</v>
      </c>
      <c r="R44" t="n">
        <v>20788</v>
      </c>
      <c r="S44" t="n">
        <v>22298</v>
      </c>
      <c r="T44" t="n">
        <v>24088</v>
      </c>
      <c r="U44" t="n">
        <v>25334</v>
      </c>
      <c r="V44" t="n">
        <v>25647</v>
      </c>
      <c r="W44" t="n">
        <v>25691</v>
      </c>
      <c r="X44" t="n">
        <v>25636</v>
      </c>
      <c r="Y44" t="n">
        <v>25216</v>
      </c>
      <c r="Z44" t="n">
        <v>24300</v>
      </c>
      <c r="AA44" t="n">
        <v>23346</v>
      </c>
      <c r="AB44" t="n">
        <v>22649</v>
      </c>
      <c r="AC44" t="n">
        <v>22025</v>
      </c>
      <c r="AD44" t="n">
        <v>21426</v>
      </c>
      <c r="AE44" t="n">
        <v>21768</v>
      </c>
      <c r="AF44" t="n">
        <v>22063</v>
      </c>
    </row>
    <row r="45">
      <c r="A45" t="s">
        <v>134</v>
      </c>
      <c r="B45" t="s">
        <v>360</v>
      </c>
      <c r="C45" t="s">
        <v>236</v>
      </c>
      <c r="D45" t="s">
        <v>361</v>
      </c>
      <c r="E45" t="s">
        <v>237</v>
      </c>
      <c r="F45" t="n">
        <v>6263</v>
      </c>
      <c r="G45" t="n">
        <v>6989</v>
      </c>
      <c r="H45" t="n">
        <v>7826</v>
      </c>
      <c r="I45" t="n">
        <v>8745</v>
      </c>
      <c r="J45" t="n">
        <v>10154</v>
      </c>
      <c r="K45" t="n">
        <v>11510</v>
      </c>
      <c r="L45" t="n">
        <v>13136</v>
      </c>
      <c r="M45" t="n">
        <v>14598</v>
      </c>
      <c r="N45" t="n">
        <v>15917</v>
      </c>
      <c r="O45" t="n">
        <v>16996</v>
      </c>
      <c r="P45" t="n">
        <v>18225</v>
      </c>
      <c r="Q45" t="n">
        <v>19536</v>
      </c>
      <c r="R45" t="n">
        <v>20785</v>
      </c>
      <c r="S45" t="n">
        <v>22295</v>
      </c>
      <c r="T45" t="n">
        <v>24085</v>
      </c>
      <c r="U45" t="n">
        <v>25329</v>
      </c>
      <c r="V45" t="n">
        <v>25638</v>
      </c>
      <c r="W45" t="n">
        <v>25681</v>
      </c>
      <c r="X45" t="n">
        <v>25628</v>
      </c>
      <c r="Y45" t="n">
        <v>25207</v>
      </c>
      <c r="Z45" t="n">
        <v>24292</v>
      </c>
      <c r="AA45" t="n">
        <v>23337</v>
      </c>
      <c r="AB45" t="n">
        <v>22638</v>
      </c>
      <c r="AC45" t="n">
        <v>22004</v>
      </c>
      <c r="AD45" t="n">
        <v>21395</v>
      </c>
      <c r="AE45" t="n">
        <v>21730</v>
      </c>
      <c r="AF45" t="n">
        <v>22020</v>
      </c>
    </row>
    <row r="46">
      <c r="A46" t="s">
        <v>134</v>
      </c>
      <c r="B46" t="s">
        <v>362</v>
      </c>
      <c r="C46" t="s">
        <v>236</v>
      </c>
      <c r="D46" t="s">
        <v>363</v>
      </c>
      <c r="E46" t="s">
        <v>237</v>
      </c>
      <c r="F46" t="n">
        <v>4</v>
      </c>
      <c r="G46" t="n">
        <v>6</v>
      </c>
      <c r="H46" t="n">
        <v>8</v>
      </c>
      <c r="I46" t="n">
        <v>8</v>
      </c>
      <c r="J46" t="n">
        <v>10</v>
      </c>
      <c r="K46" t="n">
        <v>8</v>
      </c>
      <c r="L46" t="n">
        <v>8</v>
      </c>
      <c r="M46" t="n">
        <v>12</v>
      </c>
      <c r="N46" t="n">
        <v>14</v>
      </c>
      <c r="O46" t="n">
        <v>19</v>
      </c>
      <c r="P46" t="n">
        <v>24</v>
      </c>
      <c r="Q46" t="n">
        <v>29</v>
      </c>
      <c r="R46" t="n">
        <v>31</v>
      </c>
      <c r="S46" t="n">
        <v>25</v>
      </c>
      <c r="T46" t="n">
        <v>22</v>
      </c>
      <c r="U46" t="n">
        <v>21</v>
      </c>
      <c r="V46" t="n">
        <v>20</v>
      </c>
      <c r="W46" t="n">
        <v>22</v>
      </c>
      <c r="X46" t="n">
        <v>20</v>
      </c>
      <c r="Y46" t="n">
        <v>25</v>
      </c>
      <c r="Z46" t="n">
        <v>25</v>
      </c>
      <c r="AA46" t="n">
        <v>34</v>
      </c>
      <c r="AB46" t="n">
        <v>33</v>
      </c>
      <c r="AC46" t="n">
        <v>33</v>
      </c>
      <c r="AD46" t="n">
        <v>30</v>
      </c>
      <c r="AE46" t="n">
        <v>42</v>
      </c>
      <c r="AF46" t="n">
        <v>44</v>
      </c>
    </row>
    <row r="47">
      <c r="A47" t="s">
        <v>134</v>
      </c>
      <c r="B47" t="s">
        <v>364</v>
      </c>
      <c r="C47" t="s">
        <v>236</v>
      </c>
      <c r="D47" t="s">
        <v>365</v>
      </c>
      <c r="E47" t="s">
        <v>237</v>
      </c>
      <c r="F47" t="n">
        <v>120</v>
      </c>
      <c r="G47" t="n">
        <v>127</v>
      </c>
      <c r="H47" t="n">
        <v>134</v>
      </c>
      <c r="I47" t="n">
        <v>144</v>
      </c>
      <c r="J47" t="n">
        <v>162</v>
      </c>
      <c r="K47" t="n">
        <v>173</v>
      </c>
      <c r="L47" t="n">
        <v>182</v>
      </c>
      <c r="M47" t="n">
        <v>199</v>
      </c>
      <c r="N47" t="n">
        <v>209</v>
      </c>
      <c r="O47" t="n">
        <v>216</v>
      </c>
      <c r="P47" t="n">
        <v>224</v>
      </c>
      <c r="Q47" t="n">
        <v>245</v>
      </c>
      <c r="R47" t="n">
        <v>239</v>
      </c>
      <c r="S47" t="n">
        <v>234</v>
      </c>
      <c r="T47" t="n">
        <v>253</v>
      </c>
      <c r="U47" t="n">
        <v>259</v>
      </c>
      <c r="V47" t="n">
        <v>252</v>
      </c>
      <c r="W47" t="n">
        <v>272</v>
      </c>
      <c r="X47" t="n">
        <v>277</v>
      </c>
      <c r="Y47" t="n">
        <v>273</v>
      </c>
      <c r="Z47" t="n">
        <v>266</v>
      </c>
      <c r="AA47" t="n">
        <v>293</v>
      </c>
      <c r="AB47" t="n">
        <v>331</v>
      </c>
      <c r="AC47" t="n">
        <v>362</v>
      </c>
      <c r="AD47" t="n">
        <v>380</v>
      </c>
      <c r="AE47" t="n">
        <v>408</v>
      </c>
      <c r="AF47" t="n">
        <v>417</v>
      </c>
    </row>
    <row r="48">
      <c r="A48" t="s">
        <v>134</v>
      </c>
      <c r="B48" t="s">
        <v>366</v>
      </c>
      <c r="C48" t="s">
        <v>236</v>
      </c>
      <c r="D48" t="s">
        <v>367</v>
      </c>
      <c r="E48" t="s">
        <v>237</v>
      </c>
      <c r="F48" t="n">
        <v>1715</v>
      </c>
      <c r="G48" t="n">
        <v>1948</v>
      </c>
      <c r="H48" t="n">
        <v>2272</v>
      </c>
      <c r="I48" t="n">
        <v>2417</v>
      </c>
      <c r="J48" t="n">
        <v>2670</v>
      </c>
      <c r="K48" t="n">
        <v>2776</v>
      </c>
      <c r="L48" t="n">
        <v>3028</v>
      </c>
      <c r="M48" t="n">
        <v>3329</v>
      </c>
      <c r="N48" t="n">
        <v>3596</v>
      </c>
      <c r="O48" t="n">
        <v>3807</v>
      </c>
      <c r="P48" t="n">
        <v>4039</v>
      </c>
      <c r="Q48" t="n">
        <v>4306</v>
      </c>
      <c r="R48" t="n">
        <v>4522</v>
      </c>
      <c r="S48" t="n">
        <v>4682</v>
      </c>
      <c r="T48" t="n">
        <v>5083</v>
      </c>
      <c r="U48" t="n">
        <v>5466</v>
      </c>
      <c r="V48" t="n">
        <v>5676</v>
      </c>
      <c r="W48" t="n">
        <v>5938</v>
      </c>
      <c r="X48" t="n">
        <v>6128</v>
      </c>
      <c r="Y48" t="n">
        <v>6288</v>
      </c>
      <c r="Z48" t="n">
        <v>6233</v>
      </c>
      <c r="AA48" t="n">
        <v>6334</v>
      </c>
      <c r="AB48" t="n">
        <v>6553</v>
      </c>
      <c r="AC48" t="n">
        <v>6706</v>
      </c>
      <c r="AD48" t="n">
        <v>6813</v>
      </c>
      <c r="AE48" t="n">
        <v>7162</v>
      </c>
      <c r="AF48" t="n">
        <v>7295</v>
      </c>
    </row>
    <row r="49">
      <c r="A49" t="s">
        <v>134</v>
      </c>
      <c r="B49" t="s">
        <v>368</v>
      </c>
      <c r="C49" t="s">
        <v>236</v>
      </c>
      <c r="D49" t="s">
        <v>369</v>
      </c>
      <c r="E49" t="s">
        <v>237</v>
      </c>
      <c r="F49" t="n">
        <v>1587</v>
      </c>
      <c r="G49" t="n">
        <v>1812</v>
      </c>
      <c r="H49" t="n">
        <v>2127</v>
      </c>
      <c r="I49" t="n">
        <v>2260</v>
      </c>
      <c r="J49" t="n">
        <v>2491</v>
      </c>
      <c r="K49" t="n">
        <v>2584</v>
      </c>
      <c r="L49" t="n">
        <v>2826</v>
      </c>
      <c r="M49" t="n">
        <v>3107</v>
      </c>
      <c r="N49" t="n">
        <v>3362</v>
      </c>
      <c r="O49" t="n">
        <v>3566</v>
      </c>
      <c r="P49" t="n">
        <v>3789</v>
      </c>
      <c r="Q49" t="n">
        <v>4033</v>
      </c>
      <c r="R49" t="n">
        <v>4252</v>
      </c>
      <c r="S49" t="n">
        <v>4416</v>
      </c>
      <c r="T49" t="n">
        <v>4795</v>
      </c>
      <c r="U49" t="n">
        <v>5166</v>
      </c>
      <c r="V49" t="n">
        <v>5380</v>
      </c>
      <c r="W49" t="n">
        <v>5617</v>
      </c>
      <c r="X49" t="n">
        <v>5798</v>
      </c>
      <c r="Y49" t="n">
        <v>5960</v>
      </c>
      <c r="Z49" t="n">
        <v>5914</v>
      </c>
      <c r="AA49" t="n">
        <v>5987</v>
      </c>
      <c r="AB49" t="n">
        <v>6166</v>
      </c>
      <c r="AC49" t="n">
        <v>6279</v>
      </c>
      <c r="AD49" t="n">
        <v>6361</v>
      </c>
      <c r="AE49" t="n">
        <v>6672</v>
      </c>
      <c r="AF49" t="n">
        <v>6785</v>
      </c>
    </row>
    <row r="50">
      <c r="A50" t="s">
        <v>134</v>
      </c>
      <c r="B50" t="s">
        <v>370</v>
      </c>
      <c r="C50" t="s">
        <v>236</v>
      </c>
      <c r="D50" t="s">
        <v>371</v>
      </c>
      <c r="E50" t="s">
        <v>237</v>
      </c>
      <c r="F50" t="n">
        <v>8</v>
      </c>
      <c r="G50" t="n">
        <v>9</v>
      </c>
      <c r="H50" t="n">
        <v>11</v>
      </c>
      <c r="I50" t="n">
        <v>13</v>
      </c>
      <c r="J50" t="n">
        <v>17</v>
      </c>
      <c r="K50" t="n">
        <v>19</v>
      </c>
      <c r="L50" t="n">
        <v>20</v>
      </c>
      <c r="M50" t="n">
        <v>23</v>
      </c>
      <c r="N50" t="n">
        <v>25</v>
      </c>
      <c r="O50" t="n">
        <v>25</v>
      </c>
      <c r="P50" t="n">
        <v>26</v>
      </c>
      <c r="Q50" t="n">
        <v>28</v>
      </c>
      <c r="R50" t="n">
        <v>31</v>
      </c>
      <c r="S50" t="n">
        <v>32</v>
      </c>
      <c r="T50" t="n">
        <v>35</v>
      </c>
      <c r="U50" t="n">
        <v>41</v>
      </c>
      <c r="V50" t="n">
        <v>44</v>
      </c>
      <c r="W50" t="n">
        <v>49</v>
      </c>
      <c r="X50" t="n">
        <v>53</v>
      </c>
      <c r="Y50" t="n">
        <v>55</v>
      </c>
      <c r="Z50" t="n">
        <v>53</v>
      </c>
      <c r="AA50" t="n">
        <v>54</v>
      </c>
      <c r="AB50" t="n">
        <v>56</v>
      </c>
      <c r="AC50" t="n">
        <v>65</v>
      </c>
      <c r="AD50" t="n">
        <v>72</v>
      </c>
      <c r="AE50" t="n">
        <v>82</v>
      </c>
      <c r="AF50" t="n">
        <v>93</v>
      </c>
    </row>
    <row r="51">
      <c r="A51" t="s">
        <v>134</v>
      </c>
      <c r="B51" t="s">
        <v>372</v>
      </c>
      <c r="C51" t="s">
        <v>236</v>
      </c>
      <c r="D51" t="s">
        <v>373</v>
      </c>
      <c r="E51" t="s">
        <v>237</v>
      </c>
      <c r="F51" t="n">
        <v>8</v>
      </c>
      <c r="G51" t="n">
        <v>8</v>
      </c>
      <c r="H51" t="n">
        <v>9</v>
      </c>
      <c r="I51" t="n">
        <v>11</v>
      </c>
      <c r="J51" t="n">
        <v>14</v>
      </c>
      <c r="K51" t="n">
        <v>16</v>
      </c>
      <c r="L51" t="n">
        <v>17</v>
      </c>
      <c r="M51" t="n">
        <v>18</v>
      </c>
      <c r="N51" t="n">
        <v>19</v>
      </c>
      <c r="O51" t="n">
        <v>19</v>
      </c>
      <c r="P51" t="n">
        <v>19</v>
      </c>
      <c r="Q51" t="n">
        <v>20</v>
      </c>
      <c r="R51" t="n">
        <v>23</v>
      </c>
      <c r="S51" t="n">
        <v>24</v>
      </c>
      <c r="T51" t="n">
        <v>26</v>
      </c>
      <c r="U51" t="n">
        <v>29</v>
      </c>
      <c r="V51" t="n">
        <v>30</v>
      </c>
      <c r="W51" t="n">
        <v>32</v>
      </c>
      <c r="X51" t="n">
        <v>33</v>
      </c>
      <c r="Y51" t="n">
        <v>32</v>
      </c>
      <c r="Z51" t="n">
        <v>28</v>
      </c>
      <c r="AA51" t="n">
        <v>26</v>
      </c>
      <c r="AB51" t="n">
        <v>26</v>
      </c>
      <c r="AC51" t="n">
        <v>34</v>
      </c>
      <c r="AD51" t="n">
        <v>37</v>
      </c>
      <c r="AE51" t="n">
        <v>42</v>
      </c>
      <c r="AF51" t="n">
        <v>51</v>
      </c>
    </row>
    <row r="52">
      <c r="A52" t="s">
        <v>134</v>
      </c>
      <c r="B52" t="s">
        <v>374</v>
      </c>
      <c r="C52" t="s">
        <v>236</v>
      </c>
      <c r="D52" t="s">
        <v>375</v>
      </c>
      <c r="E52" t="s">
        <v>237</v>
      </c>
      <c r="F52" t="n">
        <v>0</v>
      </c>
      <c r="G52" t="n">
        <v>1</v>
      </c>
      <c r="H52" t="n">
        <v>2</v>
      </c>
      <c r="I52" t="n">
        <v>2</v>
      </c>
      <c r="J52" t="n">
        <v>3</v>
      </c>
      <c r="K52" t="n">
        <v>3</v>
      </c>
      <c r="L52" t="n">
        <v>3</v>
      </c>
      <c r="M52" t="n">
        <v>5</v>
      </c>
      <c r="N52" t="n">
        <v>6</v>
      </c>
      <c r="O52" t="n">
        <v>6</v>
      </c>
      <c r="P52" t="n">
        <v>7</v>
      </c>
      <c r="Q52" t="n">
        <v>8</v>
      </c>
      <c r="R52" t="n">
        <v>8</v>
      </c>
      <c r="S52" t="n">
        <v>8</v>
      </c>
      <c r="T52" t="n">
        <v>9</v>
      </c>
      <c r="U52" t="n">
        <v>12</v>
      </c>
      <c r="V52" t="n">
        <v>14</v>
      </c>
      <c r="W52" t="n">
        <v>17</v>
      </c>
      <c r="X52" t="n">
        <v>20</v>
      </c>
      <c r="Y52" t="n">
        <v>23</v>
      </c>
      <c r="Z52" t="n">
        <v>25</v>
      </c>
      <c r="AA52" t="n">
        <v>28</v>
      </c>
      <c r="AB52" t="n">
        <v>30</v>
      </c>
      <c r="AC52" t="n">
        <v>31</v>
      </c>
      <c r="AD52" t="n">
        <v>35</v>
      </c>
      <c r="AE52" t="n">
        <v>40</v>
      </c>
      <c r="AF52" t="n">
        <v>42</v>
      </c>
    </row>
    <row r="53">
      <c r="A53" t="s">
        <v>134</v>
      </c>
      <c r="B53" t="s">
        <v>376</v>
      </c>
      <c r="C53" t="s">
        <v>236</v>
      </c>
      <c r="D53" t="s">
        <v>377</v>
      </c>
      <c r="E53" t="s">
        <v>237</v>
      </c>
      <c r="F53" t="n">
        <v>6</v>
      </c>
      <c r="G53" t="n">
        <v>6</v>
      </c>
      <c r="H53" t="n">
        <v>7</v>
      </c>
      <c r="I53" t="n">
        <v>9</v>
      </c>
      <c r="J53" t="n">
        <v>11</v>
      </c>
      <c r="K53" t="n">
        <v>12</v>
      </c>
      <c r="L53" t="n">
        <v>13</v>
      </c>
      <c r="M53" t="n">
        <v>13</v>
      </c>
      <c r="N53" t="n">
        <v>13</v>
      </c>
      <c r="O53" t="n">
        <v>12</v>
      </c>
      <c r="P53" t="n">
        <v>13</v>
      </c>
      <c r="Q53" t="n">
        <v>14</v>
      </c>
      <c r="R53" t="n">
        <v>16</v>
      </c>
      <c r="S53" t="n">
        <v>17</v>
      </c>
      <c r="T53" t="n">
        <v>22</v>
      </c>
      <c r="U53" t="n">
        <v>30</v>
      </c>
      <c r="V53" t="n">
        <v>34</v>
      </c>
      <c r="W53" t="n">
        <v>42</v>
      </c>
      <c r="X53" t="n">
        <v>46</v>
      </c>
      <c r="Y53" t="n">
        <v>55</v>
      </c>
      <c r="Z53" t="n">
        <v>59</v>
      </c>
      <c r="AA53" t="n">
        <v>56</v>
      </c>
      <c r="AB53" t="n">
        <v>67</v>
      </c>
      <c r="AC53" t="n">
        <v>75</v>
      </c>
      <c r="AD53" t="n">
        <v>81</v>
      </c>
      <c r="AE53" t="n">
        <v>88</v>
      </c>
      <c r="AF53" t="n">
        <v>98</v>
      </c>
    </row>
    <row r="54">
      <c r="A54" t="s">
        <v>134</v>
      </c>
      <c r="B54" t="s">
        <v>378</v>
      </c>
      <c r="C54" t="s">
        <v>236</v>
      </c>
      <c r="D54" t="s">
        <v>379</v>
      </c>
      <c r="E54" t="s">
        <v>237</v>
      </c>
      <c r="F54" t="n">
        <v>26</v>
      </c>
      <c r="G54" t="n">
        <v>28</v>
      </c>
      <c r="H54" t="n">
        <v>28</v>
      </c>
      <c r="I54" t="n">
        <v>31</v>
      </c>
      <c r="J54" t="n">
        <v>33</v>
      </c>
      <c r="K54" t="n">
        <v>36</v>
      </c>
      <c r="L54" t="n">
        <v>42</v>
      </c>
      <c r="M54" t="n">
        <v>44</v>
      </c>
      <c r="N54" t="n">
        <v>48</v>
      </c>
      <c r="O54" t="n">
        <v>50</v>
      </c>
      <c r="P54" t="n">
        <v>53</v>
      </c>
      <c r="Q54" t="n">
        <v>54</v>
      </c>
      <c r="R54" t="n">
        <v>52</v>
      </c>
      <c r="S54" t="n">
        <v>51</v>
      </c>
      <c r="T54" t="n">
        <v>54</v>
      </c>
      <c r="U54" t="n">
        <v>63</v>
      </c>
      <c r="V54" t="n">
        <v>66</v>
      </c>
      <c r="W54" t="n">
        <v>73</v>
      </c>
      <c r="X54" t="n">
        <v>78</v>
      </c>
      <c r="Y54" t="n">
        <v>87</v>
      </c>
      <c r="Z54" t="n">
        <v>91</v>
      </c>
      <c r="AA54" t="n">
        <v>90</v>
      </c>
      <c r="AB54" t="n">
        <v>102</v>
      </c>
      <c r="AC54" t="n">
        <v>111</v>
      </c>
      <c r="AD54" t="n">
        <v>117</v>
      </c>
      <c r="AE54" t="n">
        <v>127</v>
      </c>
      <c r="AF54" t="n">
        <v>142</v>
      </c>
    </row>
    <row r="55">
      <c r="A55" t="s">
        <v>134</v>
      </c>
      <c r="B55" t="s">
        <v>380</v>
      </c>
      <c r="C55" t="s">
        <v>236</v>
      </c>
      <c r="D55" t="s">
        <v>381</v>
      </c>
      <c r="E55" t="s">
        <v>237</v>
      </c>
      <c r="F55" t="n">
        <v>20</v>
      </c>
      <c r="G55" t="n">
        <v>22</v>
      </c>
      <c r="H55" t="n">
        <v>21</v>
      </c>
      <c r="I55" t="n">
        <v>22</v>
      </c>
      <c r="J55" t="n">
        <v>22</v>
      </c>
      <c r="K55" t="n">
        <v>24</v>
      </c>
      <c r="L55" t="n">
        <v>29</v>
      </c>
      <c r="M55" t="n">
        <v>31</v>
      </c>
      <c r="N55" t="n">
        <v>35</v>
      </c>
      <c r="O55" t="n">
        <v>38</v>
      </c>
      <c r="P55" t="n">
        <v>40</v>
      </c>
      <c r="Q55" t="n">
        <v>40</v>
      </c>
      <c r="R55" t="n">
        <v>36</v>
      </c>
      <c r="S55" t="n">
        <v>34</v>
      </c>
      <c r="T55" t="n">
        <v>32</v>
      </c>
      <c r="U55" t="n">
        <v>33</v>
      </c>
      <c r="V55" t="n">
        <v>32</v>
      </c>
      <c r="W55" t="n">
        <v>31</v>
      </c>
      <c r="X55" t="n">
        <v>32</v>
      </c>
      <c r="Y55" t="n">
        <v>32</v>
      </c>
      <c r="Z55" t="n">
        <v>32</v>
      </c>
      <c r="AA55" t="n">
        <v>34</v>
      </c>
      <c r="AB55" t="n">
        <v>35</v>
      </c>
      <c r="AC55" t="n">
        <v>36</v>
      </c>
      <c r="AD55" t="n">
        <v>36</v>
      </c>
      <c r="AE55" t="n">
        <v>39</v>
      </c>
      <c r="AF55" t="n">
        <v>44</v>
      </c>
    </row>
    <row r="56">
      <c r="A56" t="s">
        <v>134</v>
      </c>
      <c r="B56" t="s">
        <v>382</v>
      </c>
      <c r="C56" t="s">
        <v>236</v>
      </c>
      <c r="D56" t="s">
        <v>383</v>
      </c>
      <c r="E56" t="s">
        <v>237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134</v>
      </c>
      <c r="B57" t="s">
        <v>384</v>
      </c>
      <c r="C57" t="s">
        <v>236</v>
      </c>
      <c r="D57" t="s">
        <v>385</v>
      </c>
      <c r="E57" t="s">
        <v>237</v>
      </c>
      <c r="F57" t="n">
        <v>7996</v>
      </c>
      <c r="G57" t="n">
        <v>8955</v>
      </c>
      <c r="H57" t="n">
        <v>10115</v>
      </c>
      <c r="I57" t="n">
        <v>11180</v>
      </c>
      <c r="J57" t="n">
        <v>12843</v>
      </c>
      <c r="K57" t="n">
        <v>14304</v>
      </c>
      <c r="L57" t="n">
        <v>16181</v>
      </c>
      <c r="M57" t="n">
        <v>17943</v>
      </c>
      <c r="N57" t="n">
        <v>19526</v>
      </c>
      <c r="O57" t="n">
        <v>20813</v>
      </c>
      <c r="P57" t="n">
        <v>22272</v>
      </c>
      <c r="Q57" t="n">
        <v>23849</v>
      </c>
      <c r="R57" t="n">
        <v>25313</v>
      </c>
      <c r="S57" t="n">
        <v>26982</v>
      </c>
      <c r="T57" t="n">
        <v>29173</v>
      </c>
      <c r="U57" t="n">
        <v>30805</v>
      </c>
      <c r="V57" t="n">
        <v>31330</v>
      </c>
      <c r="W57" t="n">
        <v>31638</v>
      </c>
      <c r="X57" t="n">
        <v>31771</v>
      </c>
      <c r="Y57" t="n">
        <v>31511</v>
      </c>
      <c r="Z57" t="n">
        <v>30541</v>
      </c>
      <c r="AA57" t="n">
        <v>29689</v>
      </c>
      <c r="AB57" t="n">
        <v>29211</v>
      </c>
      <c r="AC57" t="n">
        <v>28740</v>
      </c>
      <c r="AD57" t="n">
        <v>28248</v>
      </c>
      <c r="AE57" t="n">
        <v>28940</v>
      </c>
      <c r="AF57" t="n">
        <v>29367</v>
      </c>
    </row>
    <row r="58">
      <c r="A58" t="s">
        <v>134</v>
      </c>
      <c r="B58" t="s">
        <v>386</v>
      </c>
      <c r="C58" t="s">
        <v>236</v>
      </c>
      <c r="D58" t="s">
        <v>387</v>
      </c>
      <c r="E58" t="s">
        <v>237</v>
      </c>
      <c r="F58" t="n">
        <v>7996</v>
      </c>
      <c r="G58" t="n">
        <v>8955</v>
      </c>
      <c r="H58" t="n">
        <v>10115</v>
      </c>
      <c r="I58" t="n">
        <v>11180</v>
      </c>
      <c r="J58" t="n">
        <v>12843</v>
      </c>
      <c r="K58" t="n">
        <v>14304</v>
      </c>
      <c r="L58" t="n">
        <v>16181</v>
      </c>
      <c r="M58" t="n">
        <v>17943</v>
      </c>
      <c r="N58" t="n">
        <v>19526</v>
      </c>
      <c r="O58" t="n">
        <v>20813</v>
      </c>
      <c r="P58" t="n">
        <v>22272</v>
      </c>
      <c r="Q58" t="n">
        <v>23849</v>
      </c>
      <c r="R58" t="n">
        <v>25313</v>
      </c>
      <c r="S58" t="n">
        <v>26982</v>
      </c>
      <c r="T58" t="n">
        <v>29173</v>
      </c>
      <c r="U58" t="n">
        <v>30805</v>
      </c>
      <c r="V58" t="n">
        <v>31330</v>
      </c>
      <c r="W58" t="n">
        <v>31638</v>
      </c>
      <c r="X58" t="n">
        <v>31771</v>
      </c>
      <c r="Y58" t="n">
        <v>31511</v>
      </c>
      <c r="Z58" t="n">
        <v>30541</v>
      </c>
      <c r="AA58" t="n">
        <v>29689</v>
      </c>
      <c r="AB58" t="n">
        <v>29211</v>
      </c>
      <c r="AC58" t="n">
        <v>28740</v>
      </c>
      <c r="AD58" t="n">
        <v>28248</v>
      </c>
      <c r="AE58" t="n">
        <v>28940</v>
      </c>
      <c r="AF58" t="n">
        <v>29367</v>
      </c>
    </row>
    <row r="59">
      <c r="A59" t="s">
        <v>134</v>
      </c>
      <c r="B59" t="s">
        <v>388</v>
      </c>
      <c r="C59" t="s">
        <v>236</v>
      </c>
      <c r="D59" t="s">
        <v>389</v>
      </c>
      <c r="E59" t="s">
        <v>237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136</v>
      </c>
      <c r="B2" t="s">
        <v>197</v>
      </c>
      <c r="C2" t="s">
        <v>236</v>
      </c>
      <c r="D2" t="s">
        <v>199</v>
      </c>
      <c r="E2" t="s">
        <v>237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136</v>
      </c>
      <c r="B3" t="s">
        <v>276</v>
      </c>
      <c r="C3" t="s">
        <v>236</v>
      </c>
      <c r="D3" t="s">
        <v>277</v>
      </c>
      <c r="E3" t="s">
        <v>237</v>
      </c>
      <c r="F3" t="n">
        <v>115</v>
      </c>
      <c r="G3" t="n">
        <v>113</v>
      </c>
      <c r="H3" t="n">
        <v>111</v>
      </c>
      <c r="I3" t="n">
        <v>112</v>
      </c>
      <c r="J3" t="n">
        <v>117</v>
      </c>
      <c r="K3" t="n">
        <v>126</v>
      </c>
      <c r="L3" t="n">
        <v>143</v>
      </c>
      <c r="M3" t="n">
        <v>161</v>
      </c>
      <c r="N3" t="n">
        <v>169</v>
      </c>
      <c r="O3" t="n">
        <v>167</v>
      </c>
      <c r="P3" t="n">
        <v>171</v>
      </c>
      <c r="Q3" t="n">
        <v>177</v>
      </c>
      <c r="R3" t="n">
        <v>196</v>
      </c>
      <c r="S3" t="n">
        <v>217</v>
      </c>
      <c r="T3" t="n">
        <v>235</v>
      </c>
      <c r="U3" t="n">
        <v>252</v>
      </c>
      <c r="V3" t="n">
        <v>282</v>
      </c>
      <c r="W3" t="n">
        <v>310</v>
      </c>
      <c r="X3" t="n">
        <v>304</v>
      </c>
      <c r="Y3" t="n">
        <v>283</v>
      </c>
      <c r="Z3" t="n">
        <v>261</v>
      </c>
      <c r="AA3" t="n">
        <v>249</v>
      </c>
      <c r="AB3" t="n">
        <v>255</v>
      </c>
      <c r="AC3" t="n">
        <v>272</v>
      </c>
      <c r="AD3" t="n">
        <v>284</v>
      </c>
      <c r="AE3" t="n">
        <v>296</v>
      </c>
      <c r="AF3" t="n">
        <v>301</v>
      </c>
    </row>
    <row r="4">
      <c r="A4" t="s">
        <v>136</v>
      </c>
      <c r="B4" t="s">
        <v>278</v>
      </c>
      <c r="C4" t="s">
        <v>236</v>
      </c>
      <c r="D4" t="s">
        <v>279</v>
      </c>
      <c r="E4" t="s">
        <v>237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136</v>
      </c>
      <c r="B5" t="s">
        <v>280</v>
      </c>
      <c r="C5" t="s">
        <v>236</v>
      </c>
      <c r="D5" t="s">
        <v>281</v>
      </c>
      <c r="E5" t="s">
        <v>237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136</v>
      </c>
      <c r="B6" t="s">
        <v>282</v>
      </c>
      <c r="C6" t="s">
        <v>236</v>
      </c>
      <c r="D6" t="s">
        <v>283</v>
      </c>
      <c r="E6" t="s">
        <v>237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136</v>
      </c>
      <c r="B7" t="s">
        <v>284</v>
      </c>
      <c r="C7" t="s">
        <v>236</v>
      </c>
      <c r="D7" t="s">
        <v>285</v>
      </c>
      <c r="E7" t="s">
        <v>237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136</v>
      </c>
      <c r="B8" t="s">
        <v>286</v>
      </c>
      <c r="C8" t="s">
        <v>236</v>
      </c>
      <c r="D8" t="s">
        <v>287</v>
      </c>
      <c r="E8" t="s">
        <v>237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136</v>
      </c>
      <c r="B9" t="s">
        <v>288</v>
      </c>
      <c r="C9" t="s">
        <v>236</v>
      </c>
      <c r="D9" t="s">
        <v>289</v>
      </c>
      <c r="E9" t="s">
        <v>237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136</v>
      </c>
      <c r="B10" t="s">
        <v>290</v>
      </c>
      <c r="C10" t="s">
        <v>236</v>
      </c>
      <c r="D10" t="s">
        <v>291</v>
      </c>
      <c r="E10" t="s">
        <v>237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136</v>
      </c>
      <c r="B11" t="s">
        <v>292</v>
      </c>
      <c r="C11" t="s">
        <v>236</v>
      </c>
      <c r="D11" t="s">
        <v>293</v>
      </c>
      <c r="E11" t="s">
        <v>237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136</v>
      </c>
      <c r="B12" t="s">
        <v>294</v>
      </c>
      <c r="C12" t="s">
        <v>236</v>
      </c>
      <c r="D12" t="s">
        <v>295</v>
      </c>
      <c r="E12" t="s">
        <v>237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136</v>
      </c>
      <c r="B13" t="s">
        <v>296</v>
      </c>
      <c r="C13" t="s">
        <v>236</v>
      </c>
      <c r="D13" t="s">
        <v>297</v>
      </c>
      <c r="E13" t="s">
        <v>237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136</v>
      </c>
      <c r="B14" t="s">
        <v>298</v>
      </c>
      <c r="C14" t="s">
        <v>236</v>
      </c>
      <c r="D14" t="s">
        <v>299</v>
      </c>
      <c r="E14" t="s">
        <v>237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136</v>
      </c>
      <c r="B15" t="s">
        <v>300</v>
      </c>
      <c r="C15" t="s">
        <v>236</v>
      </c>
      <c r="D15" t="s">
        <v>301</v>
      </c>
      <c r="E15" t="s">
        <v>237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136</v>
      </c>
      <c r="B16" t="s">
        <v>302</v>
      </c>
      <c r="C16" t="s">
        <v>236</v>
      </c>
      <c r="D16" t="s">
        <v>303</v>
      </c>
      <c r="E16" t="s">
        <v>237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136</v>
      </c>
      <c r="B17" t="s">
        <v>304</v>
      </c>
      <c r="C17" t="s">
        <v>236</v>
      </c>
      <c r="D17" t="s">
        <v>305</v>
      </c>
      <c r="E17" t="s">
        <v>237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136</v>
      </c>
      <c r="B18" t="s">
        <v>306</v>
      </c>
      <c r="C18" t="s">
        <v>236</v>
      </c>
      <c r="D18" t="s">
        <v>307</v>
      </c>
      <c r="E18" t="s">
        <v>237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136</v>
      </c>
      <c r="B19" t="s">
        <v>308</v>
      </c>
      <c r="C19" t="s">
        <v>236</v>
      </c>
      <c r="D19" t="s">
        <v>309</v>
      </c>
      <c r="E19" t="s">
        <v>237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136</v>
      </c>
      <c r="B20" t="s">
        <v>310</v>
      </c>
      <c r="C20" t="s">
        <v>236</v>
      </c>
      <c r="D20" t="s">
        <v>311</v>
      </c>
      <c r="E20" t="s">
        <v>237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136</v>
      </c>
      <c r="B21" t="s">
        <v>312</v>
      </c>
      <c r="C21" t="s">
        <v>236</v>
      </c>
      <c r="D21" t="s">
        <v>313</v>
      </c>
      <c r="E21" t="s">
        <v>237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136</v>
      </c>
      <c r="B22" t="s">
        <v>314</v>
      </c>
      <c r="C22" t="s">
        <v>236</v>
      </c>
      <c r="D22" t="s">
        <v>315</v>
      </c>
      <c r="E22" t="s">
        <v>237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136</v>
      </c>
      <c r="B23" t="s">
        <v>316</v>
      </c>
      <c r="C23" t="s">
        <v>236</v>
      </c>
      <c r="D23" t="s">
        <v>317</v>
      </c>
      <c r="E23" t="s">
        <v>237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136</v>
      </c>
      <c r="B24" t="s">
        <v>318</v>
      </c>
      <c r="C24" t="s">
        <v>236</v>
      </c>
      <c r="D24" t="s">
        <v>319</v>
      </c>
      <c r="E24" t="s">
        <v>237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136</v>
      </c>
      <c r="B25" t="s">
        <v>320</v>
      </c>
      <c r="C25" t="s">
        <v>236</v>
      </c>
      <c r="D25" t="s">
        <v>321</v>
      </c>
      <c r="E25" t="s">
        <v>237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136</v>
      </c>
      <c r="B26" t="s">
        <v>322</v>
      </c>
      <c r="C26" t="s">
        <v>236</v>
      </c>
      <c r="D26" t="s">
        <v>323</v>
      </c>
      <c r="E26" t="s">
        <v>237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136</v>
      </c>
      <c r="B27" t="s">
        <v>324</v>
      </c>
      <c r="C27" t="s">
        <v>236</v>
      </c>
      <c r="D27" t="s">
        <v>325</v>
      </c>
      <c r="E27" t="s">
        <v>237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136</v>
      </c>
      <c r="B28" t="s">
        <v>326</v>
      </c>
      <c r="C28" t="s">
        <v>236</v>
      </c>
      <c r="D28" t="s">
        <v>327</v>
      </c>
      <c r="E28" t="s">
        <v>237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136</v>
      </c>
      <c r="B29" t="s">
        <v>328</v>
      </c>
      <c r="C29" t="s">
        <v>236</v>
      </c>
      <c r="D29" t="s">
        <v>329</v>
      </c>
      <c r="E29" t="s">
        <v>237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136</v>
      </c>
      <c r="B30" t="s">
        <v>330</v>
      </c>
      <c r="C30" t="s">
        <v>236</v>
      </c>
      <c r="D30" t="s">
        <v>331</v>
      </c>
      <c r="E30" t="s">
        <v>237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136</v>
      </c>
      <c r="B31" t="s">
        <v>332</v>
      </c>
      <c r="C31" t="s">
        <v>236</v>
      </c>
      <c r="D31" t="s">
        <v>333</v>
      </c>
      <c r="E31" t="s">
        <v>237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136</v>
      </c>
      <c r="B32" t="s">
        <v>334</v>
      </c>
      <c r="C32" t="s">
        <v>236</v>
      </c>
      <c r="D32" t="s">
        <v>335</v>
      </c>
      <c r="E32" t="s">
        <v>237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136</v>
      </c>
      <c r="B33" t="s">
        <v>336</v>
      </c>
      <c r="C33" t="s">
        <v>236</v>
      </c>
      <c r="D33" t="s">
        <v>337</v>
      </c>
      <c r="E33" t="s">
        <v>237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136</v>
      </c>
      <c r="B34" t="s">
        <v>338</v>
      </c>
      <c r="C34" t="s">
        <v>236</v>
      </c>
      <c r="D34" t="s">
        <v>339</v>
      </c>
      <c r="E34" t="s">
        <v>237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136</v>
      </c>
      <c r="B35" t="s">
        <v>340</v>
      </c>
      <c r="C35" t="s">
        <v>236</v>
      </c>
      <c r="D35" t="s">
        <v>341</v>
      </c>
      <c r="E35" t="s">
        <v>237</v>
      </c>
      <c r="F35" t="n">
        <v>737</v>
      </c>
      <c r="G35" t="n">
        <v>789</v>
      </c>
      <c r="H35" t="n">
        <v>800</v>
      </c>
      <c r="I35" t="n">
        <v>816</v>
      </c>
      <c r="J35" t="n">
        <v>839</v>
      </c>
      <c r="K35" t="n">
        <v>845</v>
      </c>
      <c r="L35" t="n">
        <v>899</v>
      </c>
      <c r="M35" t="n">
        <v>930</v>
      </c>
      <c r="N35" t="n">
        <v>930</v>
      </c>
      <c r="O35" t="n">
        <v>916</v>
      </c>
      <c r="P35" t="n">
        <v>944</v>
      </c>
      <c r="Q35" t="n">
        <v>980</v>
      </c>
      <c r="R35" t="n">
        <v>1012</v>
      </c>
      <c r="S35" t="n">
        <v>1022</v>
      </c>
      <c r="T35" t="n">
        <v>1036</v>
      </c>
      <c r="U35" t="n">
        <v>1109</v>
      </c>
      <c r="V35" t="n">
        <v>1165</v>
      </c>
      <c r="W35" t="n">
        <v>1258</v>
      </c>
      <c r="X35" t="n">
        <v>1308</v>
      </c>
      <c r="Y35" t="n">
        <v>1332</v>
      </c>
      <c r="Z35" t="n">
        <v>1347</v>
      </c>
      <c r="AA35" t="n">
        <v>1418</v>
      </c>
      <c r="AB35" t="n">
        <v>1493</v>
      </c>
      <c r="AC35" t="n">
        <v>1553</v>
      </c>
      <c r="AD35" t="n">
        <v>1607</v>
      </c>
      <c r="AE35" t="n">
        <v>1676</v>
      </c>
      <c r="AF35" t="n">
        <v>1764</v>
      </c>
    </row>
    <row r="36">
      <c r="A36" t="s">
        <v>136</v>
      </c>
      <c r="B36" t="s">
        <v>342</v>
      </c>
      <c r="C36" t="s">
        <v>236</v>
      </c>
      <c r="D36" t="s">
        <v>343</v>
      </c>
      <c r="E36" t="s">
        <v>237</v>
      </c>
      <c r="F36" t="n">
        <v>737</v>
      </c>
      <c r="G36" t="n">
        <v>789</v>
      </c>
      <c r="H36" t="n">
        <v>800</v>
      </c>
      <c r="I36" t="n">
        <v>816</v>
      </c>
      <c r="J36" t="n">
        <v>839</v>
      </c>
      <c r="K36" t="n">
        <v>845</v>
      </c>
      <c r="L36" t="n">
        <v>899</v>
      </c>
      <c r="M36" t="n">
        <v>930</v>
      </c>
      <c r="N36" t="n">
        <v>930</v>
      </c>
      <c r="O36" t="n">
        <v>916</v>
      </c>
      <c r="P36" t="n">
        <v>944</v>
      </c>
      <c r="Q36" t="n">
        <v>980</v>
      </c>
      <c r="R36" t="n">
        <v>1012</v>
      </c>
      <c r="S36" t="n">
        <v>1022</v>
      </c>
      <c r="T36" t="n">
        <v>1036</v>
      </c>
      <c r="U36" t="n">
        <v>1109</v>
      </c>
      <c r="V36" t="n">
        <v>1165</v>
      </c>
      <c r="W36" t="n">
        <v>1258</v>
      </c>
      <c r="X36" t="n">
        <v>1308</v>
      </c>
      <c r="Y36" t="n">
        <v>1332</v>
      </c>
      <c r="Z36" t="n">
        <v>1347</v>
      </c>
      <c r="AA36" t="n">
        <v>1418</v>
      </c>
      <c r="AB36" t="n">
        <v>1493</v>
      </c>
      <c r="AC36" t="n">
        <v>1553</v>
      </c>
      <c r="AD36" t="n">
        <v>1607</v>
      </c>
      <c r="AE36" t="n">
        <v>1676</v>
      </c>
      <c r="AF36" t="n">
        <v>1764</v>
      </c>
    </row>
    <row r="37">
      <c r="A37" t="s">
        <v>136</v>
      </c>
      <c r="B37" t="s">
        <v>344</v>
      </c>
      <c r="C37" t="s">
        <v>236</v>
      </c>
      <c r="D37" t="s">
        <v>345</v>
      </c>
      <c r="E37" t="s">
        <v>237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136</v>
      </c>
      <c r="B38" t="s">
        <v>346</v>
      </c>
      <c r="C38" t="s">
        <v>236</v>
      </c>
      <c r="D38" t="s">
        <v>347</v>
      </c>
      <c r="E38" t="s">
        <v>237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136</v>
      </c>
      <c r="B39" t="s">
        <v>348</v>
      </c>
      <c r="C39" t="s">
        <v>236</v>
      </c>
      <c r="D39" t="s">
        <v>349</v>
      </c>
      <c r="E39" t="s">
        <v>237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136</v>
      </c>
      <c r="B40" t="s">
        <v>350</v>
      </c>
      <c r="C40" t="s">
        <v>236</v>
      </c>
      <c r="D40" t="s">
        <v>351</v>
      </c>
      <c r="E40" t="s">
        <v>237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136</v>
      </c>
      <c r="B41" t="s">
        <v>352</v>
      </c>
      <c r="C41" t="s">
        <v>236</v>
      </c>
      <c r="D41" t="s">
        <v>353</v>
      </c>
      <c r="E41" t="s">
        <v>237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136</v>
      </c>
      <c r="B42" t="s">
        <v>354</v>
      </c>
      <c r="C42" t="s">
        <v>236</v>
      </c>
      <c r="D42" t="s">
        <v>355</v>
      </c>
      <c r="E42" t="s">
        <v>237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136</v>
      </c>
      <c r="B43" t="s">
        <v>356</v>
      </c>
      <c r="C43" t="s">
        <v>236</v>
      </c>
      <c r="D43" t="s">
        <v>357</v>
      </c>
      <c r="E43" t="s">
        <v>237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136</v>
      </c>
      <c r="B44" t="s">
        <v>358</v>
      </c>
      <c r="C44" t="s">
        <v>236</v>
      </c>
      <c r="D44" t="s">
        <v>359</v>
      </c>
      <c r="E44" t="s">
        <v>237</v>
      </c>
      <c r="F44" t="n">
        <v>950</v>
      </c>
      <c r="G44" t="n">
        <v>1004</v>
      </c>
      <c r="H44" t="n">
        <v>1013</v>
      </c>
      <c r="I44" t="n">
        <v>1032</v>
      </c>
      <c r="J44" t="n">
        <v>1062</v>
      </c>
      <c r="K44" t="n">
        <v>1080</v>
      </c>
      <c r="L44" t="n">
        <v>1156</v>
      </c>
      <c r="M44" t="n">
        <v>1211</v>
      </c>
      <c r="N44" t="n">
        <v>1220</v>
      </c>
      <c r="O44" t="n">
        <v>1205</v>
      </c>
      <c r="P44" t="n">
        <v>1243</v>
      </c>
      <c r="Q44" t="n">
        <v>1293</v>
      </c>
      <c r="R44" t="n">
        <v>1351</v>
      </c>
      <c r="S44" t="n">
        <v>1387</v>
      </c>
      <c r="T44" t="n">
        <v>1435</v>
      </c>
      <c r="U44" t="n">
        <v>1549</v>
      </c>
      <c r="V44" t="n">
        <v>1663</v>
      </c>
      <c r="W44" t="n">
        <v>1810</v>
      </c>
      <c r="X44" t="n">
        <v>1871</v>
      </c>
      <c r="Y44" t="n">
        <v>1885</v>
      </c>
      <c r="Z44" t="n">
        <v>1872</v>
      </c>
      <c r="AA44" t="n">
        <v>1942</v>
      </c>
      <c r="AB44" t="n">
        <v>2042</v>
      </c>
      <c r="AC44" t="n">
        <v>2151</v>
      </c>
      <c r="AD44" t="n">
        <v>2238</v>
      </c>
      <c r="AE44" t="n">
        <v>2338</v>
      </c>
      <c r="AF44" t="n">
        <v>2452</v>
      </c>
    </row>
    <row r="45">
      <c r="A45" t="s">
        <v>136</v>
      </c>
      <c r="B45" t="s">
        <v>360</v>
      </c>
      <c r="C45" t="s">
        <v>236</v>
      </c>
      <c r="D45" t="s">
        <v>361</v>
      </c>
      <c r="E45" t="s">
        <v>237</v>
      </c>
      <c r="F45" t="n">
        <v>950</v>
      </c>
      <c r="G45" t="n">
        <v>1004</v>
      </c>
      <c r="H45" t="n">
        <v>1013</v>
      </c>
      <c r="I45" t="n">
        <v>1032</v>
      </c>
      <c r="J45" t="n">
        <v>1062</v>
      </c>
      <c r="K45" t="n">
        <v>1080</v>
      </c>
      <c r="L45" t="n">
        <v>1156</v>
      </c>
      <c r="M45" t="n">
        <v>1211</v>
      </c>
      <c r="N45" t="n">
        <v>1220</v>
      </c>
      <c r="O45" t="n">
        <v>1205</v>
      </c>
      <c r="P45" t="n">
        <v>1243</v>
      </c>
      <c r="Q45" t="n">
        <v>1293</v>
      </c>
      <c r="R45" t="n">
        <v>1351</v>
      </c>
      <c r="S45" t="n">
        <v>1387</v>
      </c>
      <c r="T45" t="n">
        <v>1435</v>
      </c>
      <c r="U45" t="n">
        <v>1549</v>
      </c>
      <c r="V45" t="n">
        <v>1663</v>
      </c>
      <c r="W45" t="n">
        <v>1810</v>
      </c>
      <c r="X45" t="n">
        <v>1871</v>
      </c>
      <c r="Y45" t="n">
        <v>1885</v>
      </c>
      <c r="Z45" t="n">
        <v>1872</v>
      </c>
      <c r="AA45" t="n">
        <v>1942</v>
      </c>
      <c r="AB45" t="n">
        <v>2042</v>
      </c>
      <c r="AC45" t="n">
        <v>2151</v>
      </c>
      <c r="AD45" t="n">
        <v>2238</v>
      </c>
      <c r="AE45" t="n">
        <v>2338</v>
      </c>
      <c r="AF45" t="n">
        <v>2452</v>
      </c>
    </row>
    <row r="46">
      <c r="A46" t="s">
        <v>136</v>
      </c>
      <c r="B46" t="s">
        <v>362</v>
      </c>
      <c r="C46" t="s">
        <v>236</v>
      </c>
      <c r="D46" t="s">
        <v>363</v>
      </c>
      <c r="E46" t="s">
        <v>237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136</v>
      </c>
      <c r="B47" t="s">
        <v>364</v>
      </c>
      <c r="C47" t="s">
        <v>236</v>
      </c>
      <c r="D47" t="s">
        <v>365</v>
      </c>
      <c r="E47" t="s">
        <v>237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136</v>
      </c>
      <c r="B48" t="s">
        <v>366</v>
      </c>
      <c r="C48" t="s">
        <v>236</v>
      </c>
      <c r="D48" t="s">
        <v>367</v>
      </c>
      <c r="E48" t="s">
        <v>237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136</v>
      </c>
      <c r="B49" t="s">
        <v>368</v>
      </c>
      <c r="C49" t="s">
        <v>236</v>
      </c>
      <c r="D49" t="s">
        <v>369</v>
      </c>
      <c r="E49" t="s">
        <v>237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136</v>
      </c>
      <c r="B50" t="s">
        <v>370</v>
      </c>
      <c r="C50" t="s">
        <v>236</v>
      </c>
      <c r="D50" t="s">
        <v>371</v>
      </c>
      <c r="E50" t="s">
        <v>237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136</v>
      </c>
      <c r="B51" t="s">
        <v>372</v>
      </c>
      <c r="C51" t="s">
        <v>236</v>
      </c>
      <c r="D51" t="s">
        <v>373</v>
      </c>
      <c r="E51" t="s">
        <v>237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136</v>
      </c>
      <c r="B52" t="s">
        <v>374</v>
      </c>
      <c r="C52" t="s">
        <v>236</v>
      </c>
      <c r="D52" t="s">
        <v>375</v>
      </c>
      <c r="E52" t="s">
        <v>237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136</v>
      </c>
      <c r="B53" t="s">
        <v>376</v>
      </c>
      <c r="C53" t="s">
        <v>236</v>
      </c>
      <c r="D53" t="s">
        <v>377</v>
      </c>
      <c r="E53" t="s">
        <v>237</v>
      </c>
      <c r="F53" t="n">
        <v>98</v>
      </c>
      <c r="G53" t="n">
        <v>102</v>
      </c>
      <c r="H53" t="n">
        <v>102</v>
      </c>
      <c r="I53" t="n">
        <v>104</v>
      </c>
      <c r="J53" t="n">
        <v>106</v>
      </c>
      <c r="K53" t="n">
        <v>109</v>
      </c>
      <c r="L53" t="n">
        <v>114</v>
      </c>
      <c r="M53" t="n">
        <v>120</v>
      </c>
      <c r="N53" t="n">
        <v>121</v>
      </c>
      <c r="O53" t="n">
        <v>122</v>
      </c>
      <c r="P53" t="n">
        <v>128</v>
      </c>
      <c r="Q53" t="n">
        <v>136</v>
      </c>
      <c r="R53" t="n">
        <v>143</v>
      </c>
      <c r="S53" t="n">
        <v>148</v>
      </c>
      <c r="T53" t="n">
        <v>164</v>
      </c>
      <c r="U53" t="n">
        <v>188</v>
      </c>
      <c r="V53" t="n">
        <v>216</v>
      </c>
      <c r="W53" t="n">
        <v>242</v>
      </c>
      <c r="X53" t="n">
        <v>259</v>
      </c>
      <c r="Y53" t="n">
        <v>270</v>
      </c>
      <c r="Z53" t="n">
        <v>264</v>
      </c>
      <c r="AA53" t="n">
        <v>275</v>
      </c>
      <c r="AB53" t="n">
        <v>294</v>
      </c>
      <c r="AC53" t="n">
        <v>326</v>
      </c>
      <c r="AD53" t="n">
        <v>347</v>
      </c>
      <c r="AE53" t="n">
        <v>366</v>
      </c>
      <c r="AF53" t="n">
        <v>387</v>
      </c>
    </row>
    <row r="54">
      <c r="A54" t="s">
        <v>136</v>
      </c>
      <c r="B54" t="s">
        <v>378</v>
      </c>
      <c r="C54" t="s">
        <v>236</v>
      </c>
      <c r="D54" t="s">
        <v>379</v>
      </c>
      <c r="E54" t="s">
        <v>237</v>
      </c>
      <c r="F54" t="n">
        <v>98</v>
      </c>
      <c r="G54" t="n">
        <v>102</v>
      </c>
      <c r="H54" t="n">
        <v>102</v>
      </c>
      <c r="I54" t="n">
        <v>104</v>
      </c>
      <c r="J54" t="n">
        <v>106</v>
      </c>
      <c r="K54" t="n">
        <v>109</v>
      </c>
      <c r="L54" t="n">
        <v>114</v>
      </c>
      <c r="M54" t="n">
        <v>120</v>
      </c>
      <c r="N54" t="n">
        <v>121</v>
      </c>
      <c r="O54" t="n">
        <v>122</v>
      </c>
      <c r="P54" t="n">
        <v>128</v>
      </c>
      <c r="Q54" t="n">
        <v>136</v>
      </c>
      <c r="R54" t="n">
        <v>143</v>
      </c>
      <c r="S54" t="n">
        <v>148</v>
      </c>
      <c r="T54" t="n">
        <v>164</v>
      </c>
      <c r="U54" t="n">
        <v>188</v>
      </c>
      <c r="V54" t="n">
        <v>216</v>
      </c>
      <c r="W54" t="n">
        <v>242</v>
      </c>
      <c r="X54" t="n">
        <v>259</v>
      </c>
      <c r="Y54" t="n">
        <v>270</v>
      </c>
      <c r="Z54" t="n">
        <v>264</v>
      </c>
      <c r="AA54" t="n">
        <v>275</v>
      </c>
      <c r="AB54" t="n">
        <v>294</v>
      </c>
      <c r="AC54" t="n">
        <v>326</v>
      </c>
      <c r="AD54" t="n">
        <v>347</v>
      </c>
      <c r="AE54" t="n">
        <v>366</v>
      </c>
      <c r="AF54" t="n">
        <v>387</v>
      </c>
    </row>
    <row r="55">
      <c r="A55" t="s">
        <v>136</v>
      </c>
      <c r="B55" t="s">
        <v>380</v>
      </c>
      <c r="C55" t="s">
        <v>236</v>
      </c>
      <c r="D55" t="s">
        <v>381</v>
      </c>
      <c r="E55" t="s">
        <v>237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136</v>
      </c>
      <c r="B56" t="s">
        <v>382</v>
      </c>
      <c r="C56" t="s">
        <v>236</v>
      </c>
      <c r="D56" t="s">
        <v>383</v>
      </c>
      <c r="E56" t="s">
        <v>237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136</v>
      </c>
      <c r="B57" t="s">
        <v>384</v>
      </c>
      <c r="C57" t="s">
        <v>236</v>
      </c>
      <c r="D57" t="s">
        <v>385</v>
      </c>
      <c r="E57" t="s">
        <v>237</v>
      </c>
      <c r="F57" t="n">
        <v>950</v>
      </c>
      <c r="G57" t="n">
        <v>1004</v>
      </c>
      <c r="H57" t="n">
        <v>1013</v>
      </c>
      <c r="I57" t="n">
        <v>1032</v>
      </c>
      <c r="J57" t="n">
        <v>1062</v>
      </c>
      <c r="K57" t="n">
        <v>1080</v>
      </c>
      <c r="L57" t="n">
        <v>1156</v>
      </c>
      <c r="M57" t="n">
        <v>1211</v>
      </c>
      <c r="N57" t="n">
        <v>1220</v>
      </c>
      <c r="O57" t="n">
        <v>1205</v>
      </c>
      <c r="P57" t="n">
        <v>1243</v>
      </c>
      <c r="Q57" t="n">
        <v>1293</v>
      </c>
      <c r="R57" t="n">
        <v>1351</v>
      </c>
      <c r="S57" t="n">
        <v>1387</v>
      </c>
      <c r="T57" t="n">
        <v>1435</v>
      </c>
      <c r="U57" t="n">
        <v>1549</v>
      </c>
      <c r="V57" t="n">
        <v>1663</v>
      </c>
      <c r="W57" t="n">
        <v>1810</v>
      </c>
      <c r="X57" t="n">
        <v>1871</v>
      </c>
      <c r="Y57" t="n">
        <v>1885</v>
      </c>
      <c r="Z57" t="n">
        <v>1872</v>
      </c>
      <c r="AA57" t="n">
        <v>1942</v>
      </c>
      <c r="AB57" t="n">
        <v>2042</v>
      </c>
      <c r="AC57" t="n">
        <v>2151</v>
      </c>
      <c r="AD57" t="n">
        <v>2238</v>
      </c>
      <c r="AE57" t="n">
        <v>2338</v>
      </c>
      <c r="AF57" t="n">
        <v>2452</v>
      </c>
    </row>
    <row r="58">
      <c r="A58" t="s">
        <v>136</v>
      </c>
      <c r="B58" t="s">
        <v>386</v>
      </c>
      <c r="C58" t="s">
        <v>236</v>
      </c>
      <c r="D58" t="s">
        <v>387</v>
      </c>
      <c r="E58" t="s">
        <v>237</v>
      </c>
      <c r="F58" t="n">
        <v>950</v>
      </c>
      <c r="G58" t="n">
        <v>1004</v>
      </c>
      <c r="H58" t="n">
        <v>1013</v>
      </c>
      <c r="I58" t="n">
        <v>1032</v>
      </c>
      <c r="J58" t="n">
        <v>1062</v>
      </c>
      <c r="K58" t="n">
        <v>1080</v>
      </c>
      <c r="L58" t="n">
        <v>1156</v>
      </c>
      <c r="M58" t="n">
        <v>1211</v>
      </c>
      <c r="N58" t="n">
        <v>1220</v>
      </c>
      <c r="O58" t="n">
        <v>1205</v>
      </c>
      <c r="P58" t="n">
        <v>1243</v>
      </c>
      <c r="Q58" t="n">
        <v>1293</v>
      </c>
      <c r="R58" t="n">
        <v>1351</v>
      </c>
      <c r="S58" t="n">
        <v>1387</v>
      </c>
      <c r="T58" t="n">
        <v>1435</v>
      </c>
      <c r="U58" t="n">
        <v>1549</v>
      </c>
      <c r="V58" t="n">
        <v>1663</v>
      </c>
      <c r="W58" t="n">
        <v>1810</v>
      </c>
      <c r="X58" t="n">
        <v>1871</v>
      </c>
      <c r="Y58" t="n">
        <v>1885</v>
      </c>
      <c r="Z58" t="n">
        <v>1872</v>
      </c>
      <c r="AA58" t="n">
        <v>1942</v>
      </c>
      <c r="AB58" t="n">
        <v>2042</v>
      </c>
      <c r="AC58" t="n">
        <v>2151</v>
      </c>
      <c r="AD58" t="n">
        <v>2238</v>
      </c>
      <c r="AE58" t="n">
        <v>2338</v>
      </c>
      <c r="AF58" t="n">
        <v>2452</v>
      </c>
    </row>
    <row r="59">
      <c r="A59" t="s">
        <v>136</v>
      </c>
      <c r="B59" t="s">
        <v>388</v>
      </c>
      <c r="C59" t="s">
        <v>236</v>
      </c>
      <c r="D59" t="s">
        <v>389</v>
      </c>
      <c r="E59" t="s">
        <v>237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138</v>
      </c>
      <c r="B2" t="s">
        <v>197</v>
      </c>
      <c r="C2" t="s">
        <v>236</v>
      </c>
      <c r="D2" t="s">
        <v>199</v>
      </c>
      <c r="E2" t="s">
        <v>237</v>
      </c>
      <c r="F2" t="n">
        <v>14043</v>
      </c>
      <c r="G2" t="n">
        <v>12682</v>
      </c>
      <c r="H2" t="n">
        <v>12528</v>
      </c>
      <c r="I2" t="n">
        <v>12985</v>
      </c>
      <c r="J2" t="n">
        <v>13173</v>
      </c>
      <c r="K2" t="n">
        <v>13396</v>
      </c>
      <c r="L2" t="n">
        <v>14040</v>
      </c>
      <c r="M2" t="n">
        <v>14527</v>
      </c>
      <c r="N2" t="n">
        <v>14925</v>
      </c>
      <c r="O2" t="n">
        <v>15187</v>
      </c>
      <c r="P2" t="n">
        <v>15560</v>
      </c>
      <c r="Q2" t="n">
        <v>16095</v>
      </c>
      <c r="R2" t="n">
        <v>17001</v>
      </c>
      <c r="S2" t="n">
        <v>18294</v>
      </c>
      <c r="T2" t="n">
        <v>18709</v>
      </c>
      <c r="U2" t="n">
        <v>19081</v>
      </c>
      <c r="V2" t="n">
        <v>18765</v>
      </c>
      <c r="W2" t="n">
        <v>19114</v>
      </c>
      <c r="X2" t="n">
        <v>19945</v>
      </c>
      <c r="Y2" t="n">
        <v>20285</v>
      </c>
      <c r="Z2" t="n">
        <v>19839</v>
      </c>
      <c r="AA2" t="n">
        <v>19627</v>
      </c>
      <c r="AB2" t="n">
        <v>19671</v>
      </c>
      <c r="AC2" t="n">
        <v>19819</v>
      </c>
      <c r="AD2" t="n">
        <v>20746</v>
      </c>
      <c r="AE2" t="n">
        <v>21202</v>
      </c>
      <c r="AF2" t="n">
        <v>21257</v>
      </c>
    </row>
    <row r="3">
      <c r="A3" t="s">
        <v>138</v>
      </c>
      <c r="B3" t="s">
        <v>276</v>
      </c>
      <c r="C3" t="s">
        <v>236</v>
      </c>
      <c r="D3" t="s">
        <v>277</v>
      </c>
      <c r="E3" t="s">
        <v>237</v>
      </c>
      <c r="F3" t="n">
        <v>828</v>
      </c>
      <c r="G3" t="n">
        <v>803</v>
      </c>
      <c r="H3" t="n">
        <v>779</v>
      </c>
      <c r="I3" t="n">
        <v>795</v>
      </c>
      <c r="J3" t="n">
        <v>823</v>
      </c>
      <c r="K3" t="n">
        <v>859</v>
      </c>
      <c r="L3" t="n">
        <v>916</v>
      </c>
      <c r="M3" t="n">
        <v>955</v>
      </c>
      <c r="N3" t="n">
        <v>1022</v>
      </c>
      <c r="O3" t="n">
        <v>1026</v>
      </c>
      <c r="P3" t="n">
        <v>1055</v>
      </c>
      <c r="Q3" t="n">
        <v>1121</v>
      </c>
      <c r="R3" t="n">
        <v>1375</v>
      </c>
      <c r="S3" t="n">
        <v>1967</v>
      </c>
      <c r="T3" t="n">
        <v>2222</v>
      </c>
      <c r="U3" t="n">
        <v>2350</v>
      </c>
      <c r="V3" t="n">
        <v>2593</v>
      </c>
      <c r="W3" t="n">
        <v>2866</v>
      </c>
      <c r="X3" t="n">
        <v>3035</v>
      </c>
      <c r="Y3" t="n">
        <v>3101</v>
      </c>
      <c r="Z3" t="n">
        <v>3211</v>
      </c>
      <c r="AA3" t="n">
        <v>3207</v>
      </c>
      <c r="AB3" t="n">
        <v>3271</v>
      </c>
      <c r="AC3" t="n">
        <v>3410</v>
      </c>
      <c r="AD3" t="n">
        <v>3571</v>
      </c>
      <c r="AE3" t="n">
        <v>3842</v>
      </c>
      <c r="AF3" t="n">
        <v>4031</v>
      </c>
    </row>
    <row r="4">
      <c r="A4" t="s">
        <v>138</v>
      </c>
      <c r="B4" t="s">
        <v>278</v>
      </c>
      <c r="C4" t="s">
        <v>236</v>
      </c>
      <c r="D4" t="s">
        <v>279</v>
      </c>
      <c r="E4" t="s">
        <v>237</v>
      </c>
      <c r="F4" t="n">
        <v>40944</v>
      </c>
      <c r="G4" t="n">
        <v>41351</v>
      </c>
      <c r="H4" t="n">
        <v>42849</v>
      </c>
      <c r="I4" t="n">
        <v>44711</v>
      </c>
      <c r="J4" t="n">
        <v>46450</v>
      </c>
      <c r="K4" t="n">
        <v>48207</v>
      </c>
      <c r="L4" t="n">
        <v>50944</v>
      </c>
      <c r="M4" t="n">
        <v>52842</v>
      </c>
      <c r="N4" t="n">
        <v>53537</v>
      </c>
      <c r="O4" t="n">
        <v>53878</v>
      </c>
      <c r="P4" t="n">
        <v>55051</v>
      </c>
      <c r="Q4" t="n">
        <v>56901</v>
      </c>
      <c r="R4" t="n">
        <v>58896</v>
      </c>
      <c r="S4" t="n">
        <v>61446</v>
      </c>
      <c r="T4" t="n">
        <v>63482</v>
      </c>
      <c r="U4" t="n">
        <v>62919</v>
      </c>
      <c r="V4" t="n">
        <v>60891</v>
      </c>
      <c r="W4" t="n">
        <v>60513</v>
      </c>
      <c r="X4" t="n">
        <v>60200</v>
      </c>
      <c r="Y4" t="n">
        <v>59190</v>
      </c>
      <c r="Z4" t="n">
        <v>57963</v>
      </c>
      <c r="AA4" t="n">
        <v>57231</v>
      </c>
      <c r="AB4" t="n">
        <v>57523</v>
      </c>
      <c r="AC4" t="n">
        <v>57389</v>
      </c>
      <c r="AD4" t="n">
        <v>57321</v>
      </c>
      <c r="AE4" t="n">
        <v>57946</v>
      </c>
      <c r="AF4" t="n">
        <v>58597</v>
      </c>
    </row>
    <row r="5">
      <c r="A5" t="s">
        <v>138</v>
      </c>
      <c r="B5" t="s">
        <v>280</v>
      </c>
      <c r="C5" t="s">
        <v>236</v>
      </c>
      <c r="D5" t="s">
        <v>281</v>
      </c>
      <c r="E5" t="s">
        <v>237</v>
      </c>
      <c r="F5" t="n">
        <v>4358</v>
      </c>
      <c r="G5" t="n">
        <v>4288</v>
      </c>
      <c r="H5" t="n">
        <v>4294</v>
      </c>
      <c r="I5" t="n">
        <v>4328</v>
      </c>
      <c r="J5" t="n">
        <v>4378</v>
      </c>
      <c r="K5" t="n">
        <v>4437</v>
      </c>
      <c r="L5" t="n">
        <v>4552</v>
      </c>
      <c r="M5" t="n">
        <v>4747</v>
      </c>
      <c r="N5" t="n">
        <v>4746</v>
      </c>
      <c r="O5" t="n">
        <v>4655</v>
      </c>
      <c r="P5" t="n">
        <v>4717</v>
      </c>
      <c r="Q5" t="n">
        <v>4824</v>
      </c>
      <c r="R5" t="n">
        <v>4940</v>
      </c>
      <c r="S5" t="n">
        <v>5141</v>
      </c>
      <c r="T5" t="n">
        <v>5267</v>
      </c>
      <c r="U5" t="n">
        <v>5124</v>
      </c>
      <c r="V5" t="n">
        <v>4875</v>
      </c>
      <c r="W5" t="n">
        <v>4931</v>
      </c>
      <c r="X5" t="n">
        <v>5082</v>
      </c>
      <c r="Y5" t="n">
        <v>5182</v>
      </c>
      <c r="Z5" t="n">
        <v>5166</v>
      </c>
      <c r="AA5" t="n">
        <v>5307</v>
      </c>
      <c r="AB5" t="n">
        <v>5472</v>
      </c>
      <c r="AC5" t="n">
        <v>5503</v>
      </c>
      <c r="AD5" t="n">
        <v>5526</v>
      </c>
      <c r="AE5" t="n">
        <v>5651</v>
      </c>
      <c r="AF5" t="n">
        <v>5702</v>
      </c>
    </row>
    <row r="6">
      <c r="A6" t="s">
        <v>138</v>
      </c>
      <c r="B6" t="s">
        <v>282</v>
      </c>
      <c r="C6" t="s">
        <v>236</v>
      </c>
      <c r="D6" t="s">
        <v>283</v>
      </c>
      <c r="E6" t="s">
        <v>237</v>
      </c>
      <c r="F6" t="n">
        <v>764</v>
      </c>
      <c r="G6" t="n">
        <v>704</v>
      </c>
      <c r="H6" t="n">
        <v>690</v>
      </c>
      <c r="I6" t="n">
        <v>676</v>
      </c>
      <c r="J6" t="n">
        <v>652</v>
      </c>
      <c r="K6" t="n">
        <v>635</v>
      </c>
      <c r="L6" t="n">
        <v>632</v>
      </c>
      <c r="M6" t="n">
        <v>617</v>
      </c>
      <c r="N6" t="n">
        <v>582</v>
      </c>
      <c r="O6" t="n">
        <v>544</v>
      </c>
      <c r="P6" t="n">
        <v>521</v>
      </c>
      <c r="Q6" t="n">
        <v>511</v>
      </c>
      <c r="R6" t="n">
        <v>496</v>
      </c>
      <c r="S6" t="n">
        <v>481</v>
      </c>
      <c r="T6" t="n">
        <v>448</v>
      </c>
      <c r="U6" t="n">
        <v>407</v>
      </c>
      <c r="V6" t="n">
        <v>368</v>
      </c>
      <c r="W6" t="n">
        <v>354</v>
      </c>
      <c r="X6" t="n">
        <v>331</v>
      </c>
      <c r="Y6" t="n">
        <v>314</v>
      </c>
      <c r="Z6" t="n">
        <v>304</v>
      </c>
      <c r="AA6" t="n">
        <v>309</v>
      </c>
      <c r="AB6" t="n">
        <v>308</v>
      </c>
      <c r="AC6" t="n">
        <v>319</v>
      </c>
      <c r="AD6" t="n">
        <v>315</v>
      </c>
      <c r="AE6" t="n">
        <v>327</v>
      </c>
      <c r="AF6" t="n">
        <v>329</v>
      </c>
    </row>
    <row r="7">
      <c r="A7" t="s">
        <v>138</v>
      </c>
      <c r="B7" t="s">
        <v>284</v>
      </c>
      <c r="C7" t="s">
        <v>236</v>
      </c>
      <c r="D7" t="s">
        <v>285</v>
      </c>
      <c r="E7" t="s">
        <v>237</v>
      </c>
      <c r="F7" t="n">
        <v>15048</v>
      </c>
      <c r="G7" t="n">
        <v>15270</v>
      </c>
      <c r="H7" t="n">
        <v>15415</v>
      </c>
      <c r="I7" t="n">
        <v>15749</v>
      </c>
      <c r="J7" t="n">
        <v>15743</v>
      </c>
      <c r="K7" t="n">
        <v>15774</v>
      </c>
      <c r="L7" t="n">
        <v>16502</v>
      </c>
      <c r="M7" t="n">
        <v>16405</v>
      </c>
      <c r="N7" t="n">
        <v>16180</v>
      </c>
      <c r="O7" t="n">
        <v>15713</v>
      </c>
      <c r="P7" t="n">
        <v>15593</v>
      </c>
      <c r="Q7" t="n">
        <v>15661</v>
      </c>
      <c r="R7" t="n">
        <v>15498</v>
      </c>
      <c r="S7" t="n">
        <v>15733</v>
      </c>
      <c r="T7" t="n">
        <v>15387</v>
      </c>
      <c r="U7" t="n">
        <v>14617</v>
      </c>
      <c r="V7" t="n">
        <v>13686</v>
      </c>
      <c r="W7" t="n">
        <v>13372</v>
      </c>
      <c r="X7" t="n">
        <v>13227</v>
      </c>
      <c r="Y7" t="n">
        <v>12777</v>
      </c>
      <c r="Z7" t="n">
        <v>12366</v>
      </c>
      <c r="AA7" t="n">
        <v>12483</v>
      </c>
      <c r="AB7" t="n">
        <v>12778</v>
      </c>
      <c r="AC7" t="n">
        <v>12657</v>
      </c>
      <c r="AD7" t="n">
        <v>12659</v>
      </c>
      <c r="AE7" t="n">
        <v>12600</v>
      </c>
      <c r="AF7" t="n">
        <v>12507</v>
      </c>
    </row>
    <row r="8">
      <c r="A8" t="s">
        <v>138</v>
      </c>
      <c r="B8" t="s">
        <v>286</v>
      </c>
      <c r="C8" t="s">
        <v>236</v>
      </c>
      <c r="D8" t="s">
        <v>287</v>
      </c>
      <c r="E8" t="s">
        <v>237</v>
      </c>
      <c r="F8" t="n">
        <v>1328</v>
      </c>
      <c r="G8" t="n">
        <v>1261</v>
      </c>
      <c r="H8" t="n">
        <v>1341</v>
      </c>
      <c r="I8" t="n">
        <v>1332</v>
      </c>
      <c r="J8" t="n">
        <v>1337</v>
      </c>
      <c r="K8" t="n">
        <v>1312</v>
      </c>
      <c r="L8" t="n">
        <v>1368</v>
      </c>
      <c r="M8" t="n">
        <v>1331</v>
      </c>
      <c r="N8" t="n">
        <v>1331</v>
      </c>
      <c r="O8" t="n">
        <v>1306</v>
      </c>
      <c r="P8" t="n">
        <v>1440</v>
      </c>
      <c r="Q8" t="n">
        <v>1602</v>
      </c>
      <c r="R8" t="n">
        <v>2303</v>
      </c>
      <c r="S8" t="n">
        <v>2340</v>
      </c>
      <c r="T8" t="n">
        <v>2463</v>
      </c>
      <c r="U8" t="n">
        <v>2467</v>
      </c>
      <c r="V8" t="n">
        <v>2366</v>
      </c>
      <c r="W8" t="n">
        <v>2408</v>
      </c>
      <c r="X8" t="n">
        <v>2463</v>
      </c>
      <c r="Y8" t="n">
        <v>2482</v>
      </c>
      <c r="Z8" t="n">
        <v>2641</v>
      </c>
      <c r="AA8" t="n">
        <v>2548</v>
      </c>
      <c r="AB8" t="n">
        <v>2843</v>
      </c>
      <c r="AC8" t="n">
        <v>2916</v>
      </c>
      <c r="AD8" t="n">
        <v>2921</v>
      </c>
      <c r="AE8" t="n">
        <v>2894</v>
      </c>
      <c r="AF8" t="n">
        <v>3294</v>
      </c>
    </row>
    <row r="9">
      <c r="A9" t="s">
        <v>138</v>
      </c>
      <c r="B9" t="s">
        <v>288</v>
      </c>
      <c r="C9" t="s">
        <v>236</v>
      </c>
      <c r="D9" t="s">
        <v>289</v>
      </c>
      <c r="E9" t="s">
        <v>237</v>
      </c>
      <c r="F9" t="n">
        <v>3076</v>
      </c>
      <c r="G9" t="n">
        <v>3023</v>
      </c>
      <c r="H9" t="n">
        <v>3183</v>
      </c>
      <c r="I9" t="n">
        <v>3298</v>
      </c>
      <c r="J9" t="n">
        <v>3411</v>
      </c>
      <c r="K9" t="n">
        <v>3436</v>
      </c>
      <c r="L9" t="n">
        <v>3539</v>
      </c>
      <c r="M9" t="n">
        <v>3759</v>
      </c>
      <c r="N9" t="n">
        <v>3754</v>
      </c>
      <c r="O9" t="n">
        <v>3782</v>
      </c>
      <c r="P9" t="n">
        <v>3793</v>
      </c>
      <c r="Q9" t="n">
        <v>3898</v>
      </c>
      <c r="R9" t="n">
        <v>4077</v>
      </c>
      <c r="S9" t="n">
        <v>4236</v>
      </c>
      <c r="T9" t="n">
        <v>4500</v>
      </c>
      <c r="U9" t="n">
        <v>4406</v>
      </c>
      <c r="V9" t="n">
        <v>4262</v>
      </c>
      <c r="W9" t="n">
        <v>4296</v>
      </c>
      <c r="X9" t="n">
        <v>4440</v>
      </c>
      <c r="Y9" t="n">
        <v>4392</v>
      </c>
      <c r="Z9" t="n">
        <v>4423</v>
      </c>
      <c r="AA9" t="n">
        <v>4508</v>
      </c>
      <c r="AB9" t="n">
        <v>4783</v>
      </c>
      <c r="AC9" t="n">
        <v>4891</v>
      </c>
      <c r="AD9" t="n">
        <v>4947</v>
      </c>
      <c r="AE9" t="n">
        <v>5033</v>
      </c>
      <c r="AF9" t="n">
        <v>5146</v>
      </c>
    </row>
    <row r="10">
      <c r="A10" t="s">
        <v>138</v>
      </c>
      <c r="B10" t="s">
        <v>290</v>
      </c>
      <c r="C10" t="s">
        <v>236</v>
      </c>
      <c r="D10" t="s">
        <v>291</v>
      </c>
      <c r="E10" t="s">
        <v>237</v>
      </c>
      <c r="F10" t="n">
        <v>4048</v>
      </c>
      <c r="G10" t="n">
        <v>4022</v>
      </c>
      <c r="H10" t="n">
        <v>4214</v>
      </c>
      <c r="I10" t="n">
        <v>4372</v>
      </c>
      <c r="J10" t="n">
        <v>4532</v>
      </c>
      <c r="K10" t="n">
        <v>4618</v>
      </c>
      <c r="L10" t="n">
        <v>4800</v>
      </c>
      <c r="M10" t="n">
        <v>5171</v>
      </c>
      <c r="N10" t="n">
        <v>5228</v>
      </c>
      <c r="O10" t="n">
        <v>5281</v>
      </c>
      <c r="P10" t="n">
        <v>5323</v>
      </c>
      <c r="Q10" t="n">
        <v>5486</v>
      </c>
      <c r="R10" t="n">
        <v>5740</v>
      </c>
      <c r="S10" t="n">
        <v>5978</v>
      </c>
      <c r="T10" t="n">
        <v>6372</v>
      </c>
      <c r="U10" t="n">
        <v>6341</v>
      </c>
      <c r="V10" t="n">
        <v>6205</v>
      </c>
      <c r="W10" t="n">
        <v>6361</v>
      </c>
      <c r="X10" t="n">
        <v>6683</v>
      </c>
      <c r="Y10" t="n">
        <v>6752</v>
      </c>
      <c r="Z10" t="n">
        <v>6840</v>
      </c>
      <c r="AA10" t="n">
        <v>6992</v>
      </c>
      <c r="AB10" t="n">
        <v>7360</v>
      </c>
      <c r="AC10" t="n">
        <v>7509</v>
      </c>
      <c r="AD10" t="n">
        <v>7547</v>
      </c>
      <c r="AE10" t="n">
        <v>7734</v>
      </c>
      <c r="AF10" t="n">
        <v>8014</v>
      </c>
    </row>
    <row r="11">
      <c r="A11" t="s">
        <v>138</v>
      </c>
      <c r="B11" t="s">
        <v>292</v>
      </c>
      <c r="C11" t="s">
        <v>236</v>
      </c>
      <c r="D11" t="s">
        <v>293</v>
      </c>
      <c r="E11" t="s">
        <v>237</v>
      </c>
      <c r="F11" t="n">
        <v>972</v>
      </c>
      <c r="G11" t="n">
        <v>999</v>
      </c>
      <c r="H11" t="n">
        <v>1031</v>
      </c>
      <c r="I11" t="n">
        <v>1074</v>
      </c>
      <c r="J11" t="n">
        <v>1121</v>
      </c>
      <c r="K11" t="n">
        <v>1182</v>
      </c>
      <c r="L11" t="n">
        <v>1261</v>
      </c>
      <c r="M11" t="n">
        <v>1412</v>
      </c>
      <c r="N11" t="n">
        <v>1474</v>
      </c>
      <c r="O11" t="n">
        <v>1499</v>
      </c>
      <c r="P11" t="n">
        <v>1530</v>
      </c>
      <c r="Q11" t="n">
        <v>1588</v>
      </c>
      <c r="R11" t="n">
        <v>1663</v>
      </c>
      <c r="S11" t="n">
        <v>1742</v>
      </c>
      <c r="T11" t="n">
        <v>1872</v>
      </c>
      <c r="U11" t="n">
        <v>1935</v>
      </c>
      <c r="V11" t="n">
        <v>1943</v>
      </c>
      <c r="W11" t="n">
        <v>2065</v>
      </c>
      <c r="X11" t="n">
        <v>2243</v>
      </c>
      <c r="Y11" t="n">
        <v>2360</v>
      </c>
      <c r="Z11" t="n">
        <v>2417</v>
      </c>
      <c r="AA11" t="n">
        <v>2484</v>
      </c>
      <c r="AB11" t="n">
        <v>2577</v>
      </c>
      <c r="AC11" t="n">
        <v>2618</v>
      </c>
      <c r="AD11" t="n">
        <v>2600</v>
      </c>
      <c r="AE11" t="n">
        <v>2701</v>
      </c>
      <c r="AF11" t="n">
        <v>2868</v>
      </c>
    </row>
    <row r="12">
      <c r="A12" t="s">
        <v>138</v>
      </c>
      <c r="B12" t="s">
        <v>294</v>
      </c>
      <c r="C12" t="s">
        <v>236</v>
      </c>
      <c r="D12" t="s">
        <v>295</v>
      </c>
      <c r="E12" t="s">
        <v>237</v>
      </c>
      <c r="F12" t="n">
        <v>2453</v>
      </c>
      <c r="G12" t="n">
        <v>2386</v>
      </c>
      <c r="H12" t="n">
        <v>2440</v>
      </c>
      <c r="I12" t="n">
        <v>2579</v>
      </c>
      <c r="J12" t="n">
        <v>2709</v>
      </c>
      <c r="K12" t="n">
        <v>2805</v>
      </c>
      <c r="L12" t="n">
        <v>2881</v>
      </c>
      <c r="M12" t="n">
        <v>2949</v>
      </c>
      <c r="N12" t="n">
        <v>2956</v>
      </c>
      <c r="O12" t="n">
        <v>2962</v>
      </c>
      <c r="P12" t="n">
        <v>3018</v>
      </c>
      <c r="Q12" t="n">
        <v>3142</v>
      </c>
      <c r="R12" t="n">
        <v>3176</v>
      </c>
      <c r="S12" t="n">
        <v>3266</v>
      </c>
      <c r="T12" t="n">
        <v>3340</v>
      </c>
      <c r="U12" t="n">
        <v>3240</v>
      </c>
      <c r="V12" t="n">
        <v>3113</v>
      </c>
      <c r="W12" t="n">
        <v>3094</v>
      </c>
      <c r="X12" t="n">
        <v>3098</v>
      </c>
      <c r="Y12" t="n">
        <v>3065</v>
      </c>
      <c r="Z12" t="n">
        <v>3076</v>
      </c>
      <c r="AA12" t="n">
        <v>3111</v>
      </c>
      <c r="AB12" t="n">
        <v>3154</v>
      </c>
      <c r="AC12" t="n">
        <v>3256</v>
      </c>
      <c r="AD12" t="n">
        <v>3367</v>
      </c>
      <c r="AE12" t="n">
        <v>3545</v>
      </c>
      <c r="AF12" t="n">
        <v>3603</v>
      </c>
    </row>
    <row r="13">
      <c r="A13" t="s">
        <v>138</v>
      </c>
      <c r="B13" t="s">
        <v>296</v>
      </c>
      <c r="C13" t="s">
        <v>236</v>
      </c>
      <c r="D13" t="s">
        <v>297</v>
      </c>
      <c r="E13" t="s">
        <v>237</v>
      </c>
      <c r="F13" t="n">
        <v>4181</v>
      </c>
      <c r="G13" t="n">
        <v>4261</v>
      </c>
      <c r="H13" t="n">
        <v>4598</v>
      </c>
      <c r="I13" t="n">
        <v>4864</v>
      </c>
      <c r="J13" t="n">
        <v>4952</v>
      </c>
      <c r="K13" t="n">
        <v>5130</v>
      </c>
      <c r="L13" t="n">
        <v>5321</v>
      </c>
      <c r="M13" t="n">
        <v>5790</v>
      </c>
      <c r="N13" t="n">
        <v>5852</v>
      </c>
      <c r="O13" t="n">
        <v>6106</v>
      </c>
      <c r="P13" t="n">
        <v>6126</v>
      </c>
      <c r="Q13" t="n">
        <v>6208</v>
      </c>
      <c r="R13" t="n">
        <v>6350</v>
      </c>
      <c r="S13" t="n">
        <v>6724</v>
      </c>
      <c r="T13" t="n">
        <v>7083</v>
      </c>
      <c r="U13" t="n">
        <v>7023</v>
      </c>
      <c r="V13" t="n">
        <v>6799</v>
      </c>
      <c r="W13" t="n">
        <v>7137</v>
      </c>
      <c r="X13" t="n">
        <v>7073</v>
      </c>
      <c r="Y13" t="n">
        <v>7013</v>
      </c>
      <c r="Z13" t="n">
        <v>6926</v>
      </c>
      <c r="AA13" t="n">
        <v>6808</v>
      </c>
      <c r="AB13" t="n">
        <v>6807</v>
      </c>
      <c r="AC13" t="n">
        <v>6876</v>
      </c>
      <c r="AD13" t="n">
        <v>7048</v>
      </c>
      <c r="AE13" t="n">
        <v>7140</v>
      </c>
      <c r="AF13" t="n">
        <v>7083</v>
      </c>
    </row>
    <row r="14">
      <c r="A14" t="s">
        <v>138</v>
      </c>
      <c r="B14" t="s">
        <v>298</v>
      </c>
      <c r="C14" t="s">
        <v>236</v>
      </c>
      <c r="D14" t="s">
        <v>299</v>
      </c>
      <c r="E14" t="s">
        <v>237</v>
      </c>
      <c r="F14" t="n">
        <v>2771</v>
      </c>
      <c r="G14" t="n">
        <v>3120</v>
      </c>
      <c r="H14" t="n">
        <v>3620</v>
      </c>
      <c r="I14" t="n">
        <v>4355</v>
      </c>
      <c r="J14" t="n">
        <v>5486</v>
      </c>
      <c r="K14" t="n">
        <v>6656</v>
      </c>
      <c r="L14" t="n">
        <v>7788</v>
      </c>
      <c r="M14" t="n">
        <v>8528</v>
      </c>
      <c r="N14" t="n">
        <v>9309</v>
      </c>
      <c r="O14" t="n">
        <v>10070</v>
      </c>
      <c r="P14" t="n">
        <v>11012</v>
      </c>
      <c r="Q14" t="n">
        <v>11955</v>
      </c>
      <c r="R14" t="n">
        <v>12642</v>
      </c>
      <c r="S14" t="n">
        <v>13635</v>
      </c>
      <c r="T14" t="n">
        <v>14565</v>
      </c>
      <c r="U14" t="n">
        <v>15184</v>
      </c>
      <c r="V14" t="n">
        <v>15140</v>
      </c>
      <c r="W14" t="n">
        <v>14299</v>
      </c>
      <c r="X14" t="n">
        <v>13538</v>
      </c>
      <c r="Y14" t="n">
        <v>12812</v>
      </c>
      <c r="Z14" t="n">
        <v>11784</v>
      </c>
      <c r="AA14" t="n">
        <v>10702</v>
      </c>
      <c r="AB14" t="n">
        <v>9921</v>
      </c>
      <c r="AC14" t="n">
        <v>9061</v>
      </c>
      <c r="AD14" t="n">
        <v>8379</v>
      </c>
      <c r="AE14" t="n">
        <v>8058</v>
      </c>
      <c r="AF14" t="n">
        <v>7737</v>
      </c>
    </row>
    <row r="15">
      <c r="A15" t="s">
        <v>138</v>
      </c>
      <c r="B15" t="s">
        <v>300</v>
      </c>
      <c r="C15" t="s">
        <v>236</v>
      </c>
      <c r="D15" t="s">
        <v>301</v>
      </c>
      <c r="E15" t="s">
        <v>237</v>
      </c>
      <c r="F15" t="n">
        <v>3588</v>
      </c>
      <c r="G15" t="n">
        <v>3952</v>
      </c>
      <c r="H15" t="n">
        <v>4488</v>
      </c>
      <c r="I15" t="n">
        <v>5271</v>
      </c>
      <c r="J15" t="n">
        <v>6428</v>
      </c>
      <c r="K15" t="n">
        <v>7609</v>
      </c>
      <c r="L15" t="n">
        <v>8772</v>
      </c>
      <c r="M15" t="n">
        <v>9522</v>
      </c>
      <c r="N15" t="n">
        <v>10330</v>
      </c>
      <c r="O15" t="n">
        <v>11098</v>
      </c>
      <c r="P15" t="n">
        <v>12066</v>
      </c>
      <c r="Q15" t="n">
        <v>13043</v>
      </c>
      <c r="R15" t="n">
        <v>13801</v>
      </c>
      <c r="S15" t="n">
        <v>14941</v>
      </c>
      <c r="T15" t="n">
        <v>16002</v>
      </c>
      <c r="U15" t="n">
        <v>16737</v>
      </c>
      <c r="V15" t="n">
        <v>16726</v>
      </c>
      <c r="W15" t="n">
        <v>15978</v>
      </c>
      <c r="X15" t="n">
        <v>15234</v>
      </c>
      <c r="Y15" t="n">
        <v>14576</v>
      </c>
      <c r="Z15" t="n">
        <v>13623</v>
      </c>
      <c r="AA15" t="n">
        <v>12581</v>
      </c>
      <c r="AB15" t="n">
        <v>11548</v>
      </c>
      <c r="AC15" t="n">
        <v>10728</v>
      </c>
      <c r="AD15" t="n">
        <v>10115</v>
      </c>
      <c r="AE15" t="n">
        <v>9859</v>
      </c>
      <c r="AF15" t="n">
        <v>9564</v>
      </c>
    </row>
    <row r="16">
      <c r="A16" t="s">
        <v>138</v>
      </c>
      <c r="B16" t="s">
        <v>302</v>
      </c>
      <c r="C16" t="s">
        <v>236</v>
      </c>
      <c r="D16" t="s">
        <v>303</v>
      </c>
      <c r="E16" t="s">
        <v>237</v>
      </c>
      <c r="F16" t="n">
        <v>817</v>
      </c>
      <c r="G16" t="n">
        <v>832</v>
      </c>
      <c r="H16" t="n">
        <v>868</v>
      </c>
      <c r="I16" t="n">
        <v>916</v>
      </c>
      <c r="J16" t="n">
        <v>942</v>
      </c>
      <c r="K16" t="n">
        <v>953</v>
      </c>
      <c r="L16" t="n">
        <v>984</v>
      </c>
      <c r="M16" t="n">
        <v>994</v>
      </c>
      <c r="N16" t="n">
        <v>1021</v>
      </c>
      <c r="O16" t="n">
        <v>1028</v>
      </c>
      <c r="P16" t="n">
        <v>1054</v>
      </c>
      <c r="Q16" t="n">
        <v>1088</v>
      </c>
      <c r="R16" t="n">
        <v>1159</v>
      </c>
      <c r="S16" t="n">
        <v>1306</v>
      </c>
      <c r="T16" t="n">
        <v>1437</v>
      </c>
      <c r="U16" t="n">
        <v>1553</v>
      </c>
      <c r="V16" t="n">
        <v>1586</v>
      </c>
      <c r="W16" t="n">
        <v>1679</v>
      </c>
      <c r="X16" t="n">
        <v>1696</v>
      </c>
      <c r="Y16" t="n">
        <v>1764</v>
      </c>
      <c r="Z16" t="n">
        <v>1839</v>
      </c>
      <c r="AA16" t="n">
        <v>1879</v>
      </c>
      <c r="AB16" t="n">
        <v>1627</v>
      </c>
      <c r="AC16" t="n">
        <v>1667</v>
      </c>
      <c r="AD16" t="n">
        <v>1736</v>
      </c>
      <c r="AE16" t="n">
        <v>1801</v>
      </c>
      <c r="AF16" t="n">
        <v>1827</v>
      </c>
    </row>
    <row r="17">
      <c r="A17" t="s">
        <v>138</v>
      </c>
      <c r="B17" t="s">
        <v>304</v>
      </c>
      <c r="C17" t="s">
        <v>236</v>
      </c>
      <c r="D17" t="s">
        <v>305</v>
      </c>
      <c r="E17" t="s">
        <v>237</v>
      </c>
      <c r="F17" t="n">
        <v>2221</v>
      </c>
      <c r="G17" t="n">
        <v>2272</v>
      </c>
      <c r="H17" t="n">
        <v>2378</v>
      </c>
      <c r="I17" t="n">
        <v>2456</v>
      </c>
      <c r="J17" t="n">
        <v>2527</v>
      </c>
      <c r="K17" t="n">
        <v>2594</v>
      </c>
      <c r="L17" t="n">
        <v>2696</v>
      </c>
      <c r="M17" t="n">
        <v>2770</v>
      </c>
      <c r="N17" t="n">
        <v>2832</v>
      </c>
      <c r="O17" t="n">
        <v>2769</v>
      </c>
      <c r="P17" t="n">
        <v>2796</v>
      </c>
      <c r="Q17" t="n">
        <v>2890</v>
      </c>
      <c r="R17" t="n">
        <v>3002</v>
      </c>
      <c r="S17" t="n">
        <v>3308</v>
      </c>
      <c r="T17" t="n">
        <v>3633</v>
      </c>
      <c r="U17" t="n">
        <v>3662</v>
      </c>
      <c r="V17" t="n">
        <v>3676</v>
      </c>
      <c r="W17" t="n">
        <v>3865</v>
      </c>
      <c r="X17" t="n">
        <v>4041</v>
      </c>
      <c r="Y17" t="n">
        <v>4214</v>
      </c>
      <c r="Z17" t="n">
        <v>4338</v>
      </c>
      <c r="AA17" t="n">
        <v>4438</v>
      </c>
      <c r="AB17" t="n">
        <v>4572</v>
      </c>
      <c r="AC17" t="n">
        <v>4821</v>
      </c>
      <c r="AD17" t="n">
        <v>5018</v>
      </c>
      <c r="AE17" t="n">
        <v>5283</v>
      </c>
      <c r="AF17" t="n">
        <v>5421</v>
      </c>
    </row>
    <row r="18">
      <c r="A18" t="s">
        <v>138</v>
      </c>
      <c r="B18" t="s">
        <v>306</v>
      </c>
      <c r="C18" t="s">
        <v>236</v>
      </c>
      <c r="D18" t="s">
        <v>307</v>
      </c>
      <c r="E18" t="s">
        <v>237</v>
      </c>
      <c r="F18" t="n">
        <v>1513</v>
      </c>
      <c r="G18" t="n">
        <v>1490</v>
      </c>
      <c r="H18" t="n">
        <v>1457</v>
      </c>
      <c r="I18" t="n">
        <v>1454</v>
      </c>
      <c r="J18" t="n">
        <v>1450</v>
      </c>
      <c r="K18" t="n">
        <v>1440</v>
      </c>
      <c r="L18" t="n">
        <v>1459</v>
      </c>
      <c r="M18" t="n">
        <v>1473</v>
      </c>
      <c r="N18" t="n">
        <v>1419</v>
      </c>
      <c r="O18" t="n">
        <v>1384</v>
      </c>
      <c r="P18" t="n">
        <v>1386</v>
      </c>
      <c r="Q18" t="n">
        <v>1432</v>
      </c>
      <c r="R18" t="n">
        <v>1442</v>
      </c>
      <c r="S18" t="n">
        <v>1483</v>
      </c>
      <c r="T18" t="n">
        <v>1536</v>
      </c>
      <c r="U18" t="n">
        <v>1482</v>
      </c>
      <c r="V18" t="n">
        <v>1421</v>
      </c>
      <c r="W18" t="n">
        <v>1447</v>
      </c>
      <c r="X18" t="n">
        <v>1499</v>
      </c>
      <c r="Y18" t="n">
        <v>1437</v>
      </c>
      <c r="Z18" t="n">
        <v>1375</v>
      </c>
      <c r="AA18" t="n">
        <v>1347</v>
      </c>
      <c r="AB18" t="n">
        <v>1414</v>
      </c>
      <c r="AC18" t="n">
        <v>1527</v>
      </c>
      <c r="AD18" t="n">
        <v>1513</v>
      </c>
      <c r="AE18" t="n">
        <v>1568</v>
      </c>
      <c r="AF18" t="n">
        <v>1628</v>
      </c>
    </row>
    <row r="19">
      <c r="A19" t="s">
        <v>138</v>
      </c>
      <c r="B19" t="s">
        <v>308</v>
      </c>
      <c r="C19" t="s">
        <v>236</v>
      </c>
      <c r="D19" t="s">
        <v>309</v>
      </c>
      <c r="E19" t="s">
        <v>237</v>
      </c>
      <c r="F19" t="n">
        <v>1442</v>
      </c>
      <c r="G19" t="n">
        <v>1445</v>
      </c>
      <c r="H19" t="n">
        <v>1534</v>
      </c>
      <c r="I19" t="n">
        <v>1630</v>
      </c>
      <c r="J19" t="n">
        <v>1742</v>
      </c>
      <c r="K19" t="n">
        <v>1853</v>
      </c>
      <c r="L19" t="n">
        <v>1961</v>
      </c>
      <c r="M19" t="n">
        <v>2067</v>
      </c>
      <c r="N19" t="n">
        <v>2081</v>
      </c>
      <c r="O19" t="n">
        <v>2060</v>
      </c>
      <c r="P19" t="n">
        <v>2065</v>
      </c>
      <c r="Q19" t="n">
        <v>2102</v>
      </c>
      <c r="R19" t="n">
        <v>2148</v>
      </c>
      <c r="S19" t="n">
        <v>2051</v>
      </c>
      <c r="T19" t="n">
        <v>1951</v>
      </c>
      <c r="U19" t="n">
        <v>1819</v>
      </c>
      <c r="V19" t="n">
        <v>1656</v>
      </c>
      <c r="W19" t="n">
        <v>1566</v>
      </c>
      <c r="X19" t="n">
        <v>1469</v>
      </c>
      <c r="Y19" t="n">
        <v>1378</v>
      </c>
      <c r="Z19" t="n">
        <v>1308</v>
      </c>
      <c r="AA19" t="n">
        <v>1307</v>
      </c>
      <c r="AB19" t="n">
        <v>1267</v>
      </c>
      <c r="AC19" t="n">
        <v>1277</v>
      </c>
      <c r="AD19" t="n">
        <v>1292</v>
      </c>
      <c r="AE19" t="n">
        <v>1345</v>
      </c>
      <c r="AF19" t="n">
        <v>1452</v>
      </c>
    </row>
    <row r="20">
      <c r="A20" t="s">
        <v>138</v>
      </c>
      <c r="B20" t="s">
        <v>310</v>
      </c>
      <c r="C20" t="s">
        <v>236</v>
      </c>
      <c r="D20" t="s">
        <v>311</v>
      </c>
      <c r="E20" t="s">
        <v>237</v>
      </c>
      <c r="F20" t="n">
        <v>13445</v>
      </c>
      <c r="G20" t="n">
        <v>13248</v>
      </c>
      <c r="H20" t="n">
        <v>13449</v>
      </c>
      <c r="I20" t="n">
        <v>13700</v>
      </c>
      <c r="J20" t="n">
        <v>13688</v>
      </c>
      <c r="K20" t="n">
        <v>13899</v>
      </c>
      <c r="L20" t="n">
        <v>14453</v>
      </c>
      <c r="M20" t="n">
        <v>14855</v>
      </c>
      <c r="N20" t="n">
        <v>14850</v>
      </c>
      <c r="O20" t="n">
        <v>15260</v>
      </c>
      <c r="P20" t="n">
        <v>15823</v>
      </c>
      <c r="Q20" t="n">
        <v>16507</v>
      </c>
      <c r="R20" t="n">
        <v>17293</v>
      </c>
      <c r="S20" t="n">
        <v>18625</v>
      </c>
      <c r="T20" t="n">
        <v>20393</v>
      </c>
      <c r="U20" t="n">
        <v>20637</v>
      </c>
      <c r="V20" t="n">
        <v>21157</v>
      </c>
      <c r="W20" t="n">
        <v>22473</v>
      </c>
      <c r="X20" t="n">
        <v>24045</v>
      </c>
      <c r="Y20" t="n">
        <v>25327</v>
      </c>
      <c r="Z20" t="n">
        <v>26539</v>
      </c>
      <c r="AA20" t="n">
        <v>28187</v>
      </c>
      <c r="AB20" t="n">
        <v>29385</v>
      </c>
      <c r="AC20" t="n">
        <v>30711</v>
      </c>
      <c r="AD20" t="n">
        <v>31912</v>
      </c>
      <c r="AE20" t="n">
        <v>33342</v>
      </c>
      <c r="AF20" t="n">
        <v>34050</v>
      </c>
    </row>
    <row r="21">
      <c r="A21" t="s">
        <v>138</v>
      </c>
      <c r="B21" t="s">
        <v>312</v>
      </c>
      <c r="C21" t="s">
        <v>236</v>
      </c>
      <c r="D21" t="s">
        <v>313</v>
      </c>
      <c r="E21" t="s">
        <v>237</v>
      </c>
      <c r="F21" t="n">
        <v>18010</v>
      </c>
      <c r="G21" t="n">
        <v>17840</v>
      </c>
      <c r="H21" t="n">
        <v>18097</v>
      </c>
      <c r="I21" t="n">
        <v>18518</v>
      </c>
      <c r="J21" t="n">
        <v>18651</v>
      </c>
      <c r="K21" t="n">
        <v>19051</v>
      </c>
      <c r="L21" t="n">
        <v>19858</v>
      </c>
      <c r="M21" t="n">
        <v>20547</v>
      </c>
      <c r="N21" t="n">
        <v>20675</v>
      </c>
      <c r="O21" t="n">
        <v>21233</v>
      </c>
      <c r="P21" t="n">
        <v>22059</v>
      </c>
      <c r="Q21" t="n">
        <v>23179</v>
      </c>
      <c r="R21" t="n">
        <v>24467</v>
      </c>
      <c r="S21" t="n">
        <v>26407</v>
      </c>
      <c r="T21" t="n">
        <v>28891</v>
      </c>
      <c r="U21" t="n">
        <v>29228</v>
      </c>
      <c r="V21" t="n">
        <v>29862</v>
      </c>
      <c r="W21" t="n">
        <v>31653</v>
      </c>
      <c r="X21" t="n">
        <v>33705</v>
      </c>
      <c r="Y21" t="n">
        <v>35102</v>
      </c>
      <c r="Z21" t="n">
        <v>36354</v>
      </c>
      <c r="AA21" t="n">
        <v>37973</v>
      </c>
      <c r="AB21" t="n">
        <v>39120</v>
      </c>
      <c r="AC21" t="n">
        <v>40854</v>
      </c>
      <c r="AD21" t="n">
        <v>42380</v>
      </c>
      <c r="AE21" t="n">
        <v>44390</v>
      </c>
      <c r="AF21" t="n">
        <v>45343</v>
      </c>
    </row>
    <row r="22">
      <c r="A22" t="s">
        <v>138</v>
      </c>
      <c r="B22" t="s">
        <v>314</v>
      </c>
      <c r="C22" t="s">
        <v>236</v>
      </c>
      <c r="D22" t="s">
        <v>315</v>
      </c>
      <c r="E22" t="s">
        <v>237</v>
      </c>
      <c r="F22" t="n">
        <v>4565</v>
      </c>
      <c r="G22" t="n">
        <v>4592</v>
      </c>
      <c r="H22" t="n">
        <v>4648</v>
      </c>
      <c r="I22" t="n">
        <v>4818</v>
      </c>
      <c r="J22" t="n">
        <v>4963</v>
      </c>
      <c r="K22" t="n">
        <v>5152</v>
      </c>
      <c r="L22" t="n">
        <v>5405</v>
      </c>
      <c r="M22" t="n">
        <v>5692</v>
      </c>
      <c r="N22" t="n">
        <v>5825</v>
      </c>
      <c r="O22" t="n">
        <v>5973</v>
      </c>
      <c r="P22" t="n">
        <v>6236</v>
      </c>
      <c r="Q22" t="n">
        <v>6672</v>
      </c>
      <c r="R22" t="n">
        <v>7174</v>
      </c>
      <c r="S22" t="n">
        <v>7782</v>
      </c>
      <c r="T22" t="n">
        <v>8498</v>
      </c>
      <c r="U22" t="n">
        <v>8591</v>
      </c>
      <c r="V22" t="n">
        <v>8705</v>
      </c>
      <c r="W22" t="n">
        <v>9180</v>
      </c>
      <c r="X22" t="n">
        <v>9660</v>
      </c>
      <c r="Y22" t="n">
        <v>9775</v>
      </c>
      <c r="Z22" t="n">
        <v>9815</v>
      </c>
      <c r="AA22" t="n">
        <v>9786</v>
      </c>
      <c r="AB22" t="n">
        <v>9735</v>
      </c>
      <c r="AC22" t="n">
        <v>10143</v>
      </c>
      <c r="AD22" t="n">
        <v>10468</v>
      </c>
      <c r="AE22" t="n">
        <v>11048</v>
      </c>
      <c r="AF22" t="n">
        <v>11293</v>
      </c>
    </row>
    <row r="23">
      <c r="A23" t="s">
        <v>138</v>
      </c>
      <c r="B23" t="s">
        <v>316</v>
      </c>
      <c r="C23" t="s">
        <v>236</v>
      </c>
      <c r="D23" t="s">
        <v>317</v>
      </c>
      <c r="E23" t="s">
        <v>237</v>
      </c>
      <c r="F23" t="n">
        <v>2109</v>
      </c>
      <c r="G23" t="n">
        <v>2084</v>
      </c>
      <c r="H23" t="n">
        <v>2154</v>
      </c>
      <c r="I23" t="n">
        <v>2213</v>
      </c>
      <c r="J23" t="n">
        <v>2384</v>
      </c>
      <c r="K23" t="n">
        <v>2593</v>
      </c>
      <c r="L23" t="n">
        <v>2762</v>
      </c>
      <c r="M23" t="n">
        <v>2930</v>
      </c>
      <c r="N23" t="n">
        <v>3070</v>
      </c>
      <c r="O23" t="n">
        <v>3169</v>
      </c>
      <c r="P23" t="n">
        <v>3360</v>
      </c>
      <c r="Q23" t="n">
        <v>3621</v>
      </c>
      <c r="R23" t="n">
        <v>3936</v>
      </c>
      <c r="S23" t="n">
        <v>4361</v>
      </c>
      <c r="T23" t="n">
        <v>4529</v>
      </c>
      <c r="U23" t="n">
        <v>4610</v>
      </c>
      <c r="V23" t="n">
        <v>4629</v>
      </c>
      <c r="W23" t="n">
        <v>4861</v>
      </c>
      <c r="X23" t="n">
        <v>5064</v>
      </c>
      <c r="Y23" t="n">
        <v>5153</v>
      </c>
      <c r="Z23" t="n">
        <v>5200</v>
      </c>
      <c r="AA23" t="n">
        <v>5387</v>
      </c>
      <c r="AB23" t="n">
        <v>5662</v>
      </c>
      <c r="AC23" t="n">
        <v>5972</v>
      </c>
      <c r="AD23" t="n">
        <v>6379</v>
      </c>
      <c r="AE23" t="n">
        <v>6830</v>
      </c>
      <c r="AF23" t="n">
        <v>7209</v>
      </c>
    </row>
    <row r="24">
      <c r="A24" t="s">
        <v>138</v>
      </c>
      <c r="B24" t="s">
        <v>318</v>
      </c>
      <c r="C24" t="s">
        <v>236</v>
      </c>
      <c r="D24" t="s">
        <v>319</v>
      </c>
      <c r="E24" t="s">
        <v>237</v>
      </c>
      <c r="F24" t="n">
        <v>12759</v>
      </c>
      <c r="G24" t="n">
        <v>12584</v>
      </c>
      <c r="H24" t="n">
        <v>12555</v>
      </c>
      <c r="I24" t="n">
        <v>12540</v>
      </c>
      <c r="J24" t="n">
        <v>12850</v>
      </c>
      <c r="K24" t="n">
        <v>13265</v>
      </c>
      <c r="L24" t="n">
        <v>13557</v>
      </c>
      <c r="M24" t="n">
        <v>13869</v>
      </c>
      <c r="N24" t="n">
        <v>13688</v>
      </c>
      <c r="O24" t="n">
        <v>13410</v>
      </c>
      <c r="P24" t="n">
        <v>13363</v>
      </c>
      <c r="Q24" t="n">
        <v>13257</v>
      </c>
      <c r="R24" t="n">
        <v>13567</v>
      </c>
      <c r="S24" t="n">
        <v>14129</v>
      </c>
      <c r="T24" t="n">
        <v>14498</v>
      </c>
      <c r="U24" t="n">
        <v>14172</v>
      </c>
      <c r="V24" t="n">
        <v>13516</v>
      </c>
      <c r="W24" t="n">
        <v>13979</v>
      </c>
      <c r="X24" t="n">
        <v>14466</v>
      </c>
      <c r="Y24" t="n">
        <v>14583</v>
      </c>
      <c r="Z24" t="n">
        <v>14216</v>
      </c>
      <c r="AA24" t="n">
        <v>14448</v>
      </c>
      <c r="AB24" t="n">
        <v>14774</v>
      </c>
      <c r="AC24" t="n">
        <v>15251</v>
      </c>
      <c r="AD24" t="n">
        <v>15626</v>
      </c>
      <c r="AE24" t="n">
        <v>16017</v>
      </c>
      <c r="AF24" t="n">
        <v>16344</v>
      </c>
    </row>
    <row r="25">
      <c r="A25" t="s">
        <v>138</v>
      </c>
      <c r="B25" t="s">
        <v>320</v>
      </c>
      <c r="C25" t="s">
        <v>236</v>
      </c>
      <c r="D25" t="s">
        <v>321</v>
      </c>
      <c r="E25" t="s">
        <v>237</v>
      </c>
      <c r="F25" t="n">
        <v>1735</v>
      </c>
      <c r="G25" t="n">
        <v>1675</v>
      </c>
      <c r="H25" t="n">
        <v>1658</v>
      </c>
      <c r="I25" t="n">
        <v>1650</v>
      </c>
      <c r="J25" t="n">
        <v>1687</v>
      </c>
      <c r="K25" t="n">
        <v>1717</v>
      </c>
      <c r="L25" t="n">
        <v>1740</v>
      </c>
      <c r="M25" t="n">
        <v>1774</v>
      </c>
      <c r="N25" t="n">
        <v>1741</v>
      </c>
      <c r="O25" t="n">
        <v>1723</v>
      </c>
      <c r="P25" t="n">
        <v>1713</v>
      </c>
      <c r="Q25" t="n">
        <v>1779</v>
      </c>
      <c r="R25" t="n">
        <v>1799</v>
      </c>
      <c r="S25" t="n">
        <v>1884</v>
      </c>
      <c r="T25" t="n">
        <v>1934</v>
      </c>
      <c r="U25" t="n">
        <v>1929</v>
      </c>
      <c r="V25" t="n">
        <v>1852</v>
      </c>
      <c r="W25" t="n">
        <v>1879</v>
      </c>
      <c r="X25" t="n">
        <v>1903</v>
      </c>
      <c r="Y25" t="n">
        <v>1897</v>
      </c>
      <c r="Z25" t="n">
        <v>1851</v>
      </c>
      <c r="AA25" t="n">
        <v>1894</v>
      </c>
      <c r="AB25" t="n">
        <v>1880</v>
      </c>
      <c r="AC25" t="n">
        <v>1931</v>
      </c>
      <c r="AD25" t="n">
        <v>2011</v>
      </c>
      <c r="AE25" t="n">
        <v>2071</v>
      </c>
      <c r="AF25" t="n">
        <v>2128</v>
      </c>
    </row>
    <row r="26">
      <c r="A26" t="s">
        <v>138</v>
      </c>
      <c r="B26" t="s">
        <v>322</v>
      </c>
      <c r="C26" t="s">
        <v>236</v>
      </c>
      <c r="D26" t="s">
        <v>323</v>
      </c>
      <c r="E26" t="s">
        <v>237</v>
      </c>
      <c r="F26" t="n">
        <v>6644</v>
      </c>
      <c r="G26" t="n">
        <v>6623</v>
      </c>
      <c r="H26" t="n">
        <v>6627</v>
      </c>
      <c r="I26" t="n">
        <v>6611</v>
      </c>
      <c r="J26" t="n">
        <v>6723</v>
      </c>
      <c r="K26" t="n">
        <v>6927</v>
      </c>
      <c r="L26" t="n">
        <v>7080</v>
      </c>
      <c r="M26" t="n">
        <v>7196</v>
      </c>
      <c r="N26" t="n">
        <v>6962</v>
      </c>
      <c r="O26" t="n">
        <v>6638</v>
      </c>
      <c r="P26" t="n">
        <v>6553</v>
      </c>
      <c r="Q26" t="n">
        <v>6328</v>
      </c>
      <c r="R26" t="n">
        <v>6492</v>
      </c>
      <c r="S26" t="n">
        <v>6737</v>
      </c>
      <c r="T26" t="n">
        <v>6792</v>
      </c>
      <c r="U26" t="n">
        <v>6492</v>
      </c>
      <c r="V26" t="n">
        <v>6199</v>
      </c>
      <c r="W26" t="n">
        <v>6412</v>
      </c>
      <c r="X26" t="n">
        <v>6586</v>
      </c>
      <c r="Y26" t="n">
        <v>6651</v>
      </c>
      <c r="Z26" t="n">
        <v>6332</v>
      </c>
      <c r="AA26" t="n">
        <v>6422</v>
      </c>
      <c r="AB26" t="n">
        <v>6637</v>
      </c>
      <c r="AC26" t="n">
        <v>6911</v>
      </c>
      <c r="AD26" t="n">
        <v>7004</v>
      </c>
      <c r="AE26" t="n">
        <v>7062</v>
      </c>
      <c r="AF26" t="n">
        <v>7011</v>
      </c>
    </row>
    <row r="27">
      <c r="A27" t="s">
        <v>138</v>
      </c>
      <c r="B27" t="s">
        <v>324</v>
      </c>
      <c r="C27" t="s">
        <v>236</v>
      </c>
      <c r="D27" t="s">
        <v>325</v>
      </c>
      <c r="E27" t="s">
        <v>237</v>
      </c>
      <c r="F27" t="n">
        <v>4380</v>
      </c>
      <c r="G27" t="n">
        <v>4286</v>
      </c>
      <c r="H27" t="n">
        <v>4270</v>
      </c>
      <c r="I27" t="n">
        <v>4279</v>
      </c>
      <c r="J27" t="n">
        <v>4440</v>
      </c>
      <c r="K27" t="n">
        <v>4621</v>
      </c>
      <c r="L27" t="n">
        <v>4737</v>
      </c>
      <c r="M27" t="n">
        <v>4899</v>
      </c>
      <c r="N27" t="n">
        <v>4985</v>
      </c>
      <c r="O27" t="n">
        <v>5049</v>
      </c>
      <c r="P27" t="n">
        <v>5097</v>
      </c>
      <c r="Q27" t="n">
        <v>5150</v>
      </c>
      <c r="R27" t="n">
        <v>5276</v>
      </c>
      <c r="S27" t="n">
        <v>5508</v>
      </c>
      <c r="T27" t="n">
        <v>5772</v>
      </c>
      <c r="U27" t="n">
        <v>5751</v>
      </c>
      <c r="V27" t="n">
        <v>5465</v>
      </c>
      <c r="W27" t="n">
        <v>5688</v>
      </c>
      <c r="X27" t="n">
        <v>5977</v>
      </c>
      <c r="Y27" t="n">
        <v>6035</v>
      </c>
      <c r="Z27" t="n">
        <v>6033</v>
      </c>
      <c r="AA27" t="n">
        <v>6132</v>
      </c>
      <c r="AB27" t="n">
        <v>6257</v>
      </c>
      <c r="AC27" t="n">
        <v>6409</v>
      </c>
      <c r="AD27" t="n">
        <v>6611</v>
      </c>
      <c r="AE27" t="n">
        <v>6884</v>
      </c>
      <c r="AF27" t="n">
        <v>7205</v>
      </c>
    </row>
    <row r="28">
      <c r="A28" t="s">
        <v>138</v>
      </c>
      <c r="B28" t="s">
        <v>326</v>
      </c>
      <c r="C28" t="s">
        <v>236</v>
      </c>
      <c r="D28" t="s">
        <v>327</v>
      </c>
      <c r="E28" t="s">
        <v>237</v>
      </c>
      <c r="F28" t="n">
        <v>11430</v>
      </c>
      <c r="G28" t="n">
        <v>11245</v>
      </c>
      <c r="H28" t="n">
        <v>11489</v>
      </c>
      <c r="I28" t="n">
        <v>12218</v>
      </c>
      <c r="J28" t="n">
        <v>12633</v>
      </c>
      <c r="K28" t="n">
        <v>12834</v>
      </c>
      <c r="L28" t="n">
        <v>13640</v>
      </c>
      <c r="M28" t="n">
        <v>13940</v>
      </c>
      <c r="N28" t="n">
        <v>13767</v>
      </c>
      <c r="O28" t="n">
        <v>14042</v>
      </c>
      <c r="P28" t="n">
        <v>14164</v>
      </c>
      <c r="Q28" t="n">
        <v>14554</v>
      </c>
      <c r="R28" t="n">
        <v>15007</v>
      </c>
      <c r="S28" t="n">
        <v>15363</v>
      </c>
      <c r="T28" t="n">
        <v>15950</v>
      </c>
      <c r="U28" t="n">
        <v>15626</v>
      </c>
      <c r="V28" t="n">
        <v>15571</v>
      </c>
      <c r="W28" t="n">
        <v>15843</v>
      </c>
      <c r="X28" t="n">
        <v>16345</v>
      </c>
      <c r="Y28" t="n">
        <v>16097</v>
      </c>
      <c r="Z28" t="n">
        <v>16164</v>
      </c>
      <c r="AA28" t="n">
        <v>16675</v>
      </c>
      <c r="AB28" t="n">
        <v>16921</v>
      </c>
      <c r="AC28" t="n">
        <v>16324</v>
      </c>
      <c r="AD28" t="n">
        <v>18128</v>
      </c>
      <c r="AE28" t="n">
        <v>18472</v>
      </c>
      <c r="AF28" t="n">
        <v>18221</v>
      </c>
    </row>
    <row r="29">
      <c r="A29" t="s">
        <v>138</v>
      </c>
      <c r="B29" t="s">
        <v>328</v>
      </c>
      <c r="C29" t="s">
        <v>236</v>
      </c>
      <c r="D29" t="s">
        <v>329</v>
      </c>
      <c r="E29" t="s">
        <v>237</v>
      </c>
      <c r="F29" t="n">
        <v>3372</v>
      </c>
      <c r="G29" t="n">
        <v>3459</v>
      </c>
      <c r="H29" t="n">
        <v>3581</v>
      </c>
      <c r="I29" t="n">
        <v>3832</v>
      </c>
      <c r="J29" t="n">
        <v>3984</v>
      </c>
      <c r="K29" t="n">
        <v>4080</v>
      </c>
      <c r="L29" t="n">
        <v>4334</v>
      </c>
      <c r="M29" t="n">
        <v>4497</v>
      </c>
      <c r="N29" t="n">
        <v>4542</v>
      </c>
      <c r="O29" t="n">
        <v>4638</v>
      </c>
      <c r="P29" t="n">
        <v>4752</v>
      </c>
      <c r="Q29" t="n">
        <v>4736</v>
      </c>
      <c r="R29" t="n">
        <v>4708</v>
      </c>
      <c r="S29" t="n">
        <v>4860</v>
      </c>
      <c r="T29" t="n">
        <v>4910</v>
      </c>
      <c r="U29" t="n">
        <v>4819</v>
      </c>
      <c r="V29" t="n">
        <v>4858</v>
      </c>
      <c r="W29" t="n">
        <v>4815</v>
      </c>
      <c r="X29" t="n">
        <v>4851</v>
      </c>
      <c r="Y29" t="n">
        <v>4745</v>
      </c>
      <c r="Z29" t="n">
        <v>4818</v>
      </c>
      <c r="AA29" t="n">
        <v>4949</v>
      </c>
      <c r="AB29" t="n">
        <v>5108</v>
      </c>
      <c r="AC29" t="n">
        <v>4260</v>
      </c>
      <c r="AD29" t="n">
        <v>5532</v>
      </c>
      <c r="AE29" t="n">
        <v>5620</v>
      </c>
      <c r="AF29" t="n">
        <v>5733</v>
      </c>
    </row>
    <row r="30">
      <c r="A30" t="s">
        <v>138</v>
      </c>
      <c r="B30" t="s">
        <v>330</v>
      </c>
      <c r="C30" t="s">
        <v>236</v>
      </c>
      <c r="D30" t="s">
        <v>331</v>
      </c>
      <c r="E30" t="s">
        <v>237</v>
      </c>
      <c r="F30" t="n">
        <v>3583</v>
      </c>
      <c r="G30" t="n">
        <v>3259</v>
      </c>
      <c r="H30" t="n">
        <v>3315</v>
      </c>
      <c r="I30" t="n">
        <v>3447</v>
      </c>
      <c r="J30" t="n">
        <v>3405</v>
      </c>
      <c r="K30" t="n">
        <v>3279</v>
      </c>
      <c r="L30" t="n">
        <v>3500</v>
      </c>
      <c r="M30" t="n">
        <v>3499</v>
      </c>
      <c r="N30" t="n">
        <v>3244</v>
      </c>
      <c r="O30" t="n">
        <v>3345</v>
      </c>
      <c r="P30" t="n">
        <v>3219</v>
      </c>
      <c r="Q30" t="n">
        <v>3249</v>
      </c>
      <c r="R30" t="n">
        <v>3331</v>
      </c>
      <c r="S30" t="n">
        <v>3103</v>
      </c>
      <c r="T30" t="n">
        <v>2956</v>
      </c>
      <c r="U30" t="n">
        <v>2791</v>
      </c>
      <c r="V30" t="n">
        <v>2835</v>
      </c>
      <c r="W30" t="n">
        <v>2990</v>
      </c>
      <c r="X30" t="n">
        <v>3061</v>
      </c>
      <c r="Y30" t="n">
        <v>2969</v>
      </c>
      <c r="Z30" t="n">
        <v>2836</v>
      </c>
      <c r="AA30" t="n">
        <v>2700</v>
      </c>
      <c r="AB30" t="n">
        <v>2470</v>
      </c>
      <c r="AC30" t="n">
        <v>2447</v>
      </c>
      <c r="AD30" t="n">
        <v>2378</v>
      </c>
      <c r="AE30" t="n">
        <v>2289</v>
      </c>
      <c r="AF30" t="n">
        <v>2127</v>
      </c>
    </row>
    <row r="31">
      <c r="A31" t="s">
        <v>138</v>
      </c>
      <c r="B31" t="s">
        <v>332</v>
      </c>
      <c r="C31" t="s">
        <v>236</v>
      </c>
      <c r="D31" t="s">
        <v>333</v>
      </c>
      <c r="E31" t="s">
        <v>237</v>
      </c>
      <c r="F31" t="n">
        <v>1068</v>
      </c>
      <c r="G31" t="n">
        <v>1010</v>
      </c>
      <c r="H31" t="n">
        <v>982</v>
      </c>
      <c r="I31" t="n">
        <v>1013</v>
      </c>
      <c r="J31" t="n">
        <v>1175</v>
      </c>
      <c r="K31" t="n">
        <v>1206</v>
      </c>
      <c r="L31" t="n">
        <v>1338</v>
      </c>
      <c r="M31" t="n">
        <v>1296</v>
      </c>
      <c r="N31" t="n">
        <v>1203</v>
      </c>
      <c r="O31" t="n">
        <v>1165</v>
      </c>
      <c r="P31" t="n">
        <v>1265</v>
      </c>
      <c r="Q31" t="n">
        <v>1391</v>
      </c>
      <c r="R31" t="n">
        <v>1484</v>
      </c>
      <c r="S31" t="n">
        <v>1521</v>
      </c>
      <c r="T31" t="n">
        <v>1702</v>
      </c>
      <c r="U31" t="n">
        <v>1627</v>
      </c>
      <c r="V31" t="n">
        <v>1526</v>
      </c>
      <c r="W31" t="n">
        <v>1463</v>
      </c>
      <c r="X31" t="n">
        <v>1635</v>
      </c>
      <c r="Y31" t="n">
        <v>1467</v>
      </c>
      <c r="Z31" t="n">
        <v>1574</v>
      </c>
      <c r="AA31" t="n">
        <v>1959</v>
      </c>
      <c r="AB31" t="n">
        <v>2075</v>
      </c>
      <c r="AC31" t="n">
        <v>2054</v>
      </c>
      <c r="AD31" t="n">
        <v>2161</v>
      </c>
      <c r="AE31" t="n">
        <v>2135</v>
      </c>
      <c r="AF31" t="n">
        <v>1657</v>
      </c>
    </row>
    <row r="32">
      <c r="A32" t="s">
        <v>138</v>
      </c>
      <c r="B32" t="s">
        <v>334</v>
      </c>
      <c r="C32" t="s">
        <v>236</v>
      </c>
      <c r="D32" t="s">
        <v>335</v>
      </c>
      <c r="E32" t="s">
        <v>237</v>
      </c>
      <c r="F32" t="n">
        <v>2924</v>
      </c>
      <c r="G32" t="n">
        <v>3026</v>
      </c>
      <c r="H32" t="n">
        <v>3093</v>
      </c>
      <c r="I32" t="n">
        <v>3359</v>
      </c>
      <c r="J32" t="n">
        <v>3460</v>
      </c>
      <c r="K32" t="n">
        <v>3614</v>
      </c>
      <c r="L32" t="n">
        <v>3798</v>
      </c>
      <c r="M32" t="n">
        <v>3965</v>
      </c>
      <c r="N32" t="n">
        <v>4107</v>
      </c>
      <c r="O32" t="n">
        <v>4247</v>
      </c>
      <c r="P32" t="n">
        <v>4306</v>
      </c>
      <c r="Q32" t="n">
        <v>4541</v>
      </c>
      <c r="R32" t="n">
        <v>4862</v>
      </c>
      <c r="S32" t="n">
        <v>5228</v>
      </c>
      <c r="T32" t="n">
        <v>5681</v>
      </c>
      <c r="U32" t="n">
        <v>5691</v>
      </c>
      <c r="V32" t="n">
        <v>5701</v>
      </c>
      <c r="W32" t="n">
        <v>5908</v>
      </c>
      <c r="X32" t="n">
        <v>6131</v>
      </c>
      <c r="Y32" t="n">
        <v>6247</v>
      </c>
      <c r="Z32" t="n">
        <v>6367</v>
      </c>
      <c r="AA32" t="n">
        <v>6559</v>
      </c>
      <c r="AB32" t="n">
        <v>6777</v>
      </c>
      <c r="AC32" t="n">
        <v>7090</v>
      </c>
      <c r="AD32" t="n">
        <v>7608</v>
      </c>
      <c r="AE32" t="n">
        <v>7989</v>
      </c>
      <c r="AF32" t="n">
        <v>8266</v>
      </c>
    </row>
    <row r="33">
      <c r="A33" t="s">
        <v>138</v>
      </c>
      <c r="B33" t="s">
        <v>336</v>
      </c>
      <c r="C33" t="s">
        <v>236</v>
      </c>
      <c r="D33" t="s">
        <v>337</v>
      </c>
      <c r="E33" t="s">
        <v>237</v>
      </c>
      <c r="F33" t="n">
        <v>483</v>
      </c>
      <c r="G33" t="n">
        <v>491</v>
      </c>
      <c r="H33" t="n">
        <v>518</v>
      </c>
      <c r="I33" t="n">
        <v>567</v>
      </c>
      <c r="J33" t="n">
        <v>609</v>
      </c>
      <c r="K33" t="n">
        <v>655</v>
      </c>
      <c r="L33" t="n">
        <v>670</v>
      </c>
      <c r="M33" t="n">
        <v>683</v>
      </c>
      <c r="N33" t="n">
        <v>671</v>
      </c>
      <c r="O33" t="n">
        <v>647</v>
      </c>
      <c r="P33" t="n">
        <v>622</v>
      </c>
      <c r="Q33" t="n">
        <v>637</v>
      </c>
      <c r="R33" t="n">
        <v>622</v>
      </c>
      <c r="S33" t="n">
        <v>651</v>
      </c>
      <c r="T33" t="n">
        <v>701</v>
      </c>
      <c r="U33" t="n">
        <v>698</v>
      </c>
      <c r="V33" t="n">
        <v>651</v>
      </c>
      <c r="W33" t="n">
        <v>667</v>
      </c>
      <c r="X33" t="n">
        <v>667</v>
      </c>
      <c r="Y33" t="n">
        <v>669</v>
      </c>
      <c r="Z33" t="n">
        <v>569</v>
      </c>
      <c r="AA33" t="n">
        <v>508</v>
      </c>
      <c r="AB33" t="n">
        <v>491</v>
      </c>
      <c r="AC33" t="n">
        <v>473</v>
      </c>
      <c r="AD33" t="n">
        <v>449</v>
      </c>
      <c r="AE33" t="n">
        <v>439</v>
      </c>
      <c r="AF33" t="n">
        <v>438</v>
      </c>
    </row>
    <row r="34">
      <c r="A34" t="s">
        <v>138</v>
      </c>
      <c r="B34" t="s">
        <v>338</v>
      </c>
      <c r="C34" t="s">
        <v>236</v>
      </c>
      <c r="D34" t="s">
        <v>339</v>
      </c>
      <c r="E34" t="s">
        <v>237</v>
      </c>
      <c r="F34" t="n">
        <v>1619</v>
      </c>
      <c r="G34" t="n">
        <v>1621</v>
      </c>
      <c r="H34" t="n">
        <v>1635</v>
      </c>
      <c r="I34" t="n">
        <v>1666</v>
      </c>
      <c r="J34" t="n">
        <v>1716</v>
      </c>
      <c r="K34" t="n">
        <v>1771</v>
      </c>
      <c r="L34" t="n">
        <v>1786</v>
      </c>
      <c r="M34" t="n">
        <v>1861</v>
      </c>
      <c r="N34" t="n">
        <v>1833</v>
      </c>
      <c r="O34" t="n">
        <v>1821</v>
      </c>
      <c r="P34" t="n">
        <v>1851</v>
      </c>
      <c r="Q34" t="n">
        <v>1952</v>
      </c>
      <c r="R34" t="n">
        <v>2032</v>
      </c>
      <c r="S34" t="n">
        <v>2149</v>
      </c>
      <c r="T34" t="n">
        <v>2246</v>
      </c>
      <c r="U34" t="n">
        <v>2245</v>
      </c>
      <c r="V34" t="n">
        <v>2143</v>
      </c>
      <c r="W34" t="n">
        <v>2200</v>
      </c>
      <c r="X34" t="n">
        <v>2252</v>
      </c>
      <c r="Y34" t="n">
        <v>2260</v>
      </c>
      <c r="Z34" t="n">
        <v>2259</v>
      </c>
      <c r="AA34" t="n">
        <v>2326</v>
      </c>
      <c r="AB34" t="n">
        <v>2392</v>
      </c>
      <c r="AC34" t="n">
        <v>2508</v>
      </c>
      <c r="AD34" t="n">
        <v>2634</v>
      </c>
      <c r="AE34" t="n">
        <v>2760</v>
      </c>
      <c r="AF34" t="n">
        <v>2846</v>
      </c>
    </row>
    <row r="35">
      <c r="A35" t="s">
        <v>138</v>
      </c>
      <c r="B35" t="s">
        <v>340</v>
      </c>
      <c r="C35" t="s">
        <v>236</v>
      </c>
      <c r="D35" t="s">
        <v>341</v>
      </c>
      <c r="E35" t="s">
        <v>237</v>
      </c>
      <c r="F35" t="n">
        <v>6378</v>
      </c>
      <c r="G35" t="n">
        <v>6331</v>
      </c>
      <c r="H35" t="n">
        <v>6652</v>
      </c>
      <c r="I35" t="n">
        <v>7093</v>
      </c>
      <c r="J35" t="n">
        <v>7593</v>
      </c>
      <c r="K35" t="n">
        <v>8179</v>
      </c>
      <c r="L35" t="n">
        <v>8904</v>
      </c>
      <c r="M35" t="n">
        <v>9441</v>
      </c>
      <c r="N35" t="n">
        <v>9523</v>
      </c>
      <c r="O35" t="n">
        <v>9361</v>
      </c>
      <c r="P35" t="n">
        <v>9453</v>
      </c>
      <c r="Q35" t="n">
        <v>9436</v>
      </c>
      <c r="R35" t="n">
        <v>9655</v>
      </c>
      <c r="S35" t="n">
        <v>9771</v>
      </c>
      <c r="T35" t="n">
        <v>9827</v>
      </c>
      <c r="U35" t="n">
        <v>9674</v>
      </c>
      <c r="V35" t="n">
        <v>9535</v>
      </c>
      <c r="W35" t="n">
        <v>9725</v>
      </c>
      <c r="X35" t="n">
        <v>10001</v>
      </c>
      <c r="Y35" t="n">
        <v>10285</v>
      </c>
      <c r="Z35" t="n">
        <v>10493</v>
      </c>
      <c r="AA35" t="n">
        <v>10562</v>
      </c>
      <c r="AB35" t="n">
        <v>10729</v>
      </c>
      <c r="AC35" t="n">
        <v>11422</v>
      </c>
      <c r="AD35" t="n">
        <v>11518</v>
      </c>
      <c r="AE35" t="n">
        <v>12023</v>
      </c>
      <c r="AF35" t="n">
        <v>12593</v>
      </c>
    </row>
    <row r="36">
      <c r="A36" t="s">
        <v>138</v>
      </c>
      <c r="B36" t="s">
        <v>342</v>
      </c>
      <c r="C36" t="s">
        <v>236</v>
      </c>
      <c r="D36" t="s">
        <v>343</v>
      </c>
      <c r="E36" t="s">
        <v>237</v>
      </c>
      <c r="F36" t="n">
        <v>1598</v>
      </c>
      <c r="G36" t="n">
        <v>1625</v>
      </c>
      <c r="H36" t="n">
        <v>1698</v>
      </c>
      <c r="I36" t="n">
        <v>1759</v>
      </c>
      <c r="J36" t="n">
        <v>1768</v>
      </c>
      <c r="K36" t="n">
        <v>1803</v>
      </c>
      <c r="L36" t="n">
        <v>1877</v>
      </c>
      <c r="M36" t="n">
        <v>1906</v>
      </c>
      <c r="N36" t="n">
        <v>1891</v>
      </c>
      <c r="O36" t="n">
        <v>1857</v>
      </c>
      <c r="P36" t="n">
        <v>1898</v>
      </c>
      <c r="Q36" t="n">
        <v>1933</v>
      </c>
      <c r="R36" t="n">
        <v>1988</v>
      </c>
      <c r="S36" t="n">
        <v>2010</v>
      </c>
      <c r="T36" t="n">
        <v>2065</v>
      </c>
      <c r="U36" t="n">
        <v>2200</v>
      </c>
      <c r="V36" t="n">
        <v>2268</v>
      </c>
      <c r="W36" t="n">
        <v>2411</v>
      </c>
      <c r="X36" t="n">
        <v>2515</v>
      </c>
      <c r="Y36" t="n">
        <v>2454</v>
      </c>
      <c r="Z36" t="n">
        <v>2508</v>
      </c>
      <c r="AA36" t="n">
        <v>2579</v>
      </c>
      <c r="AB36" t="n">
        <v>2734</v>
      </c>
      <c r="AC36" t="n">
        <v>2869</v>
      </c>
      <c r="AD36" t="n">
        <v>2972</v>
      </c>
      <c r="AE36" t="n">
        <v>3055</v>
      </c>
      <c r="AF36" t="n">
        <v>3318</v>
      </c>
    </row>
    <row r="37">
      <c r="A37" t="s">
        <v>138</v>
      </c>
      <c r="B37" t="s">
        <v>344</v>
      </c>
      <c r="C37" t="s">
        <v>236</v>
      </c>
      <c r="D37" t="s">
        <v>345</v>
      </c>
      <c r="E37" t="s">
        <v>237</v>
      </c>
      <c r="F37" t="n">
        <v>4241</v>
      </c>
      <c r="G37" t="n">
        <v>4175</v>
      </c>
      <c r="H37" t="n">
        <v>4394</v>
      </c>
      <c r="I37" t="n">
        <v>4705</v>
      </c>
      <c r="J37" t="n">
        <v>5079</v>
      </c>
      <c r="K37" t="n">
        <v>5516</v>
      </c>
      <c r="L37" t="n">
        <v>6019</v>
      </c>
      <c r="M37" t="n">
        <v>6387</v>
      </c>
      <c r="N37" t="n">
        <v>6376</v>
      </c>
      <c r="O37" t="n">
        <v>6281</v>
      </c>
      <c r="P37" t="n">
        <v>6208</v>
      </c>
      <c r="Q37" t="n">
        <v>6087</v>
      </c>
      <c r="R37" t="n">
        <v>6051</v>
      </c>
      <c r="S37" t="n">
        <v>6064</v>
      </c>
      <c r="T37" t="n">
        <v>6100</v>
      </c>
      <c r="U37" t="n">
        <v>5820</v>
      </c>
      <c r="V37" t="n">
        <v>5601</v>
      </c>
      <c r="W37" t="n">
        <v>5525</v>
      </c>
      <c r="X37" t="n">
        <v>5486</v>
      </c>
      <c r="Y37" t="n">
        <v>5276</v>
      </c>
      <c r="Z37" t="n">
        <v>5084</v>
      </c>
      <c r="AA37" t="n">
        <v>4977</v>
      </c>
      <c r="AB37" t="n">
        <v>4855</v>
      </c>
      <c r="AC37" t="n">
        <v>4881</v>
      </c>
      <c r="AD37" t="n">
        <v>4799</v>
      </c>
      <c r="AE37" t="n">
        <v>4885</v>
      </c>
      <c r="AF37" t="n">
        <v>5038</v>
      </c>
    </row>
    <row r="38">
      <c r="A38" t="s">
        <v>138</v>
      </c>
      <c r="B38" t="s">
        <v>346</v>
      </c>
      <c r="C38" t="s">
        <v>236</v>
      </c>
      <c r="D38" t="s">
        <v>347</v>
      </c>
      <c r="E38" t="s">
        <v>237</v>
      </c>
      <c r="F38" t="n">
        <v>539</v>
      </c>
      <c r="G38" t="n">
        <v>531</v>
      </c>
      <c r="H38" t="n">
        <v>560</v>
      </c>
      <c r="I38" t="n">
        <v>629</v>
      </c>
      <c r="J38" t="n">
        <v>746</v>
      </c>
      <c r="K38" t="n">
        <v>860</v>
      </c>
      <c r="L38" t="n">
        <v>1008</v>
      </c>
      <c r="M38" t="n">
        <v>1148</v>
      </c>
      <c r="N38" t="n">
        <v>1256</v>
      </c>
      <c r="O38" t="n">
        <v>1223</v>
      </c>
      <c r="P38" t="n">
        <v>1347</v>
      </c>
      <c r="Q38" t="n">
        <v>1416</v>
      </c>
      <c r="R38" t="n">
        <v>1616</v>
      </c>
      <c r="S38" t="n">
        <v>1697</v>
      </c>
      <c r="T38" t="n">
        <v>1662</v>
      </c>
      <c r="U38" t="n">
        <v>1654</v>
      </c>
      <c r="V38" t="n">
        <v>1666</v>
      </c>
      <c r="W38" t="n">
        <v>1789</v>
      </c>
      <c r="X38" t="n">
        <v>2000</v>
      </c>
      <c r="Y38" t="n">
        <v>2555</v>
      </c>
      <c r="Z38" t="n">
        <v>2901</v>
      </c>
      <c r="AA38" t="n">
        <v>3006</v>
      </c>
      <c r="AB38" t="n">
        <v>3140</v>
      </c>
      <c r="AC38" t="n">
        <v>3672</v>
      </c>
      <c r="AD38" t="n">
        <v>3747</v>
      </c>
      <c r="AE38" t="n">
        <v>4083</v>
      </c>
      <c r="AF38" t="n">
        <v>4237</v>
      </c>
    </row>
    <row r="39">
      <c r="A39" t="s">
        <v>138</v>
      </c>
      <c r="B39" t="s">
        <v>348</v>
      </c>
      <c r="C39" t="s">
        <v>236</v>
      </c>
      <c r="D39" t="s">
        <v>349</v>
      </c>
      <c r="E39" t="s">
        <v>237</v>
      </c>
      <c r="F39" t="n">
        <v>2471</v>
      </c>
      <c r="G39" t="n">
        <v>2307</v>
      </c>
      <c r="H39" t="n">
        <v>2124</v>
      </c>
      <c r="I39" t="n">
        <v>1988</v>
      </c>
      <c r="J39" t="n">
        <v>1904</v>
      </c>
      <c r="K39" t="n">
        <v>1895</v>
      </c>
      <c r="L39" t="n">
        <v>1841</v>
      </c>
      <c r="M39" t="n">
        <v>1847</v>
      </c>
      <c r="N39" t="n">
        <v>1699</v>
      </c>
      <c r="O39" t="n">
        <v>1495</v>
      </c>
      <c r="P39" t="n">
        <v>1458</v>
      </c>
      <c r="Q39" t="n">
        <v>1442</v>
      </c>
      <c r="R39" t="n">
        <v>1619</v>
      </c>
      <c r="S39" t="n">
        <v>1783</v>
      </c>
      <c r="T39" t="n">
        <v>1919</v>
      </c>
      <c r="U39" t="n">
        <v>1827</v>
      </c>
      <c r="V39" t="n">
        <v>1740</v>
      </c>
      <c r="W39" t="n">
        <v>1702</v>
      </c>
      <c r="X39" t="n">
        <v>1687</v>
      </c>
      <c r="Y39" t="n">
        <v>1748</v>
      </c>
      <c r="Z39" t="n">
        <v>1748</v>
      </c>
      <c r="AA39" t="n">
        <v>1750</v>
      </c>
      <c r="AB39" t="n">
        <v>2158</v>
      </c>
      <c r="AC39" t="n">
        <v>2100</v>
      </c>
      <c r="AD39" t="n">
        <v>2144</v>
      </c>
      <c r="AE39" t="n">
        <v>2086</v>
      </c>
      <c r="AF39" t="n">
        <v>2002</v>
      </c>
    </row>
    <row r="40">
      <c r="A40" t="s">
        <v>138</v>
      </c>
      <c r="B40" t="s">
        <v>350</v>
      </c>
      <c r="C40" t="s">
        <v>236</v>
      </c>
      <c r="D40" t="s">
        <v>351</v>
      </c>
      <c r="E40" t="s">
        <v>237</v>
      </c>
      <c r="F40" t="n">
        <v>135038</v>
      </c>
      <c r="G40" t="n">
        <v>144872</v>
      </c>
      <c r="H40" t="n">
        <v>145669</v>
      </c>
      <c r="I40" t="n">
        <v>154103</v>
      </c>
      <c r="J40" t="n">
        <v>169174</v>
      </c>
      <c r="K40" t="n">
        <v>181774</v>
      </c>
      <c r="L40" t="n">
        <v>199398</v>
      </c>
      <c r="M40" t="n">
        <v>213216</v>
      </c>
      <c r="N40" t="n">
        <v>215740</v>
      </c>
      <c r="O40" t="n">
        <v>221689</v>
      </c>
      <c r="P40" t="n">
        <v>234080</v>
      </c>
      <c r="Q40" t="n">
        <v>253825</v>
      </c>
      <c r="R40" t="n">
        <v>272761</v>
      </c>
      <c r="S40" t="n">
        <v>299342</v>
      </c>
      <c r="T40" t="n">
        <v>320495</v>
      </c>
      <c r="U40" t="n">
        <v>318714</v>
      </c>
      <c r="V40" t="n">
        <v>313528</v>
      </c>
      <c r="W40" t="n">
        <v>331107</v>
      </c>
      <c r="X40" t="n">
        <v>355516</v>
      </c>
      <c r="Y40" t="n">
        <v>366899</v>
      </c>
      <c r="Z40" t="n">
        <v>374961</v>
      </c>
      <c r="AA40" t="n">
        <v>383273</v>
      </c>
      <c r="AB40" t="n">
        <v>399406</v>
      </c>
      <c r="AC40" t="n">
        <v>420844</v>
      </c>
      <c r="AD40" t="n">
        <v>446997</v>
      </c>
      <c r="AE40" t="n">
        <v>474632</v>
      </c>
      <c r="AF40" t="n">
        <v>490272</v>
      </c>
    </row>
    <row r="41">
      <c r="A41" t="s">
        <v>138</v>
      </c>
      <c r="B41" t="s">
        <v>352</v>
      </c>
      <c r="C41" t="s">
        <v>236</v>
      </c>
      <c r="D41" t="s">
        <v>353</v>
      </c>
      <c r="E41" t="s">
        <v>237</v>
      </c>
      <c r="F41" t="n">
        <v>75257</v>
      </c>
      <c r="G41" t="n">
        <v>81071</v>
      </c>
      <c r="H41" t="n">
        <v>81937</v>
      </c>
      <c r="I41" t="n">
        <v>87657</v>
      </c>
      <c r="J41" t="n">
        <v>95996</v>
      </c>
      <c r="K41" t="n">
        <v>102865</v>
      </c>
      <c r="L41" t="n">
        <v>112849</v>
      </c>
      <c r="M41" t="n">
        <v>120186</v>
      </c>
      <c r="N41" t="n">
        <v>121034</v>
      </c>
      <c r="O41" t="n">
        <v>125189</v>
      </c>
      <c r="P41" t="n">
        <v>132768</v>
      </c>
      <c r="Q41" t="n">
        <v>144758</v>
      </c>
      <c r="R41" t="n">
        <v>155564</v>
      </c>
      <c r="S41" t="n">
        <v>170174</v>
      </c>
      <c r="T41" t="n">
        <v>182380</v>
      </c>
      <c r="U41" t="n">
        <v>182027</v>
      </c>
      <c r="V41" t="n">
        <v>181157</v>
      </c>
      <c r="W41" t="n">
        <v>192709</v>
      </c>
      <c r="X41" t="n">
        <v>207036</v>
      </c>
      <c r="Y41" t="n">
        <v>215533</v>
      </c>
      <c r="Z41" t="n">
        <v>221099</v>
      </c>
      <c r="AA41" t="n">
        <v>226986</v>
      </c>
      <c r="AB41" t="n">
        <v>237792</v>
      </c>
      <c r="AC41" t="n">
        <v>251464</v>
      </c>
      <c r="AD41" t="n">
        <v>267450</v>
      </c>
      <c r="AE41" t="n">
        <v>284149</v>
      </c>
      <c r="AF41" t="n">
        <v>294281</v>
      </c>
    </row>
    <row r="42">
      <c r="A42" t="s">
        <v>138</v>
      </c>
      <c r="B42" t="s">
        <v>354</v>
      </c>
      <c r="C42" t="s">
        <v>236</v>
      </c>
      <c r="D42" t="s">
        <v>355</v>
      </c>
      <c r="E42" t="s">
        <v>237</v>
      </c>
      <c r="F42" t="n">
        <v>3009</v>
      </c>
      <c r="G42" t="n">
        <v>3137</v>
      </c>
      <c r="H42" t="n">
        <v>3326</v>
      </c>
      <c r="I42" t="n">
        <v>3517</v>
      </c>
      <c r="J42" t="n">
        <v>3774</v>
      </c>
      <c r="K42" t="n">
        <v>4005</v>
      </c>
      <c r="L42" t="n">
        <v>4267</v>
      </c>
      <c r="M42" t="n">
        <v>4630</v>
      </c>
      <c r="N42" t="n">
        <v>4803</v>
      </c>
      <c r="O42" t="n">
        <v>4947</v>
      </c>
      <c r="P42" t="n">
        <v>5143</v>
      </c>
      <c r="Q42" t="n">
        <v>5375</v>
      </c>
      <c r="R42" t="n">
        <v>5649</v>
      </c>
      <c r="S42" t="n">
        <v>5888</v>
      </c>
      <c r="T42" t="n">
        <v>6068</v>
      </c>
      <c r="U42" t="n">
        <v>6271</v>
      </c>
      <c r="V42" t="n">
        <v>6387</v>
      </c>
      <c r="W42" t="n">
        <v>6522</v>
      </c>
      <c r="X42" t="n">
        <v>6609</v>
      </c>
      <c r="Y42" t="n">
        <v>6614</v>
      </c>
      <c r="Z42" t="n">
        <v>6578</v>
      </c>
      <c r="AA42" t="n">
        <v>6496</v>
      </c>
      <c r="AB42" t="n">
        <v>6466</v>
      </c>
      <c r="AC42" t="n">
        <v>6546</v>
      </c>
      <c r="AD42" t="n">
        <v>6812</v>
      </c>
      <c r="AE42" t="n">
        <v>7060</v>
      </c>
      <c r="AF42" t="n">
        <v>7451</v>
      </c>
    </row>
    <row r="43">
      <c r="A43" t="s">
        <v>138</v>
      </c>
      <c r="B43" t="s">
        <v>356</v>
      </c>
      <c r="C43" t="s">
        <v>236</v>
      </c>
      <c r="D43" t="s">
        <v>357</v>
      </c>
      <c r="E43" t="s">
        <v>237</v>
      </c>
      <c r="F43" t="n">
        <v>4029</v>
      </c>
      <c r="G43" t="n">
        <v>4216</v>
      </c>
      <c r="H43" t="n">
        <v>4458</v>
      </c>
      <c r="I43" t="n">
        <v>4760</v>
      </c>
      <c r="J43" t="n">
        <v>5109</v>
      </c>
      <c r="K43" t="n">
        <v>5504</v>
      </c>
      <c r="L43" t="n">
        <v>5882</v>
      </c>
      <c r="M43" t="n">
        <v>6467</v>
      </c>
      <c r="N43" t="n">
        <v>6856</v>
      </c>
      <c r="O43" t="n">
        <v>7120</v>
      </c>
      <c r="P43" t="n">
        <v>7453</v>
      </c>
      <c r="Q43" t="n">
        <v>7944</v>
      </c>
      <c r="R43" t="n">
        <v>8436</v>
      </c>
      <c r="S43" t="n">
        <v>8981</v>
      </c>
      <c r="T43" t="n">
        <v>9235</v>
      </c>
      <c r="U43" t="n">
        <v>9463</v>
      </c>
      <c r="V43" t="n">
        <v>9591</v>
      </c>
      <c r="W43" t="n">
        <v>9854</v>
      </c>
      <c r="X43" t="n">
        <v>10081</v>
      </c>
      <c r="Y43" t="n">
        <v>10195</v>
      </c>
      <c r="Z43" t="n">
        <v>9965</v>
      </c>
      <c r="AA43" t="n">
        <v>9999</v>
      </c>
      <c r="AB43" t="n">
        <v>10141</v>
      </c>
      <c r="AC43" t="n">
        <v>10400</v>
      </c>
      <c r="AD43" t="n">
        <v>10886</v>
      </c>
      <c r="AE43" t="n">
        <v>11240</v>
      </c>
      <c r="AF43" t="n">
        <v>12182</v>
      </c>
    </row>
    <row r="44">
      <c r="A44" t="s">
        <v>138</v>
      </c>
      <c r="B44" t="s">
        <v>358</v>
      </c>
      <c r="C44" t="s">
        <v>236</v>
      </c>
      <c r="D44" t="s">
        <v>359</v>
      </c>
      <c r="E44" t="s">
        <v>237</v>
      </c>
      <c r="F44" t="n">
        <v>122730</v>
      </c>
      <c r="G44" t="n">
        <v>121526</v>
      </c>
      <c r="H44" t="n">
        <v>123921</v>
      </c>
      <c r="I44" t="n">
        <v>128312</v>
      </c>
      <c r="J44" t="n">
        <v>132401</v>
      </c>
      <c r="K44" t="n">
        <v>137172</v>
      </c>
      <c r="L44" t="n">
        <v>144221</v>
      </c>
      <c r="M44" t="n">
        <v>149919</v>
      </c>
      <c r="N44" t="n">
        <v>151422</v>
      </c>
      <c r="O44" t="n">
        <v>152748</v>
      </c>
      <c r="P44" t="n">
        <v>156236</v>
      </c>
      <c r="Q44" t="n">
        <v>161539</v>
      </c>
      <c r="R44" t="n">
        <v>168714</v>
      </c>
      <c r="S44" t="n">
        <v>178263</v>
      </c>
      <c r="T44" t="n">
        <v>186018</v>
      </c>
      <c r="U44" t="n">
        <v>185678</v>
      </c>
      <c r="V44" t="n">
        <v>182989</v>
      </c>
      <c r="W44" t="n">
        <v>187029</v>
      </c>
      <c r="X44" t="n">
        <v>192224</v>
      </c>
      <c r="Y44" t="n">
        <v>193737</v>
      </c>
      <c r="Z44" t="n">
        <v>193305</v>
      </c>
      <c r="AA44" t="n">
        <v>194979</v>
      </c>
      <c r="AB44" t="n">
        <v>198584</v>
      </c>
      <c r="AC44" t="n">
        <v>202368</v>
      </c>
      <c r="AD44" t="n">
        <v>209045</v>
      </c>
      <c r="AE44" t="n">
        <v>215259</v>
      </c>
      <c r="AF44" t="n">
        <v>219292</v>
      </c>
    </row>
    <row r="45">
      <c r="A45" t="s">
        <v>138</v>
      </c>
      <c r="B45" t="s">
        <v>360</v>
      </c>
      <c r="C45" t="s">
        <v>236</v>
      </c>
      <c r="D45" t="s">
        <v>361</v>
      </c>
      <c r="E45" t="s">
        <v>237</v>
      </c>
      <c r="F45" t="n">
        <v>108687</v>
      </c>
      <c r="G45" t="n">
        <v>108844</v>
      </c>
      <c r="H45" t="n">
        <v>111393</v>
      </c>
      <c r="I45" t="n">
        <v>115327</v>
      </c>
      <c r="J45" t="n">
        <v>119228</v>
      </c>
      <c r="K45" t="n">
        <v>123776</v>
      </c>
      <c r="L45" t="n">
        <v>130181</v>
      </c>
      <c r="M45" t="n">
        <v>135392</v>
      </c>
      <c r="N45" t="n">
        <v>136497</v>
      </c>
      <c r="O45" t="n">
        <v>137561</v>
      </c>
      <c r="P45" t="n">
        <v>140676</v>
      </c>
      <c r="Q45" t="n">
        <v>145444</v>
      </c>
      <c r="R45" t="n">
        <v>151713</v>
      </c>
      <c r="S45" t="n">
        <v>159969</v>
      </c>
      <c r="T45" t="n">
        <v>167309</v>
      </c>
      <c r="U45" t="n">
        <v>166597</v>
      </c>
      <c r="V45" t="n">
        <v>164224</v>
      </c>
      <c r="W45" t="n">
        <v>167915</v>
      </c>
      <c r="X45" t="n">
        <v>172279</v>
      </c>
      <c r="Y45" t="n">
        <v>173452</v>
      </c>
      <c r="Z45" t="n">
        <v>173466</v>
      </c>
      <c r="AA45" t="n">
        <v>175352</v>
      </c>
      <c r="AB45" t="n">
        <v>178913</v>
      </c>
      <c r="AC45" t="n">
        <v>182549</v>
      </c>
      <c r="AD45" t="n">
        <v>188299</v>
      </c>
      <c r="AE45" t="n">
        <v>194057</v>
      </c>
      <c r="AF45" t="n">
        <v>198035</v>
      </c>
    </row>
    <row r="46">
      <c r="A46" t="s">
        <v>138</v>
      </c>
      <c r="B46" t="s">
        <v>362</v>
      </c>
      <c r="C46" t="s">
        <v>236</v>
      </c>
      <c r="D46" t="s">
        <v>363</v>
      </c>
      <c r="E46" t="s">
        <v>237</v>
      </c>
      <c r="F46" t="n">
        <v>1020</v>
      </c>
      <c r="G46" t="n">
        <v>1079</v>
      </c>
      <c r="H46" t="n">
        <v>1132</v>
      </c>
      <c r="I46" t="n">
        <v>1243</v>
      </c>
      <c r="J46" t="n">
        <v>1335</v>
      </c>
      <c r="K46" t="n">
        <v>1499</v>
      </c>
      <c r="L46" t="n">
        <v>1615</v>
      </c>
      <c r="M46" t="n">
        <v>1837</v>
      </c>
      <c r="N46" t="n">
        <v>2053</v>
      </c>
      <c r="O46" t="n">
        <v>2173</v>
      </c>
      <c r="P46" t="n">
        <v>2310</v>
      </c>
      <c r="Q46" t="n">
        <v>2569</v>
      </c>
      <c r="R46" t="n">
        <v>2787</v>
      </c>
      <c r="S46" t="n">
        <v>3093</v>
      </c>
      <c r="T46" t="n">
        <v>3167</v>
      </c>
      <c r="U46" t="n">
        <v>3192</v>
      </c>
      <c r="V46" t="n">
        <v>3204</v>
      </c>
      <c r="W46" t="n">
        <v>3332</v>
      </c>
      <c r="X46" t="n">
        <v>3472</v>
      </c>
      <c r="Y46" t="n">
        <v>3581</v>
      </c>
      <c r="Z46" t="n">
        <v>3387</v>
      </c>
      <c r="AA46" t="n">
        <v>3503</v>
      </c>
      <c r="AB46" t="n">
        <v>3675</v>
      </c>
      <c r="AC46" t="n">
        <v>3854</v>
      </c>
      <c r="AD46" t="n">
        <v>4074</v>
      </c>
      <c r="AE46" t="n">
        <v>4180</v>
      </c>
      <c r="AF46" t="n">
        <v>4731</v>
      </c>
    </row>
    <row r="47">
      <c r="A47" t="s">
        <v>138</v>
      </c>
      <c r="B47" t="s">
        <v>364</v>
      </c>
      <c r="C47" t="s">
        <v>236</v>
      </c>
      <c r="D47" t="s">
        <v>365</v>
      </c>
      <c r="E47" t="s">
        <v>237</v>
      </c>
      <c r="F47" t="n">
        <v>35491</v>
      </c>
      <c r="G47" t="n">
        <v>37477</v>
      </c>
      <c r="H47" t="n">
        <v>38129</v>
      </c>
      <c r="I47" t="n">
        <v>39787</v>
      </c>
      <c r="J47" t="n">
        <v>40909</v>
      </c>
      <c r="K47" t="n">
        <v>42074</v>
      </c>
      <c r="L47" t="n">
        <v>43863</v>
      </c>
      <c r="M47" t="n">
        <v>45301</v>
      </c>
      <c r="N47" t="n">
        <v>43893</v>
      </c>
      <c r="O47" t="n">
        <v>44964</v>
      </c>
      <c r="P47" t="n">
        <v>47072</v>
      </c>
      <c r="Q47" t="n">
        <v>49204</v>
      </c>
      <c r="R47" t="n">
        <v>51653</v>
      </c>
      <c r="S47" t="n">
        <v>55254</v>
      </c>
      <c r="T47" t="n">
        <v>59272</v>
      </c>
      <c r="U47" t="n">
        <v>58796</v>
      </c>
      <c r="V47" t="n">
        <v>59386</v>
      </c>
      <c r="W47" t="n">
        <v>62703</v>
      </c>
      <c r="X47" t="n">
        <v>65662</v>
      </c>
      <c r="Y47" t="n">
        <v>67264</v>
      </c>
      <c r="Z47" t="n">
        <v>68020</v>
      </c>
      <c r="AA47" t="n">
        <v>67675</v>
      </c>
      <c r="AB47" t="n">
        <v>67378</v>
      </c>
      <c r="AC47" t="n">
        <v>69701</v>
      </c>
      <c r="AD47" t="n">
        <v>71692</v>
      </c>
      <c r="AE47" t="n">
        <v>74209</v>
      </c>
      <c r="AF47" t="n">
        <v>73111</v>
      </c>
    </row>
    <row r="48">
      <c r="A48" t="s">
        <v>138</v>
      </c>
      <c r="B48" t="s">
        <v>366</v>
      </c>
      <c r="C48" t="s">
        <v>236</v>
      </c>
      <c r="D48" t="s">
        <v>367</v>
      </c>
      <c r="E48" t="s">
        <v>237</v>
      </c>
      <c r="F48" t="n">
        <v>54869</v>
      </c>
      <c r="G48" t="n">
        <v>57942</v>
      </c>
      <c r="H48" t="n">
        <v>59083</v>
      </c>
      <c r="I48" t="n">
        <v>60979</v>
      </c>
      <c r="J48" t="n">
        <v>61340</v>
      </c>
      <c r="K48" t="n">
        <v>63734</v>
      </c>
      <c r="L48" t="n">
        <v>66730</v>
      </c>
      <c r="M48" t="n">
        <v>70160</v>
      </c>
      <c r="N48" t="n">
        <v>69379</v>
      </c>
      <c r="O48" t="n">
        <v>71066</v>
      </c>
      <c r="P48" t="n">
        <v>74233</v>
      </c>
      <c r="Q48" t="n">
        <v>78109</v>
      </c>
      <c r="R48" t="n">
        <v>82216</v>
      </c>
      <c r="S48" t="n">
        <v>88112</v>
      </c>
      <c r="T48" t="n">
        <v>94573</v>
      </c>
      <c r="U48" t="n">
        <v>94681</v>
      </c>
      <c r="V48" t="n">
        <v>94366</v>
      </c>
      <c r="W48" t="n">
        <v>99119</v>
      </c>
      <c r="X48" t="n">
        <v>104395</v>
      </c>
      <c r="Y48" t="n">
        <v>107485</v>
      </c>
      <c r="Z48" t="n">
        <v>109028</v>
      </c>
      <c r="AA48" t="n">
        <v>109760</v>
      </c>
      <c r="AB48" t="n">
        <v>111290</v>
      </c>
      <c r="AC48" t="n">
        <v>115449</v>
      </c>
      <c r="AD48" t="n">
        <v>120056</v>
      </c>
      <c r="AE48" t="n">
        <v>126106</v>
      </c>
      <c r="AF48" t="n">
        <v>127133</v>
      </c>
    </row>
    <row r="49">
      <c r="A49" t="s">
        <v>138</v>
      </c>
      <c r="B49" t="s">
        <v>368</v>
      </c>
      <c r="C49" t="s">
        <v>236</v>
      </c>
      <c r="D49" t="s">
        <v>369</v>
      </c>
      <c r="E49" t="s">
        <v>237</v>
      </c>
      <c r="F49" t="n">
        <v>10894</v>
      </c>
      <c r="G49" t="n">
        <v>11531</v>
      </c>
      <c r="H49" t="n">
        <v>11976</v>
      </c>
      <c r="I49" t="n">
        <v>12227</v>
      </c>
      <c r="J49" t="n">
        <v>11094</v>
      </c>
      <c r="K49" t="n">
        <v>11741</v>
      </c>
      <c r="L49" t="n">
        <v>12477</v>
      </c>
      <c r="M49" t="n">
        <v>13621</v>
      </c>
      <c r="N49" t="n">
        <v>14147</v>
      </c>
      <c r="O49" t="n">
        <v>14628</v>
      </c>
      <c r="P49" t="n">
        <v>15254</v>
      </c>
      <c r="Q49" t="n">
        <v>16179</v>
      </c>
      <c r="R49" t="n">
        <v>17021</v>
      </c>
      <c r="S49" t="n">
        <v>18162</v>
      </c>
      <c r="T49" t="n">
        <v>19412</v>
      </c>
      <c r="U49" t="n">
        <v>19849</v>
      </c>
      <c r="V49" t="n">
        <v>19525</v>
      </c>
      <c r="W49" t="n">
        <v>20162</v>
      </c>
      <c r="X49" t="n">
        <v>21182</v>
      </c>
      <c r="Y49" t="n">
        <v>21851</v>
      </c>
      <c r="Z49" t="n">
        <v>22281</v>
      </c>
      <c r="AA49" t="n">
        <v>22807</v>
      </c>
      <c r="AB49" t="n">
        <v>23642</v>
      </c>
      <c r="AC49" t="n">
        <v>24440</v>
      </c>
      <c r="AD49" t="n">
        <v>25678</v>
      </c>
      <c r="AE49" t="n">
        <v>27513</v>
      </c>
      <c r="AF49" t="n">
        <v>28576</v>
      </c>
    </row>
    <row r="50">
      <c r="A50" t="s">
        <v>138</v>
      </c>
      <c r="B50" t="s">
        <v>370</v>
      </c>
      <c r="C50" t="s">
        <v>236</v>
      </c>
      <c r="D50" t="s">
        <v>371</v>
      </c>
      <c r="E50" t="s">
        <v>237</v>
      </c>
      <c r="F50" t="n">
        <v>8484</v>
      </c>
      <c r="G50" t="n">
        <v>8934</v>
      </c>
      <c r="H50" t="n">
        <v>8978</v>
      </c>
      <c r="I50" t="n">
        <v>8965</v>
      </c>
      <c r="J50" t="n">
        <v>9337</v>
      </c>
      <c r="K50" t="n">
        <v>9919</v>
      </c>
      <c r="L50" t="n">
        <v>10390</v>
      </c>
      <c r="M50" t="n">
        <v>11238</v>
      </c>
      <c r="N50" t="n">
        <v>11339</v>
      </c>
      <c r="O50" t="n">
        <v>11474</v>
      </c>
      <c r="P50" t="n">
        <v>11907</v>
      </c>
      <c r="Q50" t="n">
        <v>12726</v>
      </c>
      <c r="R50" t="n">
        <v>13542</v>
      </c>
      <c r="S50" t="n">
        <v>14696</v>
      </c>
      <c r="T50" t="n">
        <v>15889</v>
      </c>
      <c r="U50" t="n">
        <v>16036</v>
      </c>
      <c r="V50" t="n">
        <v>15455</v>
      </c>
      <c r="W50" t="n">
        <v>16254</v>
      </c>
      <c r="X50" t="n">
        <v>17551</v>
      </c>
      <c r="Y50" t="n">
        <v>18370</v>
      </c>
      <c r="Z50" t="n">
        <v>18727</v>
      </c>
      <c r="AA50" t="n">
        <v>19278</v>
      </c>
      <c r="AB50" t="n">
        <v>20270</v>
      </c>
      <c r="AC50" t="n">
        <v>21308</v>
      </c>
      <c r="AD50" t="n">
        <v>22686</v>
      </c>
      <c r="AE50" t="n">
        <v>24384</v>
      </c>
      <c r="AF50" t="n">
        <v>25446</v>
      </c>
    </row>
    <row r="51">
      <c r="A51" t="s">
        <v>138</v>
      </c>
      <c r="B51" t="s">
        <v>372</v>
      </c>
      <c r="C51" t="s">
        <v>236</v>
      </c>
      <c r="D51" t="s">
        <v>373</v>
      </c>
      <c r="E51" t="s">
        <v>237</v>
      </c>
      <c r="F51" t="n">
        <v>5061</v>
      </c>
      <c r="G51" t="n">
        <v>5255</v>
      </c>
      <c r="H51" t="n">
        <v>5275</v>
      </c>
      <c r="I51" t="n">
        <v>5259</v>
      </c>
      <c r="J51" t="n">
        <v>5447</v>
      </c>
      <c r="K51" t="n">
        <v>5743</v>
      </c>
      <c r="L51" t="n">
        <v>5986</v>
      </c>
      <c r="M51" t="n">
        <v>6474</v>
      </c>
      <c r="N51" t="n">
        <v>6543</v>
      </c>
      <c r="O51" t="n">
        <v>6613</v>
      </c>
      <c r="P51" t="n">
        <v>6867</v>
      </c>
      <c r="Q51" t="n">
        <v>7366</v>
      </c>
      <c r="R51" t="n">
        <v>7801</v>
      </c>
      <c r="S51" t="n">
        <v>8395</v>
      </c>
      <c r="T51" t="n">
        <v>9067</v>
      </c>
      <c r="U51" t="n">
        <v>9150</v>
      </c>
      <c r="V51" t="n">
        <v>8847</v>
      </c>
      <c r="W51" t="n">
        <v>9339</v>
      </c>
      <c r="X51" t="n">
        <v>10109</v>
      </c>
      <c r="Y51" t="n">
        <v>10599</v>
      </c>
      <c r="Z51" t="n">
        <v>10799</v>
      </c>
      <c r="AA51" t="n">
        <v>11148</v>
      </c>
      <c r="AB51" t="n">
        <v>11828</v>
      </c>
      <c r="AC51" t="n">
        <v>12557</v>
      </c>
      <c r="AD51" t="n">
        <v>13477</v>
      </c>
      <c r="AE51" t="n">
        <v>14598</v>
      </c>
      <c r="AF51" t="n">
        <v>15373</v>
      </c>
    </row>
    <row r="52">
      <c r="A52" t="s">
        <v>138</v>
      </c>
      <c r="B52" t="s">
        <v>374</v>
      </c>
      <c r="C52" t="s">
        <v>236</v>
      </c>
      <c r="D52" t="s">
        <v>375</v>
      </c>
      <c r="E52" t="s">
        <v>237</v>
      </c>
      <c r="F52" t="n">
        <v>3423</v>
      </c>
      <c r="G52" t="n">
        <v>3679</v>
      </c>
      <c r="H52" t="n">
        <v>3703</v>
      </c>
      <c r="I52" t="n">
        <v>3706</v>
      </c>
      <c r="J52" t="n">
        <v>3890</v>
      </c>
      <c r="K52" t="n">
        <v>4176</v>
      </c>
      <c r="L52" t="n">
        <v>4404</v>
      </c>
      <c r="M52" t="n">
        <v>4764</v>
      </c>
      <c r="N52" t="n">
        <v>4796</v>
      </c>
      <c r="O52" t="n">
        <v>4861</v>
      </c>
      <c r="P52" t="n">
        <v>5040</v>
      </c>
      <c r="Q52" t="n">
        <v>5360</v>
      </c>
      <c r="R52" t="n">
        <v>5741</v>
      </c>
      <c r="S52" t="n">
        <v>6301</v>
      </c>
      <c r="T52" t="n">
        <v>6822</v>
      </c>
      <c r="U52" t="n">
        <v>6886</v>
      </c>
      <c r="V52" t="n">
        <v>6608</v>
      </c>
      <c r="W52" t="n">
        <v>6915</v>
      </c>
      <c r="X52" t="n">
        <v>7442</v>
      </c>
      <c r="Y52" t="n">
        <v>7771</v>
      </c>
      <c r="Z52" t="n">
        <v>7928</v>
      </c>
      <c r="AA52" t="n">
        <v>8130</v>
      </c>
      <c r="AB52" t="n">
        <v>8442</v>
      </c>
      <c r="AC52" t="n">
        <v>8751</v>
      </c>
      <c r="AD52" t="n">
        <v>9209</v>
      </c>
      <c r="AE52" t="n">
        <v>9786</v>
      </c>
      <c r="AF52" t="n">
        <v>10073</v>
      </c>
    </row>
    <row r="53">
      <c r="A53" t="s">
        <v>138</v>
      </c>
      <c r="B53" t="s">
        <v>376</v>
      </c>
      <c r="C53" t="s">
        <v>236</v>
      </c>
      <c r="D53" t="s">
        <v>377</v>
      </c>
      <c r="E53" t="s">
        <v>237</v>
      </c>
      <c r="F53" t="n">
        <v>5821</v>
      </c>
      <c r="G53" t="n">
        <v>6108</v>
      </c>
      <c r="H53" t="n">
        <v>6226</v>
      </c>
      <c r="I53" t="n">
        <v>6410</v>
      </c>
      <c r="J53" t="n">
        <v>6558</v>
      </c>
      <c r="K53" t="n">
        <v>6914</v>
      </c>
      <c r="L53" t="n">
        <v>7278</v>
      </c>
      <c r="M53" t="n">
        <v>7720</v>
      </c>
      <c r="N53" t="n">
        <v>7842</v>
      </c>
      <c r="O53" t="n">
        <v>7986</v>
      </c>
      <c r="P53" t="n">
        <v>8281</v>
      </c>
      <c r="Q53" t="n">
        <v>8757</v>
      </c>
      <c r="R53" t="n">
        <v>9303</v>
      </c>
      <c r="S53" t="n">
        <v>9924</v>
      </c>
      <c r="T53" t="n">
        <v>10611</v>
      </c>
      <c r="U53" t="n">
        <v>10515</v>
      </c>
      <c r="V53" t="n">
        <v>10339</v>
      </c>
      <c r="W53" t="n">
        <v>10825</v>
      </c>
      <c r="X53" t="n">
        <v>11396</v>
      </c>
      <c r="Y53" t="n">
        <v>11622</v>
      </c>
      <c r="Z53" t="n">
        <v>11769</v>
      </c>
      <c r="AA53" t="n">
        <v>11681</v>
      </c>
      <c r="AB53" t="n">
        <v>12079</v>
      </c>
      <c r="AC53" t="n">
        <v>12732</v>
      </c>
      <c r="AD53" t="n">
        <v>13431</v>
      </c>
      <c r="AE53" t="n">
        <v>14055</v>
      </c>
      <c r="AF53" t="n">
        <v>14171</v>
      </c>
    </row>
    <row r="54">
      <c r="A54" t="s">
        <v>138</v>
      </c>
      <c r="B54" t="s">
        <v>378</v>
      </c>
      <c r="C54" t="s">
        <v>236</v>
      </c>
      <c r="D54" t="s">
        <v>379</v>
      </c>
      <c r="E54" t="s">
        <v>237</v>
      </c>
      <c r="F54" t="n">
        <v>8110</v>
      </c>
      <c r="G54" t="n">
        <v>8462</v>
      </c>
      <c r="H54" t="n">
        <v>8601</v>
      </c>
      <c r="I54" t="n">
        <v>8825</v>
      </c>
      <c r="J54" t="n">
        <v>9115</v>
      </c>
      <c r="K54" t="n">
        <v>9618</v>
      </c>
      <c r="L54" t="n">
        <v>10091</v>
      </c>
      <c r="M54" t="n">
        <v>10693</v>
      </c>
      <c r="N54" t="n">
        <v>10827</v>
      </c>
      <c r="O54" t="n">
        <v>11006</v>
      </c>
      <c r="P54" t="n">
        <v>11409</v>
      </c>
      <c r="Q54" t="n">
        <v>12037</v>
      </c>
      <c r="R54" t="n">
        <v>12723</v>
      </c>
      <c r="S54" t="n">
        <v>13612</v>
      </c>
      <c r="T54" t="n">
        <v>14510</v>
      </c>
      <c r="U54" t="n">
        <v>14483</v>
      </c>
      <c r="V54" t="n">
        <v>14153</v>
      </c>
      <c r="W54" t="n">
        <v>14719</v>
      </c>
      <c r="X54" t="n">
        <v>15443</v>
      </c>
      <c r="Y54" t="n">
        <v>15738</v>
      </c>
      <c r="Z54" t="n">
        <v>15893</v>
      </c>
      <c r="AA54" t="n">
        <v>15794</v>
      </c>
      <c r="AB54" t="n">
        <v>16222</v>
      </c>
      <c r="AC54" t="n">
        <v>16919</v>
      </c>
      <c r="AD54" t="n">
        <v>17712</v>
      </c>
      <c r="AE54" t="n">
        <v>18451</v>
      </c>
      <c r="AF54" t="n">
        <v>18667</v>
      </c>
    </row>
    <row r="55">
      <c r="A55" t="s">
        <v>138</v>
      </c>
      <c r="B55" t="s">
        <v>380</v>
      </c>
      <c r="C55" t="s">
        <v>236</v>
      </c>
      <c r="D55" t="s">
        <v>381</v>
      </c>
      <c r="E55" t="s">
        <v>237</v>
      </c>
      <c r="F55" t="n">
        <v>2289</v>
      </c>
      <c r="G55" t="n">
        <v>2354</v>
      </c>
      <c r="H55" t="n">
        <v>2375</v>
      </c>
      <c r="I55" t="n">
        <v>2415</v>
      </c>
      <c r="J55" t="n">
        <v>2557</v>
      </c>
      <c r="K55" t="n">
        <v>2704</v>
      </c>
      <c r="L55" t="n">
        <v>2813</v>
      </c>
      <c r="M55" t="n">
        <v>2973</v>
      </c>
      <c r="N55" t="n">
        <v>2985</v>
      </c>
      <c r="O55" t="n">
        <v>3020</v>
      </c>
      <c r="P55" t="n">
        <v>3128</v>
      </c>
      <c r="Q55" t="n">
        <v>3280</v>
      </c>
      <c r="R55" t="n">
        <v>3420</v>
      </c>
      <c r="S55" t="n">
        <v>3688</v>
      </c>
      <c r="T55" t="n">
        <v>3899</v>
      </c>
      <c r="U55" t="n">
        <v>3968</v>
      </c>
      <c r="V55" t="n">
        <v>3814</v>
      </c>
      <c r="W55" t="n">
        <v>3894</v>
      </c>
      <c r="X55" t="n">
        <v>4047</v>
      </c>
      <c r="Y55" t="n">
        <v>4116</v>
      </c>
      <c r="Z55" t="n">
        <v>4124</v>
      </c>
      <c r="AA55" t="n">
        <v>4113</v>
      </c>
      <c r="AB55" t="n">
        <v>4143</v>
      </c>
      <c r="AC55" t="n">
        <v>4187</v>
      </c>
      <c r="AD55" t="n">
        <v>4281</v>
      </c>
      <c r="AE55" t="n">
        <v>4396</v>
      </c>
      <c r="AF55" t="n">
        <v>4496</v>
      </c>
    </row>
    <row r="56">
      <c r="A56" t="s">
        <v>138</v>
      </c>
      <c r="B56" t="s">
        <v>382</v>
      </c>
      <c r="C56" t="s">
        <v>236</v>
      </c>
      <c r="D56" t="s">
        <v>383</v>
      </c>
      <c r="E56" t="s">
        <v>237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138</v>
      </c>
      <c r="B57" t="s">
        <v>384</v>
      </c>
      <c r="C57" t="s">
        <v>236</v>
      </c>
      <c r="D57" t="s">
        <v>385</v>
      </c>
      <c r="E57" t="s">
        <v>237</v>
      </c>
      <c r="F57" t="n">
        <v>312637</v>
      </c>
      <c r="G57" t="n">
        <v>324340</v>
      </c>
      <c r="H57" t="n">
        <v>328673</v>
      </c>
      <c r="I57" t="n">
        <v>343394</v>
      </c>
      <c r="J57" t="n">
        <v>362915</v>
      </c>
      <c r="K57" t="n">
        <v>382680</v>
      </c>
      <c r="L57" t="n">
        <v>410349</v>
      </c>
      <c r="M57" t="n">
        <v>433295</v>
      </c>
      <c r="N57" t="n">
        <v>436541</v>
      </c>
      <c r="O57" t="n">
        <v>445503</v>
      </c>
      <c r="P57" t="n">
        <v>464549</v>
      </c>
      <c r="Q57" t="n">
        <v>493473</v>
      </c>
      <c r="R57" t="n">
        <v>523691</v>
      </c>
      <c r="S57" t="n">
        <v>565717</v>
      </c>
      <c r="T57" t="n">
        <v>601086</v>
      </c>
      <c r="U57" t="n">
        <v>599073</v>
      </c>
      <c r="V57" t="n">
        <v>590883</v>
      </c>
      <c r="W57" t="n">
        <v>617255</v>
      </c>
      <c r="X57" t="n">
        <v>652135</v>
      </c>
      <c r="Y57" t="n">
        <v>668121</v>
      </c>
      <c r="Z57" t="n">
        <v>677294</v>
      </c>
      <c r="AA57" t="n">
        <v>688012</v>
      </c>
      <c r="AB57" t="n">
        <v>709280</v>
      </c>
      <c r="AC57" t="n">
        <v>738661</v>
      </c>
      <c r="AD57" t="n">
        <v>776098</v>
      </c>
      <c r="AE57" t="n">
        <v>815997</v>
      </c>
      <c r="AF57" t="n">
        <v>836697</v>
      </c>
    </row>
    <row r="58">
      <c r="A58" t="s">
        <v>138</v>
      </c>
      <c r="B58" t="s">
        <v>386</v>
      </c>
      <c r="C58" t="s">
        <v>236</v>
      </c>
      <c r="D58" t="s">
        <v>387</v>
      </c>
      <c r="E58" t="s">
        <v>237</v>
      </c>
      <c r="F58" t="n">
        <v>312637</v>
      </c>
      <c r="G58" t="n">
        <v>324340</v>
      </c>
      <c r="H58" t="n">
        <v>328673</v>
      </c>
      <c r="I58" t="n">
        <v>343394</v>
      </c>
      <c r="J58" t="n">
        <v>362915</v>
      </c>
      <c r="K58" t="n">
        <v>382680</v>
      </c>
      <c r="L58" t="n">
        <v>410349</v>
      </c>
      <c r="M58" t="n">
        <v>433295</v>
      </c>
      <c r="N58" t="n">
        <v>436541</v>
      </c>
      <c r="O58" t="n">
        <v>445503</v>
      </c>
      <c r="P58" t="n">
        <v>464549</v>
      </c>
      <c r="Q58" t="n">
        <v>493473</v>
      </c>
      <c r="R58" t="n">
        <v>523691</v>
      </c>
      <c r="S58" t="n">
        <v>565717</v>
      </c>
      <c r="T58" t="n">
        <v>601086</v>
      </c>
      <c r="U58" t="n">
        <v>599073</v>
      </c>
      <c r="V58" t="n">
        <v>590883</v>
      </c>
      <c r="W58" t="n">
        <v>617255</v>
      </c>
      <c r="X58" t="n">
        <v>652135</v>
      </c>
      <c r="Y58" t="n">
        <v>668121</v>
      </c>
      <c r="Z58" t="n">
        <v>677294</v>
      </c>
      <c r="AA58" t="n">
        <v>688012</v>
      </c>
      <c r="AB58" t="n">
        <v>709280</v>
      </c>
      <c r="AC58" t="n">
        <v>738661</v>
      </c>
      <c r="AD58" t="n">
        <v>776098</v>
      </c>
      <c r="AE58" t="n">
        <v>815997</v>
      </c>
      <c r="AF58" t="n">
        <v>836697</v>
      </c>
    </row>
    <row r="59">
      <c r="A59" t="s">
        <v>138</v>
      </c>
      <c r="B59" t="s">
        <v>388</v>
      </c>
      <c r="C59" t="s">
        <v>236</v>
      </c>
      <c r="D59" t="s">
        <v>389</v>
      </c>
      <c r="E59" t="s">
        <v>237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49</v>
      </c>
      <c r="B2" t="s">
        <v>197</v>
      </c>
      <c r="C2" t="s">
        <v>236</v>
      </c>
      <c r="D2" t="s">
        <v>199</v>
      </c>
      <c r="E2" t="s">
        <v>237</v>
      </c>
      <c r="F2" t="n">
        <v>11.6694358359024</v>
      </c>
      <c r="G2" t="n">
        <v>6.84945146889925</v>
      </c>
      <c r="H2" t="n">
        <v>8.71748368768995</v>
      </c>
      <c r="I2" t="n">
        <v>13.2657360464847</v>
      </c>
      <c r="J2" t="n">
        <v>15.5529319165683</v>
      </c>
      <c r="K2" t="n">
        <v>12.2201607915894</v>
      </c>
      <c r="L2" t="n">
        <v>5.78849721706865</v>
      </c>
      <c r="M2" t="n">
        <v>7.95918367346939</v>
      </c>
      <c r="N2" t="n">
        <v>11.1428571428571</v>
      </c>
      <c r="O2" t="n">
        <v>13.9285714285714</v>
      </c>
      <c r="P2" t="n">
        <v>13</v>
      </c>
      <c r="Q2" t="n">
        <v>12.0714285714286</v>
      </c>
      <c r="R2" t="n">
        <v>12.0714285714286</v>
      </c>
      <c r="S2" t="n">
        <v>12.0714285714286</v>
      </c>
      <c r="T2" t="n">
        <v>13</v>
      </c>
      <c r="U2" t="n">
        <v>16</v>
      </c>
      <c r="V2" t="n">
        <v>14</v>
      </c>
      <c r="W2" t="n">
        <v>14</v>
      </c>
      <c r="X2" t="n">
        <v>14</v>
      </c>
      <c r="Y2" t="n">
        <v>14</v>
      </c>
      <c r="Z2" t="n">
        <v>14</v>
      </c>
      <c r="AA2" t="n">
        <v>14</v>
      </c>
      <c r="AB2" t="n">
        <v>14</v>
      </c>
      <c r="AC2" t="n">
        <v>11</v>
      </c>
      <c r="AD2" t="n">
        <v>10</v>
      </c>
      <c r="AE2" t="n">
        <v>8</v>
      </c>
      <c r="AF2" t="n">
        <v>8</v>
      </c>
    </row>
    <row r="3">
      <c r="A3" t="s">
        <v>49</v>
      </c>
      <c r="B3" t="s">
        <v>276</v>
      </c>
      <c r="C3" t="s">
        <v>236</v>
      </c>
      <c r="D3" t="s">
        <v>277</v>
      </c>
      <c r="E3" t="s">
        <v>237</v>
      </c>
      <c r="F3" t="e">
        <v>#NUM!</v>
      </c>
      <c r="G3" t="e">
        <v>#NUM!</v>
      </c>
      <c r="H3" t="e">
        <v>#NUM!</v>
      </c>
      <c r="I3" t="e">
        <v>#NUM!</v>
      </c>
      <c r="J3" t="e">
        <v>#NUM!</v>
      </c>
      <c r="K3" t="e">
        <v>#NUM!</v>
      </c>
      <c r="L3" t="e">
        <v>#NUM!</v>
      </c>
      <c r="M3" t="e">
        <v>#NUM!</v>
      </c>
      <c r="N3" t="e">
        <v>#NUM!</v>
      </c>
      <c r="O3" t="e">
        <v>#NUM!</v>
      </c>
      <c r="P3" t="e">
        <v>#NUM!</v>
      </c>
      <c r="Q3" t="e">
        <v>#NUM!</v>
      </c>
      <c r="R3" t="n">
        <v>0</v>
      </c>
      <c r="S3" t="n">
        <v>2</v>
      </c>
      <c r="T3" t="n">
        <v>1</v>
      </c>
      <c r="U3" t="n">
        <v>1</v>
      </c>
      <c r="V3" t="n">
        <v>1</v>
      </c>
      <c r="W3" t="n">
        <v>4</v>
      </c>
      <c r="X3" t="n">
        <v>6</v>
      </c>
      <c r="Y3" t="n">
        <v>4</v>
      </c>
      <c r="Z3" t="n">
        <v>3</v>
      </c>
      <c r="AA3" t="n">
        <v>2</v>
      </c>
      <c r="AB3" t="n">
        <v>3</v>
      </c>
      <c r="AC3" t="n">
        <v>3</v>
      </c>
      <c r="AD3" t="n">
        <v>2</v>
      </c>
      <c r="AE3" t="n">
        <v>6</v>
      </c>
      <c r="AF3" t="n">
        <v>9</v>
      </c>
    </row>
    <row r="4">
      <c r="A4" t="s">
        <v>49</v>
      </c>
      <c r="B4" t="s">
        <v>278</v>
      </c>
      <c r="C4" t="s">
        <v>236</v>
      </c>
      <c r="D4" t="s">
        <v>279</v>
      </c>
      <c r="E4" t="s">
        <v>237</v>
      </c>
      <c r="F4" t="n">
        <v>49.7541102493696</v>
      </c>
      <c r="G4" t="n">
        <v>41.5472467030818</v>
      </c>
      <c r="H4" t="n">
        <v>37.6965262769425</v>
      </c>
      <c r="I4" t="n">
        <v>57.9409570553006</v>
      </c>
      <c r="J4" t="n">
        <v>59.0445943325444</v>
      </c>
      <c r="K4" t="n">
        <v>49.9106239385596</v>
      </c>
      <c r="L4" t="n">
        <v>32.4046588257813</v>
      </c>
      <c r="M4" t="n">
        <v>33.2574130054071</v>
      </c>
      <c r="N4" t="n">
        <v>42.0608458597795</v>
      </c>
      <c r="O4" t="n">
        <v>52.1554488661266</v>
      </c>
      <c r="P4" t="n">
        <v>53.953912620131</v>
      </c>
      <c r="Q4" t="n">
        <v>94.7483343573032</v>
      </c>
      <c r="R4" t="n">
        <v>126.78554093855</v>
      </c>
      <c r="S4" t="n">
        <v>96.5299004873048</v>
      </c>
      <c r="T4" t="n">
        <v>104.890758009827</v>
      </c>
      <c r="U4" t="n">
        <v>90.6682823474778</v>
      </c>
      <c r="V4" t="n">
        <v>91.6030069077611</v>
      </c>
      <c r="W4" t="n">
        <v>103.173913043478</v>
      </c>
      <c r="X4" t="n">
        <v>72.7130434782609</v>
      </c>
      <c r="Y4" t="n">
        <v>82.5391304347826</v>
      </c>
      <c r="Z4" t="n">
        <v>113</v>
      </c>
      <c r="AA4" t="n">
        <v>93</v>
      </c>
      <c r="AB4" t="n">
        <v>99</v>
      </c>
      <c r="AC4" t="n">
        <v>101</v>
      </c>
      <c r="AD4" t="n">
        <v>99</v>
      </c>
      <c r="AE4" t="n">
        <v>90</v>
      </c>
      <c r="AF4" t="n">
        <v>106</v>
      </c>
    </row>
    <row r="5">
      <c r="A5" t="s">
        <v>49</v>
      </c>
      <c r="B5" t="s">
        <v>280</v>
      </c>
      <c r="C5" t="s">
        <v>236</v>
      </c>
      <c r="D5" t="s">
        <v>281</v>
      </c>
      <c r="E5" t="s">
        <v>237</v>
      </c>
      <c r="F5" t="n">
        <v>8.93972850678733</v>
      </c>
      <c r="G5" t="n">
        <v>6.20814479638009</v>
      </c>
      <c r="H5" t="n">
        <v>5.02564102564103</v>
      </c>
      <c r="I5" t="n">
        <v>10.0512820512821</v>
      </c>
      <c r="J5" t="n">
        <v>10.8888888888889</v>
      </c>
      <c r="K5" t="n">
        <v>8.2962962962963</v>
      </c>
      <c r="L5" t="n">
        <v>5.33333333333333</v>
      </c>
      <c r="M5" t="n">
        <v>8</v>
      </c>
      <c r="N5" t="n">
        <v>8.8</v>
      </c>
      <c r="O5" t="n">
        <v>8.8</v>
      </c>
      <c r="P5" t="n">
        <v>8.8</v>
      </c>
      <c r="Q5" t="n">
        <v>10.4</v>
      </c>
      <c r="R5" t="n">
        <v>12.8</v>
      </c>
      <c r="S5" t="n">
        <v>12</v>
      </c>
      <c r="T5" t="n">
        <v>16</v>
      </c>
      <c r="U5" t="n">
        <v>11</v>
      </c>
      <c r="V5" t="n">
        <v>11</v>
      </c>
      <c r="W5" t="n">
        <v>12</v>
      </c>
      <c r="X5" t="n">
        <v>10</v>
      </c>
      <c r="Y5" t="n">
        <v>13</v>
      </c>
      <c r="Z5" t="n">
        <v>13</v>
      </c>
      <c r="AA5" t="n">
        <v>12</v>
      </c>
      <c r="AB5" t="n">
        <v>25</v>
      </c>
      <c r="AC5" t="n">
        <v>13</v>
      </c>
      <c r="AD5" t="n">
        <v>10</v>
      </c>
      <c r="AE5" t="n">
        <v>11</v>
      </c>
      <c r="AF5" t="n">
        <v>11</v>
      </c>
    </row>
    <row r="6">
      <c r="A6" t="s">
        <v>49</v>
      </c>
      <c r="B6" t="s">
        <v>282</v>
      </c>
      <c r="C6" t="s">
        <v>236</v>
      </c>
      <c r="D6" t="s">
        <v>283</v>
      </c>
      <c r="E6" t="s">
        <v>237</v>
      </c>
      <c r="F6" t="e">
        <v>#NUM!</v>
      </c>
      <c r="G6" t="e">
        <v>#NUM!</v>
      </c>
      <c r="H6" t="e">
        <v>#NUM!</v>
      </c>
      <c r="I6" t="e">
        <v>#NUM!</v>
      </c>
      <c r="J6" t="e">
        <v>#NUM!</v>
      </c>
      <c r="K6" t="e">
        <v>#NUM!</v>
      </c>
      <c r="L6" t="e">
        <v>#NUM!</v>
      </c>
      <c r="M6" t="e">
        <v>#NUM!</v>
      </c>
      <c r="N6" t="e">
        <v>#NUM!</v>
      </c>
      <c r="O6" t="e">
        <v>#NUM!</v>
      </c>
      <c r="P6" t="e">
        <v>#NUM!</v>
      </c>
      <c r="Q6" t="e">
        <v>#NUM!</v>
      </c>
      <c r="R6" t="e">
        <v>#NUM!</v>
      </c>
      <c r="S6" t="e">
        <v>#NUM!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49</v>
      </c>
      <c r="B7" t="s">
        <v>284</v>
      </c>
      <c r="C7" t="s">
        <v>236</v>
      </c>
      <c r="D7" t="s">
        <v>285</v>
      </c>
      <c r="E7" t="s">
        <v>237</v>
      </c>
      <c r="F7" t="n">
        <v>9.88051522295971</v>
      </c>
      <c r="G7" t="n">
        <v>13.3327434333914</v>
      </c>
      <c r="H7" t="n">
        <v>8.55034633228363</v>
      </c>
      <c r="I7" t="n">
        <v>15.3906233981105</v>
      </c>
      <c r="J7" t="n">
        <v>13.9541652142869</v>
      </c>
      <c r="K7" t="n">
        <v>11.2612561378455</v>
      </c>
      <c r="L7" t="n">
        <v>9.52875519356162</v>
      </c>
      <c r="M7" t="n">
        <v>7.48687908065556</v>
      </c>
      <c r="N7" t="n">
        <v>12.2154342894906</v>
      </c>
      <c r="O7" t="n">
        <v>10.3361367064921</v>
      </c>
      <c r="P7" t="n">
        <v>12.4033640477905</v>
      </c>
      <c r="Q7" t="n">
        <v>18.9003642632998</v>
      </c>
      <c r="R7" t="n">
        <v>18.9003642632998</v>
      </c>
      <c r="S7" t="n">
        <v>20.9254032915105</v>
      </c>
      <c r="T7" t="n">
        <v>12.7047091412742</v>
      </c>
      <c r="U7" t="n">
        <v>13.612188365651</v>
      </c>
      <c r="V7" t="n">
        <v>18.4736842105263</v>
      </c>
      <c r="W7" t="n">
        <v>15.3947368421053</v>
      </c>
      <c r="X7" t="n">
        <v>13.3421052631579</v>
      </c>
      <c r="Y7" t="n">
        <v>12.3157894736842</v>
      </c>
      <c r="Z7" t="n">
        <v>17.4473684210526</v>
      </c>
      <c r="AA7" t="n">
        <v>22.578947368421</v>
      </c>
      <c r="AB7" t="n">
        <v>39</v>
      </c>
      <c r="AC7" t="n">
        <v>19</v>
      </c>
      <c r="AD7" t="n">
        <v>20</v>
      </c>
      <c r="AE7" t="n">
        <v>17</v>
      </c>
      <c r="AF7" t="n">
        <v>19</v>
      </c>
    </row>
    <row r="8">
      <c r="A8" t="s">
        <v>49</v>
      </c>
      <c r="B8" t="s">
        <v>286</v>
      </c>
      <c r="C8" t="s">
        <v>236</v>
      </c>
      <c r="D8" t="s">
        <v>287</v>
      </c>
      <c r="E8" t="s">
        <v>237</v>
      </c>
      <c r="F8" t="e">
        <v>#NUM!</v>
      </c>
      <c r="G8" t="e">
        <v>#NUM!</v>
      </c>
      <c r="H8" t="e">
        <v>#NUM!</v>
      </c>
      <c r="I8" t="e">
        <v>#NUM!</v>
      </c>
      <c r="J8" t="e">
        <v>#NUM!</v>
      </c>
      <c r="K8" t="e">
        <v>#NUM!</v>
      </c>
      <c r="L8" t="e">
        <v>#NUM!</v>
      </c>
      <c r="M8" t="n">
        <v>0</v>
      </c>
      <c r="N8" t="n">
        <v>0.881542699724518</v>
      </c>
      <c r="O8" t="n">
        <v>0.440771349862259</v>
      </c>
      <c r="P8" t="n">
        <v>3.08539944903581</v>
      </c>
      <c r="Q8" t="n">
        <v>5.14233241505969</v>
      </c>
      <c r="R8" t="n">
        <v>18.8552188552189</v>
      </c>
      <c r="S8" t="n">
        <v>5.65656565656566</v>
      </c>
      <c r="T8" t="n">
        <v>3.53535353535354</v>
      </c>
      <c r="U8" t="n">
        <v>9.72222222222222</v>
      </c>
      <c r="V8" t="n">
        <v>2.91666666666667</v>
      </c>
      <c r="W8" t="n">
        <v>6.80555555555556</v>
      </c>
      <c r="X8" t="n">
        <v>5.83333333333333</v>
      </c>
      <c r="Y8" t="n">
        <v>6.80555555555556</v>
      </c>
      <c r="Z8" t="n">
        <v>17.5</v>
      </c>
      <c r="AA8" t="n">
        <v>-5.14705882352941</v>
      </c>
      <c r="AB8" t="n">
        <v>-35</v>
      </c>
      <c r="AC8" t="n">
        <v>2</v>
      </c>
      <c r="AD8" t="n">
        <v>1</v>
      </c>
      <c r="AE8" t="n">
        <v>1</v>
      </c>
      <c r="AF8" t="n">
        <v>7</v>
      </c>
    </row>
    <row r="9">
      <c r="A9" t="s">
        <v>49</v>
      </c>
      <c r="B9" t="s">
        <v>288</v>
      </c>
      <c r="C9" t="s">
        <v>236</v>
      </c>
      <c r="D9" t="s">
        <v>289</v>
      </c>
      <c r="E9" t="s">
        <v>237</v>
      </c>
      <c r="F9" t="n">
        <v>3.13780310224755</v>
      </c>
      <c r="G9" t="n">
        <v>1.08616261231646</v>
      </c>
      <c r="H9" t="n">
        <v>1.76501424501424</v>
      </c>
      <c r="I9" t="n">
        <v>2.08592592592593</v>
      </c>
      <c r="J9" t="n">
        <v>2.84444444444444</v>
      </c>
      <c r="K9" t="n">
        <v>1.65925925925926</v>
      </c>
      <c r="L9" t="n">
        <v>1.38271604938272</v>
      </c>
      <c r="M9" t="n">
        <v>2.07407407407407</v>
      </c>
      <c r="N9" t="n">
        <v>2.07407407407407</v>
      </c>
      <c r="O9" t="n">
        <v>3.62962962962963</v>
      </c>
      <c r="P9" t="n">
        <v>3.62962962962963</v>
      </c>
      <c r="Q9" t="n">
        <v>5.08148148148148</v>
      </c>
      <c r="R9" t="n">
        <v>10.8888888888889</v>
      </c>
      <c r="S9" t="n">
        <v>6.22222222222222</v>
      </c>
      <c r="T9" t="n">
        <v>8</v>
      </c>
      <c r="U9" t="n">
        <v>4</v>
      </c>
      <c r="V9" t="n">
        <v>6</v>
      </c>
      <c r="W9" t="n">
        <v>7</v>
      </c>
      <c r="X9" t="n">
        <v>9</v>
      </c>
      <c r="Y9" t="n">
        <v>6</v>
      </c>
      <c r="Z9" t="n">
        <v>12</v>
      </c>
      <c r="AA9" t="n">
        <v>16</v>
      </c>
      <c r="AB9" t="n">
        <v>20</v>
      </c>
      <c r="AC9" t="n">
        <v>15</v>
      </c>
      <c r="AD9" t="n">
        <v>12</v>
      </c>
      <c r="AE9" t="n">
        <v>12</v>
      </c>
      <c r="AF9" t="n">
        <v>18</v>
      </c>
    </row>
    <row r="10">
      <c r="A10" t="s">
        <v>49</v>
      </c>
      <c r="B10" t="s">
        <v>290</v>
      </c>
      <c r="C10" t="s">
        <v>236</v>
      </c>
      <c r="D10" t="s">
        <v>291</v>
      </c>
      <c r="E10" t="s">
        <v>237</v>
      </c>
      <c r="F10" t="n">
        <v>3.86816326530612</v>
      </c>
      <c r="G10" t="n">
        <v>1.38148688046647</v>
      </c>
      <c r="H10" t="n">
        <v>2.14897959183673</v>
      </c>
      <c r="I10" t="n">
        <v>2.50714285714286</v>
      </c>
      <c r="J10" t="n">
        <v>3.34285714285714</v>
      </c>
      <c r="K10" t="n">
        <v>2.05714285714286</v>
      </c>
      <c r="L10" t="n">
        <v>1.46938775510204</v>
      </c>
      <c r="M10" t="n">
        <v>2.57142857142857</v>
      </c>
      <c r="N10" t="n">
        <v>2.14285714285714</v>
      </c>
      <c r="O10" t="n">
        <v>3.75</v>
      </c>
      <c r="P10" t="n">
        <v>3.75</v>
      </c>
      <c r="Q10" t="n">
        <v>6</v>
      </c>
      <c r="R10" t="n">
        <v>12</v>
      </c>
      <c r="S10" t="n">
        <v>7.2</v>
      </c>
      <c r="T10" t="n">
        <v>9</v>
      </c>
      <c r="U10" t="n">
        <v>5</v>
      </c>
      <c r="V10" t="n">
        <v>7</v>
      </c>
      <c r="W10" t="n">
        <v>8</v>
      </c>
      <c r="X10" t="n">
        <v>10</v>
      </c>
      <c r="Y10" t="n">
        <v>7</v>
      </c>
      <c r="Z10" t="n">
        <v>13</v>
      </c>
      <c r="AA10" t="n">
        <v>17</v>
      </c>
      <c r="AB10" t="n">
        <v>21</v>
      </c>
      <c r="AC10" t="n">
        <v>17</v>
      </c>
      <c r="AD10" t="n">
        <v>14</v>
      </c>
      <c r="AE10" t="n">
        <v>13</v>
      </c>
      <c r="AF10" t="n">
        <v>21</v>
      </c>
    </row>
    <row r="11">
      <c r="A11" t="s">
        <v>49</v>
      </c>
      <c r="B11" t="s">
        <v>292</v>
      </c>
      <c r="C11" t="s">
        <v>236</v>
      </c>
      <c r="D11" t="s">
        <v>293</v>
      </c>
      <c r="E11" t="s">
        <v>237</v>
      </c>
      <c r="F11" t="e">
        <v>#NUM!</v>
      </c>
      <c r="G11" t="e">
        <v>#NUM!</v>
      </c>
      <c r="H11" t="e">
        <v>#NUM!</v>
      </c>
      <c r="I11" t="e">
        <v>#NUM!</v>
      </c>
      <c r="J11" t="e">
        <v>#NUM!</v>
      </c>
      <c r="K11" t="e">
        <v>#NUM!</v>
      </c>
      <c r="L11" t="n">
        <v>0</v>
      </c>
      <c r="M11" t="e">
        <v>#NUM!</v>
      </c>
      <c r="N11" t="n">
        <v>0</v>
      </c>
      <c r="O11" t="n">
        <v>0</v>
      </c>
      <c r="P11" t="n">
        <v>0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2</v>
      </c>
      <c r="AD11" t="n">
        <v>2</v>
      </c>
      <c r="AE11" t="n">
        <v>1</v>
      </c>
      <c r="AF11" t="n">
        <v>3</v>
      </c>
    </row>
    <row r="12">
      <c r="A12" t="s">
        <v>49</v>
      </c>
      <c r="B12" t="s">
        <v>294</v>
      </c>
      <c r="C12" t="s">
        <v>236</v>
      </c>
      <c r="D12" t="s">
        <v>295</v>
      </c>
      <c r="E12" t="s">
        <v>237</v>
      </c>
      <c r="F12" t="n">
        <v>7.37623145030552</v>
      </c>
      <c r="G12" t="n">
        <v>4.42573887018331</v>
      </c>
      <c r="H12" t="n">
        <v>4.86831275720165</v>
      </c>
      <c r="I12" t="n">
        <v>8.76296296296296</v>
      </c>
      <c r="J12" t="n">
        <v>9.85833333333333</v>
      </c>
      <c r="K12" t="n">
        <v>9.2421875</v>
      </c>
      <c r="L12" t="n">
        <v>2.84375</v>
      </c>
      <c r="M12" t="n">
        <v>3.5546875</v>
      </c>
      <c r="N12" t="n">
        <v>5.6875</v>
      </c>
      <c r="O12" t="n">
        <v>5.6875</v>
      </c>
      <c r="P12" t="n">
        <v>6.5</v>
      </c>
      <c r="Q12" t="n">
        <v>9.75</v>
      </c>
      <c r="R12" t="n">
        <v>13</v>
      </c>
      <c r="S12" t="n">
        <v>7.8</v>
      </c>
      <c r="T12" t="n">
        <v>13</v>
      </c>
      <c r="U12" t="n">
        <v>8</v>
      </c>
      <c r="V12" t="n">
        <v>9</v>
      </c>
      <c r="W12" t="n">
        <v>8</v>
      </c>
      <c r="X12" t="n">
        <v>6</v>
      </c>
      <c r="Y12" t="n">
        <v>6</v>
      </c>
      <c r="Z12" t="n">
        <v>7</v>
      </c>
      <c r="AA12" t="n">
        <v>6</v>
      </c>
      <c r="AB12" t="n">
        <v>4</v>
      </c>
      <c r="AC12" t="n">
        <v>4</v>
      </c>
      <c r="AD12" t="n">
        <v>5</v>
      </c>
      <c r="AE12" t="n">
        <v>4</v>
      </c>
      <c r="AF12" t="n">
        <v>6</v>
      </c>
    </row>
    <row r="13">
      <c r="A13" t="s">
        <v>49</v>
      </c>
      <c r="B13" t="s">
        <v>296</v>
      </c>
      <c r="C13" t="s">
        <v>236</v>
      </c>
      <c r="D13" t="s">
        <v>297</v>
      </c>
      <c r="E13" t="s">
        <v>237</v>
      </c>
      <c r="F13" t="n">
        <v>9.21963693562548</v>
      </c>
      <c r="G13" t="n">
        <v>6.02822415021666</v>
      </c>
      <c r="H13" t="n">
        <v>7.23386898025999</v>
      </c>
      <c r="I13" t="n">
        <v>9.5673751029245</v>
      </c>
      <c r="J13" t="n">
        <v>6.83383935923179</v>
      </c>
      <c r="K13" t="n">
        <v>8.07635560636484</v>
      </c>
      <c r="L13" t="n">
        <v>4.21375075114687</v>
      </c>
      <c r="M13" t="n">
        <v>8.00612642717906</v>
      </c>
      <c r="N13" t="n">
        <v>6.0045948203843</v>
      </c>
      <c r="O13" t="n">
        <v>16.2124060150376</v>
      </c>
      <c r="P13" t="n">
        <v>9.07894736842105</v>
      </c>
      <c r="Q13" t="n">
        <v>12.1052631578947</v>
      </c>
      <c r="R13" t="n">
        <v>18.1578947368421</v>
      </c>
      <c r="S13" t="n">
        <v>12.6315789473684</v>
      </c>
      <c r="T13" t="n">
        <v>23.6842105263158</v>
      </c>
      <c r="U13" t="n">
        <v>17.3076923076923</v>
      </c>
      <c r="V13" t="n">
        <v>11.5384615384615</v>
      </c>
      <c r="W13" t="n">
        <v>25</v>
      </c>
      <c r="X13" t="n">
        <v>9</v>
      </c>
      <c r="Y13" t="n">
        <v>12</v>
      </c>
      <c r="Z13" t="n">
        <v>14</v>
      </c>
      <c r="AA13" t="n">
        <v>13</v>
      </c>
      <c r="AB13" t="n">
        <v>15</v>
      </c>
      <c r="AC13" t="n">
        <v>17</v>
      </c>
      <c r="AD13" t="n">
        <v>20</v>
      </c>
      <c r="AE13" t="n">
        <v>12</v>
      </c>
      <c r="AF13" t="n">
        <v>12</v>
      </c>
    </row>
    <row r="14">
      <c r="A14" t="s">
        <v>49</v>
      </c>
      <c r="B14" t="s">
        <v>298</v>
      </c>
      <c r="C14" t="s">
        <v>236</v>
      </c>
      <c r="D14" t="s">
        <v>299</v>
      </c>
      <c r="E14" t="s">
        <v>237</v>
      </c>
      <c r="F14" t="n">
        <v>2.8699452400444</v>
      </c>
      <c r="G14" t="n">
        <v>1.37757371522131</v>
      </c>
      <c r="H14" t="n">
        <v>1.65308845826557</v>
      </c>
      <c r="I14" t="n">
        <v>3.00561537866468</v>
      </c>
      <c r="J14" t="n">
        <v>4.77362442493802</v>
      </c>
      <c r="K14" t="n">
        <v>4.33965856812547</v>
      </c>
      <c r="L14" t="n">
        <v>2.55274033419146</v>
      </c>
      <c r="M14" t="n">
        <v>1.70182688946097</v>
      </c>
      <c r="N14" t="n">
        <v>2.04219226735316</v>
      </c>
      <c r="O14" t="n">
        <v>3.26750762776506</v>
      </c>
      <c r="P14" t="n">
        <v>4.20108123569794</v>
      </c>
      <c r="Q14" t="n">
        <v>18.9048655606407</v>
      </c>
      <c r="R14" t="n">
        <v>17.7928146453089</v>
      </c>
      <c r="S14" t="n">
        <v>14.8273455377574</v>
      </c>
      <c r="T14" t="n">
        <v>12.893343945876</v>
      </c>
      <c r="U14" t="n">
        <v>17.4439359267735</v>
      </c>
      <c r="V14" t="n">
        <v>19.9359267734554</v>
      </c>
      <c r="W14" t="n">
        <v>17.2173913043478</v>
      </c>
      <c r="X14" t="n">
        <v>9.56521739130435</v>
      </c>
      <c r="Y14" t="n">
        <v>16.2608695652174</v>
      </c>
      <c r="Z14" t="n">
        <v>22</v>
      </c>
      <c r="AA14" t="n">
        <v>18</v>
      </c>
      <c r="AB14" t="n">
        <v>22</v>
      </c>
      <c r="AC14" t="n">
        <v>18</v>
      </c>
      <c r="AD14" t="n">
        <v>18</v>
      </c>
      <c r="AE14" t="n">
        <v>24</v>
      </c>
      <c r="AF14" t="n">
        <v>22</v>
      </c>
    </row>
    <row r="15">
      <c r="A15" t="s">
        <v>49</v>
      </c>
      <c r="B15" t="s">
        <v>300</v>
      </c>
      <c r="C15" t="s">
        <v>236</v>
      </c>
      <c r="D15" t="s">
        <v>301</v>
      </c>
      <c r="E15" t="s">
        <v>237</v>
      </c>
      <c r="F15" t="n">
        <v>4.20124695487014</v>
      </c>
      <c r="G15" t="n">
        <v>2.43943371573105</v>
      </c>
      <c r="H15" t="n">
        <v>2.76469154449519</v>
      </c>
      <c r="I15" t="n">
        <v>4.79213201045833</v>
      </c>
      <c r="J15" t="n">
        <v>6.75254965110037</v>
      </c>
      <c r="K15" t="n">
        <v>5.97340930674264</v>
      </c>
      <c r="L15" t="n">
        <v>3.58404558404558</v>
      </c>
      <c r="M15" t="n">
        <v>1.95493395493395</v>
      </c>
      <c r="N15" t="n">
        <v>3.12789432789433</v>
      </c>
      <c r="O15" t="n">
        <v>4.02157842157842</v>
      </c>
      <c r="P15" t="n">
        <v>5.52967032967033</v>
      </c>
      <c r="Q15" t="n">
        <v>21.5657142857143</v>
      </c>
      <c r="R15" t="n">
        <v>20.9828571428571</v>
      </c>
      <c r="S15" t="n">
        <v>17.28</v>
      </c>
      <c r="T15" t="n">
        <v>17.28</v>
      </c>
      <c r="U15" t="n">
        <v>20.4218181818182</v>
      </c>
      <c r="V15" t="n">
        <v>23.8254545454545</v>
      </c>
      <c r="W15" t="n">
        <v>20.16</v>
      </c>
      <c r="X15" t="n">
        <v>13.44</v>
      </c>
      <c r="Y15" t="n">
        <v>17.28</v>
      </c>
      <c r="Z15" t="n">
        <v>24</v>
      </c>
      <c r="AA15" t="n">
        <v>20</v>
      </c>
      <c r="AB15" t="n">
        <v>24</v>
      </c>
      <c r="AC15" t="n">
        <v>20</v>
      </c>
      <c r="AD15" t="n">
        <v>20</v>
      </c>
      <c r="AE15" t="n">
        <v>26</v>
      </c>
      <c r="AF15" t="n">
        <v>24</v>
      </c>
    </row>
    <row r="16">
      <c r="A16" t="s">
        <v>49</v>
      </c>
      <c r="B16" t="s">
        <v>302</v>
      </c>
      <c r="C16" t="s">
        <v>236</v>
      </c>
      <c r="D16" t="s">
        <v>303</v>
      </c>
      <c r="E16" t="s">
        <v>237</v>
      </c>
      <c r="F16" t="e">
        <v>#NUM!</v>
      </c>
      <c r="G16" t="e">
        <v>#NUM!</v>
      </c>
      <c r="H16" t="e">
        <v>#NUM!</v>
      </c>
      <c r="I16" t="e">
        <v>#NUM!</v>
      </c>
      <c r="J16" t="e">
        <v>#NUM!</v>
      </c>
      <c r="K16" t="e">
        <v>#NUM!</v>
      </c>
      <c r="L16" t="e">
        <v>#NUM!</v>
      </c>
      <c r="M16" t="n">
        <v>0</v>
      </c>
      <c r="N16" t="n">
        <v>1.66666666666667</v>
      </c>
      <c r="O16" t="n">
        <v>0.833333333333333</v>
      </c>
      <c r="P16" t="n">
        <v>1.66666666666667</v>
      </c>
      <c r="Q16" t="n">
        <v>2.5</v>
      </c>
      <c r="R16" t="n">
        <v>3.33333333333333</v>
      </c>
      <c r="S16" t="n">
        <v>2.5</v>
      </c>
      <c r="T16" t="n">
        <v>5</v>
      </c>
      <c r="U16" t="n">
        <v>3</v>
      </c>
      <c r="V16" t="n">
        <v>4</v>
      </c>
      <c r="W16" t="n">
        <v>3</v>
      </c>
      <c r="X16" t="n">
        <v>4</v>
      </c>
      <c r="Y16" t="n">
        <v>1</v>
      </c>
      <c r="Z16" t="n">
        <v>2</v>
      </c>
      <c r="AA16" t="n">
        <v>2</v>
      </c>
      <c r="AB16" t="n">
        <v>2</v>
      </c>
      <c r="AC16" t="n">
        <v>2</v>
      </c>
      <c r="AD16" t="n">
        <v>2</v>
      </c>
      <c r="AE16" t="n">
        <v>2</v>
      </c>
      <c r="AF16" t="n">
        <v>2</v>
      </c>
    </row>
    <row r="17">
      <c r="A17" t="s">
        <v>49</v>
      </c>
      <c r="B17" t="s">
        <v>304</v>
      </c>
      <c r="C17" t="s">
        <v>236</v>
      </c>
      <c r="D17" t="s">
        <v>305</v>
      </c>
      <c r="E17" t="s">
        <v>237</v>
      </c>
      <c r="F17" t="n">
        <v>6.28210227272727</v>
      </c>
      <c r="G17" t="n">
        <v>6.28210227272727</v>
      </c>
      <c r="H17" t="n">
        <v>4.83238636363636</v>
      </c>
      <c r="I17" t="n">
        <v>5.90625</v>
      </c>
      <c r="J17" t="n">
        <v>5.90625</v>
      </c>
      <c r="K17" t="n">
        <v>5.25</v>
      </c>
      <c r="L17" t="n">
        <v>2.25</v>
      </c>
      <c r="M17" t="n">
        <v>2.25</v>
      </c>
      <c r="N17" t="n">
        <v>4.5</v>
      </c>
      <c r="O17" t="n">
        <v>3.6</v>
      </c>
      <c r="P17" t="n">
        <v>3.6</v>
      </c>
      <c r="Q17" t="n">
        <v>6.3</v>
      </c>
      <c r="R17" t="n">
        <v>6.3</v>
      </c>
      <c r="S17" t="n">
        <v>8.1</v>
      </c>
      <c r="T17" t="n">
        <v>9</v>
      </c>
      <c r="U17" t="n">
        <v>3</v>
      </c>
      <c r="V17" t="n">
        <v>5</v>
      </c>
      <c r="W17" t="n">
        <v>5</v>
      </c>
      <c r="X17" t="n">
        <v>3</v>
      </c>
      <c r="Y17" t="n">
        <v>5</v>
      </c>
      <c r="Z17" t="n">
        <v>4</v>
      </c>
      <c r="AA17" t="n">
        <v>4</v>
      </c>
      <c r="AB17" t="n">
        <v>3</v>
      </c>
      <c r="AC17" t="n">
        <v>6</v>
      </c>
      <c r="AD17" t="n">
        <v>7</v>
      </c>
      <c r="AE17" t="n">
        <v>4</v>
      </c>
      <c r="AF17" t="n">
        <v>5</v>
      </c>
    </row>
    <row r="18">
      <c r="A18" t="s">
        <v>49</v>
      </c>
      <c r="B18" t="s">
        <v>306</v>
      </c>
      <c r="C18" t="s">
        <v>236</v>
      </c>
      <c r="D18" t="s">
        <v>307</v>
      </c>
      <c r="E18" t="s">
        <v>237</v>
      </c>
      <c r="F18" t="e">
        <v>#NUM!</v>
      </c>
      <c r="G18" t="e">
        <v>#NUM!</v>
      </c>
      <c r="H18" t="e">
        <v>#NUM!</v>
      </c>
      <c r="I18" t="e">
        <v>#NUM!</v>
      </c>
      <c r="J18" t="e">
        <v>#NUM!</v>
      </c>
      <c r="K18" t="e">
        <v>#NUM!</v>
      </c>
      <c r="L18" t="e">
        <v>#NUM!</v>
      </c>
      <c r="M18" t="e">
        <v>#NUM!</v>
      </c>
      <c r="N18" t="e">
        <v>#NUM!</v>
      </c>
      <c r="O18" t="e">
        <v>#NUM!</v>
      </c>
      <c r="P18" t="e">
        <v>#NUM!</v>
      </c>
      <c r="Q18" t="e">
        <v>#NUM!</v>
      </c>
      <c r="R18" t="e">
        <v>#NUM!</v>
      </c>
      <c r="S18" t="e">
        <v>#NUM!</v>
      </c>
      <c r="T18" t="e">
        <v>#NUM!</v>
      </c>
      <c r="U18" t="e">
        <v>#NUM!</v>
      </c>
      <c r="V18" t="e">
        <v>#NUM!</v>
      </c>
      <c r="W18" t="e">
        <v>#NUM!</v>
      </c>
      <c r="X18" t="e">
        <v>#NUM!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49</v>
      </c>
      <c r="B19" t="s">
        <v>308</v>
      </c>
      <c r="C19" t="s">
        <v>236</v>
      </c>
      <c r="D19" t="s">
        <v>309</v>
      </c>
      <c r="E19" t="s">
        <v>237</v>
      </c>
      <c r="F19" t="n">
        <v>4</v>
      </c>
      <c r="G19" t="n">
        <v>3.11111111111111</v>
      </c>
      <c r="H19" t="n">
        <v>3.62962962962963</v>
      </c>
      <c r="I19" t="n">
        <v>5.44444444444444</v>
      </c>
      <c r="J19" t="n">
        <v>7</v>
      </c>
      <c r="K19" t="n">
        <v>5</v>
      </c>
      <c r="L19" t="n">
        <v>2</v>
      </c>
      <c r="M19" t="n">
        <v>2</v>
      </c>
      <c r="N19" t="n">
        <v>1</v>
      </c>
      <c r="O19" t="n">
        <v>2</v>
      </c>
      <c r="P19" t="n">
        <v>2</v>
      </c>
      <c r="Q19" t="n">
        <v>3</v>
      </c>
      <c r="R19" t="n">
        <v>4</v>
      </c>
      <c r="S19" t="n">
        <v>4</v>
      </c>
      <c r="T19" t="n">
        <v>2</v>
      </c>
      <c r="U19" t="n">
        <v>2</v>
      </c>
      <c r="V19" t="n">
        <v>2</v>
      </c>
      <c r="W19" t="n">
        <v>2</v>
      </c>
      <c r="X19" t="n">
        <v>2</v>
      </c>
      <c r="Y19" t="n">
        <v>4</v>
      </c>
      <c r="Z19" t="n">
        <v>4</v>
      </c>
      <c r="AA19" t="n">
        <v>4</v>
      </c>
      <c r="AB19" t="n">
        <v>3</v>
      </c>
      <c r="AC19" t="n">
        <v>3</v>
      </c>
      <c r="AD19" t="n">
        <v>2</v>
      </c>
      <c r="AE19" t="n">
        <v>2</v>
      </c>
      <c r="AF19" t="n">
        <v>1</v>
      </c>
    </row>
    <row r="20">
      <c r="A20" t="s">
        <v>49</v>
      </c>
      <c r="B20" t="s">
        <v>310</v>
      </c>
      <c r="C20" t="s">
        <v>236</v>
      </c>
      <c r="D20" t="s">
        <v>311</v>
      </c>
      <c r="E20" t="s">
        <v>237</v>
      </c>
      <c r="F20" t="n">
        <v>5.80048964491871</v>
      </c>
      <c r="G20" t="n">
        <v>3.78292802929481</v>
      </c>
      <c r="H20" t="n">
        <v>5.14478211984094</v>
      </c>
      <c r="I20" t="n">
        <v>4.6125632798574</v>
      </c>
      <c r="J20" t="n">
        <v>5.24154918165613</v>
      </c>
      <c r="K20" t="n">
        <v>6.23993950197159</v>
      </c>
      <c r="L20" t="n">
        <v>2.83633613725981</v>
      </c>
      <c r="M20" t="n">
        <v>5.04237535512856</v>
      </c>
      <c r="N20" t="n">
        <v>5.04237535512856</v>
      </c>
      <c r="O20" t="n">
        <v>9.24435481773568</v>
      </c>
      <c r="P20" t="n">
        <v>9.70657255862247</v>
      </c>
      <c r="Q20" t="n">
        <v>7.66308359891248</v>
      </c>
      <c r="R20" t="n">
        <v>9.30517294153658</v>
      </c>
      <c r="S20" t="n">
        <v>6.3973063973064</v>
      </c>
      <c r="T20" t="n">
        <v>14.0740740740741</v>
      </c>
      <c r="U20" t="n">
        <v>8.88888888888889</v>
      </c>
      <c r="V20" t="n">
        <v>8.88888888888889</v>
      </c>
      <c r="W20" t="n">
        <v>8</v>
      </c>
      <c r="X20" t="n">
        <v>9</v>
      </c>
      <c r="Y20" t="n">
        <v>8</v>
      </c>
      <c r="Z20" t="n">
        <v>10</v>
      </c>
      <c r="AA20" t="n">
        <v>12</v>
      </c>
      <c r="AB20" t="n">
        <v>11</v>
      </c>
      <c r="AC20" t="n">
        <v>10</v>
      </c>
      <c r="AD20" t="n">
        <v>8</v>
      </c>
      <c r="AE20" t="n">
        <v>9</v>
      </c>
      <c r="AF20" t="n">
        <v>9</v>
      </c>
    </row>
    <row r="21">
      <c r="A21" t="s">
        <v>49</v>
      </c>
      <c r="B21" t="s">
        <v>312</v>
      </c>
      <c r="C21" t="s">
        <v>236</v>
      </c>
      <c r="D21" t="s">
        <v>313</v>
      </c>
      <c r="E21" t="s">
        <v>237</v>
      </c>
      <c r="F21" t="n">
        <v>7.29295590049343</v>
      </c>
      <c r="G21" t="n">
        <v>4.76274671052632</v>
      </c>
      <c r="H21" t="n">
        <v>6.17393092105264</v>
      </c>
      <c r="I21" t="n">
        <v>5.55653782894737</v>
      </c>
      <c r="J21" t="n">
        <v>6.28130363272312</v>
      </c>
      <c r="K21" t="n">
        <v>7.70887264016019</v>
      </c>
      <c r="L21" t="n">
        <v>3.21203026673341</v>
      </c>
      <c r="M21" t="n">
        <v>5.71027602974829</v>
      </c>
      <c r="N21" t="n">
        <v>6.11815288901602</v>
      </c>
      <c r="O21" t="n">
        <v>10.3537971967963</v>
      </c>
      <c r="P21" t="n">
        <v>11.9068667763158</v>
      </c>
      <c r="Q21" t="n">
        <v>9.0718984962406</v>
      </c>
      <c r="R21" t="n">
        <v>11.4910714285714</v>
      </c>
      <c r="S21" t="n">
        <v>7.66071428571429</v>
      </c>
      <c r="T21" t="n">
        <v>16.7142857142857</v>
      </c>
      <c r="U21" t="n">
        <v>11.1428571428571</v>
      </c>
      <c r="V21" t="n">
        <v>12</v>
      </c>
      <c r="W21" t="n">
        <v>12</v>
      </c>
      <c r="X21" t="n">
        <v>13</v>
      </c>
      <c r="Y21" t="n">
        <v>11</v>
      </c>
      <c r="Z21" t="n">
        <v>14</v>
      </c>
      <c r="AA21" t="n">
        <v>17</v>
      </c>
      <c r="AB21" t="n">
        <v>16</v>
      </c>
      <c r="AC21" t="n">
        <v>15</v>
      </c>
      <c r="AD21" t="n">
        <v>13</v>
      </c>
      <c r="AE21" t="n">
        <v>13</v>
      </c>
      <c r="AF21" t="n">
        <v>13</v>
      </c>
    </row>
    <row r="22">
      <c r="A22" t="s">
        <v>49</v>
      </c>
      <c r="B22" t="s">
        <v>314</v>
      </c>
      <c r="C22" t="s">
        <v>236</v>
      </c>
      <c r="D22" t="s">
        <v>315</v>
      </c>
      <c r="E22" t="s">
        <v>237</v>
      </c>
      <c r="F22" t="e">
        <v>#NUM!</v>
      </c>
      <c r="G22" t="e">
        <v>#NUM!</v>
      </c>
      <c r="H22" t="e">
        <v>#NUM!</v>
      </c>
      <c r="I22" t="e">
        <v>#NUM!</v>
      </c>
      <c r="J22" t="e">
        <v>#NUM!</v>
      </c>
      <c r="K22" t="e">
        <v>#NUM!</v>
      </c>
      <c r="L22" t="n">
        <v>0</v>
      </c>
      <c r="M22" t="n">
        <v>0</v>
      </c>
      <c r="N22" t="e">
        <v>#NUM!</v>
      </c>
      <c r="O22" t="n">
        <v>0</v>
      </c>
      <c r="P22" t="n">
        <v>2</v>
      </c>
      <c r="Q22" t="n">
        <v>1</v>
      </c>
      <c r="R22" t="n">
        <v>2</v>
      </c>
      <c r="S22" t="n">
        <v>1</v>
      </c>
      <c r="T22" t="n">
        <v>2</v>
      </c>
      <c r="U22" t="n">
        <v>2</v>
      </c>
      <c r="V22" t="n">
        <v>3</v>
      </c>
      <c r="W22" t="n">
        <v>4</v>
      </c>
      <c r="X22" t="n">
        <v>4</v>
      </c>
      <c r="Y22" t="n">
        <v>3</v>
      </c>
      <c r="Z22" t="n">
        <v>4</v>
      </c>
      <c r="AA22" t="n">
        <v>5</v>
      </c>
      <c r="AB22" t="n">
        <v>5</v>
      </c>
      <c r="AC22" t="n">
        <v>5</v>
      </c>
      <c r="AD22" t="n">
        <v>5</v>
      </c>
      <c r="AE22" t="n">
        <v>4</v>
      </c>
      <c r="AF22" t="n">
        <v>4</v>
      </c>
    </row>
    <row r="23">
      <c r="A23" t="s">
        <v>49</v>
      </c>
      <c r="B23" t="s">
        <v>316</v>
      </c>
      <c r="C23" t="s">
        <v>236</v>
      </c>
      <c r="D23" t="s">
        <v>317</v>
      </c>
      <c r="E23" t="s">
        <v>237</v>
      </c>
      <c r="F23" t="n">
        <v>3.21308641975309</v>
      </c>
      <c r="G23" t="n">
        <v>2.24916049382716</v>
      </c>
      <c r="H23" t="n">
        <v>2.59518518518518</v>
      </c>
      <c r="I23" t="n">
        <v>3.19407407407407</v>
      </c>
      <c r="J23" t="n">
        <v>5.89675213675214</v>
      </c>
      <c r="K23" t="n">
        <v>5.89675213675214</v>
      </c>
      <c r="L23" t="n">
        <v>2.77494218200101</v>
      </c>
      <c r="M23" t="n">
        <v>3.56778280542986</v>
      </c>
      <c r="N23" t="n">
        <v>5.79764705882353</v>
      </c>
      <c r="O23" t="n">
        <v>7.90588235294118</v>
      </c>
      <c r="P23" t="n">
        <v>9.6</v>
      </c>
      <c r="Q23" t="n">
        <v>7.68</v>
      </c>
      <c r="R23" t="n">
        <v>8.32</v>
      </c>
      <c r="S23" t="n">
        <v>10.4</v>
      </c>
      <c r="T23" t="n">
        <v>8</v>
      </c>
      <c r="U23" t="n">
        <v>7</v>
      </c>
      <c r="V23" t="n">
        <v>8</v>
      </c>
      <c r="W23" t="n">
        <v>7</v>
      </c>
      <c r="X23" t="n">
        <v>7</v>
      </c>
      <c r="Y23" t="n">
        <v>7</v>
      </c>
      <c r="Z23" t="n">
        <v>4</v>
      </c>
      <c r="AA23" t="n">
        <v>4</v>
      </c>
      <c r="AB23" t="n">
        <v>3</v>
      </c>
      <c r="AC23" t="n">
        <v>4</v>
      </c>
      <c r="AD23" t="n">
        <v>2</v>
      </c>
      <c r="AE23" t="n">
        <v>2</v>
      </c>
      <c r="AF23" t="n">
        <v>2</v>
      </c>
    </row>
    <row r="24">
      <c r="A24" t="s">
        <v>49</v>
      </c>
      <c r="B24" t="s">
        <v>318</v>
      </c>
      <c r="C24" t="s">
        <v>236</v>
      </c>
      <c r="D24" t="s">
        <v>319</v>
      </c>
      <c r="E24" t="s">
        <v>237</v>
      </c>
      <c r="F24" t="n">
        <v>6.6441846192415</v>
      </c>
      <c r="G24" t="n">
        <v>5.08695384910677</v>
      </c>
      <c r="H24" t="n">
        <v>7.26707692729539</v>
      </c>
      <c r="I24" t="n">
        <v>10.8293695387147</v>
      </c>
      <c r="J24" t="n">
        <v>13.0640013482907</v>
      </c>
      <c r="K24" t="n">
        <v>10.368255038326</v>
      </c>
      <c r="L24" t="n">
        <v>5.30468862425981</v>
      </c>
      <c r="M24" t="n">
        <v>6.7006593148545</v>
      </c>
      <c r="N24" t="n">
        <v>9.57237044979214</v>
      </c>
      <c r="O24" t="n">
        <v>10.6768747324605</v>
      </c>
      <c r="P24" t="n">
        <v>11.9088218169751</v>
      </c>
      <c r="Q24" t="n">
        <v>11.4507902086299</v>
      </c>
      <c r="R24" t="n">
        <v>16.9272550910182</v>
      </c>
      <c r="S24" t="n">
        <v>28.394105313966</v>
      </c>
      <c r="T24" t="n">
        <v>21.7486764106973</v>
      </c>
      <c r="U24" t="n">
        <v>25.3734558124802</v>
      </c>
      <c r="V24" t="n">
        <v>26.1663763066202</v>
      </c>
      <c r="W24" t="n">
        <v>34.6071428571429</v>
      </c>
      <c r="X24" t="n">
        <v>28.3956043956044</v>
      </c>
      <c r="Y24" t="n">
        <v>36.9142857142857</v>
      </c>
      <c r="Z24" t="n">
        <v>34</v>
      </c>
      <c r="AA24" t="n">
        <v>43</v>
      </c>
      <c r="AB24" t="n">
        <v>30</v>
      </c>
      <c r="AC24" t="n">
        <v>32</v>
      </c>
      <c r="AD24" t="n">
        <v>21</v>
      </c>
      <c r="AE24" t="n">
        <v>14</v>
      </c>
      <c r="AF24" t="n">
        <v>12</v>
      </c>
    </row>
    <row r="25">
      <c r="A25" t="s">
        <v>49</v>
      </c>
      <c r="B25" t="s">
        <v>320</v>
      </c>
      <c r="C25" t="s">
        <v>236</v>
      </c>
      <c r="D25" t="s">
        <v>321</v>
      </c>
      <c r="E25" t="s">
        <v>237</v>
      </c>
      <c r="F25" t="n">
        <v>1.59288888888889</v>
      </c>
      <c r="G25" t="n">
        <v>1.13777777777778</v>
      </c>
      <c r="H25" t="n">
        <v>1.99111111111111</v>
      </c>
      <c r="I25" t="n">
        <v>3.31851851851852</v>
      </c>
      <c r="J25" t="n">
        <v>3.73333333333333</v>
      </c>
      <c r="K25" t="n">
        <v>2.66666666666667</v>
      </c>
      <c r="L25" t="n">
        <v>1.33333333333333</v>
      </c>
      <c r="M25" t="n">
        <v>1.33333333333333</v>
      </c>
      <c r="N25" t="n">
        <v>1.33333333333333</v>
      </c>
      <c r="O25" t="n">
        <v>2</v>
      </c>
      <c r="P25" t="n">
        <v>1.33333333333333</v>
      </c>
      <c r="Q25" t="n">
        <v>2</v>
      </c>
      <c r="R25" t="n">
        <v>1.33333333333333</v>
      </c>
      <c r="S25" t="n">
        <v>6</v>
      </c>
      <c r="T25" t="n">
        <v>3</v>
      </c>
      <c r="U25" t="n">
        <v>5</v>
      </c>
      <c r="V25" t="n">
        <v>5</v>
      </c>
      <c r="W25" t="n">
        <v>3</v>
      </c>
      <c r="X25" t="n">
        <v>3</v>
      </c>
      <c r="Y25" t="n">
        <v>5</v>
      </c>
      <c r="Z25" t="n">
        <v>4</v>
      </c>
      <c r="AA25" t="n">
        <v>7</v>
      </c>
      <c r="AB25" t="n">
        <v>4</v>
      </c>
      <c r="AC25" t="n">
        <v>4</v>
      </c>
      <c r="AD25" t="n">
        <v>3</v>
      </c>
      <c r="AE25" t="n">
        <v>2</v>
      </c>
      <c r="AF25" t="n">
        <v>2</v>
      </c>
    </row>
    <row r="26">
      <c r="A26" t="s">
        <v>49</v>
      </c>
      <c r="B26" t="s">
        <v>322</v>
      </c>
      <c r="C26" t="s">
        <v>236</v>
      </c>
      <c r="D26" t="s">
        <v>323</v>
      </c>
      <c r="E26" t="s">
        <v>237</v>
      </c>
      <c r="F26" t="n">
        <v>3.0730634732999</v>
      </c>
      <c r="G26" t="n">
        <v>2.54625259216278</v>
      </c>
      <c r="H26" t="n">
        <v>3.87030394008742</v>
      </c>
      <c r="I26" t="n">
        <v>5.20072091949247</v>
      </c>
      <c r="J26" t="n">
        <v>5.92304326942198</v>
      </c>
      <c r="K26" t="n">
        <v>5.05200749450699</v>
      </c>
      <c r="L26" t="n">
        <v>2.62704389714363</v>
      </c>
      <c r="M26" t="n">
        <v>3.34351041454644</v>
      </c>
      <c r="N26" t="n">
        <v>4.45801388606192</v>
      </c>
      <c r="O26" t="n">
        <v>5.0948730126422</v>
      </c>
      <c r="P26" t="n">
        <v>6.18663151535124</v>
      </c>
      <c r="Q26" t="n">
        <v>4.94930521228099</v>
      </c>
      <c r="R26" t="n">
        <v>8.9987367496018</v>
      </c>
      <c r="S26" t="n">
        <v>13.998034943825</v>
      </c>
      <c r="T26" t="n">
        <v>10.638506557307</v>
      </c>
      <c r="U26" t="n">
        <v>11.9683198769704</v>
      </c>
      <c r="V26" t="n">
        <v>12.716339869281</v>
      </c>
      <c r="W26" t="n">
        <v>16.6901960784314</v>
      </c>
      <c r="X26" t="n">
        <v>12.5176470588235</v>
      </c>
      <c r="Y26" t="n">
        <v>17.8823529411765</v>
      </c>
      <c r="Z26" t="n">
        <v>16</v>
      </c>
      <c r="AA26" t="n">
        <v>21</v>
      </c>
      <c r="AB26" t="n">
        <v>15</v>
      </c>
      <c r="AC26" t="n">
        <v>17</v>
      </c>
      <c r="AD26" t="n">
        <v>10</v>
      </c>
      <c r="AE26" t="n">
        <v>6</v>
      </c>
      <c r="AF26" t="n">
        <v>4</v>
      </c>
    </row>
    <row r="27">
      <c r="A27" t="s">
        <v>49</v>
      </c>
      <c r="B27" t="s">
        <v>324</v>
      </c>
      <c r="C27" t="s">
        <v>236</v>
      </c>
      <c r="D27" t="s">
        <v>325</v>
      </c>
      <c r="E27" t="s">
        <v>237</v>
      </c>
      <c r="F27" t="n">
        <v>2.42784101662404</v>
      </c>
      <c r="G27" t="n">
        <v>1.65534614769821</v>
      </c>
      <c r="H27" t="n">
        <v>1.91001478580563</v>
      </c>
      <c r="I27" t="n">
        <v>3.37925692873303</v>
      </c>
      <c r="J27" t="n">
        <v>4.62424632352941</v>
      </c>
      <c r="K27" t="n">
        <v>3.36308823529412</v>
      </c>
      <c r="L27" t="n">
        <v>1.68154411764706</v>
      </c>
      <c r="M27" t="n">
        <v>2.24205882352941</v>
      </c>
      <c r="N27" t="n">
        <v>3.84352941176471</v>
      </c>
      <c r="O27" t="n">
        <v>3.84352941176471</v>
      </c>
      <c r="P27" t="n">
        <v>4.27058823529412</v>
      </c>
      <c r="Q27" t="n">
        <v>4.74509803921569</v>
      </c>
      <c r="R27" t="n">
        <v>6.32679738562092</v>
      </c>
      <c r="S27" t="n">
        <v>8.62745098039216</v>
      </c>
      <c r="T27" t="n">
        <v>8.01120448179272</v>
      </c>
      <c r="U27" t="n">
        <v>8.73949579831933</v>
      </c>
      <c r="V27" t="n">
        <v>8.73949579831933</v>
      </c>
      <c r="W27" t="n">
        <v>14.8571428571429</v>
      </c>
      <c r="X27" t="n">
        <v>13</v>
      </c>
      <c r="Y27" t="n">
        <v>14</v>
      </c>
      <c r="Z27" t="n">
        <v>14</v>
      </c>
      <c r="AA27" t="n">
        <v>15</v>
      </c>
      <c r="AB27" t="n">
        <v>11</v>
      </c>
      <c r="AC27" t="n">
        <v>11</v>
      </c>
      <c r="AD27" t="n">
        <v>8</v>
      </c>
      <c r="AE27" t="n">
        <v>6</v>
      </c>
      <c r="AF27" t="n">
        <v>6</v>
      </c>
    </row>
    <row r="28">
      <c r="A28" t="s">
        <v>49</v>
      </c>
      <c r="B28" t="s">
        <v>326</v>
      </c>
      <c r="C28" t="s">
        <v>236</v>
      </c>
      <c r="D28" t="s">
        <v>327</v>
      </c>
      <c r="E28" t="s">
        <v>237</v>
      </c>
      <c r="F28" t="n">
        <v>7.5943275600761</v>
      </c>
      <c r="G28" t="n">
        <v>3.07004731152012</v>
      </c>
      <c r="H28" t="n">
        <v>2.4944134406101</v>
      </c>
      <c r="I28" t="n">
        <v>5.48770956934222</v>
      </c>
      <c r="J28" t="n">
        <v>6.06536320822035</v>
      </c>
      <c r="K28" t="n">
        <v>4.28143285286142</v>
      </c>
      <c r="L28" t="n">
        <v>0.856286570572285</v>
      </c>
      <c r="M28" t="n">
        <v>0.856286570572285</v>
      </c>
      <c r="N28" t="n">
        <v>2.56885971171685</v>
      </c>
      <c r="O28" t="n">
        <v>3.08263165406022</v>
      </c>
      <c r="P28" t="n">
        <v>4.31568431568431</v>
      </c>
      <c r="Q28" t="n">
        <v>6.47352647352647</v>
      </c>
      <c r="R28" t="n">
        <v>7.91208791208791</v>
      </c>
      <c r="S28" t="n">
        <v>10.2857142857143</v>
      </c>
      <c r="T28" t="n">
        <v>12</v>
      </c>
      <c r="U28" t="n">
        <v>10</v>
      </c>
      <c r="V28" t="n">
        <v>11</v>
      </c>
      <c r="W28" t="n">
        <v>10</v>
      </c>
      <c r="X28" t="n">
        <v>11</v>
      </c>
      <c r="Y28" t="n">
        <v>12</v>
      </c>
      <c r="Z28" t="n">
        <v>11</v>
      </c>
      <c r="AA28" t="n">
        <v>16</v>
      </c>
      <c r="AB28" t="n">
        <v>11</v>
      </c>
      <c r="AC28" t="n">
        <v>10</v>
      </c>
      <c r="AD28" t="n">
        <v>12</v>
      </c>
      <c r="AE28" t="n">
        <v>7</v>
      </c>
      <c r="AF28" t="n">
        <v>8</v>
      </c>
    </row>
    <row r="29">
      <c r="A29" t="s">
        <v>49</v>
      </c>
      <c r="B29" t="s">
        <v>328</v>
      </c>
      <c r="C29" t="s">
        <v>236</v>
      </c>
      <c r="D29" t="s">
        <v>329</v>
      </c>
      <c r="E29" t="s">
        <v>237</v>
      </c>
      <c r="F29" t="e">
        <v>#NUM!</v>
      </c>
      <c r="G29" t="e">
        <v>#NUM!</v>
      </c>
      <c r="H29" t="n">
        <v>0</v>
      </c>
      <c r="I29" t="e">
        <v>#NUM!</v>
      </c>
      <c r="J29" t="e">
        <v>#NUM!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5</v>
      </c>
      <c r="AB29" t="n">
        <v>4</v>
      </c>
      <c r="AC29" t="n">
        <v>5</v>
      </c>
      <c r="AD29" t="n">
        <v>4</v>
      </c>
      <c r="AE29" t="n">
        <v>2</v>
      </c>
      <c r="AF29" t="n">
        <v>3</v>
      </c>
    </row>
    <row r="30">
      <c r="A30" t="s">
        <v>49</v>
      </c>
      <c r="B30" t="s">
        <v>330</v>
      </c>
      <c r="C30" t="s">
        <v>236</v>
      </c>
      <c r="D30" t="s">
        <v>331</v>
      </c>
      <c r="E30" t="s">
        <v>237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  <c r="Q30" t="n">
        <v>2</v>
      </c>
      <c r="R30" t="n">
        <v>1</v>
      </c>
      <c r="S30" t="n">
        <v>1</v>
      </c>
      <c r="T30" t="n">
        <v>1</v>
      </c>
      <c r="U30" t="n">
        <v>1</v>
      </c>
      <c r="V30" t="n">
        <v>5</v>
      </c>
      <c r="W30" t="n">
        <v>3</v>
      </c>
      <c r="X30" t="n">
        <v>3</v>
      </c>
      <c r="Y30" t="n">
        <v>2</v>
      </c>
      <c r="Z30" t="n">
        <v>2</v>
      </c>
      <c r="AA30" t="n">
        <v>2</v>
      </c>
      <c r="AB30" t="n">
        <v>1</v>
      </c>
      <c r="AC30" t="n">
        <v>1</v>
      </c>
      <c r="AD30" t="n">
        <v>1</v>
      </c>
      <c r="AE30" t="n">
        <v>2</v>
      </c>
      <c r="AF30" t="n">
        <v>0</v>
      </c>
    </row>
    <row r="31">
      <c r="A31" t="s">
        <v>49</v>
      </c>
      <c r="B31" t="s">
        <v>332</v>
      </c>
      <c r="C31" t="s">
        <v>236</v>
      </c>
      <c r="D31" t="s">
        <v>333</v>
      </c>
      <c r="E31" t="s">
        <v>237</v>
      </c>
      <c r="F31" t="e">
        <v>#NUM!</v>
      </c>
      <c r="G31" t="n">
        <v>0</v>
      </c>
      <c r="H31" t="n">
        <v>0</v>
      </c>
      <c r="I31" t="e">
        <v>#NUM!</v>
      </c>
      <c r="J31" t="e">
        <v>#NUM!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e">
        <v>#NUM!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49</v>
      </c>
      <c r="B32" t="s">
        <v>334</v>
      </c>
      <c r="C32" t="s">
        <v>236</v>
      </c>
      <c r="D32" t="s">
        <v>335</v>
      </c>
      <c r="E32" t="s">
        <v>237</v>
      </c>
      <c r="F32" t="n">
        <v>3.31692307692308</v>
      </c>
      <c r="G32" t="n">
        <v>1.59703703703704</v>
      </c>
      <c r="H32" t="n">
        <v>1.30666666666667</v>
      </c>
      <c r="I32" t="n">
        <v>2.24</v>
      </c>
      <c r="J32" t="n">
        <v>2.24</v>
      </c>
      <c r="K32" t="n">
        <v>1.96</v>
      </c>
      <c r="L32" t="n">
        <v>0.326666666666667</v>
      </c>
      <c r="M32" t="n">
        <v>0.326666666666667</v>
      </c>
      <c r="N32" t="n">
        <v>1.63333333333333</v>
      </c>
      <c r="O32" t="n">
        <v>2.45</v>
      </c>
      <c r="P32" t="n">
        <v>2.45</v>
      </c>
      <c r="Q32" t="n">
        <v>3.675</v>
      </c>
      <c r="R32" t="n">
        <v>4.9</v>
      </c>
      <c r="S32" t="n">
        <v>5.6</v>
      </c>
      <c r="T32" t="n">
        <v>8</v>
      </c>
      <c r="U32" t="n">
        <v>5</v>
      </c>
      <c r="V32" t="n">
        <v>4</v>
      </c>
      <c r="W32" t="n">
        <v>5</v>
      </c>
      <c r="X32" t="n">
        <v>6</v>
      </c>
      <c r="Y32" t="n">
        <v>7</v>
      </c>
      <c r="Z32" t="n">
        <v>7</v>
      </c>
      <c r="AA32" t="n">
        <v>7</v>
      </c>
      <c r="AB32" t="n">
        <v>3</v>
      </c>
      <c r="AC32" t="n">
        <v>2</v>
      </c>
      <c r="AD32" t="n">
        <v>6</v>
      </c>
      <c r="AE32" t="n">
        <v>2</v>
      </c>
      <c r="AF32" t="n">
        <v>4</v>
      </c>
    </row>
    <row r="33">
      <c r="A33" t="s">
        <v>49</v>
      </c>
      <c r="B33" t="s">
        <v>336</v>
      </c>
      <c r="C33" t="s">
        <v>236</v>
      </c>
      <c r="D33" t="s">
        <v>337</v>
      </c>
      <c r="E33" t="s">
        <v>237</v>
      </c>
      <c r="F33" t="e">
        <v>#NUM!</v>
      </c>
      <c r="G33" t="e">
        <v>#NUM!</v>
      </c>
      <c r="H33" t="e">
        <v>#NUM!</v>
      </c>
      <c r="I33" t="e">
        <v>#NUM!</v>
      </c>
      <c r="J33" t="e">
        <v>#NUM!</v>
      </c>
      <c r="K33" t="e">
        <v>#NUM!</v>
      </c>
      <c r="L33" t="e">
        <v>#NUM!</v>
      </c>
      <c r="M33" t="e">
        <v>#NUM!</v>
      </c>
      <c r="N33" t="e">
        <v>#NUM!</v>
      </c>
      <c r="O33" t="n">
        <v>0</v>
      </c>
      <c r="P33" t="n">
        <v>0</v>
      </c>
      <c r="Q33" t="n">
        <v>0</v>
      </c>
      <c r="R33" t="n">
        <v>1</v>
      </c>
      <c r="S33" t="n">
        <v>1</v>
      </c>
      <c r="T33" t="n">
        <v>2</v>
      </c>
      <c r="U33" t="n">
        <v>3</v>
      </c>
      <c r="V33" t="n">
        <v>1</v>
      </c>
      <c r="W33" t="n">
        <v>1</v>
      </c>
      <c r="X33" t="n">
        <v>1</v>
      </c>
      <c r="Y33" t="n">
        <v>2</v>
      </c>
      <c r="Z33" t="n">
        <v>1</v>
      </c>
      <c r="AA33" t="n">
        <v>2</v>
      </c>
      <c r="AB33" t="n">
        <v>3</v>
      </c>
      <c r="AC33" t="n">
        <v>2</v>
      </c>
      <c r="AD33" t="n">
        <v>1</v>
      </c>
      <c r="AE33" t="n">
        <v>1</v>
      </c>
      <c r="AF33" t="n">
        <v>1</v>
      </c>
    </row>
    <row r="34">
      <c r="A34" t="s">
        <v>49</v>
      </c>
      <c r="B34" t="s">
        <v>338</v>
      </c>
      <c r="C34" t="s">
        <v>236</v>
      </c>
      <c r="D34" t="s">
        <v>339</v>
      </c>
      <c r="E34" t="s">
        <v>237</v>
      </c>
      <c r="F34" t="n">
        <v>1.71428571428571</v>
      </c>
      <c r="G34" t="n">
        <v>1.71428571428571</v>
      </c>
      <c r="H34" t="n">
        <v>2</v>
      </c>
      <c r="I34" t="n">
        <v>4</v>
      </c>
      <c r="J34" t="n">
        <v>4</v>
      </c>
      <c r="K34" t="n">
        <v>4</v>
      </c>
      <c r="L34" t="n">
        <v>1.33333333333333</v>
      </c>
      <c r="M34" t="n">
        <v>2</v>
      </c>
      <c r="N34" t="n">
        <v>2.66666666666667</v>
      </c>
      <c r="O34" t="n">
        <v>2.66666666666667</v>
      </c>
      <c r="P34" t="n">
        <v>2.66666666666667</v>
      </c>
      <c r="Q34" t="n">
        <v>2</v>
      </c>
      <c r="R34" t="n">
        <v>3.33333333333333</v>
      </c>
      <c r="S34" t="n">
        <v>6</v>
      </c>
      <c r="T34" t="n">
        <v>6</v>
      </c>
      <c r="U34" t="n">
        <v>4</v>
      </c>
      <c r="V34" t="n">
        <v>5</v>
      </c>
      <c r="W34" t="n">
        <v>5</v>
      </c>
      <c r="X34" t="n">
        <v>3</v>
      </c>
      <c r="Y34" t="n">
        <v>3</v>
      </c>
      <c r="Z34" t="n">
        <v>3</v>
      </c>
      <c r="AA34" t="n">
        <v>4</v>
      </c>
      <c r="AB34" t="n">
        <v>2</v>
      </c>
      <c r="AC34" t="n">
        <v>4</v>
      </c>
      <c r="AD34" t="n">
        <v>3</v>
      </c>
      <c r="AE34" t="n">
        <v>2</v>
      </c>
      <c r="AF34" t="n">
        <v>2</v>
      </c>
    </row>
    <row r="35">
      <c r="A35" t="s">
        <v>49</v>
      </c>
      <c r="B35" t="s">
        <v>340</v>
      </c>
      <c r="C35" t="s">
        <v>236</v>
      </c>
      <c r="D35" t="s">
        <v>341</v>
      </c>
      <c r="E35" t="s">
        <v>237</v>
      </c>
      <c r="F35" t="n">
        <v>12.2675061022248</v>
      </c>
      <c r="G35" t="n">
        <v>11.678665809318</v>
      </c>
      <c r="H35" t="n">
        <v>13.8020595928303</v>
      </c>
      <c r="I35" t="n">
        <v>22.1114628170853</v>
      </c>
      <c r="J35" t="n">
        <v>27.8120743246151</v>
      </c>
      <c r="K35" t="n">
        <v>29.2982157007396</v>
      </c>
      <c r="L35" t="n">
        <v>16.3050939551942</v>
      </c>
      <c r="M35" t="n">
        <v>22.0420714579477</v>
      </c>
      <c r="N35" t="n">
        <v>22.0420714579477</v>
      </c>
      <c r="O35" t="n">
        <v>34.8665493971173</v>
      </c>
      <c r="P35" t="n">
        <v>59.4519367925205</v>
      </c>
      <c r="Q35" t="n">
        <v>56.9327869284307</v>
      </c>
      <c r="R35" t="n">
        <v>56.9327869284307</v>
      </c>
      <c r="S35" t="n">
        <v>76.5034324350788</v>
      </c>
      <c r="T35" t="n">
        <v>56.8871677081355</v>
      </c>
      <c r="U35" t="n">
        <v>112.215782876322</v>
      </c>
      <c r="V35" t="n">
        <v>128.368054653974</v>
      </c>
      <c r="W35" t="n">
        <v>145.789433499871</v>
      </c>
      <c r="X35" t="n">
        <v>146.761363056537</v>
      </c>
      <c r="Y35" t="n">
        <v>224.696707576215</v>
      </c>
      <c r="Z35" t="n">
        <v>370.697794065829</v>
      </c>
      <c r="AA35" t="n">
        <v>363.241229242666</v>
      </c>
      <c r="AB35" t="n">
        <v>398.39360626615</v>
      </c>
      <c r="AC35" t="n">
        <v>728.134528423773</v>
      </c>
      <c r="AD35" t="n">
        <v>264.217592592593</v>
      </c>
      <c r="AE35" t="n">
        <v>217</v>
      </c>
      <c r="AF35" t="n">
        <v>247</v>
      </c>
    </row>
    <row r="36">
      <c r="A36" t="s">
        <v>49</v>
      </c>
      <c r="B36" t="s">
        <v>342</v>
      </c>
      <c r="C36" t="s">
        <v>236</v>
      </c>
      <c r="D36" t="s">
        <v>343</v>
      </c>
      <c r="E36" t="s">
        <v>237</v>
      </c>
      <c r="F36" t="n">
        <v>3.87046475756153</v>
      </c>
      <c r="G36" t="n">
        <v>3.54792602776474</v>
      </c>
      <c r="H36" t="n">
        <v>5.51899604318959</v>
      </c>
      <c r="I36" t="n">
        <v>5.97891238012206</v>
      </c>
      <c r="J36" t="n">
        <v>4.34829991281604</v>
      </c>
      <c r="K36" t="n">
        <v>6.21185701830863</v>
      </c>
      <c r="L36" t="n">
        <v>2.32944638186574</v>
      </c>
      <c r="M36" t="n">
        <v>2.32944638186574</v>
      </c>
      <c r="N36" t="n">
        <v>3.10592850915432</v>
      </c>
      <c r="O36" t="n">
        <v>2.32944638186574</v>
      </c>
      <c r="P36" t="n">
        <v>3.88241063644289</v>
      </c>
      <c r="Q36" t="n">
        <v>3.10592850915432</v>
      </c>
      <c r="R36" t="n">
        <v>3.10592850915432</v>
      </c>
      <c r="S36" t="n">
        <v>12.4237140366173</v>
      </c>
      <c r="T36" t="n">
        <v>4.9694856146469</v>
      </c>
      <c r="U36" t="n">
        <v>6.95727986050567</v>
      </c>
      <c r="V36" t="n">
        <v>3.97558849171752</v>
      </c>
      <c r="W36" t="n">
        <v>5.96338273757629</v>
      </c>
      <c r="X36" t="n">
        <v>3.97558849171752</v>
      </c>
      <c r="Y36" t="n">
        <v>2.98169136878814</v>
      </c>
      <c r="Z36" t="n">
        <v>30.8108108108108</v>
      </c>
      <c r="AA36" t="n">
        <v>34.9189189189189</v>
      </c>
      <c r="AB36" t="n">
        <v>38</v>
      </c>
      <c r="AC36" t="n">
        <v>22</v>
      </c>
      <c r="AD36" t="n">
        <v>10</v>
      </c>
      <c r="AE36" t="n">
        <v>5</v>
      </c>
      <c r="AF36" t="n">
        <v>14</v>
      </c>
    </row>
    <row r="37">
      <c r="A37" t="s">
        <v>49</v>
      </c>
      <c r="B37" t="s">
        <v>344</v>
      </c>
      <c r="C37" t="s">
        <v>236</v>
      </c>
      <c r="D37" t="s">
        <v>345</v>
      </c>
      <c r="E37" t="s">
        <v>237</v>
      </c>
      <c r="F37" t="n">
        <v>8.27159243301189</v>
      </c>
      <c r="G37" t="n">
        <v>7.62101774726938</v>
      </c>
      <c r="H37" t="n">
        <v>8.51760807047754</v>
      </c>
      <c r="I37" t="n">
        <v>14.3312135788987</v>
      </c>
      <c r="J37" t="n">
        <v>17.3307699093659</v>
      </c>
      <c r="K37" t="n">
        <v>16.9181325305715</v>
      </c>
      <c r="L37" t="n">
        <v>9.20545446516389</v>
      </c>
      <c r="M37" t="n">
        <v>12.7688561936144</v>
      </c>
      <c r="N37" t="n">
        <v>10.3531266434712</v>
      </c>
      <c r="O37" t="n">
        <v>19.1134645725621</v>
      </c>
      <c r="P37" t="n">
        <v>41.782922553973</v>
      </c>
      <c r="Q37" t="n">
        <v>20.6397569242517</v>
      </c>
      <c r="R37" t="n">
        <v>18.4671509322252</v>
      </c>
      <c r="S37" t="n">
        <v>26.2114400328358</v>
      </c>
      <c r="T37" t="n">
        <v>17.6927220221642</v>
      </c>
      <c r="U37" t="n">
        <v>32.308448910039</v>
      </c>
      <c r="V37" t="n">
        <v>46.7622286855827</v>
      </c>
      <c r="W37" t="n">
        <v>50.4298544648441</v>
      </c>
      <c r="X37" t="n">
        <v>54.3090740390628</v>
      </c>
      <c r="Y37" t="n">
        <v>55.3147976323788</v>
      </c>
      <c r="Z37" t="n">
        <v>57.3634938409855</v>
      </c>
      <c r="AA37" t="n">
        <v>65.8617892248351</v>
      </c>
      <c r="AB37" t="n">
        <v>49.927485380117</v>
      </c>
      <c r="AC37" t="n">
        <v>59.2888888888889</v>
      </c>
      <c r="AD37" t="n">
        <v>46</v>
      </c>
      <c r="AE37" t="n">
        <v>56</v>
      </c>
      <c r="AF37" t="n">
        <v>57</v>
      </c>
    </row>
    <row r="38">
      <c r="A38" t="s">
        <v>49</v>
      </c>
      <c r="B38" t="s">
        <v>346</v>
      </c>
      <c r="C38" t="s">
        <v>236</v>
      </c>
      <c r="D38" t="s">
        <v>347</v>
      </c>
      <c r="E38" t="s">
        <v>237</v>
      </c>
      <c r="F38" t="n">
        <v>2.28232060084013</v>
      </c>
      <c r="G38" t="n">
        <v>2.47251398424347</v>
      </c>
      <c r="H38" t="n">
        <v>3.03444898066245</v>
      </c>
      <c r="I38" t="n">
        <v>5.01343744631187</v>
      </c>
      <c r="J38" t="n">
        <v>7.92446564094456</v>
      </c>
      <c r="K38" t="n">
        <v>9.11313548708625</v>
      </c>
      <c r="L38" t="n">
        <v>5.60808337666846</v>
      </c>
      <c r="M38" t="n">
        <v>7.57091255850242</v>
      </c>
      <c r="N38" t="n">
        <v>9.54593322593784</v>
      </c>
      <c r="O38" t="n">
        <v>13.7461438453505</v>
      </c>
      <c r="P38" t="n">
        <v>14.6052778356849</v>
      </c>
      <c r="Q38" t="n">
        <v>33.1052964275524</v>
      </c>
      <c r="R38" t="n">
        <v>35.2072200102542</v>
      </c>
      <c r="S38" t="n">
        <v>39.8245603394678</v>
      </c>
      <c r="T38" t="n">
        <v>34.6859073924397</v>
      </c>
      <c r="U38" t="n">
        <v>73.2258044951505</v>
      </c>
      <c r="V38" t="n">
        <v>77.4341840638373</v>
      </c>
      <c r="W38" t="n">
        <v>89.2770592736006</v>
      </c>
      <c r="X38" t="n">
        <v>88.3066564554093</v>
      </c>
      <c r="Y38" t="n">
        <v>166.463122513645</v>
      </c>
      <c r="Z38" t="n">
        <v>281.946913757486</v>
      </c>
      <c r="AA38" t="n">
        <v>261.655279812819</v>
      </c>
      <c r="AB38" t="n">
        <v>309.714412839663</v>
      </c>
      <c r="AC38" t="n">
        <v>647.584681392023</v>
      </c>
      <c r="AD38" t="n">
        <v>208.335483870968</v>
      </c>
      <c r="AE38" t="n">
        <v>156</v>
      </c>
      <c r="AF38" t="n">
        <v>176</v>
      </c>
    </row>
    <row r="39">
      <c r="A39" t="s">
        <v>49</v>
      </c>
      <c r="B39" t="s">
        <v>348</v>
      </c>
      <c r="C39" t="s">
        <v>236</v>
      </c>
      <c r="D39" t="s">
        <v>349</v>
      </c>
      <c r="E39" t="s">
        <v>237</v>
      </c>
      <c r="F39" t="n">
        <v>2.31393521111999</v>
      </c>
      <c r="G39" t="n">
        <v>6.71041211224798</v>
      </c>
      <c r="H39" t="n">
        <v>8.38801514030998</v>
      </c>
      <c r="I39" t="n">
        <v>9.35586304111498</v>
      </c>
      <c r="J39" t="n">
        <v>9.7456906678281</v>
      </c>
      <c r="K39" t="n">
        <v>25.5244279395498</v>
      </c>
      <c r="L39" t="n">
        <v>20.6367715255934</v>
      </c>
      <c r="M39" t="n">
        <v>29.6653590680406</v>
      </c>
      <c r="N39" t="n">
        <v>40.7898687185558</v>
      </c>
      <c r="O39" t="n">
        <v>19.9609995856762</v>
      </c>
      <c r="P39" t="n">
        <v>39.0541296241492</v>
      </c>
      <c r="Q39" t="n">
        <v>2.60360864160994</v>
      </c>
      <c r="R39" t="n">
        <v>35.5826514353359</v>
      </c>
      <c r="S39" t="n">
        <v>44.4783142941699</v>
      </c>
      <c r="T39" t="n">
        <v>30.5788410772418</v>
      </c>
      <c r="U39" t="n">
        <v>32.4900186445694</v>
      </c>
      <c r="V39" t="n">
        <v>33.4456074282332</v>
      </c>
      <c r="W39" t="n">
        <v>32.4900186445694</v>
      </c>
      <c r="X39" t="n">
        <v>44.3045708789583</v>
      </c>
      <c r="Y39" t="n">
        <v>44.3045708789583</v>
      </c>
      <c r="Z39" t="n">
        <v>43.2742320213081</v>
      </c>
      <c r="AA39" t="n">
        <v>43.2742320213081</v>
      </c>
      <c r="AB39" t="n">
        <v>115.046129032258</v>
      </c>
      <c r="AC39" t="n">
        <v>64.26</v>
      </c>
      <c r="AD39" t="n">
        <v>102</v>
      </c>
      <c r="AE39" t="n">
        <v>78</v>
      </c>
      <c r="AF39" t="n">
        <v>74</v>
      </c>
    </row>
    <row r="40">
      <c r="A40" t="s">
        <v>49</v>
      </c>
      <c r="B40" t="s">
        <v>350</v>
      </c>
      <c r="C40" t="s">
        <v>236</v>
      </c>
      <c r="D40" t="s">
        <v>351</v>
      </c>
      <c r="E40" t="s">
        <v>237</v>
      </c>
      <c r="F40" t="e">
        <v>#NUM!</v>
      </c>
      <c r="G40" t="e">
        <v>#NUM!</v>
      </c>
      <c r="H40" t="e">
        <v>#NUM!</v>
      </c>
      <c r="I40" t="e">
        <v>#NUM!</v>
      </c>
      <c r="J40" t="e">
        <v>#NUM!</v>
      </c>
      <c r="K40" t="e">
        <v>#NUM!</v>
      </c>
      <c r="L40" t="n">
        <v>0</v>
      </c>
      <c r="M40" t="n">
        <v>0</v>
      </c>
      <c r="N40" t="n">
        <v>0.916666666666667</v>
      </c>
      <c r="O40" t="n">
        <v>0.916666666666667</v>
      </c>
      <c r="P40" t="n">
        <v>1.83333333333333</v>
      </c>
      <c r="Q40" t="n">
        <v>1.83333333333333</v>
      </c>
      <c r="R40" t="n">
        <v>1.83333333333333</v>
      </c>
      <c r="S40" t="n">
        <v>11</v>
      </c>
      <c r="T40" t="n">
        <v>5</v>
      </c>
      <c r="U40" t="n">
        <v>3</v>
      </c>
      <c r="V40" t="n">
        <v>3</v>
      </c>
      <c r="W40" t="n">
        <v>4</v>
      </c>
      <c r="X40" t="n">
        <v>6</v>
      </c>
      <c r="Y40" t="n">
        <v>5</v>
      </c>
      <c r="Z40" t="n">
        <v>5</v>
      </c>
      <c r="AA40" t="n">
        <v>6</v>
      </c>
      <c r="AB40" t="n">
        <v>6</v>
      </c>
      <c r="AC40" t="n">
        <v>6</v>
      </c>
      <c r="AD40" t="n">
        <v>5</v>
      </c>
      <c r="AE40" t="n">
        <v>5</v>
      </c>
      <c r="AF40" t="n">
        <v>5</v>
      </c>
    </row>
    <row r="41">
      <c r="A41" t="s">
        <v>49</v>
      </c>
      <c r="B41" t="s">
        <v>352</v>
      </c>
      <c r="C41" t="s">
        <v>236</v>
      </c>
      <c r="D41" t="s">
        <v>353</v>
      </c>
      <c r="E41" t="s">
        <v>237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/>
      <c r="AD41"/>
      <c r="AE41"/>
      <c r="AF41"/>
    </row>
    <row r="42">
      <c r="A42" t="s">
        <v>49</v>
      </c>
      <c r="B42" t="s">
        <v>354</v>
      </c>
      <c r="C42" t="s">
        <v>236</v>
      </c>
      <c r="D42" t="s">
        <v>355</v>
      </c>
      <c r="E42" t="s">
        <v>237</v>
      </c>
      <c r="F42" t="n">
        <v>11.00340511284</v>
      </c>
      <c r="G42" t="n">
        <v>8.55820397665334</v>
      </c>
      <c r="H42" t="n">
        <v>4.79259422692587</v>
      </c>
      <c r="I42" t="n">
        <v>8.11054407633609</v>
      </c>
      <c r="J42" t="n">
        <v>8.11054407633609</v>
      </c>
      <c r="K42" t="n">
        <v>5.40702938422406</v>
      </c>
      <c r="L42" t="n">
        <v>0.491548125838551</v>
      </c>
      <c r="M42" t="n">
        <v>1.9661925033542</v>
      </c>
      <c r="N42" t="n">
        <v>4.42393313254696</v>
      </c>
      <c r="O42" t="n">
        <v>4.97692477411533</v>
      </c>
      <c r="P42" t="n">
        <v>5.5299164156837</v>
      </c>
      <c r="Q42" t="n">
        <v>9.83096251677102</v>
      </c>
      <c r="R42" t="n">
        <v>13.1079500223614</v>
      </c>
      <c r="S42" t="n">
        <v>35.8743895348837</v>
      </c>
      <c r="T42" t="n">
        <v>9.15941860465116</v>
      </c>
      <c r="U42" t="n">
        <v>14.9881395348837</v>
      </c>
      <c r="V42" t="n">
        <v>88.1655266757866</v>
      </c>
      <c r="W42" t="n">
        <v>40.7647058823529</v>
      </c>
      <c r="X42" t="n">
        <v>33.8048780487805</v>
      </c>
      <c r="Y42" t="n">
        <v>33.8048780487805</v>
      </c>
      <c r="Z42" t="n">
        <v>30.7317073170732</v>
      </c>
      <c r="AA42" t="n">
        <v>42</v>
      </c>
      <c r="AB42" t="n">
        <v>42</v>
      </c>
      <c r="AC42" t="n">
        <v>30</v>
      </c>
      <c r="AD42" t="n">
        <v>30</v>
      </c>
      <c r="AE42" t="n">
        <v>20</v>
      </c>
      <c r="AF42" t="n">
        <v>19</v>
      </c>
    </row>
    <row r="43">
      <c r="A43" t="s">
        <v>49</v>
      </c>
      <c r="B43" t="s">
        <v>356</v>
      </c>
      <c r="C43" t="s">
        <v>236</v>
      </c>
      <c r="D43" t="s">
        <v>357</v>
      </c>
      <c r="E43" t="s">
        <v>237</v>
      </c>
      <c r="F43" t="n">
        <v>11.909452064899</v>
      </c>
      <c r="G43" t="n">
        <v>8.50675147492786</v>
      </c>
      <c r="H43" t="n">
        <v>4.72597304162659</v>
      </c>
      <c r="I43" t="n">
        <v>8.43923757433319</v>
      </c>
      <c r="J43" t="n">
        <v>8.0723142015361</v>
      </c>
      <c r="K43" t="n">
        <v>5.65061994107527</v>
      </c>
      <c r="L43" t="n">
        <v>0.434663072390405</v>
      </c>
      <c r="M43" t="n">
        <v>1.73865228956162</v>
      </c>
      <c r="N43" t="n">
        <v>3.91196765151365</v>
      </c>
      <c r="O43" t="n">
        <v>4.40096360795285</v>
      </c>
      <c r="P43" t="n">
        <v>5.37895552083127</v>
      </c>
      <c r="Q43" t="n">
        <v>10.7579110416625</v>
      </c>
      <c r="R43" t="n">
        <v>57.7529961183989</v>
      </c>
      <c r="S43" t="n">
        <v>107.518875752338</v>
      </c>
      <c r="T43" t="n">
        <v>54.1018546779282</v>
      </c>
      <c r="U43" t="n">
        <v>55.7168354145828</v>
      </c>
      <c r="V43" t="n">
        <v>143.149407911313</v>
      </c>
      <c r="W43" t="n">
        <v>102.773933885045</v>
      </c>
      <c r="X43" t="n">
        <v>88.2304526748971</v>
      </c>
      <c r="Y43" t="n">
        <v>81.2121212121212</v>
      </c>
      <c r="Z43" t="n">
        <v>55.8333333333333</v>
      </c>
      <c r="AA43" t="n">
        <v>75.1212121212121</v>
      </c>
      <c r="AB43" t="n">
        <v>67</v>
      </c>
      <c r="AC43" t="n">
        <v>58</v>
      </c>
      <c r="AD43" t="n">
        <v>56</v>
      </c>
      <c r="AE43" t="n">
        <v>40</v>
      </c>
      <c r="AF43" t="n">
        <v>40</v>
      </c>
    </row>
    <row r="44">
      <c r="A44" t="s">
        <v>49</v>
      </c>
      <c r="B44" t="s">
        <v>358</v>
      </c>
      <c r="C44" t="s">
        <v>236</v>
      </c>
      <c r="D44" t="s">
        <v>359</v>
      </c>
      <c r="E44" t="s">
        <v>237</v>
      </c>
      <c r="F44" t="n">
        <v>106.41185562136</v>
      </c>
      <c r="G44" t="n">
        <v>86.3118384484364</v>
      </c>
      <c r="H44" t="n">
        <v>91.0197569092602</v>
      </c>
      <c r="I44" t="n">
        <v>135.716958962915</v>
      </c>
      <c r="J44" t="n">
        <v>150.71598116559</v>
      </c>
      <c r="K44" t="n">
        <v>148.397273763042</v>
      </c>
      <c r="L44" t="n">
        <v>84.65389935119</v>
      </c>
      <c r="M44" t="n">
        <v>106.0115345086</v>
      </c>
      <c r="N44" t="n">
        <v>136.048135952704</v>
      </c>
      <c r="O44" t="n">
        <v>159.399681675929</v>
      </c>
      <c r="P44" t="n">
        <v>207.983831227839</v>
      </c>
      <c r="Q44" t="n">
        <v>221.094559843921</v>
      </c>
      <c r="R44" t="n">
        <v>337.262887897506</v>
      </c>
      <c r="S44" t="n">
        <v>409.247852112784</v>
      </c>
      <c r="T44" t="n">
        <v>328.122614171843</v>
      </c>
      <c r="U44" t="n">
        <v>374.396316170436</v>
      </c>
      <c r="V44" t="n">
        <v>486.715211021567</v>
      </c>
      <c r="W44" t="n">
        <v>486.715211021567</v>
      </c>
      <c r="X44" t="n">
        <v>450.480879416339</v>
      </c>
      <c r="Y44" t="n">
        <v>533.940506629634</v>
      </c>
      <c r="Z44" t="n">
        <v>678.910969232709</v>
      </c>
      <c r="AA44" t="n">
        <v>690.382583152156</v>
      </c>
      <c r="AB44" t="n">
        <v>769.641006595606</v>
      </c>
      <c r="AC44" t="n">
        <v>1034.39751286449</v>
      </c>
      <c r="AD44" t="n">
        <v>591.229166666667</v>
      </c>
      <c r="AE44" t="n">
        <v>481</v>
      </c>
      <c r="AF44" t="n">
        <v>523</v>
      </c>
    </row>
    <row r="45">
      <c r="A45" t="s">
        <v>49</v>
      </c>
      <c r="B45" t="s">
        <v>360</v>
      </c>
      <c r="C45" t="s">
        <v>236</v>
      </c>
      <c r="D45" t="s">
        <v>361</v>
      </c>
      <c r="E45" t="s">
        <v>237</v>
      </c>
      <c r="F45" t="n">
        <v>97.9397493505179</v>
      </c>
      <c r="G45" t="n">
        <v>80.9383388549532</v>
      </c>
      <c r="H45" t="n">
        <v>84.5317957597186</v>
      </c>
      <c r="I45" t="n">
        <v>125.90265109624</v>
      </c>
      <c r="J45" t="n">
        <v>139.392220856551</v>
      </c>
      <c r="K45" t="n">
        <v>138.825585812419</v>
      </c>
      <c r="L45" t="n">
        <v>79.7999804432431</v>
      </c>
      <c r="M45" t="n">
        <v>99.5599756006176</v>
      </c>
      <c r="N45" t="n">
        <v>127.263620985137</v>
      </c>
      <c r="O45" t="n">
        <v>148.639932322485</v>
      </c>
      <c r="P45" t="n">
        <v>196.934495170945</v>
      </c>
      <c r="Q45" t="n">
        <v>210.455370958801</v>
      </c>
      <c r="R45" t="n">
        <v>325.249209663602</v>
      </c>
      <c r="S45" t="n">
        <v>396.500557825202</v>
      </c>
      <c r="T45" t="n">
        <v>315.332871168956</v>
      </c>
      <c r="U45" t="n">
        <v>358.827060295708</v>
      </c>
      <c r="V45" t="n">
        <v>472.514841775537</v>
      </c>
      <c r="W45" t="n">
        <v>472.514841775537</v>
      </c>
      <c r="X45" t="n">
        <v>436.318052654016</v>
      </c>
      <c r="Y45" t="n">
        <v>519.761366871258</v>
      </c>
      <c r="Z45" t="n">
        <v>664.763555664418</v>
      </c>
      <c r="AA45" t="n">
        <v>676.242989121732</v>
      </c>
      <c r="AB45" t="n">
        <v>755.55543846317</v>
      </c>
      <c r="AC45" t="n">
        <v>1023.49017954861</v>
      </c>
      <c r="AD45" t="n">
        <v>581.228813559322</v>
      </c>
      <c r="AE45" t="n">
        <v>473</v>
      </c>
      <c r="AF45" t="n">
        <v>515</v>
      </c>
    </row>
    <row r="46">
      <c r="A46" t="s">
        <v>49</v>
      </c>
      <c r="B46" t="s">
        <v>362</v>
      </c>
      <c r="C46" t="s">
        <v>236</v>
      </c>
      <c r="D46" t="s">
        <v>363</v>
      </c>
      <c r="E46" t="s">
        <v>237</v>
      </c>
      <c r="F46" t="e">
        <v>#NUM!</v>
      </c>
      <c r="G46" t="e">
        <v>#NUM!</v>
      </c>
      <c r="H46" t="e">
        <v>#NUM!</v>
      </c>
      <c r="I46" t="e">
        <v>#NUM!</v>
      </c>
      <c r="J46" t="e">
        <v>#NUM!</v>
      </c>
      <c r="K46" t="e">
        <v>#NUM!</v>
      </c>
      <c r="L46" t="n">
        <v>0</v>
      </c>
      <c r="M46" t="n">
        <v>0</v>
      </c>
      <c r="N46" t="n">
        <v>0</v>
      </c>
      <c r="O46" t="n">
        <v>0</v>
      </c>
      <c r="P46" t="n">
        <v>0.538509956474833</v>
      </c>
      <c r="Q46" t="n">
        <v>2.15403982589933</v>
      </c>
      <c r="R46" t="n">
        <v>44.1578164309363</v>
      </c>
      <c r="S46" t="n">
        <v>72.4188189467355</v>
      </c>
      <c r="T46" t="n">
        <v>44.1096442675571</v>
      </c>
      <c r="U46" t="n">
        <v>40.1712831722395</v>
      </c>
      <c r="V46" t="n">
        <v>56.0724160945843</v>
      </c>
      <c r="W46" t="n">
        <v>61.4126461988304</v>
      </c>
      <c r="X46" t="n">
        <v>53.8541666666667</v>
      </c>
      <c r="Y46" t="n">
        <v>47</v>
      </c>
      <c r="Z46" t="n">
        <v>25</v>
      </c>
      <c r="AA46" t="n">
        <v>33</v>
      </c>
      <c r="AB46" t="n">
        <v>25</v>
      </c>
      <c r="AC46" t="n">
        <v>28</v>
      </c>
      <c r="AD46" t="n">
        <v>26</v>
      </c>
      <c r="AE46" t="n">
        <v>20</v>
      </c>
      <c r="AF46" t="n">
        <v>21</v>
      </c>
    </row>
    <row r="47">
      <c r="A47" t="s">
        <v>49</v>
      </c>
      <c r="B47" t="s">
        <v>364</v>
      </c>
      <c r="C47" t="s">
        <v>236</v>
      </c>
      <c r="D47" t="s">
        <v>365</v>
      </c>
      <c r="E47" t="s">
        <v>237</v>
      </c>
      <c r="F47" t="n">
        <v>17.1040246401491</v>
      </c>
      <c r="G47" t="n">
        <v>15.3936221761342</v>
      </c>
      <c r="H47" t="n">
        <v>14.110820328123</v>
      </c>
      <c r="I47" t="n">
        <v>23.6202862014233</v>
      </c>
      <c r="J47" t="n">
        <v>35.2429667132348</v>
      </c>
      <c r="K47" t="n">
        <v>29.8209718342756</v>
      </c>
      <c r="L47" t="n">
        <v>17.2647731672122</v>
      </c>
      <c r="M47" t="n">
        <v>21.5809664590152</v>
      </c>
      <c r="N47" t="n">
        <v>29.4939874939875</v>
      </c>
      <c r="O47" t="n">
        <v>37.9208410636982</v>
      </c>
      <c r="P47" t="n">
        <v>33.5114409400124</v>
      </c>
      <c r="Q47" t="n">
        <v>14.1100803957947</v>
      </c>
      <c r="R47" t="n">
        <v>16.7557204700062</v>
      </c>
      <c r="S47" t="n">
        <v>21.165120593692</v>
      </c>
      <c r="T47" t="n">
        <v>25.7662337662338</v>
      </c>
      <c r="U47" t="n">
        <v>35.3092833092833</v>
      </c>
      <c r="V47" t="n">
        <v>26.7205387205387</v>
      </c>
      <c r="W47" t="n">
        <v>31.4920634920635</v>
      </c>
      <c r="X47" t="n">
        <v>24.3809523809524</v>
      </c>
      <c r="Y47" t="n">
        <v>27.4285714285714</v>
      </c>
      <c r="Z47" t="n">
        <v>33.5238095238095</v>
      </c>
      <c r="AA47" t="n">
        <v>37.7142857142857</v>
      </c>
      <c r="AB47" t="n">
        <v>36.6666666666667</v>
      </c>
      <c r="AC47" t="n">
        <v>43.7962962962963</v>
      </c>
      <c r="AD47" t="n">
        <v>55</v>
      </c>
      <c r="AE47" t="n">
        <v>86</v>
      </c>
      <c r="AF47" t="n">
        <v>57</v>
      </c>
    </row>
    <row r="48">
      <c r="A48" t="s">
        <v>49</v>
      </c>
      <c r="B48" t="s">
        <v>366</v>
      </c>
      <c r="C48" t="s">
        <v>236</v>
      </c>
      <c r="D48" t="s">
        <v>367</v>
      </c>
      <c r="E48" t="s">
        <v>237</v>
      </c>
      <c r="F48" t="n">
        <v>24.2238765441533</v>
      </c>
      <c r="G48" t="n">
        <v>20.6738256713032</v>
      </c>
      <c r="H48" t="n">
        <v>19.6893577821936</v>
      </c>
      <c r="I48" t="n">
        <v>31.5608823273397</v>
      </c>
      <c r="J48" t="n">
        <v>44.8865881988831</v>
      </c>
      <c r="K48" t="n">
        <v>39.0135766588423</v>
      </c>
      <c r="L48" t="n">
        <v>22.9204762870699</v>
      </c>
      <c r="M48" t="n">
        <v>30.3696310803676</v>
      </c>
      <c r="N48" t="n">
        <v>40.4928414404901</v>
      </c>
      <c r="O48" t="n">
        <v>50.8145461213993</v>
      </c>
      <c r="P48" t="n">
        <v>46.7165988535446</v>
      </c>
      <c r="Q48" t="n">
        <v>39.3402937714059</v>
      </c>
      <c r="R48" t="n">
        <v>49.9949566678284</v>
      </c>
      <c r="S48" t="n">
        <v>57.371261749967</v>
      </c>
      <c r="T48" t="n">
        <v>71.2794464166257</v>
      </c>
      <c r="U48" t="n">
        <v>63.8737896460671</v>
      </c>
      <c r="V48" t="n">
        <v>59.1771874662093</v>
      </c>
      <c r="W48" t="n">
        <v>68.7218951220495</v>
      </c>
      <c r="X48" t="n">
        <v>68.7218951220495</v>
      </c>
      <c r="Y48" t="n">
        <v>62.7460781549147</v>
      </c>
      <c r="Z48" t="n">
        <v>70.7138341110944</v>
      </c>
      <c r="AA48" t="n">
        <v>74.8131868131868</v>
      </c>
      <c r="AB48" t="n">
        <v>74.8131868131868</v>
      </c>
      <c r="AC48" t="n">
        <v>86.945054945055</v>
      </c>
      <c r="AD48" t="n">
        <v>92</v>
      </c>
      <c r="AE48" t="n">
        <v>122</v>
      </c>
      <c r="AF48" t="n">
        <v>87</v>
      </c>
    </row>
    <row r="49">
      <c r="A49" t="s">
        <v>49</v>
      </c>
      <c r="B49" t="s">
        <v>368</v>
      </c>
      <c r="C49" t="s">
        <v>236</v>
      </c>
      <c r="D49" t="s">
        <v>369</v>
      </c>
      <c r="E49" t="s">
        <v>237</v>
      </c>
      <c r="F49" t="n">
        <v>2.68944848733477</v>
      </c>
      <c r="G49" t="n">
        <v>1.84014896501853</v>
      </c>
      <c r="H49" t="n">
        <v>1.84014896501853</v>
      </c>
      <c r="I49" t="n">
        <v>2.65799294947121</v>
      </c>
      <c r="J49" t="n">
        <v>3.62453584018801</v>
      </c>
      <c r="K49" t="n">
        <v>3.32249118683901</v>
      </c>
      <c r="L49" t="n">
        <v>2.21499412455934</v>
      </c>
      <c r="M49" t="n">
        <v>3.54399059929495</v>
      </c>
      <c r="N49" t="n">
        <v>4.72532079905993</v>
      </c>
      <c r="O49" t="n">
        <v>5.51287426556992</v>
      </c>
      <c r="P49" t="n">
        <v>4.72532079905993</v>
      </c>
      <c r="Q49" t="n">
        <v>18.1137297297297</v>
      </c>
      <c r="R49" t="n">
        <v>21.2639435957697</v>
      </c>
      <c r="S49" t="n">
        <v>23.6266039952996</v>
      </c>
      <c r="T49" t="n">
        <v>31.2208695652174</v>
      </c>
      <c r="U49" t="n">
        <v>15.6104347826087</v>
      </c>
      <c r="V49" t="n">
        <v>18.3652173913043</v>
      </c>
      <c r="W49" t="n">
        <v>22.9565217391304</v>
      </c>
      <c r="X49" t="n">
        <v>26.7826086956522</v>
      </c>
      <c r="Y49" t="n">
        <v>22.9565217391304</v>
      </c>
      <c r="Z49" t="n">
        <v>22</v>
      </c>
      <c r="AA49" t="n">
        <v>22</v>
      </c>
      <c r="AB49" t="n">
        <v>22</v>
      </c>
      <c r="AC49" t="n">
        <v>22</v>
      </c>
      <c r="AD49" t="n">
        <v>19</v>
      </c>
      <c r="AE49" t="n">
        <v>19</v>
      </c>
      <c r="AF49" t="n">
        <v>16</v>
      </c>
    </row>
    <row r="50">
      <c r="A50" t="s">
        <v>49</v>
      </c>
      <c r="B50" t="s">
        <v>370</v>
      </c>
      <c r="C50" t="s">
        <v>236</v>
      </c>
      <c r="D50" t="s">
        <v>371</v>
      </c>
      <c r="E50" t="s">
        <v>237</v>
      </c>
      <c r="F50" t="n">
        <v>5.31769075799547</v>
      </c>
      <c r="G50" t="n">
        <v>4.37927474187862</v>
      </c>
      <c r="H50" t="n">
        <v>4.71614202971544</v>
      </c>
      <c r="I50" t="n">
        <v>6.89282296650718</v>
      </c>
      <c r="J50" t="n">
        <v>8.18522727272727</v>
      </c>
      <c r="K50" t="n">
        <v>7.70374331550802</v>
      </c>
      <c r="L50" t="n">
        <v>4.40213903743316</v>
      </c>
      <c r="M50" t="n">
        <v>6.28877005347594</v>
      </c>
      <c r="N50" t="n">
        <v>7.68627450980392</v>
      </c>
      <c r="O50" t="n">
        <v>9.22352941176471</v>
      </c>
      <c r="P50" t="n">
        <v>9.9921568627451</v>
      </c>
      <c r="Q50" t="n">
        <v>6.91764705882353</v>
      </c>
      <c r="R50" t="n">
        <v>11.5294117647059</v>
      </c>
      <c r="S50" t="n">
        <v>12.2980392156863</v>
      </c>
      <c r="T50" t="n">
        <v>13.9377777777778</v>
      </c>
      <c r="U50" t="n">
        <v>13.0666666666667</v>
      </c>
      <c r="V50" t="n">
        <v>14</v>
      </c>
      <c r="W50" t="n">
        <v>14</v>
      </c>
      <c r="X50" t="n">
        <v>17</v>
      </c>
      <c r="Y50" t="n">
        <v>12</v>
      </c>
      <c r="Z50" t="n">
        <v>15</v>
      </c>
      <c r="AA50" t="n">
        <v>15</v>
      </c>
      <c r="AB50" t="n">
        <v>16</v>
      </c>
      <c r="AC50" t="n">
        <v>21</v>
      </c>
      <c r="AD50" t="n">
        <v>18</v>
      </c>
      <c r="AE50" t="n">
        <v>17</v>
      </c>
      <c r="AF50" t="n">
        <v>14</v>
      </c>
    </row>
    <row r="51">
      <c r="A51" t="s">
        <v>49</v>
      </c>
      <c r="B51" t="s">
        <v>372</v>
      </c>
      <c r="C51" t="s">
        <v>236</v>
      </c>
      <c r="D51" t="s">
        <v>373</v>
      </c>
      <c r="E51" t="s">
        <v>237</v>
      </c>
      <c r="F51" t="n">
        <v>4.47552447552448</v>
      </c>
      <c r="G51" t="n">
        <v>3.63636363636364</v>
      </c>
      <c r="H51" t="n">
        <v>3.93939393939394</v>
      </c>
      <c r="I51" t="n">
        <v>5.90909090909091</v>
      </c>
      <c r="J51" t="n">
        <v>7.09090909090909</v>
      </c>
      <c r="K51" t="n">
        <v>6.64772727272727</v>
      </c>
      <c r="L51" t="n">
        <v>4.09090909090909</v>
      </c>
      <c r="M51" t="n">
        <v>5.84415584415584</v>
      </c>
      <c r="N51" t="n">
        <v>7.14285714285714</v>
      </c>
      <c r="O51" t="n">
        <v>7.85714285714286</v>
      </c>
      <c r="P51" t="n">
        <v>8.57142857142857</v>
      </c>
      <c r="Q51" t="n">
        <v>5.71428571428572</v>
      </c>
      <c r="R51" t="n">
        <v>8.57142857142857</v>
      </c>
      <c r="S51" t="n">
        <v>9.28571428571429</v>
      </c>
      <c r="T51" t="n">
        <v>10.8333333333333</v>
      </c>
      <c r="U51" t="n">
        <v>9.16666666666667</v>
      </c>
      <c r="V51" t="n">
        <v>11</v>
      </c>
      <c r="W51" t="n">
        <v>11</v>
      </c>
      <c r="X51" t="n">
        <v>14</v>
      </c>
      <c r="Y51" t="n">
        <v>11</v>
      </c>
      <c r="Z51" t="n">
        <v>13</v>
      </c>
      <c r="AA51" t="n">
        <v>12</v>
      </c>
      <c r="AB51" t="n">
        <v>13</v>
      </c>
      <c r="AC51" t="n">
        <v>14</v>
      </c>
      <c r="AD51" t="n">
        <v>13</v>
      </c>
      <c r="AE51" t="n">
        <v>10</v>
      </c>
      <c r="AF51" t="n">
        <v>9</v>
      </c>
    </row>
    <row r="52">
      <c r="A52" t="s">
        <v>49</v>
      </c>
      <c r="B52" t="s">
        <v>374</v>
      </c>
      <c r="C52" t="s">
        <v>236</v>
      </c>
      <c r="D52" t="s">
        <v>375</v>
      </c>
      <c r="E52" t="s">
        <v>237</v>
      </c>
      <c r="F52" t="e">
        <v>#NUM!</v>
      </c>
      <c r="G52" t="e">
        <v>#NUM!</v>
      </c>
      <c r="H52" t="e">
        <v>#NUM!</v>
      </c>
      <c r="I52" t="e">
        <v>#NUM!</v>
      </c>
      <c r="J52" t="e">
        <v>#NUM!</v>
      </c>
      <c r="K52" t="e">
        <v>#NUM!</v>
      </c>
      <c r="L52" t="n">
        <v>0</v>
      </c>
      <c r="M52" t="n">
        <v>0</v>
      </c>
      <c r="N52" t="n">
        <v>0</v>
      </c>
      <c r="O52" t="n">
        <v>1</v>
      </c>
      <c r="P52" t="n">
        <v>1</v>
      </c>
      <c r="Q52" t="n">
        <v>1</v>
      </c>
      <c r="R52" t="n">
        <v>3</v>
      </c>
      <c r="S52" t="n">
        <v>3</v>
      </c>
      <c r="T52" t="n">
        <v>3</v>
      </c>
      <c r="U52" t="n">
        <v>4</v>
      </c>
      <c r="V52" t="n">
        <v>3</v>
      </c>
      <c r="W52" t="n">
        <v>3</v>
      </c>
      <c r="X52" t="n">
        <v>3</v>
      </c>
      <c r="Y52" t="n">
        <v>1</v>
      </c>
      <c r="Z52" t="n">
        <v>2</v>
      </c>
      <c r="AA52" t="n">
        <v>3</v>
      </c>
      <c r="AB52" t="n">
        <v>3</v>
      </c>
      <c r="AC52" t="n">
        <v>7</v>
      </c>
      <c r="AD52" t="n">
        <v>5</v>
      </c>
      <c r="AE52" t="n">
        <v>7</v>
      </c>
      <c r="AF52" t="n">
        <v>5</v>
      </c>
    </row>
    <row r="53">
      <c r="A53" t="s">
        <v>49</v>
      </c>
      <c r="B53" t="s">
        <v>376</v>
      </c>
      <c r="C53" t="s">
        <v>236</v>
      </c>
      <c r="D53" t="s">
        <v>377</v>
      </c>
      <c r="E53" t="s">
        <v>237</v>
      </c>
      <c r="F53" t="n">
        <v>5.95546875</v>
      </c>
      <c r="G53" t="n">
        <v>6.6171875</v>
      </c>
      <c r="H53" t="n">
        <v>8.82291666666667</v>
      </c>
      <c r="I53" t="n">
        <v>9.625</v>
      </c>
      <c r="J53" t="n">
        <v>1.75</v>
      </c>
      <c r="K53" t="n">
        <v>7</v>
      </c>
      <c r="L53" t="n">
        <v>4</v>
      </c>
      <c r="M53" t="n">
        <v>4</v>
      </c>
      <c r="N53" t="n">
        <v>6</v>
      </c>
      <c r="O53" t="n">
        <v>7</v>
      </c>
      <c r="P53" t="n">
        <v>4</v>
      </c>
      <c r="Q53" t="n">
        <v>6</v>
      </c>
      <c r="R53" t="n">
        <v>6</v>
      </c>
      <c r="S53" t="n">
        <v>5</v>
      </c>
      <c r="T53" t="n">
        <v>5</v>
      </c>
      <c r="U53" t="n">
        <v>3</v>
      </c>
      <c r="V53" t="n">
        <v>6</v>
      </c>
      <c r="W53" t="n">
        <v>6</v>
      </c>
      <c r="X53" t="n">
        <v>8</v>
      </c>
      <c r="Y53" t="n">
        <v>6</v>
      </c>
      <c r="Z53" t="n">
        <v>6</v>
      </c>
      <c r="AA53" t="n">
        <v>8</v>
      </c>
      <c r="AB53" t="n">
        <v>7</v>
      </c>
      <c r="AC53" t="n">
        <v>6</v>
      </c>
      <c r="AD53" t="n">
        <v>5</v>
      </c>
      <c r="AE53" t="n">
        <v>4</v>
      </c>
      <c r="AF53" t="n">
        <v>2</v>
      </c>
    </row>
    <row r="54">
      <c r="A54" t="s">
        <v>49</v>
      </c>
      <c r="B54" t="s">
        <v>378</v>
      </c>
      <c r="C54" t="s">
        <v>236</v>
      </c>
      <c r="D54" t="s">
        <v>379</v>
      </c>
      <c r="E54" t="s">
        <v>237</v>
      </c>
      <c r="F54" t="n">
        <v>9.4928774928775</v>
      </c>
      <c r="G54" t="n">
        <v>7.71296296296296</v>
      </c>
      <c r="H54" t="n">
        <v>9.64120370370371</v>
      </c>
      <c r="I54" t="n">
        <v>12.3958333333333</v>
      </c>
      <c r="J54" t="n">
        <v>5.83333333333333</v>
      </c>
      <c r="K54" t="n">
        <v>10</v>
      </c>
      <c r="L54" t="n">
        <v>6.36363636363636</v>
      </c>
      <c r="M54" t="n">
        <v>5.45454545454546</v>
      </c>
      <c r="N54" t="n">
        <v>10</v>
      </c>
      <c r="O54" t="n">
        <v>10</v>
      </c>
      <c r="P54" t="n">
        <v>7</v>
      </c>
      <c r="Q54" t="n">
        <v>12</v>
      </c>
      <c r="R54" t="n">
        <v>11</v>
      </c>
      <c r="S54" t="n">
        <v>10</v>
      </c>
      <c r="T54" t="n">
        <v>9</v>
      </c>
      <c r="U54" t="n">
        <v>9</v>
      </c>
      <c r="V54" t="n">
        <v>9</v>
      </c>
      <c r="W54" t="n">
        <v>12</v>
      </c>
      <c r="X54" t="n">
        <v>13</v>
      </c>
      <c r="Y54" t="n">
        <v>10</v>
      </c>
      <c r="Z54" t="n">
        <v>11</v>
      </c>
      <c r="AA54" t="n">
        <v>13</v>
      </c>
      <c r="AB54" t="n">
        <v>11</v>
      </c>
      <c r="AC54" t="n">
        <v>8</v>
      </c>
      <c r="AD54" t="n">
        <v>7</v>
      </c>
      <c r="AE54" t="n">
        <v>4</v>
      </c>
      <c r="AF54" t="n">
        <v>2</v>
      </c>
    </row>
    <row r="55">
      <c r="A55" t="s">
        <v>49</v>
      </c>
      <c r="B55" t="s">
        <v>380</v>
      </c>
      <c r="C55" t="s">
        <v>236</v>
      </c>
      <c r="D55" t="s">
        <v>381</v>
      </c>
      <c r="E55" t="s">
        <v>237</v>
      </c>
      <c r="F55" t="e">
        <v>#NUM!</v>
      </c>
      <c r="G55" t="e">
        <v>#NUM!</v>
      </c>
      <c r="H55" t="e">
        <v>#NUM!</v>
      </c>
      <c r="I55" t="e">
        <v>#NUM!</v>
      </c>
      <c r="J55" t="e">
        <v>#NUM!</v>
      </c>
      <c r="K55" t="e">
        <v>#NUM!</v>
      </c>
      <c r="L55" t="e">
        <v>#NUM!</v>
      </c>
      <c r="M55" t="e">
        <v>#NUM!</v>
      </c>
      <c r="N55" t="e">
        <v>#NUM!</v>
      </c>
      <c r="O55" t="e">
        <v>#NUM!</v>
      </c>
      <c r="P55" t="e">
        <v>#NUM!</v>
      </c>
      <c r="Q55" t="e">
        <v>#NUM!</v>
      </c>
      <c r="R55" t="e">
        <v>#NUM!</v>
      </c>
      <c r="S55" t="e">
        <v>#NUM!</v>
      </c>
      <c r="T55" t="e">
        <v>#NUM!</v>
      </c>
      <c r="U55" t="e">
        <v>#NUM!</v>
      </c>
      <c r="V55" t="e">
        <v>#NUM!</v>
      </c>
      <c r="W55" t="e">
        <v>#NUM!</v>
      </c>
      <c r="X55" t="e">
        <v>#NUM!</v>
      </c>
      <c r="Y55" t="e">
        <v>#NUM!</v>
      </c>
      <c r="Z55" t="e">
        <v>#NUM!</v>
      </c>
      <c r="AA55" t="e">
        <v>#NUM!</v>
      </c>
      <c r="AB55" t="e">
        <v>#NUM!</v>
      </c>
      <c r="AC55" t="e">
        <v>#NUM!</v>
      </c>
      <c r="AD55" t="e">
        <v>#NUM!</v>
      </c>
      <c r="AE55" t="n">
        <v>0</v>
      </c>
      <c r="AF55" t="n">
        <v>0</v>
      </c>
    </row>
    <row r="56">
      <c r="A56" t="s">
        <v>49</v>
      </c>
      <c r="B56" t="s">
        <v>382</v>
      </c>
      <c r="C56" t="s">
        <v>236</v>
      </c>
      <c r="D56" t="s">
        <v>383</v>
      </c>
      <c r="E56" t="s">
        <v>237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49</v>
      </c>
      <c r="B57" t="s">
        <v>384</v>
      </c>
      <c r="C57" t="s">
        <v>236</v>
      </c>
      <c r="D57" t="s">
        <v>385</v>
      </c>
      <c r="E57" t="s">
        <v>237</v>
      </c>
      <c r="F57" t="n">
        <v>130.13606550547</v>
      </c>
      <c r="G57" t="n">
        <v>106.220845830241</v>
      </c>
      <c r="H57" t="n">
        <v>110.61619117494</v>
      </c>
      <c r="I57" t="n">
        <v>166.137831533018</v>
      </c>
      <c r="J57" t="n">
        <v>191.619094038082</v>
      </c>
      <c r="K57" t="n">
        <v>184.906323227831</v>
      </c>
      <c r="L57" t="n">
        <v>105.762158007473</v>
      </c>
      <c r="M57" t="n">
        <v>133.637455466808</v>
      </c>
      <c r="N57" t="n">
        <v>173.025337078077</v>
      </c>
      <c r="O57" t="n">
        <v>204.926883601848</v>
      </c>
      <c r="P57" t="n">
        <v>253.993883900882</v>
      </c>
      <c r="Q57" t="n">
        <v>262.086826280076</v>
      </c>
      <c r="R57" t="n">
        <v>391.184050116055</v>
      </c>
      <c r="S57" t="n">
        <v>478.495780106809</v>
      </c>
      <c r="T57" t="n">
        <v>402.473086071147</v>
      </c>
      <c r="U57" t="n">
        <v>440.844460802507</v>
      </c>
      <c r="V57" t="n">
        <v>549.484338108216</v>
      </c>
      <c r="W57" t="n">
        <v>559.851967129126</v>
      </c>
      <c r="X57" t="n">
        <v>525.47509195453</v>
      </c>
      <c r="Y57" t="n">
        <v>601.834761148688</v>
      </c>
      <c r="Z57" t="n">
        <v>754.584700526528</v>
      </c>
      <c r="AA57" t="n">
        <v>771.237604262285</v>
      </c>
      <c r="AB57" t="n">
        <v>850.338897007135</v>
      </c>
      <c r="AC57" t="n">
        <v>1126.95516470825</v>
      </c>
      <c r="AD57" t="n">
        <v>688.131795716639</v>
      </c>
      <c r="AE57" t="n">
        <v>608</v>
      </c>
      <c r="AF57" t="n">
        <v>615</v>
      </c>
    </row>
    <row r="58">
      <c r="A58" t="s">
        <v>49</v>
      </c>
      <c r="B58" t="s">
        <v>386</v>
      </c>
      <c r="C58" t="s">
        <v>236</v>
      </c>
      <c r="D58" t="s">
        <v>387</v>
      </c>
      <c r="E58" t="s">
        <v>237</v>
      </c>
      <c r="F58" t="n">
        <v>130.13606550547</v>
      </c>
      <c r="G58" t="n">
        <v>106.220845830241</v>
      </c>
      <c r="H58" t="n">
        <v>110.61619117494</v>
      </c>
      <c r="I58" t="n">
        <v>166.137831533018</v>
      </c>
      <c r="J58" t="n">
        <v>191.619094038082</v>
      </c>
      <c r="K58" t="n">
        <v>184.906323227831</v>
      </c>
      <c r="L58" t="n">
        <v>105.762158007473</v>
      </c>
      <c r="M58" t="n">
        <v>133.637455466808</v>
      </c>
      <c r="N58" t="n">
        <v>173.025337078077</v>
      </c>
      <c r="O58" t="n">
        <v>204.926883601848</v>
      </c>
      <c r="P58" t="n">
        <v>253.993883900882</v>
      </c>
      <c r="Q58" t="n">
        <v>262.086826280076</v>
      </c>
      <c r="R58" t="n">
        <v>391.184050116055</v>
      </c>
      <c r="S58" t="n">
        <v>478.495780106809</v>
      </c>
      <c r="T58" t="n">
        <v>402.473086071147</v>
      </c>
      <c r="U58" t="n">
        <v>440.844460802507</v>
      </c>
      <c r="V58" t="n">
        <v>549.484338108216</v>
      </c>
      <c r="W58" t="n">
        <v>559.851967129126</v>
      </c>
      <c r="X58" t="n">
        <v>525.47509195453</v>
      </c>
      <c r="Y58" t="n">
        <v>601.834761148688</v>
      </c>
      <c r="Z58" t="n">
        <v>754.584700526528</v>
      </c>
      <c r="AA58" t="n">
        <v>771.237604262285</v>
      </c>
      <c r="AB58" t="n">
        <v>850.338897007135</v>
      </c>
      <c r="AC58" t="n">
        <v>1126.95516470825</v>
      </c>
      <c r="AD58" t="n">
        <v>688.131795716639</v>
      </c>
      <c r="AE58" t="n">
        <v>608</v>
      </c>
      <c r="AF58" t="n">
        <v>615</v>
      </c>
    </row>
    <row r="59">
      <c r="A59" t="s">
        <v>49</v>
      </c>
      <c r="B59" t="s">
        <v>388</v>
      </c>
      <c r="C59" t="s">
        <v>236</v>
      </c>
      <c r="D59" t="s">
        <v>389</v>
      </c>
      <c r="E59" t="s">
        <v>237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51</v>
      </c>
      <c r="B2" t="s">
        <v>197</v>
      </c>
      <c r="C2" t="s">
        <v>236</v>
      </c>
      <c r="D2" t="s">
        <v>199</v>
      </c>
      <c r="E2" t="s">
        <v>237</v>
      </c>
      <c r="F2" t="n">
        <v>6.890625</v>
      </c>
      <c r="G2" t="n">
        <v>5.01136363636363</v>
      </c>
      <c r="H2" t="n">
        <v>7.51704545454545</v>
      </c>
      <c r="I2" t="n">
        <v>8.76988636363636</v>
      </c>
      <c r="J2" t="n">
        <v>10.0227272727273</v>
      </c>
      <c r="K2" t="n">
        <v>6.890625</v>
      </c>
      <c r="L2" t="n">
        <v>6.890625</v>
      </c>
      <c r="M2" t="n">
        <v>4.38494318181818</v>
      </c>
      <c r="N2" t="n">
        <v>8.76988636363636</v>
      </c>
      <c r="O2" t="n">
        <v>12.5284090909091</v>
      </c>
      <c r="P2" t="n">
        <v>10.4403409090909</v>
      </c>
      <c r="Q2" t="n">
        <v>6.96022727272727</v>
      </c>
      <c r="R2" t="n">
        <v>7.65625</v>
      </c>
      <c r="S2" t="n">
        <v>6.125</v>
      </c>
      <c r="T2" t="n">
        <v>8.75</v>
      </c>
      <c r="U2" t="n">
        <v>7</v>
      </c>
      <c r="V2" t="n">
        <v>7</v>
      </c>
      <c r="W2" t="n">
        <v>9</v>
      </c>
      <c r="X2" t="n">
        <v>9</v>
      </c>
      <c r="Y2" t="n">
        <v>9</v>
      </c>
      <c r="Z2" t="n">
        <v>9</v>
      </c>
      <c r="AA2" t="n">
        <v>8</v>
      </c>
      <c r="AB2" t="n">
        <v>8</v>
      </c>
      <c r="AC2" t="n">
        <v>8</v>
      </c>
      <c r="AD2" t="n">
        <v>8</v>
      </c>
      <c r="AE2" t="n">
        <v>8</v>
      </c>
      <c r="AF2" t="n">
        <v>8</v>
      </c>
    </row>
    <row r="3">
      <c r="A3" t="s">
        <v>51</v>
      </c>
      <c r="B3" t="s">
        <v>276</v>
      </c>
      <c r="C3" t="s">
        <v>236</v>
      </c>
      <c r="D3" t="s">
        <v>277</v>
      </c>
      <c r="E3" t="s">
        <v>237</v>
      </c>
      <c r="F3" t="e">
        <v>#NUM!</v>
      </c>
      <c r="G3" t="e">
        <v>#NUM!</v>
      </c>
      <c r="H3" t="n">
        <v>0</v>
      </c>
      <c r="I3" t="n">
        <v>0.775641025641026</v>
      </c>
      <c r="J3" t="n">
        <v>0.775641025641026</v>
      </c>
      <c r="K3" t="n">
        <v>0.775641025641026</v>
      </c>
      <c r="L3" t="n">
        <v>0.775641025641026</v>
      </c>
      <c r="M3" t="n">
        <v>0.775641025641026</v>
      </c>
      <c r="N3" t="n">
        <v>1.55128205128205</v>
      </c>
      <c r="O3" t="n">
        <v>1.55128205128205</v>
      </c>
      <c r="P3" t="n">
        <v>1.55128205128205</v>
      </c>
      <c r="Q3" t="n">
        <v>6.98076923076923</v>
      </c>
      <c r="R3" t="n">
        <v>10.0833333333333</v>
      </c>
      <c r="S3" t="n">
        <v>11</v>
      </c>
      <c r="T3" t="n">
        <v>8</v>
      </c>
      <c r="U3" t="n">
        <v>6</v>
      </c>
      <c r="V3" t="n">
        <v>9</v>
      </c>
      <c r="W3" t="n">
        <v>12</v>
      </c>
      <c r="X3" t="n">
        <v>11</v>
      </c>
      <c r="Y3" t="n">
        <v>11</v>
      </c>
      <c r="Z3" t="n">
        <v>7</v>
      </c>
      <c r="AA3" t="n">
        <v>5</v>
      </c>
      <c r="AB3" t="n">
        <v>5</v>
      </c>
      <c r="AC3" t="n">
        <v>4</v>
      </c>
      <c r="AD3" t="n">
        <v>3</v>
      </c>
      <c r="AE3" t="n">
        <v>7</v>
      </c>
      <c r="AF3" t="n">
        <v>11</v>
      </c>
    </row>
    <row r="4">
      <c r="A4" t="s">
        <v>51</v>
      </c>
      <c r="B4" t="s">
        <v>278</v>
      </c>
      <c r="C4" t="s">
        <v>236</v>
      </c>
      <c r="D4" t="s">
        <v>279</v>
      </c>
      <c r="E4" t="s">
        <v>237</v>
      </c>
      <c r="F4" t="n">
        <v>57.1158044494668</v>
      </c>
      <c r="G4" t="n">
        <v>57.1158044494668</v>
      </c>
      <c r="H4" t="n">
        <v>68.0774234852231</v>
      </c>
      <c r="I4" t="n">
        <v>84.0608185643624</v>
      </c>
      <c r="J4" t="n">
        <v>87.0416986552973</v>
      </c>
      <c r="K4" t="n">
        <v>68.9080114354437</v>
      </c>
      <c r="L4" t="n">
        <v>91.8773485805915</v>
      </c>
      <c r="M4" t="n">
        <v>43.48861166148</v>
      </c>
      <c r="N4" t="n">
        <v>78.4020041221048</v>
      </c>
      <c r="O4" t="n">
        <v>92.7134810650287</v>
      </c>
      <c r="P4" t="n">
        <v>82.4119831689144</v>
      </c>
      <c r="Q4" t="n">
        <v>160.245522828445</v>
      </c>
      <c r="R4" t="n">
        <v>238.0017891798</v>
      </c>
      <c r="S4" t="n">
        <v>216.710894301095</v>
      </c>
      <c r="T4" t="n">
        <v>172.383665921326</v>
      </c>
      <c r="U4" t="n">
        <v>156.169360710904</v>
      </c>
      <c r="V4" t="n">
        <v>154.264856311991</v>
      </c>
      <c r="W4" t="n">
        <v>175.74477301366</v>
      </c>
      <c r="X4" t="n">
        <v>131.808579760245</v>
      </c>
      <c r="Y4" t="n">
        <v>133.761299460397</v>
      </c>
      <c r="Z4" t="n">
        <v>187.855942624528</v>
      </c>
      <c r="AA4" t="n">
        <v>180.971169858184</v>
      </c>
      <c r="AB4" t="n">
        <v>228.181040255971</v>
      </c>
      <c r="AC4" t="n">
        <v>175.827814569536</v>
      </c>
      <c r="AD4" t="n">
        <v>166.887417218543</v>
      </c>
      <c r="AE4" t="n">
        <v>150</v>
      </c>
      <c r="AF4" t="n">
        <v>183</v>
      </c>
    </row>
    <row r="5">
      <c r="A5" t="s">
        <v>51</v>
      </c>
      <c r="B5" t="s">
        <v>280</v>
      </c>
      <c r="C5" t="s">
        <v>236</v>
      </c>
      <c r="D5" t="s">
        <v>281</v>
      </c>
      <c r="E5" t="s">
        <v>237</v>
      </c>
      <c r="F5" t="n">
        <v>6.23510466988728</v>
      </c>
      <c r="G5" t="n">
        <v>5.45571658615137</v>
      </c>
      <c r="H5" t="n">
        <v>6.23510466988728</v>
      </c>
      <c r="I5" t="n">
        <v>7.7938808373591</v>
      </c>
      <c r="J5" t="n">
        <v>7.7938808373591</v>
      </c>
      <c r="K5" t="n">
        <v>5.45571658615137</v>
      </c>
      <c r="L5" t="n">
        <v>7.01449275362319</v>
      </c>
      <c r="M5" t="n">
        <v>4.67632850241546</v>
      </c>
      <c r="N5" t="n">
        <v>9.35265700483091</v>
      </c>
      <c r="O5" t="n">
        <v>9.35265700483091</v>
      </c>
      <c r="P5" t="n">
        <v>7.01449275362319</v>
      </c>
      <c r="Q5" t="n">
        <v>14.8083735909823</v>
      </c>
      <c r="R5" t="n">
        <v>18.7053140096618</v>
      </c>
      <c r="S5" t="n">
        <v>19.5555555555556</v>
      </c>
      <c r="T5" t="n">
        <v>19.5555555555556</v>
      </c>
      <c r="U5" t="n">
        <v>16</v>
      </c>
      <c r="V5" t="n">
        <v>15</v>
      </c>
      <c r="W5" t="n">
        <v>15</v>
      </c>
      <c r="X5" t="n">
        <v>12</v>
      </c>
      <c r="Y5" t="n">
        <v>14</v>
      </c>
      <c r="Z5" t="n">
        <v>14</v>
      </c>
      <c r="AA5" t="n">
        <v>13</v>
      </c>
      <c r="AB5" t="n">
        <v>27</v>
      </c>
      <c r="AC5" t="n">
        <v>14</v>
      </c>
      <c r="AD5" t="n">
        <v>11</v>
      </c>
      <c r="AE5" t="n">
        <v>11</v>
      </c>
      <c r="AF5" t="n">
        <v>10</v>
      </c>
    </row>
    <row r="6">
      <c r="A6" t="s">
        <v>51</v>
      </c>
      <c r="B6" t="s">
        <v>282</v>
      </c>
      <c r="C6" t="s">
        <v>236</v>
      </c>
      <c r="D6" t="s">
        <v>283</v>
      </c>
      <c r="E6" t="s">
        <v>237</v>
      </c>
      <c r="F6" t="e">
        <v>#NUM!</v>
      </c>
      <c r="G6" t="n">
        <v>0</v>
      </c>
      <c r="H6" t="e">
        <v>#NUM!</v>
      </c>
      <c r="I6" t="e">
        <v>#NUM!</v>
      </c>
      <c r="J6" t="n">
        <v>0</v>
      </c>
      <c r="K6" t="e">
        <v>#NUM!</v>
      </c>
      <c r="L6" t="e">
        <v>#NUM!</v>
      </c>
      <c r="M6" t="n">
        <v>0</v>
      </c>
      <c r="N6" t="n">
        <v>0</v>
      </c>
      <c r="O6" t="e">
        <v>#NUM!</v>
      </c>
      <c r="P6" t="e">
        <v>#NUM!</v>
      </c>
      <c r="Q6" t="e">
        <v>#NUM!</v>
      </c>
      <c r="R6" t="e">
        <v>#NUM!</v>
      </c>
      <c r="S6" t="e">
        <v>#NUM!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51</v>
      </c>
      <c r="B7" t="s">
        <v>284</v>
      </c>
      <c r="C7" t="s">
        <v>236</v>
      </c>
      <c r="D7" t="s">
        <v>285</v>
      </c>
      <c r="E7" t="s">
        <v>237</v>
      </c>
      <c r="F7" t="n">
        <v>12.5319836249957</v>
      </c>
      <c r="G7" t="n">
        <v>21.2079722884543</v>
      </c>
      <c r="H7" t="n">
        <v>17.7555116833571</v>
      </c>
      <c r="I7" t="n">
        <v>25.3650166905101</v>
      </c>
      <c r="J7" t="n">
        <v>21.223789475733</v>
      </c>
      <c r="K7" t="n">
        <v>15.9178421067997</v>
      </c>
      <c r="L7" t="n">
        <v>28.1215210553462</v>
      </c>
      <c r="M7" t="n">
        <v>10.275171154838</v>
      </c>
      <c r="N7" t="n">
        <v>24.3359316825111</v>
      </c>
      <c r="O7" t="n">
        <v>22.676663613249</v>
      </c>
      <c r="P7" t="n">
        <v>19.1879461342876</v>
      </c>
      <c r="Q7" t="n">
        <v>41.9736321687541</v>
      </c>
      <c r="R7" t="n">
        <v>57.2367711392102</v>
      </c>
      <c r="S7" t="n">
        <v>55.7877389584707</v>
      </c>
      <c r="T7" t="n">
        <v>25.5029663810152</v>
      </c>
      <c r="U7" t="n">
        <v>30.4390243902439</v>
      </c>
      <c r="V7" t="n">
        <v>39</v>
      </c>
      <c r="W7" t="n">
        <v>30</v>
      </c>
      <c r="X7" t="n">
        <v>29</v>
      </c>
      <c r="Y7" t="n">
        <v>25</v>
      </c>
      <c r="Z7" t="n">
        <v>33</v>
      </c>
      <c r="AA7" t="n">
        <v>41</v>
      </c>
      <c r="AB7" t="n">
        <v>84</v>
      </c>
      <c r="AC7" t="n">
        <v>28</v>
      </c>
      <c r="AD7" t="n">
        <v>30</v>
      </c>
      <c r="AE7" t="n">
        <v>23</v>
      </c>
      <c r="AF7" t="n">
        <v>27</v>
      </c>
    </row>
    <row r="8">
      <c r="A8" t="s">
        <v>51</v>
      </c>
      <c r="B8" t="s">
        <v>286</v>
      </c>
      <c r="C8" t="s">
        <v>236</v>
      </c>
      <c r="D8" t="s">
        <v>287</v>
      </c>
      <c r="E8" t="s">
        <v>237</v>
      </c>
      <c r="F8" t="e">
        <v>#NUM!</v>
      </c>
      <c r="G8" t="e">
        <v>#NUM!</v>
      </c>
      <c r="H8" t="e">
        <v>#NUM!</v>
      </c>
      <c r="I8" t="e">
        <v>#NUM!</v>
      </c>
      <c r="J8" t="e">
        <v>#NUM!</v>
      </c>
      <c r="K8" t="e">
        <v>#NUM!</v>
      </c>
      <c r="L8" t="e">
        <v>#NUM!</v>
      </c>
      <c r="M8" t="n">
        <v>0</v>
      </c>
      <c r="N8" t="n">
        <v>1.67604134995439</v>
      </c>
      <c r="O8" t="n">
        <v>1.1173608999696</v>
      </c>
      <c r="P8" t="n">
        <v>5.02812404986318</v>
      </c>
      <c r="Q8" t="n">
        <v>7.26284584980237</v>
      </c>
      <c r="R8" t="n">
        <v>27.8409090909091</v>
      </c>
      <c r="S8" t="n">
        <v>11.1363636363636</v>
      </c>
      <c r="T8" t="n">
        <v>6.36363636363636</v>
      </c>
      <c r="U8" t="n">
        <v>10</v>
      </c>
      <c r="V8" t="n">
        <v>3</v>
      </c>
      <c r="W8" t="n">
        <v>7</v>
      </c>
      <c r="X8" t="n">
        <v>6</v>
      </c>
      <c r="Y8" t="n">
        <v>7</v>
      </c>
      <c r="Z8" t="n">
        <v>17</v>
      </c>
      <c r="AA8" t="n">
        <v>-5</v>
      </c>
      <c r="AB8" t="n">
        <v>-35</v>
      </c>
      <c r="AC8" t="n">
        <v>2</v>
      </c>
      <c r="AD8" t="n">
        <v>1</v>
      </c>
      <c r="AE8" t="n">
        <v>1</v>
      </c>
      <c r="AF8" t="n">
        <v>7</v>
      </c>
    </row>
    <row r="9">
      <c r="A9" t="s">
        <v>51</v>
      </c>
      <c r="B9" t="s">
        <v>288</v>
      </c>
      <c r="C9" t="s">
        <v>236</v>
      </c>
      <c r="D9" t="s">
        <v>289</v>
      </c>
      <c r="E9" t="s">
        <v>237</v>
      </c>
      <c r="F9" t="n">
        <v>8.19218086442998</v>
      </c>
      <c r="G9" t="n">
        <v>4.60810173624186</v>
      </c>
      <c r="H9" t="n">
        <v>8.70419216845685</v>
      </c>
      <c r="I9" t="n">
        <v>7.61616814739974</v>
      </c>
      <c r="J9" t="n">
        <v>8.70419216845685</v>
      </c>
      <c r="K9" t="n">
        <v>4.89610809475698</v>
      </c>
      <c r="L9" t="n">
        <v>5.98413211581408</v>
      </c>
      <c r="M9" t="n">
        <v>5.98413211581408</v>
      </c>
      <c r="N9" t="n">
        <v>7.07215613687119</v>
      </c>
      <c r="O9" t="n">
        <v>10.3362282000425</v>
      </c>
      <c r="P9" t="n">
        <v>6.89081880002834</v>
      </c>
      <c r="Q9" t="n">
        <v>15.5043423000638</v>
      </c>
      <c r="R9" t="n">
        <v>35.1829306039908</v>
      </c>
      <c r="S9" t="n">
        <v>24.3574134950706</v>
      </c>
      <c r="T9" t="n">
        <v>19.1906894203586</v>
      </c>
      <c r="U9" t="n">
        <v>13.0496688058439</v>
      </c>
      <c r="V9" t="n">
        <v>19.139514248571</v>
      </c>
      <c r="W9" t="n">
        <v>24.6079468910199</v>
      </c>
      <c r="X9" t="n">
        <v>29.1649740930606</v>
      </c>
      <c r="Y9" t="n">
        <v>20.9623251293873</v>
      </c>
      <c r="Z9" t="n">
        <v>43.830316179628</v>
      </c>
      <c r="AA9" t="n">
        <v>62.8869753881619</v>
      </c>
      <c r="AB9" t="n">
        <v>81.9436345966958</v>
      </c>
      <c r="AC9" t="n">
        <v>60.734693877551</v>
      </c>
      <c r="AD9" t="n">
        <v>48</v>
      </c>
      <c r="AE9" t="n">
        <v>48</v>
      </c>
      <c r="AF9" t="n">
        <v>74</v>
      </c>
    </row>
    <row r="10">
      <c r="A10" t="s">
        <v>51</v>
      </c>
      <c r="B10" t="s">
        <v>290</v>
      </c>
      <c r="C10" t="s">
        <v>236</v>
      </c>
      <c r="D10" t="s">
        <v>291</v>
      </c>
      <c r="E10" t="s">
        <v>237</v>
      </c>
      <c r="F10" t="n">
        <v>9.46257553187489</v>
      </c>
      <c r="G10" t="n">
        <v>5.25698640659716</v>
      </c>
      <c r="H10" t="n">
        <v>9.46257553187489</v>
      </c>
      <c r="I10" t="n">
        <v>8.9059534417646</v>
      </c>
      <c r="J10" t="n">
        <v>9.46257553187489</v>
      </c>
      <c r="K10" t="n">
        <v>5.56622090110288</v>
      </c>
      <c r="L10" t="n">
        <v>6.67946508132345</v>
      </c>
      <c r="M10" t="n">
        <v>7.23608717143374</v>
      </c>
      <c r="N10" t="n">
        <v>7.79270926154403</v>
      </c>
      <c r="O10" t="n">
        <v>11.689063892316</v>
      </c>
      <c r="P10" t="n">
        <v>7.59789153000543</v>
      </c>
      <c r="Q10" t="n">
        <v>17.5335958384741</v>
      </c>
      <c r="R10" t="n">
        <v>38.6948321952531</v>
      </c>
      <c r="S10" t="n">
        <v>27.6391658537522</v>
      </c>
      <c r="T10" t="n">
        <v>23.1571389585492</v>
      </c>
      <c r="U10" t="n">
        <v>17.7538065348877</v>
      </c>
      <c r="V10" t="n">
        <v>23.079948495354</v>
      </c>
      <c r="W10" t="n">
        <v>30.4655320138673</v>
      </c>
      <c r="X10" t="n">
        <v>36.9279175925664</v>
      </c>
      <c r="Y10" t="n">
        <v>26.7727402546106</v>
      </c>
      <c r="Z10" t="n">
        <v>49.7208033299912</v>
      </c>
      <c r="AA10" t="n">
        <v>67.8880199313341</v>
      </c>
      <c r="AB10" t="n">
        <v>86.0552365326771</v>
      </c>
      <c r="AC10" t="n">
        <v>66.7169811320755</v>
      </c>
      <c r="AD10" t="n">
        <v>53.9622641509434</v>
      </c>
      <c r="AE10" t="n">
        <v>52</v>
      </c>
      <c r="AF10" t="n">
        <v>80</v>
      </c>
    </row>
    <row r="11">
      <c r="A11" t="s">
        <v>51</v>
      </c>
      <c r="B11" t="s">
        <v>292</v>
      </c>
      <c r="C11" t="s">
        <v>236</v>
      </c>
      <c r="D11" t="s">
        <v>293</v>
      </c>
      <c r="E11" t="s">
        <v>237</v>
      </c>
      <c r="F11" t="n">
        <v>1.33333333333333</v>
      </c>
      <c r="G11" t="n">
        <v>0.666666666666667</v>
      </c>
      <c r="H11" t="n">
        <v>0.666666666666667</v>
      </c>
      <c r="I11" t="n">
        <v>1.33333333333333</v>
      </c>
      <c r="J11" t="n">
        <v>0.666666666666667</v>
      </c>
      <c r="K11" t="n">
        <v>0.666666666666667</v>
      </c>
      <c r="L11" t="n">
        <v>0.666666666666667</v>
      </c>
      <c r="M11" t="n">
        <v>1.33333333333333</v>
      </c>
      <c r="N11" t="n">
        <v>0.666666666666667</v>
      </c>
      <c r="O11" t="n">
        <v>1.33333333333333</v>
      </c>
      <c r="P11" t="n">
        <v>0.666666666666667</v>
      </c>
      <c r="Q11" t="n">
        <v>2</v>
      </c>
      <c r="R11" t="n">
        <v>3.33333333333333</v>
      </c>
      <c r="S11" t="n">
        <v>3.33333333333333</v>
      </c>
      <c r="T11" t="n">
        <v>4.16666666666667</v>
      </c>
      <c r="U11" t="n">
        <v>5</v>
      </c>
      <c r="V11" t="n">
        <v>4</v>
      </c>
      <c r="W11" t="n">
        <v>6</v>
      </c>
      <c r="X11" t="n">
        <v>8</v>
      </c>
      <c r="Y11" t="n">
        <v>6</v>
      </c>
      <c r="Z11" t="n">
        <v>6</v>
      </c>
      <c r="AA11" t="n">
        <v>5</v>
      </c>
      <c r="AB11" t="n">
        <v>4</v>
      </c>
      <c r="AC11" t="n">
        <v>6</v>
      </c>
      <c r="AD11" t="n">
        <v>6</v>
      </c>
      <c r="AE11" t="n">
        <v>4</v>
      </c>
      <c r="AF11" t="n">
        <v>6</v>
      </c>
    </row>
    <row r="12">
      <c r="A12" t="s">
        <v>51</v>
      </c>
      <c r="B12" t="s">
        <v>294</v>
      </c>
      <c r="C12" t="s">
        <v>236</v>
      </c>
      <c r="D12" t="s">
        <v>295</v>
      </c>
      <c r="E12" t="s">
        <v>237</v>
      </c>
      <c r="F12" t="n">
        <v>5.98148148148148</v>
      </c>
      <c r="G12" t="n">
        <v>5.12698412698413</v>
      </c>
      <c r="H12" t="n">
        <v>5.98148148148148</v>
      </c>
      <c r="I12" t="n">
        <v>7.69047619047619</v>
      </c>
      <c r="J12" t="n">
        <v>9.3994708994709</v>
      </c>
      <c r="K12" t="n">
        <v>7.69047619047619</v>
      </c>
      <c r="L12" t="n">
        <v>6.83597883597884</v>
      </c>
      <c r="M12" t="n">
        <v>5.12698412698413</v>
      </c>
      <c r="N12" t="n">
        <v>8.54497354497354</v>
      </c>
      <c r="O12" t="n">
        <v>11.1084656084656</v>
      </c>
      <c r="P12" t="n">
        <v>9.3994708994709</v>
      </c>
      <c r="Q12" t="n">
        <v>16.2354497354497</v>
      </c>
      <c r="R12" t="n">
        <v>17.9444444444444</v>
      </c>
      <c r="S12" t="n">
        <v>17</v>
      </c>
      <c r="T12" t="n">
        <v>17</v>
      </c>
      <c r="U12" t="n">
        <v>10</v>
      </c>
      <c r="V12" t="n">
        <v>10</v>
      </c>
      <c r="W12" t="n">
        <v>11</v>
      </c>
      <c r="X12" t="n">
        <v>8</v>
      </c>
      <c r="Y12" t="n">
        <v>9</v>
      </c>
      <c r="Z12" t="n">
        <v>11</v>
      </c>
      <c r="AA12" t="n">
        <v>9</v>
      </c>
      <c r="AB12" t="n">
        <v>6</v>
      </c>
      <c r="AC12" t="n">
        <v>5</v>
      </c>
      <c r="AD12" t="n">
        <v>6</v>
      </c>
      <c r="AE12" t="n">
        <v>5</v>
      </c>
      <c r="AF12" t="n">
        <v>6</v>
      </c>
    </row>
    <row r="13">
      <c r="A13" t="s">
        <v>51</v>
      </c>
      <c r="B13" t="s">
        <v>296</v>
      </c>
      <c r="C13" t="s">
        <v>236</v>
      </c>
      <c r="D13" t="s">
        <v>297</v>
      </c>
      <c r="E13" t="s">
        <v>237</v>
      </c>
      <c r="F13" t="n">
        <v>3.56296296296296</v>
      </c>
      <c r="G13" t="n">
        <v>2.85037037037037</v>
      </c>
      <c r="H13" t="n">
        <v>4.27555555555556</v>
      </c>
      <c r="I13" t="n">
        <v>5.70074074074074</v>
      </c>
      <c r="J13" t="n">
        <v>4.27555555555556</v>
      </c>
      <c r="K13" t="n">
        <v>4.98814814814815</v>
      </c>
      <c r="L13" t="n">
        <v>4.98814814814815</v>
      </c>
      <c r="M13" t="n">
        <v>4.27555555555556</v>
      </c>
      <c r="N13" t="n">
        <v>4.98814814814815</v>
      </c>
      <c r="O13" t="n">
        <v>7.83851851851852</v>
      </c>
      <c r="P13" t="n">
        <v>4.98814814814815</v>
      </c>
      <c r="Q13" t="n">
        <v>17.1022222222222</v>
      </c>
      <c r="R13" t="n">
        <v>28.5037037037037</v>
      </c>
      <c r="S13" t="n">
        <v>21.3777777777778</v>
      </c>
      <c r="T13" t="n">
        <v>37</v>
      </c>
      <c r="U13" t="n">
        <v>37</v>
      </c>
      <c r="V13" t="n">
        <v>23</v>
      </c>
      <c r="W13" t="n">
        <v>45</v>
      </c>
      <c r="X13" t="n">
        <v>15</v>
      </c>
      <c r="Y13" t="n">
        <v>20</v>
      </c>
      <c r="Z13" t="n">
        <v>22</v>
      </c>
      <c r="AA13" t="n">
        <v>19</v>
      </c>
      <c r="AB13" t="n">
        <v>21</v>
      </c>
      <c r="AC13" t="n">
        <v>26</v>
      </c>
      <c r="AD13" t="n">
        <v>30</v>
      </c>
      <c r="AE13" t="n">
        <v>21</v>
      </c>
      <c r="AF13" t="n">
        <v>20</v>
      </c>
    </row>
    <row r="14">
      <c r="A14" t="s">
        <v>51</v>
      </c>
      <c r="B14" t="s">
        <v>298</v>
      </c>
      <c r="C14" t="s">
        <v>236</v>
      </c>
      <c r="D14" t="s">
        <v>299</v>
      </c>
      <c r="E14" t="s">
        <v>237</v>
      </c>
      <c r="F14" t="n">
        <v>12.1395981275408</v>
      </c>
      <c r="G14" t="n">
        <v>7.08143224106547</v>
      </c>
      <c r="H14" t="n">
        <v>11.1279649502457</v>
      </c>
      <c r="I14" t="n">
        <v>15.8970927860653</v>
      </c>
      <c r="J14" t="n">
        <v>23.3157360862292</v>
      </c>
      <c r="K14" t="n">
        <v>20.6046039831792</v>
      </c>
      <c r="L14" t="n">
        <v>23.8579625068391</v>
      </c>
      <c r="M14" t="n">
        <v>7.76770872315693</v>
      </c>
      <c r="N14" t="n">
        <v>12.7612357594721</v>
      </c>
      <c r="O14" t="n">
        <v>20.8820221518634</v>
      </c>
      <c r="P14" t="n">
        <v>20.2678450297498</v>
      </c>
      <c r="Q14" t="n">
        <v>28.5016570730857</v>
      </c>
      <c r="R14" t="n">
        <v>23.861852433281</v>
      </c>
      <c r="S14" t="n">
        <v>36.5384615384615</v>
      </c>
      <c r="T14" t="n">
        <v>16.2393162393162</v>
      </c>
      <c r="U14" t="n">
        <v>23.0769230769231</v>
      </c>
      <c r="V14" t="n">
        <v>25</v>
      </c>
      <c r="W14" t="n">
        <v>20</v>
      </c>
      <c r="X14" t="n">
        <v>10</v>
      </c>
      <c r="Y14" t="n">
        <v>17</v>
      </c>
      <c r="Z14" t="n">
        <v>22</v>
      </c>
      <c r="AA14" t="n">
        <v>18</v>
      </c>
      <c r="AB14" t="n">
        <v>22</v>
      </c>
      <c r="AC14" t="n">
        <v>18</v>
      </c>
      <c r="AD14" t="n">
        <v>18</v>
      </c>
      <c r="AE14" t="n">
        <v>24</v>
      </c>
      <c r="AF14" t="n">
        <v>22</v>
      </c>
    </row>
    <row r="15">
      <c r="A15" t="s">
        <v>51</v>
      </c>
      <c r="B15" t="s">
        <v>300</v>
      </c>
      <c r="C15" t="s">
        <v>236</v>
      </c>
      <c r="D15" t="s">
        <v>301</v>
      </c>
      <c r="E15" t="s">
        <v>237</v>
      </c>
      <c r="F15" t="n">
        <v>14.676352147029</v>
      </c>
      <c r="G15" t="n">
        <v>9.78423476468603</v>
      </c>
      <c r="H15" t="n">
        <v>14.1327835489909</v>
      </c>
      <c r="I15" t="n">
        <v>20.3512083105469</v>
      </c>
      <c r="J15" t="n">
        <v>27.1349444140626</v>
      </c>
      <c r="K15" t="n">
        <v>24.2482481998006</v>
      </c>
      <c r="L15" t="n">
        <v>27.712283656915</v>
      </c>
      <c r="M15" t="n">
        <v>9.43396890448169</v>
      </c>
      <c r="N15" t="n">
        <v>15.9198225263129</v>
      </c>
      <c r="O15" t="n">
        <v>24.4920346558659</v>
      </c>
      <c r="P15" t="n">
        <v>23.84750742808</v>
      </c>
      <c r="Q15" t="n">
        <v>32.4591073326644</v>
      </c>
      <c r="R15" t="n">
        <v>29.6966301128632</v>
      </c>
      <c r="S15" t="n">
        <v>44.5449451692948</v>
      </c>
      <c r="T15" t="n">
        <v>21.8522372528616</v>
      </c>
      <c r="U15" t="n">
        <v>27.0967741935484</v>
      </c>
      <c r="V15" t="n">
        <v>30</v>
      </c>
      <c r="W15" t="n">
        <v>24</v>
      </c>
      <c r="X15" t="n">
        <v>15</v>
      </c>
      <c r="Y15" t="n">
        <v>19</v>
      </c>
      <c r="Z15" t="n">
        <v>26</v>
      </c>
      <c r="AA15" t="n">
        <v>23</v>
      </c>
      <c r="AB15" t="n">
        <v>27</v>
      </c>
      <c r="AC15" t="n">
        <v>21</v>
      </c>
      <c r="AD15" t="n">
        <v>22</v>
      </c>
      <c r="AE15" t="n">
        <v>27</v>
      </c>
      <c r="AF15" t="n">
        <v>25</v>
      </c>
    </row>
    <row r="16">
      <c r="A16" t="s">
        <v>51</v>
      </c>
      <c r="B16" t="s">
        <v>302</v>
      </c>
      <c r="C16" t="s">
        <v>236</v>
      </c>
      <c r="D16" t="s">
        <v>303</v>
      </c>
      <c r="E16" t="s">
        <v>237</v>
      </c>
      <c r="F16" t="n">
        <v>2.57142857142857</v>
      </c>
      <c r="G16" t="n">
        <v>3.42857142857143</v>
      </c>
      <c r="H16" t="n">
        <v>3.42857142857143</v>
      </c>
      <c r="I16" t="n">
        <v>5.14285714285714</v>
      </c>
      <c r="J16" t="n">
        <v>3.42857142857143</v>
      </c>
      <c r="K16" t="n">
        <v>3.42857142857143</v>
      </c>
      <c r="L16" t="n">
        <v>3.42857142857143</v>
      </c>
      <c r="M16" t="n">
        <v>1.71428571428571</v>
      </c>
      <c r="N16" t="n">
        <v>3.42857142857143</v>
      </c>
      <c r="O16" t="n">
        <v>3.42857142857143</v>
      </c>
      <c r="P16" t="n">
        <v>3.42857142857143</v>
      </c>
      <c r="Q16" t="n">
        <v>3.42857142857143</v>
      </c>
      <c r="R16" t="n">
        <v>6</v>
      </c>
      <c r="S16" t="n">
        <v>8</v>
      </c>
      <c r="T16" t="n">
        <v>6</v>
      </c>
      <c r="U16" t="n">
        <v>4</v>
      </c>
      <c r="V16" t="n">
        <v>5</v>
      </c>
      <c r="W16" t="n">
        <v>4</v>
      </c>
      <c r="X16" t="n">
        <v>5</v>
      </c>
      <c r="Y16" t="n">
        <v>2</v>
      </c>
      <c r="Z16" t="n">
        <v>4</v>
      </c>
      <c r="AA16" t="n">
        <v>5</v>
      </c>
      <c r="AB16" t="n">
        <v>5</v>
      </c>
      <c r="AC16" t="n">
        <v>3</v>
      </c>
      <c r="AD16" t="n">
        <v>4</v>
      </c>
      <c r="AE16" t="n">
        <v>3</v>
      </c>
      <c r="AF16" t="n">
        <v>3</v>
      </c>
    </row>
    <row r="17">
      <c r="A17" t="s">
        <v>51</v>
      </c>
      <c r="B17" t="s">
        <v>304</v>
      </c>
      <c r="C17" t="s">
        <v>236</v>
      </c>
      <c r="D17" t="s">
        <v>305</v>
      </c>
      <c r="E17" t="s">
        <v>237</v>
      </c>
      <c r="F17" t="n">
        <v>5.53086419753087</v>
      </c>
      <c r="G17" t="n">
        <v>6.32098765432099</v>
      </c>
      <c r="H17" t="n">
        <v>5.53086419753087</v>
      </c>
      <c r="I17" t="n">
        <v>6.32098765432099</v>
      </c>
      <c r="J17" t="n">
        <v>5.53086419753087</v>
      </c>
      <c r="K17" t="n">
        <v>5.53086419753087</v>
      </c>
      <c r="L17" t="n">
        <v>5.53086419753087</v>
      </c>
      <c r="M17" t="n">
        <v>3.16049382716049</v>
      </c>
      <c r="N17" t="n">
        <v>6.32098765432099</v>
      </c>
      <c r="O17" t="n">
        <v>5.53086419753087</v>
      </c>
      <c r="P17" t="n">
        <v>4.74074074074074</v>
      </c>
      <c r="Q17" t="n">
        <v>10.2716049382716</v>
      </c>
      <c r="R17" t="n">
        <v>11.8518518518519</v>
      </c>
      <c r="S17" t="n">
        <v>15.2380952380952</v>
      </c>
      <c r="T17" t="n">
        <v>20</v>
      </c>
      <c r="U17" t="n">
        <v>6</v>
      </c>
      <c r="V17" t="n">
        <v>8</v>
      </c>
      <c r="W17" t="n">
        <v>10</v>
      </c>
      <c r="X17" t="n">
        <v>7</v>
      </c>
      <c r="Y17" t="n">
        <v>10</v>
      </c>
      <c r="Z17" t="n">
        <v>12</v>
      </c>
      <c r="AA17" t="n">
        <v>9</v>
      </c>
      <c r="AB17" t="n">
        <v>9</v>
      </c>
      <c r="AC17" t="n">
        <v>10</v>
      </c>
      <c r="AD17" t="n">
        <v>11</v>
      </c>
      <c r="AE17" t="n">
        <v>8</v>
      </c>
      <c r="AF17" t="n">
        <v>7</v>
      </c>
    </row>
    <row r="18">
      <c r="A18" t="s">
        <v>51</v>
      </c>
      <c r="B18" t="s">
        <v>306</v>
      </c>
      <c r="C18" t="s">
        <v>236</v>
      </c>
      <c r="D18" t="s">
        <v>307</v>
      </c>
      <c r="E18" t="s">
        <v>237</v>
      </c>
      <c r="F18" t="n">
        <v>0</v>
      </c>
      <c r="G18" t="e">
        <v>#NUM!</v>
      </c>
      <c r="H18" t="e">
        <v>#NUM!</v>
      </c>
      <c r="I18" t="e">
        <v>#NUM!</v>
      </c>
      <c r="J18" t="e">
        <v>#NUM!</v>
      </c>
      <c r="K18" t="n">
        <v>0</v>
      </c>
      <c r="L18" t="e">
        <v>#NUM!</v>
      </c>
      <c r="M18" t="n">
        <v>0</v>
      </c>
      <c r="N18" t="e">
        <v>#NUM!</v>
      </c>
      <c r="O18" t="e">
        <v>#NUM!</v>
      </c>
      <c r="P18" t="e">
        <v>#NUM!</v>
      </c>
      <c r="Q18" t="e">
        <v>#NUM!</v>
      </c>
      <c r="R18" t="e">
        <v>#NUM!</v>
      </c>
      <c r="S18" t="e">
        <v>#NUM!</v>
      </c>
      <c r="T18" t="e">
        <v>#NUM!</v>
      </c>
      <c r="U18" t="e">
        <v>#NUM!</v>
      </c>
      <c r="V18" t="e">
        <v>#NUM!</v>
      </c>
      <c r="W18" t="e">
        <v>#NUM!</v>
      </c>
      <c r="X18" t="e">
        <v>#NUM!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51</v>
      </c>
      <c r="B19" t="s">
        <v>308</v>
      </c>
      <c r="C19" t="s">
        <v>236</v>
      </c>
      <c r="D19" t="s">
        <v>309</v>
      </c>
      <c r="E19" t="s">
        <v>237</v>
      </c>
      <c r="F19" t="n">
        <v>0</v>
      </c>
      <c r="G19" t="e">
        <v>#NUM!</v>
      </c>
      <c r="H19" t="e">
        <v>#NUM!</v>
      </c>
      <c r="I19" t="e">
        <v>#NUM!</v>
      </c>
      <c r="J19" t="e">
        <v>#NUM!</v>
      </c>
      <c r="K19" t="n">
        <v>0</v>
      </c>
      <c r="L19" t="e">
        <v>#NUM!</v>
      </c>
      <c r="M19" t="e">
        <v>#NUM!</v>
      </c>
      <c r="N19" t="e">
        <v>#NUM!</v>
      </c>
      <c r="O19" t="n">
        <v>0</v>
      </c>
      <c r="P19" t="n">
        <v>1</v>
      </c>
      <c r="Q19" t="n">
        <v>4</v>
      </c>
      <c r="R19" t="n">
        <v>4</v>
      </c>
      <c r="S19" t="n">
        <v>4</v>
      </c>
      <c r="T19" t="n">
        <v>2</v>
      </c>
      <c r="U19" t="n">
        <v>2</v>
      </c>
      <c r="V19" t="n">
        <v>2</v>
      </c>
      <c r="W19" t="n">
        <v>2</v>
      </c>
      <c r="X19" t="n">
        <v>2</v>
      </c>
      <c r="Y19" t="n">
        <v>4</v>
      </c>
      <c r="Z19" t="n">
        <v>4</v>
      </c>
      <c r="AA19" t="n">
        <v>4</v>
      </c>
      <c r="AB19" t="n">
        <v>3</v>
      </c>
      <c r="AC19" t="n">
        <v>3</v>
      </c>
      <c r="AD19" t="n">
        <v>2</v>
      </c>
      <c r="AE19" t="n">
        <v>2</v>
      </c>
      <c r="AF19" t="n">
        <v>1</v>
      </c>
    </row>
    <row r="20">
      <c r="A20" t="s">
        <v>51</v>
      </c>
      <c r="B20" t="s">
        <v>310</v>
      </c>
      <c r="C20" t="s">
        <v>236</v>
      </c>
      <c r="D20" t="s">
        <v>311</v>
      </c>
      <c r="E20" t="s">
        <v>237</v>
      </c>
      <c r="F20" t="n">
        <v>7.31479147038919</v>
      </c>
      <c r="G20" t="n">
        <v>5.4860936027919</v>
      </c>
      <c r="H20" t="n">
        <v>9.60066380488582</v>
      </c>
      <c r="I20" t="n">
        <v>7.20049785366436</v>
      </c>
      <c r="J20" t="n">
        <v>8.16056423415294</v>
      </c>
      <c r="K20" t="n">
        <v>8.64059742439723</v>
      </c>
      <c r="L20" t="n">
        <v>7.68053104390865</v>
      </c>
      <c r="M20" t="n">
        <v>6.72046466342007</v>
      </c>
      <c r="N20" t="n">
        <v>10.0806969951301</v>
      </c>
      <c r="O20" t="n">
        <v>16.6331500419647</v>
      </c>
      <c r="P20" t="n">
        <v>16.6331500419647</v>
      </c>
      <c r="Q20" t="n">
        <v>26.6130400671435</v>
      </c>
      <c r="R20" t="n">
        <v>28.3872427382864</v>
      </c>
      <c r="S20" t="n">
        <v>36.4978835206539</v>
      </c>
      <c r="T20" t="n">
        <v>38.7324478178368</v>
      </c>
      <c r="U20" t="n">
        <v>24.5042016806723</v>
      </c>
      <c r="V20" t="n">
        <v>15.4285714285714</v>
      </c>
      <c r="W20" t="n">
        <v>11.5714285714286</v>
      </c>
      <c r="X20" t="n">
        <v>20.25</v>
      </c>
      <c r="Y20" t="n">
        <v>27</v>
      </c>
      <c r="Z20" t="n">
        <v>34</v>
      </c>
      <c r="AA20" t="n">
        <v>45</v>
      </c>
      <c r="AB20" t="n">
        <v>35</v>
      </c>
      <c r="AC20" t="n">
        <v>32</v>
      </c>
      <c r="AD20" t="n">
        <v>25</v>
      </c>
      <c r="AE20" t="n">
        <v>41</v>
      </c>
      <c r="AF20" t="n">
        <v>34</v>
      </c>
    </row>
    <row r="21">
      <c r="A21" t="s">
        <v>51</v>
      </c>
      <c r="B21" t="s">
        <v>312</v>
      </c>
      <c r="C21" t="s">
        <v>236</v>
      </c>
      <c r="D21" t="s">
        <v>313</v>
      </c>
      <c r="E21" t="s">
        <v>237</v>
      </c>
      <c r="F21" t="n">
        <v>8.42176043660048</v>
      </c>
      <c r="G21" t="n">
        <v>6.44016974563566</v>
      </c>
      <c r="H21" t="n">
        <v>10.8987488003065</v>
      </c>
      <c r="I21" t="n">
        <v>8.82279664786716</v>
      </c>
      <c r="J21" t="n">
        <v>9.86077272408683</v>
      </c>
      <c r="K21" t="n">
        <v>9.86077272408683</v>
      </c>
      <c r="L21" t="n">
        <v>9.341784685977</v>
      </c>
      <c r="M21" t="n">
        <v>7.7848205716475</v>
      </c>
      <c r="N21" t="n">
        <v>11.9367248765262</v>
      </c>
      <c r="O21" t="n">
        <v>18.9902441217462</v>
      </c>
      <c r="P21" t="n">
        <v>18.9902441217462</v>
      </c>
      <c r="Q21" t="n">
        <v>30.8591466978375</v>
      </c>
      <c r="R21" t="n">
        <v>34.008039218025</v>
      </c>
      <c r="S21" t="n">
        <v>41.8015482054891</v>
      </c>
      <c r="T21" t="n">
        <v>44.8979591836735</v>
      </c>
      <c r="U21" t="n">
        <v>28.5714285714286</v>
      </c>
      <c r="V21" t="n">
        <v>19.3548387096774</v>
      </c>
      <c r="W21" t="n">
        <v>18.3870967741935</v>
      </c>
      <c r="X21" t="n">
        <v>25.1612903225806</v>
      </c>
      <c r="Y21" t="n">
        <v>30</v>
      </c>
      <c r="Z21" t="n">
        <v>38</v>
      </c>
      <c r="AA21" t="n">
        <v>50</v>
      </c>
      <c r="AB21" t="n">
        <v>39</v>
      </c>
      <c r="AC21" t="n">
        <v>35</v>
      </c>
      <c r="AD21" t="n">
        <v>28</v>
      </c>
      <c r="AE21" t="n">
        <v>43</v>
      </c>
      <c r="AF21" t="n">
        <v>36</v>
      </c>
    </row>
    <row r="22">
      <c r="A22" t="s">
        <v>51</v>
      </c>
      <c r="B22" t="s">
        <v>314</v>
      </c>
      <c r="C22" t="s">
        <v>236</v>
      </c>
      <c r="D22" t="s">
        <v>315</v>
      </c>
      <c r="E22" t="s">
        <v>237</v>
      </c>
      <c r="F22" t="n">
        <v>1</v>
      </c>
      <c r="G22" t="n">
        <v>1</v>
      </c>
      <c r="H22" t="n">
        <v>1</v>
      </c>
      <c r="I22" t="n">
        <v>2</v>
      </c>
      <c r="J22" t="n">
        <v>2</v>
      </c>
      <c r="K22" t="n">
        <v>1</v>
      </c>
      <c r="L22" t="n">
        <v>2</v>
      </c>
      <c r="M22" t="n">
        <v>1</v>
      </c>
      <c r="N22" t="n">
        <v>2</v>
      </c>
      <c r="O22" t="n">
        <v>2</v>
      </c>
      <c r="P22" t="n">
        <v>2</v>
      </c>
      <c r="Q22" t="n">
        <v>4</v>
      </c>
      <c r="R22" t="n">
        <v>6</v>
      </c>
      <c r="S22" t="n">
        <v>5</v>
      </c>
      <c r="T22" t="n">
        <v>6</v>
      </c>
      <c r="U22" t="n">
        <v>4</v>
      </c>
      <c r="V22" t="n">
        <v>4</v>
      </c>
      <c r="W22" t="n">
        <v>7</v>
      </c>
      <c r="X22" t="n">
        <v>5</v>
      </c>
      <c r="Y22" t="n">
        <v>3</v>
      </c>
      <c r="Z22" t="n">
        <v>4</v>
      </c>
      <c r="AA22" t="n">
        <v>5</v>
      </c>
      <c r="AB22" t="n">
        <v>4</v>
      </c>
      <c r="AC22" t="n">
        <v>3</v>
      </c>
      <c r="AD22" t="n">
        <v>3</v>
      </c>
      <c r="AE22" t="n">
        <v>2</v>
      </c>
      <c r="AF22" t="n">
        <v>2</v>
      </c>
    </row>
    <row r="23">
      <c r="A23" t="s">
        <v>51</v>
      </c>
      <c r="B23" t="s">
        <v>316</v>
      </c>
      <c r="C23" t="s">
        <v>236</v>
      </c>
      <c r="D23" t="s">
        <v>317</v>
      </c>
      <c r="E23" t="s">
        <v>237</v>
      </c>
      <c r="F23" t="n">
        <v>1.27420814479638</v>
      </c>
      <c r="G23" t="n">
        <v>1.27420814479638</v>
      </c>
      <c r="H23" t="n">
        <v>1.27420814479638</v>
      </c>
      <c r="I23" t="n">
        <v>1.27420814479638</v>
      </c>
      <c r="J23" t="n">
        <v>2.54841628959276</v>
      </c>
      <c r="K23" t="n">
        <v>1.91131221719457</v>
      </c>
      <c r="L23" t="n">
        <v>1.91131221719457</v>
      </c>
      <c r="M23" t="n">
        <v>1.27420814479638</v>
      </c>
      <c r="N23" t="n">
        <v>3.18552036199095</v>
      </c>
      <c r="O23" t="n">
        <v>3.82262443438914</v>
      </c>
      <c r="P23" t="n">
        <v>3.82262443438914</v>
      </c>
      <c r="Q23" t="n">
        <v>10.8307692307692</v>
      </c>
      <c r="R23" t="n">
        <v>6.76923076923077</v>
      </c>
      <c r="S23" t="n">
        <v>9.77777777777778</v>
      </c>
      <c r="T23" t="n">
        <v>7.11111111111111</v>
      </c>
      <c r="U23" t="n">
        <v>8</v>
      </c>
      <c r="V23" t="n">
        <v>9</v>
      </c>
      <c r="W23" t="n">
        <v>9</v>
      </c>
      <c r="X23" t="n">
        <v>6</v>
      </c>
      <c r="Y23" t="n">
        <v>6</v>
      </c>
      <c r="Z23" t="n">
        <v>6</v>
      </c>
      <c r="AA23" t="n">
        <v>8</v>
      </c>
      <c r="AB23" t="n">
        <v>6</v>
      </c>
      <c r="AC23" t="n">
        <v>6</v>
      </c>
      <c r="AD23" t="n">
        <v>4</v>
      </c>
      <c r="AE23" t="n">
        <v>3</v>
      </c>
      <c r="AF23" t="n">
        <v>2</v>
      </c>
    </row>
    <row r="24">
      <c r="A24" t="s">
        <v>51</v>
      </c>
      <c r="B24" t="s">
        <v>318</v>
      </c>
      <c r="C24" t="s">
        <v>236</v>
      </c>
      <c r="D24" t="s">
        <v>319</v>
      </c>
      <c r="E24" t="s">
        <v>237</v>
      </c>
      <c r="F24" t="n">
        <v>10.7065528102274</v>
      </c>
      <c r="G24" t="n">
        <v>10.2782906978183</v>
      </c>
      <c r="H24" t="n">
        <v>18.8435329460002</v>
      </c>
      <c r="I24" t="n">
        <v>22.4327773166669</v>
      </c>
      <c r="J24" t="n">
        <v>27.4687069183676</v>
      </c>
      <c r="K24" t="n">
        <v>19.8911325960593</v>
      </c>
      <c r="L24" t="n">
        <v>20.3647309912036</v>
      </c>
      <c r="M24" t="n">
        <v>12.1218636852402</v>
      </c>
      <c r="N24" t="n">
        <v>25.2134764652997</v>
      </c>
      <c r="O24" t="n">
        <v>27.2305545825236</v>
      </c>
      <c r="P24" t="n">
        <v>26.1413323992227</v>
      </c>
      <c r="Q24" t="n">
        <v>23.8681730601598</v>
      </c>
      <c r="R24" t="n">
        <v>38.7857812227597</v>
      </c>
      <c r="S24" t="n">
        <v>53.075279567987</v>
      </c>
      <c r="T24" t="n">
        <v>38.1244965910893</v>
      </c>
      <c r="U24" t="n">
        <v>42.0957983193277</v>
      </c>
      <c r="V24" t="n">
        <v>31.1142857142857</v>
      </c>
      <c r="W24" t="n">
        <v>40.5428571428571</v>
      </c>
      <c r="X24" t="n">
        <v>28.2857142857143</v>
      </c>
      <c r="Y24" t="n">
        <v>33</v>
      </c>
      <c r="Z24" t="n">
        <v>31</v>
      </c>
      <c r="AA24" t="n">
        <v>35</v>
      </c>
      <c r="AB24" t="n">
        <v>23</v>
      </c>
      <c r="AC24" t="n">
        <v>26</v>
      </c>
      <c r="AD24" t="n">
        <v>19</v>
      </c>
      <c r="AE24" t="n">
        <v>15</v>
      </c>
      <c r="AF24" t="n">
        <v>11</v>
      </c>
    </row>
    <row r="25">
      <c r="A25" t="s">
        <v>51</v>
      </c>
      <c r="B25" t="s">
        <v>320</v>
      </c>
      <c r="C25" t="s">
        <v>236</v>
      </c>
      <c r="D25" t="s">
        <v>321</v>
      </c>
      <c r="E25" t="s">
        <v>237</v>
      </c>
      <c r="F25" t="n">
        <v>1.58241758241758</v>
      </c>
      <c r="G25" t="n">
        <v>0.791208791208792</v>
      </c>
      <c r="H25" t="n">
        <v>1.58241758241758</v>
      </c>
      <c r="I25" t="n">
        <v>1.58241758241758</v>
      </c>
      <c r="J25" t="n">
        <v>2.37362637362637</v>
      </c>
      <c r="K25" t="n">
        <v>1.58241758241758</v>
      </c>
      <c r="L25" t="n">
        <v>1.58241758241758</v>
      </c>
      <c r="M25" t="n">
        <v>0.791208791208791</v>
      </c>
      <c r="N25" t="n">
        <v>1.58241758241758</v>
      </c>
      <c r="O25" t="n">
        <v>1.58241758241758</v>
      </c>
      <c r="P25" t="n">
        <v>1.58241758241758</v>
      </c>
      <c r="Q25" t="n">
        <v>3.95604395604396</v>
      </c>
      <c r="R25" t="n">
        <v>2.37362637362637</v>
      </c>
      <c r="S25" t="n">
        <v>10.2857142857143</v>
      </c>
      <c r="T25" t="n">
        <v>3.42857142857143</v>
      </c>
      <c r="U25" t="n">
        <v>6</v>
      </c>
      <c r="V25" t="n">
        <v>7</v>
      </c>
      <c r="W25" t="n">
        <v>4</v>
      </c>
      <c r="X25" t="n">
        <v>2</v>
      </c>
      <c r="Y25" t="n">
        <v>4</v>
      </c>
      <c r="Z25" t="n">
        <v>3</v>
      </c>
      <c r="AA25" t="n">
        <v>4</v>
      </c>
      <c r="AB25" t="n">
        <v>2</v>
      </c>
      <c r="AC25" t="n">
        <v>2</v>
      </c>
      <c r="AD25" t="n">
        <v>2</v>
      </c>
      <c r="AE25" t="n">
        <v>2</v>
      </c>
      <c r="AF25" t="n">
        <v>1</v>
      </c>
    </row>
    <row r="26">
      <c r="A26" t="s">
        <v>51</v>
      </c>
      <c r="B26" t="s">
        <v>322</v>
      </c>
      <c r="C26" t="s">
        <v>236</v>
      </c>
      <c r="D26" t="s">
        <v>323</v>
      </c>
      <c r="E26" t="s">
        <v>237</v>
      </c>
      <c r="F26" t="n">
        <v>5.41062137932614</v>
      </c>
      <c r="G26" t="n">
        <v>6.24302466845324</v>
      </c>
      <c r="H26" t="n">
        <v>11.2374444032158</v>
      </c>
      <c r="I26" t="n">
        <v>12.9662820037106</v>
      </c>
      <c r="J26" t="n">
        <v>14.3076215213358</v>
      </c>
      <c r="K26" t="n">
        <v>10.615332096475</v>
      </c>
      <c r="L26" t="n">
        <v>11.0768682745826</v>
      </c>
      <c r="M26" t="n">
        <v>6.74244155844156</v>
      </c>
      <c r="N26" t="n">
        <v>13.003280148423</v>
      </c>
      <c r="O26" t="n">
        <v>14.0035324675325</v>
      </c>
      <c r="P26" t="n">
        <v>13.4649350649351</v>
      </c>
      <c r="Q26" t="n">
        <v>10.6597402597403</v>
      </c>
      <c r="R26" t="n">
        <v>17.7662337662338</v>
      </c>
      <c r="S26" t="n">
        <v>20.4995004995005</v>
      </c>
      <c r="T26" t="n">
        <v>15.9440559440559</v>
      </c>
      <c r="U26" t="n">
        <v>17.5384615384615</v>
      </c>
      <c r="V26" t="n">
        <v>6.46153846153846</v>
      </c>
      <c r="W26" t="n">
        <v>13.8461538461538</v>
      </c>
      <c r="X26" t="n">
        <v>10.1538461538462</v>
      </c>
      <c r="Y26" t="n">
        <v>12</v>
      </c>
      <c r="Z26" t="n">
        <v>11</v>
      </c>
      <c r="AA26" t="n">
        <v>13</v>
      </c>
      <c r="AB26" t="n">
        <v>9</v>
      </c>
      <c r="AC26" t="n">
        <v>11</v>
      </c>
      <c r="AD26" t="n">
        <v>7</v>
      </c>
      <c r="AE26" t="n">
        <v>5</v>
      </c>
      <c r="AF26" t="n">
        <v>3</v>
      </c>
    </row>
    <row r="27">
      <c r="A27" t="s">
        <v>51</v>
      </c>
      <c r="B27" t="s">
        <v>324</v>
      </c>
      <c r="C27" t="s">
        <v>236</v>
      </c>
      <c r="D27" t="s">
        <v>325</v>
      </c>
      <c r="E27" t="s">
        <v>237</v>
      </c>
      <c r="F27" t="n">
        <v>4.09673022558047</v>
      </c>
      <c r="G27" t="n">
        <v>3.27738418046437</v>
      </c>
      <c r="H27" t="n">
        <v>6.1450953383707</v>
      </c>
      <c r="I27" t="n">
        <v>7.90083686361947</v>
      </c>
      <c r="J27" t="n">
        <v>10.9733845328048</v>
      </c>
      <c r="K27" t="n">
        <v>7.77281404407008</v>
      </c>
      <c r="L27" t="n">
        <v>7.77281404407008</v>
      </c>
      <c r="M27" t="n">
        <v>4.57224355533534</v>
      </c>
      <c r="N27" t="n">
        <v>10.5161601772713</v>
      </c>
      <c r="O27" t="n">
        <v>11.4721747388414</v>
      </c>
      <c r="P27" t="n">
        <v>10.9507122507123</v>
      </c>
      <c r="Q27" t="n">
        <v>9.85564102564103</v>
      </c>
      <c r="R27" t="n">
        <v>18.5517948717949</v>
      </c>
      <c r="S27" t="n">
        <v>23.1897435897436</v>
      </c>
      <c r="T27" t="n">
        <v>18.8416666666667</v>
      </c>
      <c r="U27" t="n">
        <v>18.8416666666667</v>
      </c>
      <c r="V27" t="n">
        <v>17.9444444444444</v>
      </c>
      <c r="W27" t="n">
        <v>22.6666666666667</v>
      </c>
      <c r="X27" t="n">
        <v>16.0555555555556</v>
      </c>
      <c r="Y27" t="n">
        <v>17</v>
      </c>
      <c r="Z27" t="n">
        <v>17</v>
      </c>
      <c r="AA27" t="n">
        <v>18</v>
      </c>
      <c r="AB27" t="n">
        <v>12</v>
      </c>
      <c r="AC27" t="n">
        <v>13</v>
      </c>
      <c r="AD27" t="n">
        <v>10</v>
      </c>
      <c r="AE27" t="n">
        <v>8</v>
      </c>
      <c r="AF27" t="n">
        <v>7</v>
      </c>
    </row>
    <row r="28">
      <c r="A28" t="s">
        <v>51</v>
      </c>
      <c r="B28" t="s">
        <v>326</v>
      </c>
      <c r="C28" t="s">
        <v>236</v>
      </c>
      <c r="D28" t="s">
        <v>327</v>
      </c>
      <c r="E28" t="s">
        <v>237</v>
      </c>
      <c r="F28" t="n">
        <v>15.8990941224713</v>
      </c>
      <c r="G28" t="n">
        <v>13.0083497365675</v>
      </c>
      <c r="H28" t="n">
        <v>16.3808848534553</v>
      </c>
      <c r="I28" t="n">
        <v>23.8267416050259</v>
      </c>
      <c r="J28" t="n">
        <v>25.31591295534</v>
      </c>
      <c r="K28" t="n">
        <v>19.3592275540836</v>
      </c>
      <c r="L28" t="n">
        <v>18.8628371039789</v>
      </c>
      <c r="M28" t="n">
        <v>12.9061517027224</v>
      </c>
      <c r="N28" t="n">
        <v>30.2798174563871</v>
      </c>
      <c r="O28" t="n">
        <v>31.3062519464341</v>
      </c>
      <c r="P28" t="n">
        <v>20.5109926545603</v>
      </c>
      <c r="Q28" t="n">
        <v>16.0761834319527</v>
      </c>
      <c r="R28" t="n">
        <v>19.6486686390533</v>
      </c>
      <c r="S28" t="n">
        <v>24.391450724342</v>
      </c>
      <c r="T28" t="n">
        <v>22.1740461130382</v>
      </c>
      <c r="U28" t="n">
        <v>20.5901856763926</v>
      </c>
      <c r="V28" t="n">
        <v>25.9615384615385</v>
      </c>
      <c r="W28" t="n">
        <v>21.1538461538462</v>
      </c>
      <c r="X28" t="n">
        <v>21.1538461538462</v>
      </c>
      <c r="Y28" t="n">
        <v>25</v>
      </c>
      <c r="Z28" t="n">
        <v>20</v>
      </c>
      <c r="AA28" t="n">
        <v>27</v>
      </c>
      <c r="AB28" t="n">
        <v>21</v>
      </c>
      <c r="AC28" t="n">
        <v>18</v>
      </c>
      <c r="AD28" t="n">
        <v>18</v>
      </c>
      <c r="AE28" t="n">
        <v>15</v>
      </c>
      <c r="AF28" t="n">
        <v>14</v>
      </c>
    </row>
    <row r="29">
      <c r="A29" t="s">
        <v>51</v>
      </c>
      <c r="B29" t="s">
        <v>328</v>
      </c>
      <c r="C29" t="s">
        <v>236</v>
      </c>
      <c r="D29" t="s">
        <v>329</v>
      </c>
      <c r="E29" t="s">
        <v>237</v>
      </c>
      <c r="F29" t="n">
        <v>7.05034955158534</v>
      </c>
      <c r="G29" t="n">
        <v>6.11030294470729</v>
      </c>
      <c r="H29" t="n">
        <v>7.99039615846338</v>
      </c>
      <c r="I29" t="n">
        <v>11.9855942376951</v>
      </c>
      <c r="J29" t="n">
        <v>9.48859543817527</v>
      </c>
      <c r="K29" t="n">
        <v>7.49099639855942</v>
      </c>
      <c r="L29" t="n">
        <v>8.48979591836734</v>
      </c>
      <c r="M29" t="n">
        <v>5.99279711884754</v>
      </c>
      <c r="N29" t="n">
        <v>13.9831932773109</v>
      </c>
      <c r="O29" t="n">
        <v>17.6084656084656</v>
      </c>
      <c r="P29" t="n">
        <v>7.15343915343915</v>
      </c>
      <c r="Q29" t="n">
        <v>7.15343915343915</v>
      </c>
      <c r="R29" t="n">
        <v>8.94179894179894</v>
      </c>
      <c r="S29" t="n">
        <v>9.62962962962963</v>
      </c>
      <c r="T29" t="n">
        <v>8.14814814814815</v>
      </c>
      <c r="U29" t="n">
        <v>7.33333333333333</v>
      </c>
      <c r="V29" t="n">
        <v>11</v>
      </c>
      <c r="W29" t="n">
        <v>9</v>
      </c>
      <c r="X29" t="n">
        <v>7</v>
      </c>
      <c r="Y29" t="n">
        <v>8</v>
      </c>
      <c r="Z29" t="n">
        <v>8</v>
      </c>
      <c r="AA29" t="n">
        <v>13</v>
      </c>
      <c r="AB29" t="n">
        <v>12</v>
      </c>
      <c r="AC29" t="n">
        <v>12</v>
      </c>
      <c r="AD29" t="n">
        <v>10</v>
      </c>
      <c r="AE29" t="n">
        <v>8</v>
      </c>
      <c r="AF29" t="n">
        <v>8</v>
      </c>
    </row>
    <row r="30">
      <c r="A30" t="s">
        <v>51</v>
      </c>
      <c r="B30" t="s">
        <v>330</v>
      </c>
      <c r="C30" t="s">
        <v>236</v>
      </c>
      <c r="D30" t="s">
        <v>331</v>
      </c>
      <c r="E30" t="s">
        <v>237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1</v>
      </c>
      <c r="N30" t="n">
        <v>2</v>
      </c>
      <c r="O30" t="n">
        <v>2</v>
      </c>
      <c r="P30" t="n">
        <v>3</v>
      </c>
      <c r="Q30" t="n">
        <v>3</v>
      </c>
      <c r="R30" t="n">
        <v>1</v>
      </c>
      <c r="S30" t="n">
        <v>1</v>
      </c>
      <c r="T30" t="n">
        <v>1</v>
      </c>
      <c r="U30" t="n">
        <v>1</v>
      </c>
      <c r="V30" t="n">
        <v>5</v>
      </c>
      <c r="W30" t="n">
        <v>3</v>
      </c>
      <c r="X30" t="n">
        <v>3</v>
      </c>
      <c r="Y30" t="n">
        <v>2</v>
      </c>
      <c r="Z30" t="n">
        <v>2</v>
      </c>
      <c r="AA30" t="n">
        <v>2</v>
      </c>
      <c r="AB30" t="n">
        <v>1</v>
      </c>
      <c r="AC30" t="n">
        <v>1</v>
      </c>
      <c r="AD30" t="n">
        <v>1</v>
      </c>
      <c r="AE30" t="n">
        <v>2</v>
      </c>
      <c r="AF30" t="n">
        <v>0</v>
      </c>
    </row>
    <row r="31">
      <c r="A31" t="s">
        <v>51</v>
      </c>
      <c r="B31" t="s">
        <v>332</v>
      </c>
      <c r="C31" t="s">
        <v>236</v>
      </c>
      <c r="D31" t="s">
        <v>333</v>
      </c>
      <c r="E31" t="s">
        <v>237</v>
      </c>
      <c r="F31" t="e">
        <v>#NUM!</v>
      </c>
      <c r="G31" t="e">
        <v>#NUM!</v>
      </c>
      <c r="H31" t="e">
        <v>#NUM!</v>
      </c>
      <c r="I31" t="e">
        <v>#NUM!</v>
      </c>
      <c r="J31" t="e">
        <v>#NUM!</v>
      </c>
      <c r="K31" t="e">
        <v>#NUM!</v>
      </c>
      <c r="L31" t="e">
        <v>#NUM!</v>
      </c>
      <c r="M31" t="e">
        <v>#NUM!</v>
      </c>
      <c r="N31" t="e">
        <v>#NUM!</v>
      </c>
      <c r="O31" t="e">
        <v>#NUM!</v>
      </c>
      <c r="P31" t="e">
        <v>#NUM!</v>
      </c>
      <c r="Q31" t="e">
        <v>#NUM!</v>
      </c>
      <c r="R31" t="e">
        <v>#NUM!</v>
      </c>
      <c r="S31" t="e">
        <v>#NUM!</v>
      </c>
      <c r="T31" t="e">
        <v>#NUM!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51</v>
      </c>
      <c r="B32" t="s">
        <v>334</v>
      </c>
      <c r="C32" t="s">
        <v>236</v>
      </c>
      <c r="D32" t="s">
        <v>335</v>
      </c>
      <c r="E32" t="s">
        <v>237</v>
      </c>
      <c r="F32" t="n">
        <v>5.1376</v>
      </c>
      <c r="G32" t="n">
        <v>4.28133333333334</v>
      </c>
      <c r="H32" t="n">
        <v>4.28133333333334</v>
      </c>
      <c r="I32" t="n">
        <v>5.56573333333334</v>
      </c>
      <c r="J32" t="n">
        <v>7.7064</v>
      </c>
      <c r="K32" t="n">
        <v>6.85013333333334</v>
      </c>
      <c r="L32" t="n">
        <v>4.70946666666667</v>
      </c>
      <c r="M32" t="n">
        <v>3.42506666666667</v>
      </c>
      <c r="N32" t="n">
        <v>10.7033333333333</v>
      </c>
      <c r="O32" t="n">
        <v>9.81138888888889</v>
      </c>
      <c r="P32" t="n">
        <v>9.3441798941799</v>
      </c>
      <c r="Q32" t="n">
        <v>5.9015873015873</v>
      </c>
      <c r="R32" t="n">
        <v>8.04761904761905</v>
      </c>
      <c r="S32" t="n">
        <v>8.66666666666667</v>
      </c>
      <c r="T32" t="n">
        <v>10</v>
      </c>
      <c r="U32" t="n">
        <v>9.28571428571429</v>
      </c>
      <c r="V32" t="n">
        <v>9.28571428571429</v>
      </c>
      <c r="W32" t="n">
        <v>8.35714285714286</v>
      </c>
      <c r="X32" t="n">
        <v>10.2142857142857</v>
      </c>
      <c r="Y32" t="n">
        <v>13</v>
      </c>
      <c r="Z32" t="n">
        <v>9</v>
      </c>
      <c r="AA32" t="n">
        <v>10</v>
      </c>
      <c r="AB32" t="n">
        <v>5</v>
      </c>
      <c r="AC32" t="n">
        <v>3</v>
      </c>
      <c r="AD32" t="n">
        <v>6</v>
      </c>
      <c r="AE32" t="n">
        <v>4</v>
      </c>
      <c r="AF32" t="n">
        <v>5</v>
      </c>
    </row>
    <row r="33">
      <c r="A33" t="s">
        <v>51</v>
      </c>
      <c r="B33" t="s">
        <v>336</v>
      </c>
      <c r="C33" t="s">
        <v>236</v>
      </c>
      <c r="D33" t="s">
        <v>337</v>
      </c>
      <c r="E33" t="s">
        <v>237</v>
      </c>
      <c r="F33" t="e">
        <v>#NUM!</v>
      </c>
      <c r="G33" t="e">
        <v>#NUM!</v>
      </c>
      <c r="H33" t="e">
        <v>#NUM!</v>
      </c>
      <c r="I33" t="e">
        <v>#NUM!</v>
      </c>
      <c r="J33" t="e">
        <v>#NUM!</v>
      </c>
      <c r="K33" t="e">
        <v>#NUM!</v>
      </c>
      <c r="L33" t="e">
        <v>#NUM!</v>
      </c>
      <c r="M33" t="e">
        <v>#NUM!</v>
      </c>
      <c r="N33" t="e">
        <v>#NUM!</v>
      </c>
      <c r="O33" t="e">
        <v>#NUM!</v>
      </c>
      <c r="P33" t="n">
        <v>0</v>
      </c>
      <c r="Q33" t="n">
        <v>0</v>
      </c>
      <c r="R33" t="n">
        <v>1</v>
      </c>
      <c r="S33" t="n">
        <v>1</v>
      </c>
      <c r="T33" t="n">
        <v>2</v>
      </c>
      <c r="U33" t="n">
        <v>3</v>
      </c>
      <c r="V33" t="n">
        <v>1</v>
      </c>
      <c r="W33" t="n">
        <v>1</v>
      </c>
      <c r="X33" t="n">
        <v>1</v>
      </c>
      <c r="Y33" t="n">
        <v>2</v>
      </c>
      <c r="Z33" t="n">
        <v>1</v>
      </c>
      <c r="AA33" t="n">
        <v>2</v>
      </c>
      <c r="AB33" t="n">
        <v>3</v>
      </c>
      <c r="AC33" t="n">
        <v>2</v>
      </c>
      <c r="AD33" t="n">
        <v>1</v>
      </c>
      <c r="AE33" t="n">
        <v>1</v>
      </c>
      <c r="AF33" t="n">
        <v>1</v>
      </c>
    </row>
    <row r="34">
      <c r="A34" t="s">
        <v>51</v>
      </c>
      <c r="B34" t="s">
        <v>338</v>
      </c>
      <c r="C34" t="s">
        <v>236</v>
      </c>
      <c r="D34" t="s">
        <v>339</v>
      </c>
      <c r="E34" t="s">
        <v>237</v>
      </c>
      <c r="F34" t="n">
        <v>3.14253647586981</v>
      </c>
      <c r="G34" t="n">
        <v>3.77104377104377</v>
      </c>
      <c r="H34" t="n">
        <v>5.65656565656566</v>
      </c>
      <c r="I34" t="n">
        <v>8.79910213243546</v>
      </c>
      <c r="J34" t="n">
        <v>8.1705948372615</v>
      </c>
      <c r="K34" t="n">
        <v>6.28507295173962</v>
      </c>
      <c r="L34" t="n">
        <v>6.28507295173962</v>
      </c>
      <c r="M34" t="n">
        <v>3.77104377104377</v>
      </c>
      <c r="N34" t="n">
        <v>8.1705948372615</v>
      </c>
      <c r="O34" t="n">
        <v>9.42760942760943</v>
      </c>
      <c r="P34" t="n">
        <v>8.75420875420875</v>
      </c>
      <c r="Q34" t="n">
        <v>7.40740740740741</v>
      </c>
      <c r="R34" t="n">
        <v>8.88888888888889</v>
      </c>
      <c r="S34" t="n">
        <v>8.88888888888889</v>
      </c>
      <c r="T34" t="n">
        <v>7.11111111111111</v>
      </c>
      <c r="U34" t="n">
        <v>8</v>
      </c>
      <c r="V34" t="n">
        <v>10</v>
      </c>
      <c r="W34" t="n">
        <v>10</v>
      </c>
      <c r="X34" t="n">
        <v>5</v>
      </c>
      <c r="Y34" t="n">
        <v>5</v>
      </c>
      <c r="Z34" t="n">
        <v>5</v>
      </c>
      <c r="AA34" t="n">
        <v>6</v>
      </c>
      <c r="AB34" t="n">
        <v>3</v>
      </c>
      <c r="AC34" t="n">
        <v>6</v>
      </c>
      <c r="AD34" t="n">
        <v>4</v>
      </c>
      <c r="AE34" t="n">
        <v>3</v>
      </c>
      <c r="AF34" t="n">
        <v>3</v>
      </c>
    </row>
    <row r="35">
      <c r="A35" t="s">
        <v>51</v>
      </c>
      <c r="B35" t="s">
        <v>340</v>
      </c>
      <c r="C35" t="s">
        <v>236</v>
      </c>
      <c r="D35" t="s">
        <v>341</v>
      </c>
      <c r="E35" t="s">
        <v>237</v>
      </c>
      <c r="F35" t="n">
        <v>13.0575228086997</v>
      </c>
      <c r="G35" t="n">
        <v>12.241427633156</v>
      </c>
      <c r="H35" t="n">
        <v>16.8847277698703</v>
      </c>
      <c r="I35" t="n">
        <v>20.3482616713822</v>
      </c>
      <c r="J35" t="n">
        <v>23.8870897881443</v>
      </c>
      <c r="K35" t="n">
        <v>20.7321911368799</v>
      </c>
      <c r="L35" t="n">
        <v>22.0842905588504</v>
      </c>
      <c r="M35" t="n">
        <v>14.2627709859242</v>
      </c>
      <c r="N35" t="n">
        <v>13.7873452863934</v>
      </c>
      <c r="O35" t="n">
        <v>43.824061803179</v>
      </c>
      <c r="P35" t="n">
        <v>32.7360461662301</v>
      </c>
      <c r="Q35" t="n">
        <v>37.029298122457</v>
      </c>
      <c r="R35" t="n">
        <v>39.2734980086665</v>
      </c>
      <c r="S35" t="n">
        <v>48.1417072364299</v>
      </c>
      <c r="T35" t="n">
        <v>28.318651315547</v>
      </c>
      <c r="U35" t="n">
        <v>48.9836130863516</v>
      </c>
      <c r="V35" t="n">
        <v>99.7166409257872</v>
      </c>
      <c r="W35" t="n">
        <v>105.256454310553</v>
      </c>
      <c r="X35" t="n">
        <v>87.4004486685843</v>
      </c>
      <c r="Y35" t="n">
        <v>94.8387847254851</v>
      </c>
      <c r="Z35" t="n">
        <v>105.48395443957</v>
      </c>
      <c r="AA35" t="n">
        <v>114.193638751094</v>
      </c>
      <c r="AB35" t="n">
        <v>104.433498686898</v>
      </c>
      <c r="AC35" t="n">
        <v>145.426086956522</v>
      </c>
      <c r="AD35" t="n">
        <v>97.2782608695652</v>
      </c>
      <c r="AE35" t="n">
        <v>113</v>
      </c>
      <c r="AF35" t="n">
        <v>124</v>
      </c>
    </row>
    <row r="36">
      <c r="A36" t="s">
        <v>51</v>
      </c>
      <c r="B36" t="s">
        <v>342</v>
      </c>
      <c r="C36" t="s">
        <v>236</v>
      </c>
      <c r="D36" t="s">
        <v>343</v>
      </c>
      <c r="E36" t="s">
        <v>237</v>
      </c>
      <c r="F36" t="n">
        <v>3.11111111111111</v>
      </c>
      <c r="G36" t="n">
        <v>2.48888888888889</v>
      </c>
      <c r="H36" t="n">
        <v>5.6</v>
      </c>
      <c r="I36" t="n">
        <v>4.97777777777778</v>
      </c>
      <c r="J36" t="n">
        <v>1.86666666666667</v>
      </c>
      <c r="K36" t="n">
        <v>2.48888888888889</v>
      </c>
      <c r="L36" t="n">
        <v>3.11111111111111</v>
      </c>
      <c r="M36" t="n">
        <v>2.48888888888889</v>
      </c>
      <c r="N36" t="n">
        <v>3.11111111111111</v>
      </c>
      <c r="O36" t="n">
        <v>2.48888888888889</v>
      </c>
      <c r="P36" t="n">
        <v>3.11111111111111</v>
      </c>
      <c r="Q36" t="n">
        <v>4.35555555555556</v>
      </c>
      <c r="R36" t="n">
        <v>5.6</v>
      </c>
      <c r="S36" t="n">
        <v>5.6</v>
      </c>
      <c r="T36" t="n">
        <v>7.2</v>
      </c>
      <c r="U36" t="n">
        <v>9</v>
      </c>
      <c r="V36" t="n">
        <v>9</v>
      </c>
      <c r="W36" t="n">
        <v>9</v>
      </c>
      <c r="X36" t="n">
        <v>4</v>
      </c>
      <c r="Y36" t="n">
        <v>3</v>
      </c>
      <c r="Z36" t="n">
        <v>3</v>
      </c>
      <c r="AA36" t="n">
        <v>4</v>
      </c>
      <c r="AB36" t="n">
        <v>5</v>
      </c>
      <c r="AC36" t="n">
        <v>4</v>
      </c>
      <c r="AD36" t="n">
        <v>3</v>
      </c>
      <c r="AE36" t="n">
        <v>2</v>
      </c>
      <c r="AF36" t="n">
        <v>5</v>
      </c>
    </row>
    <row r="37">
      <c r="A37" t="s">
        <v>51</v>
      </c>
      <c r="B37" t="s">
        <v>344</v>
      </c>
      <c r="C37" t="s">
        <v>236</v>
      </c>
      <c r="D37" t="s">
        <v>345</v>
      </c>
      <c r="E37" t="s">
        <v>237</v>
      </c>
      <c r="F37" t="n">
        <v>8.26393272022592</v>
      </c>
      <c r="G37" t="n">
        <v>8.26393272022592</v>
      </c>
      <c r="H37" t="n">
        <v>11.0185769603012</v>
      </c>
      <c r="I37" t="n">
        <v>14.2833405040942</v>
      </c>
      <c r="J37" t="n">
        <v>18.4843230052984</v>
      </c>
      <c r="K37" t="n">
        <v>15.4752471672265</v>
      </c>
      <c r="L37" t="n">
        <v>15.9051151440939</v>
      </c>
      <c r="M37" t="n">
        <v>10.16160134206</v>
      </c>
      <c r="N37" t="n">
        <v>8.31403746168547</v>
      </c>
      <c r="O37" t="n">
        <v>33.7452108738998</v>
      </c>
      <c r="P37" t="n">
        <v>25.8361770753296</v>
      </c>
      <c r="Q37" t="n">
        <v>21.5301475627746</v>
      </c>
      <c r="R37" t="n">
        <v>19.2638162403773</v>
      </c>
      <c r="S37" t="n">
        <v>30.1799787765911</v>
      </c>
      <c r="T37" t="n">
        <v>15.0899893882956</v>
      </c>
      <c r="U37" t="n">
        <v>29.4254793071763</v>
      </c>
      <c r="V37" t="n">
        <v>78.7564299103837</v>
      </c>
      <c r="W37" t="n">
        <v>83.3352921144758</v>
      </c>
      <c r="X37" t="n">
        <v>68.353666565806</v>
      </c>
      <c r="Y37" t="n">
        <v>72.0484593531469</v>
      </c>
      <c r="Z37" t="n">
        <v>72.0484593531469</v>
      </c>
      <c r="AA37" t="n">
        <v>84.536858974359</v>
      </c>
      <c r="AB37" t="n">
        <v>66.0747863247863</v>
      </c>
      <c r="AC37" t="n">
        <v>104.942307692308</v>
      </c>
      <c r="AD37" t="n">
        <v>82.3846153846154</v>
      </c>
      <c r="AE37" t="n">
        <v>102</v>
      </c>
      <c r="AF37" t="n">
        <v>109</v>
      </c>
    </row>
    <row r="38">
      <c r="A38" t="s">
        <v>51</v>
      </c>
      <c r="B38" t="s">
        <v>346</v>
      </c>
      <c r="C38" t="s">
        <v>236</v>
      </c>
      <c r="D38" t="s">
        <v>347</v>
      </c>
      <c r="E38" t="s">
        <v>237</v>
      </c>
      <c r="F38" t="n">
        <v>2.48222016079159</v>
      </c>
      <c r="G38" t="n">
        <v>1.98577612863327</v>
      </c>
      <c r="H38" t="n">
        <v>1.48933209647495</v>
      </c>
      <c r="I38" t="n">
        <v>1.98577612863327</v>
      </c>
      <c r="J38" t="n">
        <v>3.47510822510823</v>
      </c>
      <c r="K38" t="n">
        <v>2.97866419294991</v>
      </c>
      <c r="L38" t="n">
        <v>3.47510822510823</v>
      </c>
      <c r="M38" t="n">
        <v>1.98577612863327</v>
      </c>
      <c r="N38" t="n">
        <v>2.97866419294991</v>
      </c>
      <c r="O38" t="n">
        <v>7.94310451453309</v>
      </c>
      <c r="P38" t="n">
        <v>4.23632240775098</v>
      </c>
      <c r="Q38" t="n">
        <v>11.6498866213152</v>
      </c>
      <c r="R38" t="n">
        <v>14.9784256559767</v>
      </c>
      <c r="S38" t="n">
        <v>13.1061224489796</v>
      </c>
      <c r="T38" t="n">
        <v>6.89795918367347</v>
      </c>
      <c r="U38" t="n">
        <v>11.4965986394558</v>
      </c>
      <c r="V38" t="n">
        <v>12.3809523809524</v>
      </c>
      <c r="W38" t="n">
        <v>13.3333333333333</v>
      </c>
      <c r="X38" t="n">
        <v>15.2380952380952</v>
      </c>
      <c r="Y38" t="n">
        <v>20</v>
      </c>
      <c r="Z38" t="n">
        <v>31</v>
      </c>
      <c r="AA38" t="n">
        <v>26</v>
      </c>
      <c r="AB38" t="n">
        <v>34</v>
      </c>
      <c r="AC38" t="n">
        <v>37</v>
      </c>
      <c r="AD38" t="n">
        <v>12</v>
      </c>
      <c r="AE38" t="n">
        <v>9</v>
      </c>
      <c r="AF38" t="n">
        <v>10</v>
      </c>
    </row>
    <row r="39">
      <c r="A39" t="s">
        <v>51</v>
      </c>
      <c r="B39" t="s">
        <v>348</v>
      </c>
      <c r="C39" t="s">
        <v>236</v>
      </c>
      <c r="D39" t="s">
        <v>349</v>
      </c>
      <c r="E39" t="s">
        <v>237</v>
      </c>
      <c r="F39" t="n">
        <v>1.17647058823529</v>
      </c>
      <c r="G39" t="n">
        <v>2.94117647058824</v>
      </c>
      <c r="H39" t="n">
        <v>1.76470588235294</v>
      </c>
      <c r="I39" t="n">
        <v>2.35294117647059</v>
      </c>
      <c r="J39" t="n">
        <v>2.35294117647059</v>
      </c>
      <c r="K39" t="n">
        <v>3.52941176470588</v>
      </c>
      <c r="L39" t="n">
        <v>2.35294117647059</v>
      </c>
      <c r="M39" t="n">
        <v>3.52941176470588</v>
      </c>
      <c r="N39" t="n">
        <v>3.52941176470588</v>
      </c>
      <c r="O39" t="n">
        <v>1.76470588235294</v>
      </c>
      <c r="P39" t="n">
        <v>3.52941176470588</v>
      </c>
      <c r="Q39" t="n">
        <v>6.47058823529412</v>
      </c>
      <c r="R39" t="n">
        <v>11</v>
      </c>
      <c r="S39" t="n">
        <v>14.6666666666667</v>
      </c>
      <c r="T39" t="n">
        <v>9.77777777777778</v>
      </c>
      <c r="U39" t="n">
        <v>8</v>
      </c>
      <c r="V39" t="n">
        <v>8</v>
      </c>
      <c r="W39" t="n">
        <v>4</v>
      </c>
      <c r="X39" t="n">
        <v>7</v>
      </c>
      <c r="Y39" t="n">
        <v>2</v>
      </c>
      <c r="Z39" t="n">
        <v>3</v>
      </c>
      <c r="AA39" t="n">
        <v>3</v>
      </c>
      <c r="AB39" t="n">
        <v>52</v>
      </c>
      <c r="AC39" t="n">
        <v>28</v>
      </c>
      <c r="AD39" t="n">
        <v>46</v>
      </c>
      <c r="AE39" t="n">
        <v>36</v>
      </c>
      <c r="AF39" t="n">
        <v>34</v>
      </c>
    </row>
    <row r="40">
      <c r="A40" t="s">
        <v>51</v>
      </c>
      <c r="B40" t="s">
        <v>350</v>
      </c>
      <c r="C40" t="s">
        <v>236</v>
      </c>
      <c r="D40" t="s">
        <v>351</v>
      </c>
      <c r="E40" t="s">
        <v>237</v>
      </c>
      <c r="F40" t="n">
        <v>0</v>
      </c>
      <c r="G40" t="n">
        <v>0</v>
      </c>
      <c r="H40" t="n">
        <v>0</v>
      </c>
      <c r="I40" t="n">
        <v>0.803571428571429</v>
      </c>
      <c r="J40" t="n">
        <v>0.803571428571429</v>
      </c>
      <c r="K40" t="n">
        <v>2.41071428571429</v>
      </c>
      <c r="L40" t="n">
        <v>1.60714285714286</v>
      </c>
      <c r="M40" t="n">
        <v>1.60714285714286</v>
      </c>
      <c r="N40" t="n">
        <v>3.21428571428571</v>
      </c>
      <c r="O40" t="n">
        <v>4.01785714285714</v>
      </c>
      <c r="P40" t="n">
        <v>4.82142857142857</v>
      </c>
      <c r="Q40" t="n">
        <v>4.82142857142857</v>
      </c>
      <c r="R40" t="n">
        <v>5.625</v>
      </c>
      <c r="S40" t="n">
        <v>15</v>
      </c>
      <c r="T40" t="n">
        <v>7</v>
      </c>
      <c r="U40" t="n">
        <v>3</v>
      </c>
      <c r="V40" t="n">
        <v>2</v>
      </c>
      <c r="W40" t="n">
        <v>1</v>
      </c>
      <c r="X40" t="n">
        <v>4</v>
      </c>
      <c r="Y40" t="n">
        <v>4</v>
      </c>
      <c r="Z40" t="n">
        <v>4</v>
      </c>
      <c r="AA40" t="n">
        <v>5</v>
      </c>
      <c r="AB40" t="n">
        <v>5</v>
      </c>
      <c r="AC40" t="n">
        <v>5</v>
      </c>
      <c r="AD40" t="n">
        <v>4</v>
      </c>
      <c r="AE40" t="n">
        <v>4</v>
      </c>
      <c r="AF40" t="n">
        <v>4</v>
      </c>
    </row>
    <row r="41">
      <c r="A41" t="s">
        <v>51</v>
      </c>
      <c r="B41" t="s">
        <v>352</v>
      </c>
      <c r="C41" t="s">
        <v>236</v>
      </c>
      <c r="D41" t="s">
        <v>353</v>
      </c>
      <c r="E41" t="s">
        <v>237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/>
      <c r="AD41"/>
      <c r="AE41"/>
      <c r="AF41"/>
    </row>
    <row r="42">
      <c r="A42" t="s">
        <v>51</v>
      </c>
      <c r="B42" t="s">
        <v>354</v>
      </c>
      <c r="C42" t="s">
        <v>236</v>
      </c>
      <c r="D42" t="s">
        <v>355</v>
      </c>
      <c r="E42" t="s">
        <v>237</v>
      </c>
      <c r="F42" t="n">
        <v>5.98312758022377</v>
      </c>
      <c r="G42" t="n">
        <v>6.64791953358196</v>
      </c>
      <c r="H42" t="n">
        <v>8.64229539365655</v>
      </c>
      <c r="I42" t="n">
        <v>10.6366712537311</v>
      </c>
      <c r="J42" t="n">
        <v>13.2958390671639</v>
      </c>
      <c r="K42" t="n">
        <v>11.3014632070893</v>
      </c>
      <c r="L42" t="n">
        <v>11.3014632070893</v>
      </c>
      <c r="M42" t="n">
        <v>7.31271148694016</v>
      </c>
      <c r="N42" t="n">
        <v>13.9606310205221</v>
      </c>
      <c r="O42" t="n">
        <v>12.6310471138057</v>
      </c>
      <c r="P42" t="n">
        <v>13.9606310205221</v>
      </c>
      <c r="Q42" t="n">
        <v>17.2845907873131</v>
      </c>
      <c r="R42" t="n">
        <v>20.0501253132832</v>
      </c>
      <c r="S42" t="n">
        <v>30.4761904761905</v>
      </c>
      <c r="T42" t="n">
        <v>8.96358543417367</v>
      </c>
      <c r="U42" t="n">
        <v>15.2380952380952</v>
      </c>
      <c r="V42" t="n">
        <v>20</v>
      </c>
      <c r="W42" t="n">
        <v>12</v>
      </c>
      <c r="X42" t="n">
        <v>14</v>
      </c>
      <c r="Y42" t="n">
        <v>10</v>
      </c>
      <c r="Z42" t="n">
        <v>9</v>
      </c>
      <c r="AA42" t="n">
        <v>12</v>
      </c>
      <c r="AB42" t="n">
        <v>12</v>
      </c>
      <c r="AC42" t="n">
        <v>10</v>
      </c>
      <c r="AD42" t="n">
        <v>9</v>
      </c>
      <c r="AE42" t="n">
        <v>9</v>
      </c>
      <c r="AF42" t="n">
        <v>9</v>
      </c>
    </row>
    <row r="43">
      <c r="A43" t="s">
        <v>51</v>
      </c>
      <c r="B43" t="s">
        <v>356</v>
      </c>
      <c r="C43" t="s">
        <v>236</v>
      </c>
      <c r="D43" t="s">
        <v>357</v>
      </c>
      <c r="E43" t="s">
        <v>237</v>
      </c>
      <c r="F43" t="n">
        <v>9.4563092513435</v>
      </c>
      <c r="G43" t="n">
        <v>10.807210572964</v>
      </c>
      <c r="H43" t="n">
        <v>13.509013216205</v>
      </c>
      <c r="I43" t="n">
        <v>17.5617171810665</v>
      </c>
      <c r="J43" t="n">
        <v>20.9389704851177</v>
      </c>
      <c r="K43" t="n">
        <v>19.5880691634972</v>
      </c>
      <c r="L43" t="n">
        <v>17.5617171810665</v>
      </c>
      <c r="M43" t="n">
        <v>11.4826612337742</v>
      </c>
      <c r="N43" t="n">
        <v>26.3425757715997</v>
      </c>
      <c r="O43" t="n">
        <v>24.9916744499792</v>
      </c>
      <c r="P43" t="n">
        <v>27.7685271666436</v>
      </c>
      <c r="Q43" t="n">
        <v>34.0164457791384</v>
      </c>
      <c r="R43" t="n">
        <v>39.8064791032471</v>
      </c>
      <c r="S43" t="n">
        <v>59.3035300925926</v>
      </c>
      <c r="T43" t="n">
        <v>31.8645833333333</v>
      </c>
      <c r="U43" t="n">
        <v>36.4166666666667</v>
      </c>
      <c r="V43" t="n">
        <v>46</v>
      </c>
      <c r="W43" t="n">
        <v>37</v>
      </c>
      <c r="X43" t="n">
        <v>34</v>
      </c>
      <c r="Y43" t="n">
        <v>26</v>
      </c>
      <c r="Z43" t="n">
        <v>22</v>
      </c>
      <c r="AA43" t="n">
        <v>31</v>
      </c>
      <c r="AB43" t="n">
        <v>26</v>
      </c>
      <c r="AC43" t="n">
        <v>25</v>
      </c>
      <c r="AD43" t="n">
        <v>24</v>
      </c>
      <c r="AE43" t="n">
        <v>21</v>
      </c>
      <c r="AF43" t="n">
        <v>21</v>
      </c>
    </row>
    <row r="44">
      <c r="A44" t="s">
        <v>51</v>
      </c>
      <c r="B44" t="s">
        <v>358</v>
      </c>
      <c r="C44" t="s">
        <v>236</v>
      </c>
      <c r="D44" t="s">
        <v>359</v>
      </c>
      <c r="E44" t="s">
        <v>237</v>
      </c>
      <c r="F44" t="n">
        <v>130.348109894362</v>
      </c>
      <c r="G44" t="n">
        <v>126.654033905453</v>
      </c>
      <c r="H44" t="n">
        <v>167.630338992511</v>
      </c>
      <c r="I44" t="n">
        <v>205.852240391455</v>
      </c>
      <c r="J44" t="n">
        <v>221.814045127691</v>
      </c>
      <c r="K44" t="n">
        <v>185.588133234978</v>
      </c>
      <c r="L44" t="n">
        <v>204.537071763474</v>
      </c>
      <c r="M44" t="n">
        <v>120.581083629155</v>
      </c>
      <c r="N44" t="n">
        <v>220.216157426016</v>
      </c>
      <c r="O44" t="n">
        <v>284.373620613123</v>
      </c>
      <c r="P44" t="n">
        <v>247.915464124261</v>
      </c>
      <c r="Q44" t="n">
        <v>348.070838658252</v>
      </c>
      <c r="R44" t="n">
        <v>464.094451544336</v>
      </c>
      <c r="S44" t="n">
        <v>504.039983367401</v>
      </c>
      <c r="T44" t="n">
        <v>392.913057900573</v>
      </c>
      <c r="U44" t="n">
        <v>382.114178930789</v>
      </c>
      <c r="V44" t="n">
        <v>441.616143533151</v>
      </c>
      <c r="W44" t="n">
        <v>468.555690415347</v>
      </c>
      <c r="X44" t="n">
        <v>391.268153851991</v>
      </c>
      <c r="Y44" t="n">
        <v>397.050441839952</v>
      </c>
      <c r="Z44" t="n">
        <v>456.16465154317</v>
      </c>
      <c r="AA44" t="n">
        <v>491.633177365101</v>
      </c>
      <c r="AB44" t="n">
        <v>539.019507713545</v>
      </c>
      <c r="AC44" t="n">
        <v>495.502336448598</v>
      </c>
      <c r="AD44" t="n">
        <v>433.93691588785</v>
      </c>
      <c r="AE44" t="n">
        <v>425</v>
      </c>
      <c r="AF44" t="n">
        <v>456</v>
      </c>
    </row>
    <row r="45">
      <c r="A45" t="s">
        <v>51</v>
      </c>
      <c r="B45" t="s">
        <v>360</v>
      </c>
      <c r="C45" t="s">
        <v>236</v>
      </c>
      <c r="D45" t="s">
        <v>361</v>
      </c>
      <c r="E45" t="s">
        <v>237</v>
      </c>
      <c r="F45" t="n">
        <v>124.001817478829</v>
      </c>
      <c r="G45" t="n">
        <v>121.900091758848</v>
      </c>
      <c r="H45" t="n">
        <v>160.590120882309</v>
      </c>
      <c r="I45" t="n">
        <v>197.607504678909</v>
      </c>
      <c r="J45" t="n">
        <v>212.428067529827</v>
      </c>
      <c r="K45" t="n">
        <v>179.062402472786</v>
      </c>
      <c r="L45" t="n">
        <v>197.969612671776</v>
      </c>
      <c r="M45" t="n">
        <v>116.419630179141</v>
      </c>
      <c r="N45" t="n">
        <v>211.928938432903</v>
      </c>
      <c r="O45" t="n">
        <v>272.562558420518</v>
      </c>
      <c r="P45" t="n">
        <v>238.037967687252</v>
      </c>
      <c r="Q45" t="n">
        <v>341.023306038991</v>
      </c>
      <c r="R45" t="n">
        <v>456.199101852159</v>
      </c>
      <c r="S45" t="n">
        <v>497.539878967538</v>
      </c>
      <c r="T45" t="n">
        <v>384.246562578433</v>
      </c>
      <c r="U45" t="n">
        <v>375.11759456901</v>
      </c>
      <c r="V45" t="n">
        <v>434.542164005685</v>
      </c>
      <c r="W45" t="n">
        <v>459.537952200702</v>
      </c>
      <c r="X45" t="n">
        <v>382.304682923273</v>
      </c>
      <c r="Y45" t="n">
        <v>388.082587451081</v>
      </c>
      <c r="Z45" t="n">
        <v>447.181458636525</v>
      </c>
      <c r="AA45" t="n">
        <v>483.625762534215</v>
      </c>
      <c r="AB45" t="n">
        <v>531.001347435526</v>
      </c>
      <c r="AC45" t="n">
        <v>487.492857142857</v>
      </c>
      <c r="AD45" t="n">
        <v>425.935714285714</v>
      </c>
      <c r="AE45" t="n">
        <v>417</v>
      </c>
      <c r="AF45" t="n">
        <v>448</v>
      </c>
    </row>
    <row r="46">
      <c r="A46" t="s">
        <v>51</v>
      </c>
      <c r="B46" t="s">
        <v>362</v>
      </c>
      <c r="C46" t="s">
        <v>236</v>
      </c>
      <c r="D46" t="s">
        <v>363</v>
      </c>
      <c r="E46" t="s">
        <v>237</v>
      </c>
      <c r="F46" t="n">
        <v>3.48173845338306</v>
      </c>
      <c r="G46" t="n">
        <v>4.17808614405968</v>
      </c>
      <c r="H46" t="n">
        <v>4.87443383473629</v>
      </c>
      <c r="I46" t="n">
        <v>6.96347690676613</v>
      </c>
      <c r="J46" t="n">
        <v>7.65982459744274</v>
      </c>
      <c r="K46" t="n">
        <v>8.35617228811935</v>
      </c>
      <c r="L46" t="n">
        <v>6.26712921608952</v>
      </c>
      <c r="M46" t="n">
        <v>4.17808614405968</v>
      </c>
      <c r="N46" t="n">
        <v>12.534258432179</v>
      </c>
      <c r="O46" t="n">
        <v>12.534258432179</v>
      </c>
      <c r="P46" t="n">
        <v>14.0088770712589</v>
      </c>
      <c r="Q46" t="n">
        <v>16.9581143494187</v>
      </c>
      <c r="R46" t="n">
        <v>20.0414078674948</v>
      </c>
      <c r="S46" t="n">
        <v>29.2270531400966</v>
      </c>
      <c r="T46" t="n">
        <v>23.0273752012882</v>
      </c>
      <c r="U46" t="n">
        <v>21.1851851851852</v>
      </c>
      <c r="V46" t="n">
        <v>26</v>
      </c>
      <c r="W46" t="n">
        <v>25</v>
      </c>
      <c r="X46" t="n">
        <v>20</v>
      </c>
      <c r="Y46" t="n">
        <v>16</v>
      </c>
      <c r="Z46" t="n">
        <v>13</v>
      </c>
      <c r="AA46" t="n">
        <v>19</v>
      </c>
      <c r="AB46" t="n">
        <v>14</v>
      </c>
      <c r="AC46" t="n">
        <v>15</v>
      </c>
      <c r="AD46" t="n">
        <v>15</v>
      </c>
      <c r="AE46" t="n">
        <v>12</v>
      </c>
      <c r="AF46" t="n">
        <v>12</v>
      </c>
    </row>
    <row r="47">
      <c r="A47" t="s">
        <v>51</v>
      </c>
      <c r="B47" t="s">
        <v>364</v>
      </c>
      <c r="C47" t="s">
        <v>236</v>
      </c>
      <c r="D47" t="s">
        <v>365</v>
      </c>
      <c r="E47" t="s">
        <v>237</v>
      </c>
      <c r="F47" t="n">
        <v>9.15909090909091</v>
      </c>
      <c r="G47" t="n">
        <v>9.92234848484848</v>
      </c>
      <c r="H47" t="n">
        <v>10.6856060606061</v>
      </c>
      <c r="I47" t="n">
        <v>14.5018939393939</v>
      </c>
      <c r="J47" t="n">
        <v>20.6079545454545</v>
      </c>
      <c r="K47" t="n">
        <v>16.0284090909091</v>
      </c>
      <c r="L47" t="n">
        <v>19.0814393939394</v>
      </c>
      <c r="M47" t="n">
        <v>10.6856060606061</v>
      </c>
      <c r="N47" t="n">
        <v>19.844696969697</v>
      </c>
      <c r="O47" t="n">
        <v>25.1875</v>
      </c>
      <c r="P47" t="n">
        <v>21.125</v>
      </c>
      <c r="Q47" t="n">
        <v>7.3125</v>
      </c>
      <c r="R47" t="n">
        <v>11.375</v>
      </c>
      <c r="S47" t="n">
        <v>11.375</v>
      </c>
      <c r="T47" t="n">
        <v>7</v>
      </c>
      <c r="U47" t="n">
        <v>7</v>
      </c>
      <c r="V47" t="n">
        <v>4</v>
      </c>
      <c r="W47" t="n">
        <v>7</v>
      </c>
      <c r="X47" t="n">
        <v>6</v>
      </c>
      <c r="Y47" t="n">
        <v>4</v>
      </c>
      <c r="Z47" t="n">
        <v>7</v>
      </c>
      <c r="AA47" t="n">
        <v>7</v>
      </c>
      <c r="AB47" t="n">
        <v>8</v>
      </c>
      <c r="AC47" t="n">
        <v>6</v>
      </c>
      <c r="AD47" t="n">
        <v>8</v>
      </c>
      <c r="AE47" t="n">
        <v>6</v>
      </c>
      <c r="AF47" t="n">
        <v>7</v>
      </c>
    </row>
    <row r="48">
      <c r="A48" t="s">
        <v>51</v>
      </c>
      <c r="B48" t="s">
        <v>366</v>
      </c>
      <c r="C48" t="s">
        <v>236</v>
      </c>
      <c r="D48" t="s">
        <v>367</v>
      </c>
      <c r="E48" t="s">
        <v>237</v>
      </c>
      <c r="F48" t="n">
        <v>21.6315183203521</v>
      </c>
      <c r="G48" t="n">
        <v>21.0134749397706</v>
      </c>
      <c r="H48" t="n">
        <v>26.575865365004</v>
      </c>
      <c r="I48" t="n">
        <v>32.7562991708189</v>
      </c>
      <c r="J48" t="n">
        <v>42.6449932601227</v>
      </c>
      <c r="K48" t="n">
        <v>35.8465160737263</v>
      </c>
      <c r="L48" t="n">
        <v>40.7908631183782</v>
      </c>
      <c r="M48" t="n">
        <v>25.9578219844225</v>
      </c>
      <c r="N48" t="n">
        <v>47.5893403047746</v>
      </c>
      <c r="O48" t="n">
        <v>61.3652019719462</v>
      </c>
      <c r="P48" t="n">
        <v>55.9704589414454</v>
      </c>
      <c r="Q48" t="n">
        <v>27.9852294707227</v>
      </c>
      <c r="R48" t="n">
        <v>32.8826446280992</v>
      </c>
      <c r="S48" t="n">
        <v>35.2314049586777</v>
      </c>
      <c r="T48" t="n">
        <v>36.9090909090909</v>
      </c>
      <c r="U48" t="n">
        <v>29</v>
      </c>
      <c r="V48" t="n">
        <v>26</v>
      </c>
      <c r="W48" t="n">
        <v>30</v>
      </c>
      <c r="X48" t="n">
        <v>30</v>
      </c>
      <c r="Y48" t="n">
        <v>27</v>
      </c>
      <c r="Z48" t="n">
        <v>27</v>
      </c>
      <c r="AA48" t="n">
        <v>27</v>
      </c>
      <c r="AB48" t="n">
        <v>25</v>
      </c>
      <c r="AC48" t="n">
        <v>24</v>
      </c>
      <c r="AD48" t="n">
        <v>25</v>
      </c>
      <c r="AE48" t="n">
        <v>22</v>
      </c>
      <c r="AF48" t="n">
        <v>26</v>
      </c>
    </row>
    <row r="49">
      <c r="A49" t="s">
        <v>51</v>
      </c>
      <c r="B49" t="s">
        <v>368</v>
      </c>
      <c r="C49" t="s">
        <v>236</v>
      </c>
      <c r="D49" t="s">
        <v>369</v>
      </c>
      <c r="E49" t="s">
        <v>237</v>
      </c>
      <c r="F49" t="n">
        <v>8.0092970521542</v>
      </c>
      <c r="G49" t="n">
        <v>5.8249433106576</v>
      </c>
      <c r="H49" t="n">
        <v>8.0092970521542</v>
      </c>
      <c r="I49" t="n">
        <v>9.4655328798186</v>
      </c>
      <c r="J49" t="n">
        <v>11.6498866213152</v>
      </c>
      <c r="K49" t="n">
        <v>9.4655328798186</v>
      </c>
      <c r="L49" t="n">
        <v>10.921768707483</v>
      </c>
      <c r="M49" t="n">
        <v>7.281179138322</v>
      </c>
      <c r="N49" t="n">
        <v>12.3780045351474</v>
      </c>
      <c r="O49" t="n">
        <v>15.2904761904762</v>
      </c>
      <c r="P49" t="n">
        <v>12.0714285714286</v>
      </c>
      <c r="Q49" t="n">
        <v>12.0714285714286</v>
      </c>
      <c r="R49" t="n">
        <v>12.0714285714286</v>
      </c>
      <c r="S49" t="n">
        <v>13</v>
      </c>
      <c r="T49" t="n">
        <v>6</v>
      </c>
      <c r="U49" t="n">
        <v>5</v>
      </c>
      <c r="V49" t="n">
        <v>5</v>
      </c>
      <c r="W49" t="n">
        <v>7</v>
      </c>
      <c r="X49" t="n">
        <v>7</v>
      </c>
      <c r="Y49" t="n">
        <v>5</v>
      </c>
      <c r="Z49" t="n">
        <v>7</v>
      </c>
      <c r="AA49" t="n">
        <v>8</v>
      </c>
      <c r="AB49" t="n">
        <v>9</v>
      </c>
      <c r="AC49" t="n">
        <v>10</v>
      </c>
      <c r="AD49" t="n">
        <v>9</v>
      </c>
      <c r="AE49" t="n">
        <v>8</v>
      </c>
      <c r="AF49" t="n">
        <v>9</v>
      </c>
    </row>
    <row r="50">
      <c r="A50" t="s">
        <v>51</v>
      </c>
      <c r="B50" t="s">
        <v>370</v>
      </c>
      <c r="C50" t="s">
        <v>236</v>
      </c>
      <c r="D50" t="s">
        <v>371</v>
      </c>
      <c r="E50" t="s">
        <v>237</v>
      </c>
      <c r="F50" t="n">
        <v>6.29146198830409</v>
      </c>
      <c r="G50" t="n">
        <v>6.81575048732943</v>
      </c>
      <c r="H50" t="n">
        <v>9.43719298245614</v>
      </c>
      <c r="I50" t="n">
        <v>11.0100584795322</v>
      </c>
      <c r="J50" t="n">
        <v>13.6315009746589</v>
      </c>
      <c r="K50" t="n">
        <v>12.5829239766082</v>
      </c>
      <c r="L50" t="n">
        <v>13.6315009746589</v>
      </c>
      <c r="M50" t="n">
        <v>9.43719298245614</v>
      </c>
      <c r="N50" t="n">
        <v>17.8258089668616</v>
      </c>
      <c r="O50" t="n">
        <v>23.7677452891488</v>
      </c>
      <c r="P50" t="n">
        <v>24.3474463937622</v>
      </c>
      <c r="Q50" t="n">
        <v>10.0952826510721</v>
      </c>
      <c r="R50" t="n">
        <v>11.282962962963</v>
      </c>
      <c r="S50" t="n">
        <v>12.6933333333333</v>
      </c>
      <c r="T50" t="n">
        <v>23.8</v>
      </c>
      <c r="U50" t="n">
        <v>17</v>
      </c>
      <c r="V50" t="n">
        <v>17</v>
      </c>
      <c r="W50" t="n">
        <v>16</v>
      </c>
      <c r="X50" t="n">
        <v>17</v>
      </c>
      <c r="Y50" t="n">
        <v>18</v>
      </c>
      <c r="Z50" t="n">
        <v>13</v>
      </c>
      <c r="AA50" t="n">
        <v>12</v>
      </c>
      <c r="AB50" t="n">
        <v>8</v>
      </c>
      <c r="AC50" t="n">
        <v>8</v>
      </c>
      <c r="AD50" t="n">
        <v>8</v>
      </c>
      <c r="AE50" t="n">
        <v>8</v>
      </c>
      <c r="AF50" t="n">
        <v>10</v>
      </c>
    </row>
    <row r="51">
      <c r="A51" t="s">
        <v>51</v>
      </c>
      <c r="B51" t="s">
        <v>372</v>
      </c>
      <c r="C51" t="s">
        <v>236</v>
      </c>
      <c r="D51" t="s">
        <v>373</v>
      </c>
      <c r="E51" t="s">
        <v>237</v>
      </c>
      <c r="F51" t="n">
        <v>6.161092061849</v>
      </c>
      <c r="G51" t="n">
        <v>6.67451640033642</v>
      </c>
      <c r="H51" t="n">
        <v>8.72821375428608</v>
      </c>
      <c r="I51" t="n">
        <v>10.2684867697483</v>
      </c>
      <c r="J51" t="n">
        <v>12.8356084621854</v>
      </c>
      <c r="K51" t="n">
        <v>12.322184123698</v>
      </c>
      <c r="L51" t="n">
        <v>12.8356084621854</v>
      </c>
      <c r="M51" t="n">
        <v>9.2416380927735</v>
      </c>
      <c r="N51" t="n">
        <v>16.4295788315973</v>
      </c>
      <c r="O51" t="n">
        <v>21.7294429708223</v>
      </c>
      <c r="P51" t="n">
        <v>22.3012704174229</v>
      </c>
      <c r="Q51" t="n">
        <v>9.97688413411023</v>
      </c>
      <c r="R51" t="n">
        <v>11.1506352087114</v>
      </c>
      <c r="S51" t="n">
        <v>12.5444646098004</v>
      </c>
      <c r="T51" t="n">
        <v>22.7368421052632</v>
      </c>
      <c r="U51" t="n">
        <v>16</v>
      </c>
      <c r="V51" t="n">
        <v>17</v>
      </c>
      <c r="W51" t="n">
        <v>15</v>
      </c>
      <c r="X51" t="n">
        <v>15</v>
      </c>
      <c r="Y51" t="n">
        <v>16</v>
      </c>
      <c r="Z51" t="n">
        <v>11</v>
      </c>
      <c r="AA51" t="n">
        <v>9</v>
      </c>
      <c r="AB51" t="n">
        <v>7</v>
      </c>
      <c r="AC51" t="n">
        <v>7</v>
      </c>
      <c r="AD51" t="n">
        <v>6</v>
      </c>
      <c r="AE51" t="n">
        <v>6</v>
      </c>
      <c r="AF51" t="n">
        <v>7</v>
      </c>
    </row>
    <row r="52">
      <c r="A52" t="s">
        <v>51</v>
      </c>
      <c r="B52" t="s">
        <v>374</v>
      </c>
      <c r="C52" t="s">
        <v>236</v>
      </c>
      <c r="D52" t="s">
        <v>375</v>
      </c>
      <c r="E52" t="s">
        <v>237</v>
      </c>
      <c r="F52" t="n">
        <v>0</v>
      </c>
      <c r="G52" t="n">
        <v>0</v>
      </c>
      <c r="H52" t="e">
        <v>#NUM!</v>
      </c>
      <c r="I52" t="e">
        <v>#NUM!</v>
      </c>
      <c r="J52" t="e">
        <v>#NUM!</v>
      </c>
      <c r="K52" t="n">
        <v>0</v>
      </c>
      <c r="L52" t="e">
        <v>#NUM!</v>
      </c>
      <c r="M52" t="n">
        <v>0</v>
      </c>
      <c r="N52" t="e">
        <v>#NUM!</v>
      </c>
      <c r="O52" t="e">
        <v>#NUM!</v>
      </c>
      <c r="P52" t="e">
        <v>#NUM!</v>
      </c>
      <c r="Q52" t="n">
        <v>0</v>
      </c>
      <c r="R52" t="n">
        <v>0</v>
      </c>
      <c r="S52" t="n">
        <v>0</v>
      </c>
      <c r="T52" t="e">
        <v>#NUM!</v>
      </c>
      <c r="U52" t="e">
        <v>#NUM!</v>
      </c>
      <c r="V52" t="n">
        <v>0</v>
      </c>
      <c r="W52" t="n">
        <v>1</v>
      </c>
      <c r="X52" t="n">
        <v>2</v>
      </c>
      <c r="Y52" t="n">
        <v>2</v>
      </c>
      <c r="Z52" t="n">
        <v>2</v>
      </c>
      <c r="AA52" t="n">
        <v>3</v>
      </c>
      <c r="AB52" t="n">
        <v>1</v>
      </c>
      <c r="AC52" t="n">
        <v>1</v>
      </c>
      <c r="AD52" t="n">
        <v>2</v>
      </c>
      <c r="AE52" t="n">
        <v>2</v>
      </c>
      <c r="AF52" t="n">
        <v>3</v>
      </c>
    </row>
    <row r="53">
      <c r="A53" t="s">
        <v>51</v>
      </c>
      <c r="B53" t="s">
        <v>376</v>
      </c>
      <c r="C53" t="s">
        <v>236</v>
      </c>
      <c r="D53" t="s">
        <v>377</v>
      </c>
      <c r="E53" t="s">
        <v>237</v>
      </c>
      <c r="F53" t="n">
        <v>2.74170274170274</v>
      </c>
      <c r="G53" t="n">
        <v>4.7979797979798</v>
      </c>
      <c r="H53" t="n">
        <v>6.85425685425685</v>
      </c>
      <c r="I53" t="n">
        <v>7.53968253968254</v>
      </c>
      <c r="J53" t="n">
        <v>0.685425685425685</v>
      </c>
      <c r="K53" t="n">
        <v>7.53968253968254</v>
      </c>
      <c r="L53" t="n">
        <v>6.85425685425685</v>
      </c>
      <c r="M53" t="n">
        <v>4.11255411255411</v>
      </c>
      <c r="N53" t="n">
        <v>8.22510822510823</v>
      </c>
      <c r="O53" t="n">
        <v>10.966810966811</v>
      </c>
      <c r="P53" t="n">
        <v>8.91053391053391</v>
      </c>
      <c r="Q53" t="n">
        <v>8.91053391053391</v>
      </c>
      <c r="R53" t="n">
        <v>14.3939393939394</v>
      </c>
      <c r="S53" t="n">
        <v>12.8787878787879</v>
      </c>
      <c r="T53" t="n">
        <v>15.4545454545455</v>
      </c>
      <c r="U53" t="n">
        <v>10</v>
      </c>
      <c r="V53" t="n">
        <v>16</v>
      </c>
      <c r="W53" t="n">
        <v>17</v>
      </c>
      <c r="X53" t="n">
        <v>17</v>
      </c>
      <c r="Y53" t="n">
        <v>14</v>
      </c>
      <c r="Z53" t="n">
        <v>14</v>
      </c>
      <c r="AA53" t="n">
        <v>16</v>
      </c>
      <c r="AB53" t="n">
        <v>15</v>
      </c>
      <c r="AC53" t="n">
        <v>10</v>
      </c>
      <c r="AD53" t="n">
        <v>8</v>
      </c>
      <c r="AE53" t="n">
        <v>7</v>
      </c>
      <c r="AF53" t="n">
        <v>4</v>
      </c>
    </row>
    <row r="54">
      <c r="A54" t="s">
        <v>51</v>
      </c>
      <c r="B54" t="s">
        <v>378</v>
      </c>
      <c r="C54" t="s">
        <v>236</v>
      </c>
      <c r="D54" t="s">
        <v>379</v>
      </c>
      <c r="E54" t="s">
        <v>237</v>
      </c>
      <c r="F54" t="n">
        <v>3.47222222222222</v>
      </c>
      <c r="G54" t="n">
        <v>5.55555555555556</v>
      </c>
      <c r="H54" t="n">
        <v>7.63888888888889</v>
      </c>
      <c r="I54" t="n">
        <v>8.33333333333333</v>
      </c>
      <c r="J54" t="n">
        <v>2.77777777777778</v>
      </c>
      <c r="K54" t="n">
        <v>9.02777777777778</v>
      </c>
      <c r="L54" t="n">
        <v>8.33333333333333</v>
      </c>
      <c r="M54" t="n">
        <v>4.86111111111111</v>
      </c>
      <c r="N54" t="n">
        <v>11.8055555555556</v>
      </c>
      <c r="O54" t="n">
        <v>14.5833333333333</v>
      </c>
      <c r="P54" t="n">
        <v>11.8055555555556</v>
      </c>
      <c r="Q54" t="n">
        <v>13.1944444444444</v>
      </c>
      <c r="R54" t="n">
        <v>19.4444444444444</v>
      </c>
      <c r="S54" t="n">
        <v>17.8888888888889</v>
      </c>
      <c r="T54" t="n">
        <v>20.4444444444444</v>
      </c>
      <c r="U54" t="n">
        <v>16</v>
      </c>
      <c r="V54" t="n">
        <v>24</v>
      </c>
      <c r="W54" t="n">
        <v>28</v>
      </c>
      <c r="X54" t="n">
        <v>27</v>
      </c>
      <c r="Y54" t="n">
        <v>22</v>
      </c>
      <c r="Z54" t="n">
        <v>22</v>
      </c>
      <c r="AA54" t="n">
        <v>24</v>
      </c>
      <c r="AB54" t="n">
        <v>24</v>
      </c>
      <c r="AC54" t="n">
        <v>18</v>
      </c>
      <c r="AD54" t="n">
        <v>16</v>
      </c>
      <c r="AE54" t="n">
        <v>11</v>
      </c>
      <c r="AF54" t="n">
        <v>9</v>
      </c>
    </row>
    <row r="55">
      <c r="A55" t="s">
        <v>51</v>
      </c>
      <c r="B55" t="s">
        <v>380</v>
      </c>
      <c r="C55" t="s">
        <v>236</v>
      </c>
      <c r="D55" t="s">
        <v>381</v>
      </c>
      <c r="E55" t="s">
        <v>237</v>
      </c>
      <c r="F55" t="n">
        <v>0.73469387755102</v>
      </c>
      <c r="G55" t="n">
        <v>0.73469387755102</v>
      </c>
      <c r="H55" t="n">
        <v>0.73469387755102</v>
      </c>
      <c r="I55" t="n">
        <v>0.73469387755102</v>
      </c>
      <c r="J55" t="n">
        <v>2.20408163265306</v>
      </c>
      <c r="K55" t="n">
        <v>1.46938775510204</v>
      </c>
      <c r="L55" t="n">
        <v>1.46938775510204</v>
      </c>
      <c r="M55" t="n">
        <v>0.73469387755102</v>
      </c>
      <c r="N55" t="n">
        <v>3.6734693877551</v>
      </c>
      <c r="O55" t="n">
        <v>3.6734693877551</v>
      </c>
      <c r="P55" t="n">
        <v>2.93877551020408</v>
      </c>
      <c r="Q55" t="n">
        <v>4.40816326530612</v>
      </c>
      <c r="R55" t="n">
        <v>5.14285714285714</v>
      </c>
      <c r="S55" t="n">
        <v>5.14285714285714</v>
      </c>
      <c r="T55" t="n">
        <v>5.14285714285714</v>
      </c>
      <c r="U55" t="n">
        <v>6</v>
      </c>
      <c r="V55" t="n">
        <v>8</v>
      </c>
      <c r="W55" t="n">
        <v>11</v>
      </c>
      <c r="X55" t="n">
        <v>10</v>
      </c>
      <c r="Y55" t="n">
        <v>8</v>
      </c>
      <c r="Z55" t="n">
        <v>8</v>
      </c>
      <c r="AA55" t="n">
        <v>8</v>
      </c>
      <c r="AB55" t="n">
        <v>9</v>
      </c>
      <c r="AC55" t="n">
        <v>8</v>
      </c>
      <c r="AD55" t="n">
        <v>8</v>
      </c>
      <c r="AE55" t="n">
        <v>4</v>
      </c>
      <c r="AF55" t="n">
        <v>5</v>
      </c>
    </row>
    <row r="56">
      <c r="A56" t="s">
        <v>51</v>
      </c>
      <c r="B56" t="s">
        <v>382</v>
      </c>
      <c r="C56" t="s">
        <v>236</v>
      </c>
      <c r="D56" t="s">
        <v>383</v>
      </c>
      <c r="E56" t="s">
        <v>237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51</v>
      </c>
      <c r="B57" t="s">
        <v>384</v>
      </c>
      <c r="C57" t="s">
        <v>236</v>
      </c>
      <c r="D57" t="s">
        <v>385</v>
      </c>
      <c r="E57" t="s">
        <v>237</v>
      </c>
      <c r="F57" t="n">
        <v>151.295469940572</v>
      </c>
      <c r="G57" t="n">
        <v>147.003399871336</v>
      </c>
      <c r="H57" t="n">
        <v>193.482416007126</v>
      </c>
      <c r="I57" t="n">
        <v>238.259775140203</v>
      </c>
      <c r="J57" t="n">
        <v>263.310452432982</v>
      </c>
      <c r="K57" t="n">
        <v>221.675893714946</v>
      </c>
      <c r="L57" t="n">
        <v>244.743689761425</v>
      </c>
      <c r="M57" t="n">
        <v>146.50550338387</v>
      </c>
      <c r="N57" t="n">
        <v>267.928352491901</v>
      </c>
      <c r="O57" t="n">
        <v>345.80774345484</v>
      </c>
      <c r="P57" t="n">
        <v>304.727745562155</v>
      </c>
      <c r="Q57" t="n">
        <v>380.130725547883</v>
      </c>
      <c r="R57" t="n">
        <v>502.083927600787</v>
      </c>
      <c r="S57" t="n">
        <v>551.780735572918</v>
      </c>
      <c r="T57" t="n">
        <v>435.364568819094</v>
      </c>
      <c r="U57" t="n">
        <v>413.679743552243</v>
      </c>
      <c r="V57" t="n">
        <v>469.708602724104</v>
      </c>
      <c r="W57" t="n">
        <v>499.607918297918</v>
      </c>
      <c r="X57" t="n">
        <v>425.054023513151</v>
      </c>
      <c r="Y57" t="n">
        <v>427.952119128013</v>
      </c>
      <c r="Z57" t="n">
        <v>487.116006565066</v>
      </c>
      <c r="AA57" t="n">
        <v>523.600403817915</v>
      </c>
      <c r="AB57" t="n">
        <v>569.044967168149</v>
      </c>
      <c r="AC57" t="n">
        <v>524.511013215859</v>
      </c>
      <c r="AD57" t="n">
        <v>462.920704845815</v>
      </c>
      <c r="AE57" t="n">
        <v>451</v>
      </c>
      <c r="AF57" t="n">
        <v>486</v>
      </c>
    </row>
    <row r="58">
      <c r="A58" t="s">
        <v>51</v>
      </c>
      <c r="B58" t="s">
        <v>386</v>
      </c>
      <c r="C58" t="s">
        <v>236</v>
      </c>
      <c r="D58" t="s">
        <v>387</v>
      </c>
      <c r="E58" t="s">
        <v>237</v>
      </c>
      <c r="F58" t="n">
        <v>151.295469940572</v>
      </c>
      <c r="G58" t="n">
        <v>147.003399871336</v>
      </c>
      <c r="H58" t="n">
        <v>193.482416007126</v>
      </c>
      <c r="I58" t="n">
        <v>238.259775140203</v>
      </c>
      <c r="J58" t="n">
        <v>263.310452432982</v>
      </c>
      <c r="K58" t="n">
        <v>221.675893714946</v>
      </c>
      <c r="L58" t="n">
        <v>244.743689761425</v>
      </c>
      <c r="M58" t="n">
        <v>146.50550338387</v>
      </c>
      <c r="N58" t="n">
        <v>267.928352491901</v>
      </c>
      <c r="O58" t="n">
        <v>345.80774345484</v>
      </c>
      <c r="P58" t="n">
        <v>304.727745562155</v>
      </c>
      <c r="Q58" t="n">
        <v>380.130725547883</v>
      </c>
      <c r="R58" t="n">
        <v>502.083927600787</v>
      </c>
      <c r="S58" t="n">
        <v>551.780735572918</v>
      </c>
      <c r="T58" t="n">
        <v>435.364568819094</v>
      </c>
      <c r="U58" t="n">
        <v>413.679743552243</v>
      </c>
      <c r="V58" t="n">
        <v>469.708602724104</v>
      </c>
      <c r="W58" t="n">
        <v>499.607918297918</v>
      </c>
      <c r="X58" t="n">
        <v>425.054023513151</v>
      </c>
      <c r="Y58" t="n">
        <v>427.952119128013</v>
      </c>
      <c r="Z58" t="n">
        <v>487.116006565066</v>
      </c>
      <c r="AA58" t="n">
        <v>523.600403817915</v>
      </c>
      <c r="AB58" t="n">
        <v>569.044967168149</v>
      </c>
      <c r="AC58" t="n">
        <v>524.511013215859</v>
      </c>
      <c r="AD58" t="n">
        <v>462.920704845815</v>
      </c>
      <c r="AE58" t="n">
        <v>451</v>
      </c>
      <c r="AF58" t="n">
        <v>486</v>
      </c>
    </row>
    <row r="59">
      <c r="A59" t="s">
        <v>51</v>
      </c>
      <c r="B59" t="s">
        <v>388</v>
      </c>
      <c r="C59" t="s">
        <v>236</v>
      </c>
      <c r="D59" t="s">
        <v>389</v>
      </c>
      <c r="E59" t="s">
        <v>237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53</v>
      </c>
      <c r="B2" t="s">
        <v>197</v>
      </c>
      <c r="C2" t="s">
        <v>236</v>
      </c>
      <c r="D2" t="s">
        <v>199</v>
      </c>
      <c r="E2" t="s">
        <v>237</v>
      </c>
      <c r="F2" t="n">
        <v>3</v>
      </c>
      <c r="G2" t="n">
        <v>1.5</v>
      </c>
      <c r="H2" t="n">
        <v>3</v>
      </c>
      <c r="I2" t="n">
        <v>3</v>
      </c>
      <c r="J2" t="n">
        <v>3</v>
      </c>
      <c r="K2" t="n">
        <v>4.5</v>
      </c>
      <c r="L2" t="n">
        <v>4.5</v>
      </c>
      <c r="M2" t="n">
        <v>4.5</v>
      </c>
      <c r="N2" t="n">
        <v>4.5</v>
      </c>
      <c r="O2" t="n">
        <v>4.5</v>
      </c>
      <c r="P2" t="n">
        <v>6</v>
      </c>
      <c r="Q2" t="n">
        <v>9</v>
      </c>
      <c r="R2" t="n">
        <v>7.5</v>
      </c>
      <c r="S2" t="n">
        <v>7.5</v>
      </c>
      <c r="T2" t="n">
        <v>7.5</v>
      </c>
      <c r="U2" t="n">
        <v>9</v>
      </c>
      <c r="V2" t="n">
        <v>7.5</v>
      </c>
      <c r="W2" t="n">
        <v>7.5</v>
      </c>
      <c r="X2" t="n">
        <v>10.5</v>
      </c>
      <c r="Y2" t="n">
        <v>9</v>
      </c>
      <c r="Z2" t="n">
        <v>7.5</v>
      </c>
      <c r="AA2" t="n">
        <v>5</v>
      </c>
      <c r="AB2" t="n">
        <v>4</v>
      </c>
      <c r="AC2" t="n">
        <v>5</v>
      </c>
      <c r="AD2" t="n">
        <v>5</v>
      </c>
      <c r="AE2" t="n">
        <v>5</v>
      </c>
      <c r="AF2" t="n">
        <v>5</v>
      </c>
    </row>
    <row r="3">
      <c r="A3" t="s">
        <v>53</v>
      </c>
      <c r="B3" t="s">
        <v>276</v>
      </c>
      <c r="C3" t="s">
        <v>236</v>
      </c>
      <c r="D3" t="s">
        <v>277</v>
      </c>
      <c r="E3" t="s">
        <v>237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2</v>
      </c>
      <c r="Q3" t="n">
        <v>2</v>
      </c>
      <c r="R3" t="n">
        <v>2</v>
      </c>
      <c r="S3" t="n">
        <v>2</v>
      </c>
      <c r="T3" t="n">
        <v>6</v>
      </c>
      <c r="U3" t="n">
        <v>8</v>
      </c>
      <c r="V3" t="n">
        <v>5</v>
      </c>
      <c r="W3" t="n">
        <v>3</v>
      </c>
      <c r="X3" t="n">
        <v>1</v>
      </c>
      <c r="Y3" t="n">
        <v>1</v>
      </c>
      <c r="Z3" t="n">
        <v>2</v>
      </c>
      <c r="AA3" t="n">
        <v>2</v>
      </c>
      <c r="AB3" t="n">
        <v>4</v>
      </c>
      <c r="AC3" t="n">
        <v>4</v>
      </c>
      <c r="AD3" t="n">
        <v>5</v>
      </c>
      <c r="AE3" t="n">
        <v>7</v>
      </c>
      <c r="AF3" t="n">
        <v>11</v>
      </c>
    </row>
    <row r="4">
      <c r="A4" t="s">
        <v>53</v>
      </c>
      <c r="B4" t="s">
        <v>278</v>
      </c>
      <c r="C4" t="s">
        <v>236</v>
      </c>
      <c r="D4" t="s">
        <v>279</v>
      </c>
      <c r="E4" t="s">
        <v>237</v>
      </c>
      <c r="F4" t="n">
        <v>234.61239364771</v>
      </c>
      <c r="G4" t="n">
        <v>222.822826127725</v>
      </c>
      <c r="H4" t="n">
        <v>278.233793471656</v>
      </c>
      <c r="I4" t="n">
        <v>366.655549871547</v>
      </c>
      <c r="J4" t="n">
        <v>408.052144211883</v>
      </c>
      <c r="K4" t="n">
        <v>473.483246053439</v>
      </c>
      <c r="L4" t="n">
        <v>573.414383411451</v>
      </c>
      <c r="M4" t="n">
        <v>482.434230719864</v>
      </c>
      <c r="N4" t="n">
        <v>635.990990873805</v>
      </c>
      <c r="O4" t="n">
        <v>589.514726156104</v>
      </c>
      <c r="P4" t="n">
        <v>712.873944506677</v>
      </c>
      <c r="Q4" t="n">
        <v>806.268706722312</v>
      </c>
      <c r="R4" t="n">
        <v>787.786902556757</v>
      </c>
      <c r="S4" t="n">
        <v>778.66635954597</v>
      </c>
      <c r="T4" t="n">
        <v>852.083473446019</v>
      </c>
      <c r="U4" t="n">
        <v>877.601598301824</v>
      </c>
      <c r="V4" t="n">
        <v>888.654515157011</v>
      </c>
      <c r="W4" t="n">
        <v>889.742219581927</v>
      </c>
      <c r="X4" t="n">
        <v>768.608640289448</v>
      </c>
      <c r="Y4" t="n">
        <v>782.37160492273</v>
      </c>
      <c r="Z4" t="n">
        <v>750.993064618343</v>
      </c>
      <c r="AA4" t="n">
        <v>704.315318889302</v>
      </c>
      <c r="AB4" t="n">
        <v>780.736629150018</v>
      </c>
      <c r="AC4" t="n">
        <v>946.720007000809</v>
      </c>
      <c r="AD4" t="n">
        <v>1080.9488372093</v>
      </c>
      <c r="AE4" t="n">
        <v>1086</v>
      </c>
      <c r="AF4" t="n">
        <v>1078</v>
      </c>
    </row>
    <row r="5">
      <c r="A5" t="s">
        <v>53</v>
      </c>
      <c r="B5" t="s">
        <v>280</v>
      </c>
      <c r="C5" t="s">
        <v>236</v>
      </c>
      <c r="D5" t="s">
        <v>281</v>
      </c>
      <c r="E5" t="s">
        <v>237</v>
      </c>
      <c r="F5" t="n">
        <v>13</v>
      </c>
      <c r="G5" t="n">
        <v>14</v>
      </c>
      <c r="H5" t="n">
        <v>14</v>
      </c>
      <c r="I5" t="n">
        <v>18</v>
      </c>
      <c r="J5" t="n">
        <v>25</v>
      </c>
      <c r="K5" t="n">
        <v>32</v>
      </c>
      <c r="L5" t="n">
        <v>26</v>
      </c>
      <c r="M5" t="n">
        <v>19</v>
      </c>
      <c r="N5" t="n">
        <v>40</v>
      </c>
      <c r="O5" t="n">
        <v>34</v>
      </c>
      <c r="P5" t="n">
        <v>44</v>
      </c>
      <c r="Q5" t="n">
        <v>37</v>
      </c>
      <c r="R5" t="n">
        <v>33</v>
      </c>
      <c r="S5" t="n">
        <v>36</v>
      </c>
      <c r="T5" t="n">
        <v>36</v>
      </c>
      <c r="U5" t="n">
        <v>44</v>
      </c>
      <c r="V5" t="n">
        <v>51</v>
      </c>
      <c r="W5" t="n">
        <v>52</v>
      </c>
      <c r="X5" t="n">
        <v>55</v>
      </c>
      <c r="Y5" t="n">
        <v>52</v>
      </c>
      <c r="Z5" t="n">
        <v>48</v>
      </c>
      <c r="AA5" t="n">
        <v>55</v>
      </c>
      <c r="AB5" t="n">
        <v>52</v>
      </c>
      <c r="AC5" t="n">
        <v>50</v>
      </c>
      <c r="AD5" t="n">
        <v>42</v>
      </c>
      <c r="AE5" t="n">
        <v>67</v>
      </c>
      <c r="AF5" t="n">
        <v>67</v>
      </c>
    </row>
    <row r="6">
      <c r="A6" t="s">
        <v>53</v>
      </c>
      <c r="B6" t="s">
        <v>282</v>
      </c>
      <c r="C6" t="s">
        <v>236</v>
      </c>
      <c r="D6" t="s">
        <v>283</v>
      </c>
      <c r="E6" t="s">
        <v>237</v>
      </c>
      <c r="F6" t="n">
        <v>1</v>
      </c>
      <c r="G6" t="n">
        <v>2</v>
      </c>
      <c r="H6" t="n">
        <v>2</v>
      </c>
      <c r="I6" t="n">
        <v>2</v>
      </c>
      <c r="J6" t="n">
        <v>1</v>
      </c>
      <c r="K6" t="n">
        <v>1</v>
      </c>
      <c r="L6" t="n">
        <v>2</v>
      </c>
      <c r="M6" t="n">
        <v>1</v>
      </c>
      <c r="N6" t="n">
        <v>3</v>
      </c>
      <c r="O6" t="n">
        <v>3</v>
      </c>
      <c r="P6" t="n">
        <v>3</v>
      </c>
      <c r="Q6" t="n">
        <v>3</v>
      </c>
      <c r="R6" t="n">
        <v>4</v>
      </c>
      <c r="S6" t="n">
        <v>3</v>
      </c>
      <c r="T6" t="n">
        <v>2</v>
      </c>
      <c r="U6" t="n">
        <v>2</v>
      </c>
      <c r="V6" t="n">
        <v>2</v>
      </c>
      <c r="W6" t="n">
        <v>4</v>
      </c>
      <c r="X6" t="n">
        <v>3</v>
      </c>
      <c r="Y6" t="n">
        <v>3</v>
      </c>
      <c r="Z6" t="n">
        <v>4</v>
      </c>
      <c r="AA6" t="n">
        <v>5</v>
      </c>
      <c r="AB6" t="n">
        <v>7</v>
      </c>
      <c r="AC6" t="n">
        <v>18</v>
      </c>
      <c r="AD6" t="n">
        <v>4</v>
      </c>
      <c r="AE6" t="n">
        <v>6</v>
      </c>
      <c r="AF6" t="n">
        <v>5</v>
      </c>
    </row>
    <row r="7">
      <c r="A7" t="s">
        <v>53</v>
      </c>
      <c r="B7" t="s">
        <v>284</v>
      </c>
      <c r="C7" t="s">
        <v>236</v>
      </c>
      <c r="D7" t="s">
        <v>285</v>
      </c>
      <c r="E7" t="s">
        <v>237</v>
      </c>
      <c r="F7" t="n">
        <v>50.3223050314712</v>
      </c>
      <c r="G7" t="n">
        <v>59.684594339652</v>
      </c>
      <c r="H7" t="n">
        <v>70.2171698113552</v>
      </c>
      <c r="I7" t="n">
        <v>94.7931792453296</v>
      </c>
      <c r="J7" t="n">
        <v>94.7931792453296</v>
      </c>
      <c r="K7" t="n">
        <v>136.790157391995</v>
      </c>
      <c r="L7" t="n">
        <v>179.987049199993</v>
      </c>
      <c r="M7" t="n">
        <v>144.719316586481</v>
      </c>
      <c r="N7" t="n">
        <v>147.193151058045</v>
      </c>
      <c r="O7" t="n">
        <v>129.580295375885</v>
      </c>
      <c r="P7" t="n">
        <v>196.815354297335</v>
      </c>
      <c r="Q7" t="n">
        <v>249.056466857739</v>
      </c>
      <c r="R7" t="n">
        <v>184.136534738423</v>
      </c>
      <c r="S7" t="n">
        <v>136.654786787006</v>
      </c>
      <c r="T7" t="n">
        <v>147.94857081899</v>
      </c>
      <c r="U7" t="n">
        <v>136.740345756945</v>
      </c>
      <c r="V7" t="n">
        <v>110.059302682419</v>
      </c>
      <c r="W7" t="n">
        <v>122.045959410208</v>
      </c>
      <c r="X7" t="n">
        <v>57.8112439311509</v>
      </c>
      <c r="Y7" t="n">
        <v>64.1179250872765</v>
      </c>
      <c r="Z7" t="n">
        <v>56.8788045129066</v>
      </c>
      <c r="AA7" t="n">
        <v>81.6986464821749</v>
      </c>
      <c r="AB7" t="n">
        <v>75.4936859898578</v>
      </c>
      <c r="AC7" t="n">
        <v>71.4129462066223</v>
      </c>
      <c r="AD7" t="n">
        <v>90.7964601769911</v>
      </c>
      <c r="AE7" t="n">
        <v>114</v>
      </c>
      <c r="AF7" t="n">
        <v>81</v>
      </c>
    </row>
    <row r="8">
      <c r="A8" t="s">
        <v>53</v>
      </c>
      <c r="B8" t="s">
        <v>286</v>
      </c>
      <c r="C8" t="s">
        <v>236</v>
      </c>
      <c r="D8" t="s">
        <v>287</v>
      </c>
      <c r="E8" t="s">
        <v>237</v>
      </c>
      <c r="F8" t="n">
        <v>8.93581294574343</v>
      </c>
      <c r="G8" t="n">
        <v>6.70185970930757</v>
      </c>
      <c r="H8" t="n">
        <v>8.93581294574343</v>
      </c>
      <c r="I8" t="n">
        <v>8.93581294574343</v>
      </c>
      <c r="J8" t="n">
        <v>10.0527895639614</v>
      </c>
      <c r="K8" t="n">
        <v>10.0527895639614</v>
      </c>
      <c r="L8" t="n">
        <v>20.1055791279227</v>
      </c>
      <c r="M8" t="n">
        <v>5.58488309108964</v>
      </c>
      <c r="N8" t="n">
        <v>18.9886025097048</v>
      </c>
      <c r="O8" t="n">
        <v>24.5734856007944</v>
      </c>
      <c r="P8" t="n">
        <v>23.5050731833686</v>
      </c>
      <c r="Q8" t="n">
        <v>7.47888692198092</v>
      </c>
      <c r="R8" t="n">
        <v>11.7525365916843</v>
      </c>
      <c r="S8" t="n">
        <v>14.9577738439618</v>
      </c>
      <c r="T8" t="n">
        <v>10.6841241742585</v>
      </c>
      <c r="U8" t="n">
        <v>10.6841241742585</v>
      </c>
      <c r="V8" t="n">
        <v>9.61571175683261</v>
      </c>
      <c r="W8" t="n">
        <v>7.47888692198092</v>
      </c>
      <c r="X8" t="n">
        <v>17.0945986788135</v>
      </c>
      <c r="Y8" t="n">
        <v>29.9155476879237</v>
      </c>
      <c r="Z8" t="n">
        <v>20.2998359310911</v>
      </c>
      <c r="AA8" t="n">
        <v>19.2314235136652</v>
      </c>
      <c r="AB8" t="n">
        <v>26.7103104356461</v>
      </c>
      <c r="AC8" t="n">
        <v>49.1469712015889</v>
      </c>
      <c r="AD8" t="n">
        <v>55.4210526315789</v>
      </c>
      <c r="AE8" t="n">
        <v>39</v>
      </c>
      <c r="AF8" t="n">
        <v>25</v>
      </c>
    </row>
    <row r="9">
      <c r="A9" t="s">
        <v>53</v>
      </c>
      <c r="B9" t="s">
        <v>288</v>
      </c>
      <c r="C9" t="s">
        <v>236</v>
      </c>
      <c r="D9" t="s">
        <v>289</v>
      </c>
      <c r="E9" t="s">
        <v>237</v>
      </c>
      <c r="F9" t="n">
        <v>6</v>
      </c>
      <c r="G9" t="n">
        <v>10</v>
      </c>
      <c r="H9" t="n">
        <v>8</v>
      </c>
      <c r="I9" t="n">
        <v>15</v>
      </c>
      <c r="J9" t="n">
        <v>11</v>
      </c>
      <c r="K9" t="n">
        <v>8</v>
      </c>
      <c r="L9" t="n">
        <v>13</v>
      </c>
      <c r="M9" t="n">
        <v>17</v>
      </c>
      <c r="N9" t="n">
        <v>16</v>
      </c>
      <c r="O9" t="n">
        <v>14</v>
      </c>
      <c r="P9" t="n">
        <v>16</v>
      </c>
      <c r="Q9" t="n">
        <v>14</v>
      </c>
      <c r="R9" t="n">
        <v>15</v>
      </c>
      <c r="S9" t="n">
        <v>20</v>
      </c>
      <c r="T9" t="n">
        <v>29</v>
      </c>
      <c r="U9" t="n">
        <v>19</v>
      </c>
      <c r="V9" t="n">
        <v>17</v>
      </c>
      <c r="W9" t="n">
        <v>24</v>
      </c>
      <c r="X9" t="n">
        <v>21</v>
      </c>
      <c r="Y9" t="n">
        <v>18</v>
      </c>
      <c r="Z9" t="n">
        <v>23</v>
      </c>
      <c r="AA9" t="n">
        <v>17</v>
      </c>
      <c r="AB9" t="n">
        <v>36</v>
      </c>
      <c r="AC9" t="n">
        <v>38</v>
      </c>
      <c r="AD9" t="n">
        <v>35</v>
      </c>
      <c r="AE9" t="n">
        <v>45</v>
      </c>
      <c r="AF9" t="n">
        <v>43</v>
      </c>
    </row>
    <row r="10">
      <c r="A10" t="s">
        <v>53</v>
      </c>
      <c r="B10" t="s">
        <v>290</v>
      </c>
      <c r="C10" t="s">
        <v>236</v>
      </c>
      <c r="D10" t="s">
        <v>291</v>
      </c>
      <c r="E10" t="s">
        <v>237</v>
      </c>
      <c r="F10" t="n">
        <v>8</v>
      </c>
      <c r="G10" t="n">
        <v>11</v>
      </c>
      <c r="H10" t="n">
        <v>12</v>
      </c>
      <c r="I10" t="n">
        <v>22</v>
      </c>
      <c r="J10" t="n">
        <v>15</v>
      </c>
      <c r="K10" t="n">
        <v>11</v>
      </c>
      <c r="L10" t="n">
        <v>18</v>
      </c>
      <c r="M10" t="n">
        <v>27</v>
      </c>
      <c r="N10" t="n">
        <v>22</v>
      </c>
      <c r="O10" t="n">
        <v>20</v>
      </c>
      <c r="P10" t="n">
        <v>22</v>
      </c>
      <c r="Q10" t="n">
        <v>18</v>
      </c>
      <c r="R10" t="n">
        <v>19</v>
      </c>
      <c r="S10" t="n">
        <v>25</v>
      </c>
      <c r="T10" t="n">
        <v>34</v>
      </c>
      <c r="U10" t="n">
        <v>26</v>
      </c>
      <c r="V10" t="n">
        <v>24</v>
      </c>
      <c r="W10" t="n">
        <v>32</v>
      </c>
      <c r="X10" t="n">
        <v>29</v>
      </c>
      <c r="Y10" t="n">
        <v>26</v>
      </c>
      <c r="Z10" t="n">
        <v>31</v>
      </c>
      <c r="AA10" t="n">
        <v>26</v>
      </c>
      <c r="AB10" t="n">
        <v>44</v>
      </c>
      <c r="AC10" t="n">
        <v>45</v>
      </c>
      <c r="AD10" t="n">
        <v>52</v>
      </c>
      <c r="AE10" t="n">
        <v>54</v>
      </c>
      <c r="AF10" t="n">
        <v>54</v>
      </c>
    </row>
    <row r="11">
      <c r="A11" t="s">
        <v>53</v>
      </c>
      <c r="B11" t="s">
        <v>292</v>
      </c>
      <c r="C11" t="s">
        <v>236</v>
      </c>
      <c r="D11" t="s">
        <v>293</v>
      </c>
      <c r="E11" t="s">
        <v>237</v>
      </c>
      <c r="F11" t="n">
        <v>2</v>
      </c>
      <c r="G11" t="n">
        <v>1</v>
      </c>
      <c r="H11" t="n">
        <v>4</v>
      </c>
      <c r="I11" t="n">
        <v>7</v>
      </c>
      <c r="J11" t="n">
        <v>4</v>
      </c>
      <c r="K11" t="n">
        <v>3</v>
      </c>
      <c r="L11" t="n">
        <v>5</v>
      </c>
      <c r="M11" t="n">
        <v>10</v>
      </c>
      <c r="N11" t="n">
        <v>6</v>
      </c>
      <c r="O11" t="n">
        <v>6</v>
      </c>
      <c r="P11" t="n">
        <v>6</v>
      </c>
      <c r="Q11" t="n">
        <v>4</v>
      </c>
      <c r="R11" t="n">
        <v>4</v>
      </c>
      <c r="S11" t="n">
        <v>5</v>
      </c>
      <c r="T11" t="n">
        <v>5</v>
      </c>
      <c r="U11" t="n">
        <v>7</v>
      </c>
      <c r="V11" t="n">
        <v>7</v>
      </c>
      <c r="W11" t="n">
        <v>8</v>
      </c>
      <c r="X11" t="n">
        <v>8</v>
      </c>
      <c r="Y11" t="n">
        <v>8</v>
      </c>
      <c r="Z11" t="n">
        <v>8</v>
      </c>
      <c r="AA11" t="n">
        <v>9</v>
      </c>
      <c r="AB11" t="n">
        <v>8</v>
      </c>
      <c r="AC11" t="n">
        <v>7</v>
      </c>
      <c r="AD11" t="n">
        <v>17</v>
      </c>
      <c r="AE11" t="n">
        <v>9</v>
      </c>
      <c r="AF11" t="n">
        <v>11</v>
      </c>
    </row>
    <row r="12">
      <c r="A12" t="s">
        <v>53</v>
      </c>
      <c r="B12" t="s">
        <v>294</v>
      </c>
      <c r="C12" t="s">
        <v>236</v>
      </c>
      <c r="D12" t="s">
        <v>295</v>
      </c>
      <c r="E12" t="s">
        <v>237</v>
      </c>
      <c r="F12" t="n">
        <v>18.8936170212766</v>
      </c>
      <c r="G12" t="n">
        <v>18.8936170212766</v>
      </c>
      <c r="H12" t="n">
        <v>26.2411347517731</v>
      </c>
      <c r="I12" t="n">
        <v>27.290780141844</v>
      </c>
      <c r="J12" t="n">
        <v>31.4893617021277</v>
      </c>
      <c r="K12" t="n">
        <v>33.5886524822695</v>
      </c>
      <c r="L12" t="n">
        <v>30.4397163120567</v>
      </c>
      <c r="M12" t="n">
        <v>16.7943262411348</v>
      </c>
      <c r="N12" t="n">
        <v>19.9432624113475</v>
      </c>
      <c r="O12" t="n">
        <v>25.1914893617021</v>
      </c>
      <c r="P12" t="n">
        <v>24.1418439716312</v>
      </c>
      <c r="Q12" t="n">
        <v>49.3333333333333</v>
      </c>
      <c r="R12" t="n">
        <v>35.9722222222222</v>
      </c>
      <c r="S12" t="n">
        <v>37</v>
      </c>
      <c r="T12" t="n">
        <v>28</v>
      </c>
      <c r="U12" t="n">
        <v>26</v>
      </c>
      <c r="V12" t="n">
        <v>33</v>
      </c>
      <c r="W12" t="n">
        <v>26</v>
      </c>
      <c r="X12" t="n">
        <v>25</v>
      </c>
      <c r="Y12" t="n">
        <v>27</v>
      </c>
      <c r="Z12" t="n">
        <v>28</v>
      </c>
      <c r="AA12" t="n">
        <v>22</v>
      </c>
      <c r="AB12" t="n">
        <v>27</v>
      </c>
      <c r="AC12" t="n">
        <v>39</v>
      </c>
      <c r="AD12" t="n">
        <v>51</v>
      </c>
      <c r="AE12" t="n">
        <v>53</v>
      </c>
      <c r="AF12" t="n">
        <v>52</v>
      </c>
    </row>
    <row r="13">
      <c r="A13" t="s">
        <v>53</v>
      </c>
      <c r="B13" t="s">
        <v>296</v>
      </c>
      <c r="C13" t="s">
        <v>236</v>
      </c>
      <c r="D13" t="s">
        <v>297</v>
      </c>
      <c r="E13" t="s">
        <v>237</v>
      </c>
      <c r="F13" t="n">
        <v>20.3968756309651</v>
      </c>
      <c r="G13" t="n">
        <v>13.9557570106603</v>
      </c>
      <c r="H13" t="n">
        <v>19.3233558609143</v>
      </c>
      <c r="I13" t="n">
        <v>25.7644744812191</v>
      </c>
      <c r="J13" t="n">
        <v>22.5439151710667</v>
      </c>
      <c r="K13" t="n">
        <v>21.4703954010159</v>
      </c>
      <c r="L13" t="n">
        <v>46.1613501121842</v>
      </c>
      <c r="M13" t="n">
        <v>28.9850337913715</v>
      </c>
      <c r="N13" t="n">
        <v>54.7495082725905</v>
      </c>
      <c r="O13" t="n">
        <v>47.0845771144279</v>
      </c>
      <c r="P13" t="n">
        <v>63.1361374943464</v>
      </c>
      <c r="Q13" t="n">
        <v>54.5753052917232</v>
      </c>
      <c r="R13" t="n">
        <v>67.1696065128901</v>
      </c>
      <c r="S13" t="n">
        <v>56.8358208955224</v>
      </c>
      <c r="T13" t="n">
        <v>51.7611940298507</v>
      </c>
      <c r="U13" t="n">
        <v>47.7014925373134</v>
      </c>
      <c r="V13" t="n">
        <v>47.7014925373134</v>
      </c>
      <c r="W13" t="n">
        <v>58.865671641791</v>
      </c>
      <c r="X13" t="n">
        <v>40.5970149253731</v>
      </c>
      <c r="Y13" t="n">
        <v>68</v>
      </c>
      <c r="Z13" t="n">
        <v>64</v>
      </c>
      <c r="AA13" t="n">
        <v>65</v>
      </c>
      <c r="AB13" t="n">
        <v>74</v>
      </c>
      <c r="AC13" t="n">
        <v>64</v>
      </c>
      <c r="AD13" t="n">
        <v>86</v>
      </c>
      <c r="AE13" t="n">
        <v>90</v>
      </c>
      <c r="AF13" t="n">
        <v>115</v>
      </c>
    </row>
    <row r="14">
      <c r="A14" t="s">
        <v>53</v>
      </c>
      <c r="B14" t="s">
        <v>298</v>
      </c>
      <c r="C14" t="s">
        <v>236</v>
      </c>
      <c r="D14" t="s">
        <v>299</v>
      </c>
      <c r="E14" t="s">
        <v>237</v>
      </c>
      <c r="F14" t="n">
        <v>22.8843404687144</v>
      </c>
      <c r="G14" t="n">
        <v>13.984874730881</v>
      </c>
      <c r="H14" t="n">
        <v>17.7989314756668</v>
      </c>
      <c r="I14" t="n">
        <v>48.3113854339526</v>
      </c>
      <c r="J14" t="n">
        <v>102.979532109215</v>
      </c>
      <c r="K14" t="n">
        <v>115.851973622867</v>
      </c>
      <c r="L14" t="n">
        <v>133.873391741979</v>
      </c>
      <c r="M14" t="n">
        <v>185.863058437894</v>
      </c>
      <c r="N14" t="n">
        <v>197.726657912653</v>
      </c>
      <c r="O14" t="n">
        <v>174.860309718672</v>
      </c>
      <c r="P14" t="n">
        <v>198.93527989733</v>
      </c>
      <c r="Q14" t="n">
        <v>273.221238846333</v>
      </c>
      <c r="R14" t="n">
        <v>281.759402560281</v>
      </c>
      <c r="S14" t="n">
        <v>315.330735631293</v>
      </c>
      <c r="T14" t="n">
        <v>331.620884335493</v>
      </c>
      <c r="U14" t="n">
        <v>374.522886854421</v>
      </c>
      <c r="V14" t="n">
        <v>421.770389503747</v>
      </c>
      <c r="W14" t="n">
        <v>383.324831211181</v>
      </c>
      <c r="X14" t="n">
        <v>330.14681994489</v>
      </c>
      <c r="Y14" t="n">
        <v>276.756740151822</v>
      </c>
      <c r="Z14" t="n">
        <v>238.139520595754</v>
      </c>
      <c r="AA14" t="n">
        <v>207.445982385634</v>
      </c>
      <c r="AB14" t="n">
        <v>227.352415038801</v>
      </c>
      <c r="AC14" t="n">
        <v>307.289108910891</v>
      </c>
      <c r="AD14" t="n">
        <v>415.2</v>
      </c>
      <c r="AE14" t="n">
        <v>346</v>
      </c>
      <c r="AF14" t="n">
        <v>339</v>
      </c>
    </row>
    <row r="15">
      <c r="A15" t="s">
        <v>53</v>
      </c>
      <c r="B15" t="s">
        <v>300</v>
      </c>
      <c r="C15" t="s">
        <v>236</v>
      </c>
      <c r="D15" t="s">
        <v>301</v>
      </c>
      <c r="E15" t="s">
        <v>237</v>
      </c>
      <c r="F15" t="n">
        <v>45.0885753955971</v>
      </c>
      <c r="G15" t="n">
        <v>36.3213524020088</v>
      </c>
      <c r="H15" t="n">
        <v>37.5738128296642</v>
      </c>
      <c r="I15" t="n">
        <v>70.1377839487066</v>
      </c>
      <c r="J15" t="n">
        <v>125.246042765547</v>
      </c>
      <c r="K15" t="n">
        <v>134.101823567152</v>
      </c>
      <c r="L15" t="n">
        <v>149.283162084188</v>
      </c>
      <c r="M15" t="n">
        <v>190.112744876444</v>
      </c>
      <c r="N15" t="n">
        <v>219.858276387725</v>
      </c>
      <c r="O15" t="n">
        <v>189.578394010972</v>
      </c>
      <c r="P15" t="n">
        <v>217.017372091508</v>
      </c>
      <c r="Q15" t="n">
        <v>296.383725313545</v>
      </c>
      <c r="R15" t="n">
        <v>304.817408554174</v>
      </c>
      <c r="S15" t="n">
        <v>352.259806772723</v>
      </c>
      <c r="T15" t="n">
        <v>376.43449939438</v>
      </c>
      <c r="U15" t="n">
        <v>410.864484095086</v>
      </c>
      <c r="V15" t="n">
        <v>455.374803205387</v>
      </c>
      <c r="W15" t="n">
        <v>413.977093823079</v>
      </c>
      <c r="X15" t="n">
        <v>346.994062727037</v>
      </c>
      <c r="Y15" t="n">
        <v>304.835905573285</v>
      </c>
      <c r="Z15" t="n">
        <v>256.872214136929</v>
      </c>
      <c r="AA15" t="n">
        <v>226.342319833769</v>
      </c>
      <c r="AB15" t="n">
        <v>257.633884787746</v>
      </c>
      <c r="AC15" t="n">
        <v>340.407823675376</v>
      </c>
      <c r="AD15" t="n">
        <v>453.193548387097</v>
      </c>
      <c r="AE15" t="n">
        <v>378</v>
      </c>
      <c r="AF15" t="n">
        <v>373</v>
      </c>
    </row>
    <row r="16">
      <c r="A16" t="s">
        <v>53</v>
      </c>
      <c r="B16" t="s">
        <v>302</v>
      </c>
      <c r="C16" t="s">
        <v>236</v>
      </c>
      <c r="D16" t="s">
        <v>303</v>
      </c>
      <c r="E16" t="s">
        <v>237</v>
      </c>
      <c r="F16" t="n">
        <v>19.0909090909091</v>
      </c>
      <c r="G16" t="n">
        <v>19.0909090909091</v>
      </c>
      <c r="H16" t="n">
        <v>16.969696969697</v>
      </c>
      <c r="I16" t="n">
        <v>19.0909090909091</v>
      </c>
      <c r="J16" t="n">
        <v>20.1515151515152</v>
      </c>
      <c r="K16" t="n">
        <v>16.969696969697</v>
      </c>
      <c r="L16" t="n">
        <v>14.8484848484848</v>
      </c>
      <c r="M16" t="n">
        <v>6.36363636363636</v>
      </c>
      <c r="N16" t="n">
        <v>21.2121212121212</v>
      </c>
      <c r="O16" t="n">
        <v>14.8484848484848</v>
      </c>
      <c r="P16" t="n">
        <v>18.030303030303</v>
      </c>
      <c r="Q16" t="n">
        <v>23.3333333333333</v>
      </c>
      <c r="R16" t="n">
        <v>23.3333333333333</v>
      </c>
      <c r="S16" t="n">
        <v>36.0606060606061</v>
      </c>
      <c r="T16" t="n">
        <v>43.2727272727273</v>
      </c>
      <c r="U16" t="n">
        <v>36.0606060606061</v>
      </c>
      <c r="V16" t="n">
        <v>34</v>
      </c>
      <c r="W16" t="n">
        <v>31</v>
      </c>
      <c r="X16" t="n">
        <v>18</v>
      </c>
      <c r="Y16" t="n">
        <v>28</v>
      </c>
      <c r="Z16" t="n">
        <v>19</v>
      </c>
      <c r="AA16" t="n">
        <v>19</v>
      </c>
      <c r="AB16" t="n">
        <v>30</v>
      </c>
      <c r="AC16" t="n">
        <v>33</v>
      </c>
      <c r="AD16" t="n">
        <v>38</v>
      </c>
      <c r="AE16" t="n">
        <v>32</v>
      </c>
      <c r="AF16" t="n">
        <v>34</v>
      </c>
    </row>
    <row r="17">
      <c r="A17" t="s">
        <v>53</v>
      </c>
      <c r="B17" t="s">
        <v>304</v>
      </c>
      <c r="C17" t="s">
        <v>236</v>
      </c>
      <c r="D17" t="s">
        <v>305</v>
      </c>
      <c r="E17" t="s">
        <v>237</v>
      </c>
      <c r="F17" t="n">
        <v>40.5503744541094</v>
      </c>
      <c r="G17" t="n">
        <v>35.318068072934</v>
      </c>
      <c r="H17" t="n">
        <v>57.5553701929295</v>
      </c>
      <c r="I17" t="n">
        <v>45.7826808352848</v>
      </c>
      <c r="J17" t="n">
        <v>44.474604239991</v>
      </c>
      <c r="K17" t="n">
        <v>57.5553701929295</v>
      </c>
      <c r="L17" t="n">
        <v>57.5553701929295</v>
      </c>
      <c r="M17" t="n">
        <v>30.0857616917586</v>
      </c>
      <c r="N17" t="n">
        <v>73.2522893364557</v>
      </c>
      <c r="O17" t="n">
        <v>79.792672312925</v>
      </c>
      <c r="P17" t="n">
        <v>82.3257730212718</v>
      </c>
      <c r="Q17" t="n">
        <v>69.6602694795377</v>
      </c>
      <c r="R17" t="n">
        <v>97.0268039179275</v>
      </c>
      <c r="S17" t="n">
        <v>95.7986165265614</v>
      </c>
      <c r="T17" t="n">
        <v>143.10657530511</v>
      </c>
      <c r="U17" t="n">
        <v>145.471973244038</v>
      </c>
      <c r="V17" t="n">
        <v>128.914187671546</v>
      </c>
      <c r="W17" t="n">
        <v>131.216226737109</v>
      </c>
      <c r="X17" t="n">
        <v>152.524844754246</v>
      </c>
      <c r="Y17" t="n">
        <v>172.2762634994</v>
      </c>
      <c r="Z17" t="n">
        <v>203.501336258667</v>
      </c>
      <c r="AA17" t="n">
        <v>160.045321745097</v>
      </c>
      <c r="AB17" t="n">
        <v>175.839267969942</v>
      </c>
      <c r="AC17" t="n">
        <v>219.281910644869</v>
      </c>
      <c r="AD17" t="n">
        <v>181.545023696682</v>
      </c>
      <c r="AE17" t="n">
        <v>214</v>
      </c>
      <c r="AF17" t="n">
        <v>225</v>
      </c>
    </row>
    <row r="18">
      <c r="A18" t="s">
        <v>53</v>
      </c>
      <c r="B18" t="s">
        <v>306</v>
      </c>
      <c r="C18" t="s">
        <v>236</v>
      </c>
      <c r="D18" t="s">
        <v>307</v>
      </c>
      <c r="E18" t="s">
        <v>237</v>
      </c>
      <c r="F18" t="n">
        <v>8</v>
      </c>
      <c r="G18" t="n">
        <v>6</v>
      </c>
      <c r="H18" t="n">
        <v>7</v>
      </c>
      <c r="I18" t="n">
        <v>24</v>
      </c>
      <c r="J18" t="n">
        <v>11</v>
      </c>
      <c r="K18" t="n">
        <v>10</v>
      </c>
      <c r="L18" t="n">
        <v>12</v>
      </c>
      <c r="M18" t="n">
        <v>4</v>
      </c>
      <c r="N18" t="n">
        <v>10</v>
      </c>
      <c r="O18" t="n">
        <v>9</v>
      </c>
      <c r="P18" t="n">
        <v>8</v>
      </c>
      <c r="Q18" t="n">
        <v>6</v>
      </c>
      <c r="R18" t="n">
        <v>8</v>
      </c>
      <c r="S18" t="n">
        <v>8</v>
      </c>
      <c r="T18" t="n">
        <v>10</v>
      </c>
      <c r="U18" t="n">
        <v>9</v>
      </c>
      <c r="V18" t="n">
        <v>13</v>
      </c>
      <c r="W18" t="n">
        <v>19</v>
      </c>
      <c r="X18" t="n">
        <v>15</v>
      </c>
      <c r="Y18" t="n">
        <v>13</v>
      </c>
      <c r="Z18" t="n">
        <v>12</v>
      </c>
      <c r="AA18" t="n">
        <v>17</v>
      </c>
      <c r="AB18" t="n">
        <v>18</v>
      </c>
      <c r="AC18" t="n">
        <v>17</v>
      </c>
      <c r="AD18" t="n">
        <v>17</v>
      </c>
      <c r="AE18" t="n">
        <v>15</v>
      </c>
      <c r="AF18" t="n">
        <v>20</v>
      </c>
    </row>
    <row r="19">
      <c r="A19" t="s">
        <v>53</v>
      </c>
      <c r="B19" t="s">
        <v>308</v>
      </c>
      <c r="C19" t="s">
        <v>236</v>
      </c>
      <c r="D19" t="s">
        <v>309</v>
      </c>
      <c r="E19" t="s">
        <v>237</v>
      </c>
      <c r="F19" t="n">
        <v>14</v>
      </c>
      <c r="G19" t="n">
        <v>12</v>
      </c>
      <c r="H19" t="n">
        <v>16</v>
      </c>
      <c r="I19" t="n">
        <v>15</v>
      </c>
      <c r="J19" t="n">
        <v>19</v>
      </c>
      <c r="K19" t="n">
        <v>19</v>
      </c>
      <c r="L19" t="n">
        <v>22</v>
      </c>
      <c r="M19" t="n">
        <v>13</v>
      </c>
      <c r="N19" t="n">
        <v>19</v>
      </c>
      <c r="O19" t="n">
        <v>19</v>
      </c>
      <c r="P19" t="n">
        <v>20</v>
      </c>
      <c r="Q19" t="n">
        <v>14</v>
      </c>
      <c r="R19" t="n">
        <v>21</v>
      </c>
      <c r="S19" t="n">
        <v>13</v>
      </c>
      <c r="T19" t="n">
        <v>16</v>
      </c>
      <c r="U19" t="n">
        <v>24</v>
      </c>
      <c r="V19" t="n">
        <v>18</v>
      </c>
      <c r="W19" t="n">
        <v>24</v>
      </c>
      <c r="X19" t="n">
        <v>28</v>
      </c>
      <c r="Y19" t="n">
        <v>23</v>
      </c>
      <c r="Z19" t="n">
        <v>27</v>
      </c>
      <c r="AA19" t="n">
        <v>26</v>
      </c>
      <c r="AB19" t="n">
        <v>22</v>
      </c>
      <c r="AC19" t="n">
        <v>34</v>
      </c>
      <c r="AD19" t="n">
        <v>49</v>
      </c>
      <c r="AE19" t="n">
        <v>56</v>
      </c>
      <c r="AF19" t="n">
        <v>61</v>
      </c>
    </row>
    <row r="20">
      <c r="A20" t="s">
        <v>53</v>
      </c>
      <c r="B20" t="s">
        <v>310</v>
      </c>
      <c r="C20" t="s">
        <v>236</v>
      </c>
      <c r="D20" t="s">
        <v>311</v>
      </c>
      <c r="E20" t="s">
        <v>237</v>
      </c>
      <c r="F20" t="n">
        <v>17.8462816706331</v>
      </c>
      <c r="G20" t="n">
        <v>16.5715472655879</v>
      </c>
      <c r="H20" t="n">
        <v>19.1210160756784</v>
      </c>
      <c r="I20" t="n">
        <v>29.3188913160401</v>
      </c>
      <c r="J20" t="n">
        <v>33.1430945311758</v>
      </c>
      <c r="K20" t="n">
        <v>34.417828936221</v>
      </c>
      <c r="L20" t="n">
        <v>38.2420321513567</v>
      </c>
      <c r="M20" t="n">
        <v>38.2420321513567</v>
      </c>
      <c r="N20" t="n">
        <v>30.5936257210854</v>
      </c>
      <c r="O20" t="n">
        <v>34.417828936221</v>
      </c>
      <c r="P20" t="n">
        <v>60.2312006383868</v>
      </c>
      <c r="Q20" t="n">
        <v>51.6267434043316</v>
      </c>
      <c r="R20" t="n">
        <v>52.8273653439672</v>
      </c>
      <c r="S20" t="n">
        <v>56.3491897002317</v>
      </c>
      <c r="T20" t="n">
        <v>67.849024332932</v>
      </c>
      <c r="U20" t="n">
        <v>64.3990739431219</v>
      </c>
      <c r="V20" t="n">
        <v>79.3488589656323</v>
      </c>
      <c r="W20" t="n">
        <v>82.7495243498737</v>
      </c>
      <c r="X20" t="n">
        <v>101.506083202512</v>
      </c>
      <c r="Y20" t="n">
        <v>95.0269715087344</v>
      </c>
      <c r="Z20" t="n">
        <v>95.0269715087344</v>
      </c>
      <c r="AA20" t="n">
        <v>103.473813420622</v>
      </c>
      <c r="AB20" t="n">
        <v>98.2478632478633</v>
      </c>
      <c r="AC20" t="n">
        <v>121</v>
      </c>
      <c r="AD20" t="n">
        <v>121</v>
      </c>
      <c r="AE20" t="n">
        <v>121</v>
      </c>
      <c r="AF20" t="n">
        <v>147</v>
      </c>
    </row>
    <row r="21">
      <c r="A21" t="s">
        <v>53</v>
      </c>
      <c r="B21" t="s">
        <v>312</v>
      </c>
      <c r="C21" t="s">
        <v>236</v>
      </c>
      <c r="D21" t="s">
        <v>313</v>
      </c>
      <c r="E21" t="s">
        <v>237</v>
      </c>
      <c r="F21" t="n">
        <v>17.5548922389979</v>
      </c>
      <c r="G21" t="n">
        <v>16.3009713647838</v>
      </c>
      <c r="H21" t="n">
        <v>18.8088131132121</v>
      </c>
      <c r="I21" t="n">
        <v>28.8401801069252</v>
      </c>
      <c r="J21" t="n">
        <v>33.8558636037817</v>
      </c>
      <c r="K21" t="n">
        <v>35.1097844779959</v>
      </c>
      <c r="L21" t="n">
        <v>40.1254679748524</v>
      </c>
      <c r="M21" t="n">
        <v>38.8715471006383</v>
      </c>
      <c r="N21" t="n">
        <v>33.8558636037817</v>
      </c>
      <c r="O21" t="n">
        <v>36.36370535221</v>
      </c>
      <c r="P21" t="n">
        <v>63.0304226104974</v>
      </c>
      <c r="Q21" t="n">
        <v>53.3334345165747</v>
      </c>
      <c r="R21" t="n">
        <v>56.8889968176797</v>
      </c>
      <c r="S21" t="n">
        <v>59.2109966877891</v>
      </c>
      <c r="T21" t="n">
        <v>70.5977268200562</v>
      </c>
      <c r="U21" t="n">
        <v>71.7363998332829</v>
      </c>
      <c r="V21" t="n">
        <v>81.9844569523233</v>
      </c>
      <c r="W21" t="n">
        <v>85.353681210638</v>
      </c>
      <c r="X21" t="n">
        <v>107.239240495417</v>
      </c>
      <c r="Y21" t="n">
        <v>106.166848090463</v>
      </c>
      <c r="Z21" t="n">
        <v>105.105179609558</v>
      </c>
      <c r="AA21" t="n">
        <v>112.462542182227</v>
      </c>
      <c r="AB21" t="n">
        <v>109.338582677165</v>
      </c>
      <c r="AC21" t="n">
        <v>131</v>
      </c>
      <c r="AD21" t="n">
        <v>133.046875</v>
      </c>
      <c r="AE21" t="n">
        <v>130</v>
      </c>
      <c r="AF21" t="n">
        <v>157</v>
      </c>
    </row>
    <row r="22">
      <c r="A22" t="s">
        <v>53</v>
      </c>
      <c r="B22" t="s">
        <v>314</v>
      </c>
      <c r="C22" t="s">
        <v>236</v>
      </c>
      <c r="D22" t="s">
        <v>315</v>
      </c>
      <c r="E22" t="s">
        <v>237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1</v>
      </c>
      <c r="L22" t="n">
        <v>2</v>
      </c>
      <c r="M22" t="n">
        <v>1</v>
      </c>
      <c r="N22" t="n">
        <v>3</v>
      </c>
      <c r="O22" t="n">
        <v>2</v>
      </c>
      <c r="P22" t="n">
        <v>3</v>
      </c>
      <c r="Q22" t="n">
        <v>2</v>
      </c>
      <c r="R22" t="n">
        <v>4</v>
      </c>
      <c r="S22" t="n">
        <v>3</v>
      </c>
      <c r="T22" t="n">
        <v>3</v>
      </c>
      <c r="U22" t="n">
        <v>7</v>
      </c>
      <c r="V22" t="n">
        <v>3</v>
      </c>
      <c r="W22" t="n">
        <v>3</v>
      </c>
      <c r="X22" t="n">
        <v>6</v>
      </c>
      <c r="Y22" t="n">
        <v>11</v>
      </c>
      <c r="Z22" t="n">
        <v>10</v>
      </c>
      <c r="AA22" t="n">
        <v>9</v>
      </c>
      <c r="AB22" t="n">
        <v>11</v>
      </c>
      <c r="AC22" t="n">
        <v>10</v>
      </c>
      <c r="AD22" t="n">
        <v>12</v>
      </c>
      <c r="AE22" t="n">
        <v>9</v>
      </c>
      <c r="AF22" t="n">
        <v>10</v>
      </c>
    </row>
    <row r="23">
      <c r="A23" t="s">
        <v>53</v>
      </c>
      <c r="B23" t="s">
        <v>316</v>
      </c>
      <c r="C23" t="s">
        <v>236</v>
      </c>
      <c r="D23" t="s">
        <v>317</v>
      </c>
      <c r="E23" t="s">
        <v>237</v>
      </c>
      <c r="F23" t="n">
        <v>21.4368548432689</v>
      </c>
      <c r="G23" t="n">
        <v>20.2459184630873</v>
      </c>
      <c r="H23" t="n">
        <v>22.6277912234505</v>
      </c>
      <c r="I23" t="n">
        <v>29.7734095045401</v>
      </c>
      <c r="J23" t="n">
        <v>32.1552822649033</v>
      </c>
      <c r="K23" t="n">
        <v>35.7280914054481</v>
      </c>
      <c r="L23" t="n">
        <v>36.9190277856297</v>
      </c>
      <c r="M23" t="n">
        <v>39.3009005459929</v>
      </c>
      <c r="N23" t="n">
        <v>44.0646460667193</v>
      </c>
      <c r="O23" t="n">
        <v>41.6827733063561</v>
      </c>
      <c r="P23" t="n">
        <v>48.6299021907488</v>
      </c>
      <c r="Q23" t="n">
        <v>49.7877570048143</v>
      </c>
      <c r="R23" t="n">
        <v>29.4200382301175</v>
      </c>
      <c r="S23" t="n">
        <v>65.6293160518006</v>
      </c>
      <c r="T23" t="n">
        <v>40.471411565277</v>
      </c>
      <c r="U23" t="n">
        <v>47.0343431704571</v>
      </c>
      <c r="V23" t="n">
        <v>36.0961238284903</v>
      </c>
      <c r="W23" t="n">
        <v>60.1602063808172</v>
      </c>
      <c r="X23" t="n">
        <v>52.6401805832151</v>
      </c>
      <c r="Y23" t="n">
        <v>82.7202837736237</v>
      </c>
      <c r="Z23" t="n">
        <v>91.2044154427133</v>
      </c>
      <c r="AA23" t="n">
        <v>95.3977218998496</v>
      </c>
      <c r="AB23" t="n">
        <v>136.874992291089</v>
      </c>
      <c r="AC23" t="n">
        <v>96.7387163561077</v>
      </c>
      <c r="AD23" t="n">
        <v>117.104761904762</v>
      </c>
      <c r="AE23" t="n">
        <v>106</v>
      </c>
      <c r="AF23" t="n">
        <v>106</v>
      </c>
    </row>
    <row r="24">
      <c r="A24" t="s">
        <v>53</v>
      </c>
      <c r="B24" t="s">
        <v>318</v>
      </c>
      <c r="C24" t="s">
        <v>236</v>
      </c>
      <c r="D24" t="s">
        <v>319</v>
      </c>
      <c r="E24" t="s">
        <v>237</v>
      </c>
      <c r="F24" t="n">
        <v>43.3606953311064</v>
      </c>
      <c r="G24" t="n">
        <v>47.0773263594869</v>
      </c>
      <c r="H24" t="n">
        <v>59.4660964540887</v>
      </c>
      <c r="I24" t="n">
        <v>89.1991446811331</v>
      </c>
      <c r="J24" t="n">
        <v>113.976684870337</v>
      </c>
      <c r="K24" t="n">
        <v>149.04643406121</v>
      </c>
      <c r="L24" t="n">
        <v>186.621165337145</v>
      </c>
      <c r="M24" t="n">
        <v>220.898522235804</v>
      </c>
      <c r="N24" t="n">
        <v>331.993685465507</v>
      </c>
      <c r="O24" t="n">
        <v>296.422933451345</v>
      </c>
      <c r="P24" t="n">
        <v>293.889404105607</v>
      </c>
      <c r="Q24" t="n">
        <v>252.265582923268</v>
      </c>
      <c r="R24" t="n">
        <v>249.816402506537</v>
      </c>
      <c r="S24" t="n">
        <v>290.651775993183</v>
      </c>
      <c r="T24" t="n">
        <v>276.70049074551</v>
      </c>
      <c r="U24" t="n">
        <v>258.176608519869</v>
      </c>
      <c r="V24" t="n">
        <v>282.380665568607</v>
      </c>
      <c r="W24" t="n">
        <v>370.483433226012</v>
      </c>
      <c r="X24" t="n">
        <v>416.793862379264</v>
      </c>
      <c r="Y24" t="n">
        <v>461.295290393716</v>
      </c>
      <c r="Z24" t="n">
        <v>403.633379094502</v>
      </c>
      <c r="AA24" t="n">
        <v>380.387477680682</v>
      </c>
      <c r="AB24" t="n">
        <v>392.962270331283</v>
      </c>
      <c r="AC24" t="n">
        <v>432.362181340752</v>
      </c>
      <c r="AD24" t="n">
        <v>421.092077087794</v>
      </c>
      <c r="AE24" t="n">
        <v>475</v>
      </c>
      <c r="AF24" t="n">
        <v>479</v>
      </c>
    </row>
    <row r="25">
      <c r="A25" t="s">
        <v>53</v>
      </c>
      <c r="B25" t="s">
        <v>320</v>
      </c>
      <c r="C25" t="s">
        <v>236</v>
      </c>
      <c r="D25" t="s">
        <v>321</v>
      </c>
      <c r="E25" t="s">
        <v>237</v>
      </c>
      <c r="F25" t="n">
        <v>6.11799952539155</v>
      </c>
      <c r="G25" t="n">
        <v>6.11799952539155</v>
      </c>
      <c r="H25" t="n">
        <v>7.34159943046986</v>
      </c>
      <c r="I25" t="n">
        <v>12.2359990507831</v>
      </c>
      <c r="J25" t="n">
        <v>14.6831988609397</v>
      </c>
      <c r="K25" t="n">
        <v>12.2359990507831</v>
      </c>
      <c r="L25" t="n">
        <v>15.906798766018</v>
      </c>
      <c r="M25" t="n">
        <v>15.906798766018</v>
      </c>
      <c r="N25" t="n">
        <v>19.577598481253</v>
      </c>
      <c r="O25" t="n">
        <v>17.1303986710963</v>
      </c>
      <c r="P25" t="n">
        <v>15.9883720930232</v>
      </c>
      <c r="Q25" t="n">
        <v>15.9883720930232</v>
      </c>
      <c r="R25" t="n">
        <v>20.5564784053156</v>
      </c>
      <c r="S25" t="n">
        <v>23.9825581395349</v>
      </c>
      <c r="T25" t="n">
        <v>22.8924418604651</v>
      </c>
      <c r="U25" t="n">
        <v>23.9825581395349</v>
      </c>
      <c r="V25" t="n">
        <v>17.4418604651163</v>
      </c>
      <c r="W25" t="n">
        <v>26.1627906976744</v>
      </c>
      <c r="X25" t="n">
        <v>24.0697674418605</v>
      </c>
      <c r="Y25" t="n">
        <v>28.2558139534884</v>
      </c>
      <c r="Z25" t="n">
        <v>24.0697674418605</v>
      </c>
      <c r="AA25" t="n">
        <v>28.2558139534884</v>
      </c>
      <c r="AB25" t="n">
        <v>28.2558139534884</v>
      </c>
      <c r="AC25" t="n">
        <v>45</v>
      </c>
      <c r="AD25" t="n">
        <v>39.8863636363636</v>
      </c>
      <c r="AE25" t="n">
        <v>45</v>
      </c>
      <c r="AF25" t="n">
        <v>40</v>
      </c>
    </row>
    <row r="26">
      <c r="A26" t="s">
        <v>53</v>
      </c>
      <c r="B26" t="s">
        <v>322</v>
      </c>
      <c r="C26" t="s">
        <v>236</v>
      </c>
      <c r="D26" t="s">
        <v>323</v>
      </c>
      <c r="E26" t="s">
        <v>237</v>
      </c>
      <c r="F26" t="n">
        <v>29.8250185106058</v>
      </c>
      <c r="G26" t="n">
        <v>32.3104367198229</v>
      </c>
      <c r="H26" t="n">
        <v>41.0094004520829</v>
      </c>
      <c r="I26" t="n">
        <v>60.8927461258201</v>
      </c>
      <c r="J26" t="n">
        <v>79.5333826949487</v>
      </c>
      <c r="K26" t="n">
        <v>109.831814197786</v>
      </c>
      <c r="L26" t="n">
        <v>137.605376408721</v>
      </c>
      <c r="M26" t="n">
        <v>165.898070623598</v>
      </c>
      <c r="N26" t="n">
        <v>261.25680413165</v>
      </c>
      <c r="O26" t="n">
        <v>229.266175054305</v>
      </c>
      <c r="P26" t="n">
        <v>220.250089518462</v>
      </c>
      <c r="Q26" t="n">
        <v>180.553852454088</v>
      </c>
      <c r="R26" t="n">
        <v>164.47713956434</v>
      </c>
      <c r="S26" t="n">
        <v>195.921298598699</v>
      </c>
      <c r="T26" t="n">
        <v>197.094480027434</v>
      </c>
      <c r="U26" t="n">
        <v>165.606012804116</v>
      </c>
      <c r="V26" t="n">
        <v>202.664700984058</v>
      </c>
      <c r="W26" t="n">
        <v>251.34951742157</v>
      </c>
      <c r="X26" t="n">
        <v>271.280316159844</v>
      </c>
      <c r="Y26" t="n">
        <v>283.264587154857</v>
      </c>
      <c r="Z26" t="n">
        <v>284.333510125253</v>
      </c>
      <c r="AA26" t="n">
        <v>245.224439959326</v>
      </c>
      <c r="AB26" t="n">
        <v>276.663470723342</v>
      </c>
      <c r="AC26" t="n">
        <v>281.844434594566</v>
      </c>
      <c r="AD26" t="n">
        <v>255.197324414716</v>
      </c>
      <c r="AE26" t="n">
        <v>304</v>
      </c>
      <c r="AF26" t="n">
        <v>291</v>
      </c>
    </row>
    <row r="27">
      <c r="A27" t="s">
        <v>53</v>
      </c>
      <c r="B27" t="s">
        <v>324</v>
      </c>
      <c r="C27" t="s">
        <v>236</v>
      </c>
      <c r="D27" t="s">
        <v>325</v>
      </c>
      <c r="E27" t="s">
        <v>237</v>
      </c>
      <c r="F27" t="n">
        <v>7.39573700133347</v>
      </c>
      <c r="G27" t="n">
        <v>8.62835983488905</v>
      </c>
      <c r="H27" t="n">
        <v>11.0936055020002</v>
      </c>
      <c r="I27" t="n">
        <v>16.0240968362225</v>
      </c>
      <c r="J27" t="n">
        <v>19.7219653368893</v>
      </c>
      <c r="K27" t="n">
        <v>27.1177023382227</v>
      </c>
      <c r="L27" t="n">
        <v>33.2808165060006</v>
      </c>
      <c r="M27" t="n">
        <v>39.4439306737785</v>
      </c>
      <c r="N27" t="n">
        <v>52.1677792782232</v>
      </c>
      <c r="O27" t="n">
        <v>50.8635847962676</v>
      </c>
      <c r="P27" t="n">
        <v>58.3070362298677</v>
      </c>
      <c r="Q27" t="n">
        <v>55.825885752001</v>
      </c>
      <c r="R27" t="n">
        <v>64.3211292360012</v>
      </c>
      <c r="S27" t="n">
        <v>70.2767893504457</v>
      </c>
      <c r="T27" t="n">
        <v>56.4518471831449</v>
      </c>
      <c r="U27" t="n">
        <v>67.9726323225623</v>
      </c>
      <c r="V27" t="n">
        <v>62.2122397528536</v>
      </c>
      <c r="W27" t="n">
        <v>92.7527938133454</v>
      </c>
      <c r="X27" t="n">
        <v>121.461991898428</v>
      </c>
      <c r="Y27" t="n">
        <v>149.658525731992</v>
      </c>
      <c r="Z27" t="n">
        <v>95.1400627867665</v>
      </c>
      <c r="AA27" t="n">
        <v>106.768292682927</v>
      </c>
      <c r="AB27" t="n">
        <v>87.9268292682927</v>
      </c>
      <c r="AC27" t="n">
        <v>105.512195121951</v>
      </c>
      <c r="AD27" t="n">
        <v>126</v>
      </c>
      <c r="AE27" t="n">
        <v>126</v>
      </c>
      <c r="AF27" t="n">
        <v>148</v>
      </c>
    </row>
    <row r="28">
      <c r="A28" t="s">
        <v>53</v>
      </c>
      <c r="B28" t="s">
        <v>326</v>
      </c>
      <c r="C28" t="s">
        <v>236</v>
      </c>
      <c r="D28" t="s">
        <v>327</v>
      </c>
      <c r="E28" t="s">
        <v>237</v>
      </c>
      <c r="F28" t="n">
        <v>63.6328616916073</v>
      </c>
      <c r="G28" t="n">
        <v>71.8815659849638</v>
      </c>
      <c r="H28" t="n">
        <v>84.8438155888098</v>
      </c>
      <c r="I28" t="n">
        <v>104.87638315839</v>
      </c>
      <c r="J28" t="n">
        <v>116.660246434613</v>
      </c>
      <c r="K28" t="n">
        <v>111.946701124124</v>
      </c>
      <c r="L28" t="n">
        <v>106.054769486012</v>
      </c>
      <c r="M28" t="n">
        <v>91.9141335545439</v>
      </c>
      <c r="N28" t="n">
        <v>90.7357472269216</v>
      </c>
      <c r="O28" t="n">
        <v>114.303473779369</v>
      </c>
      <c r="P28" t="n">
        <v>100.722863033305</v>
      </c>
      <c r="Q28" t="n">
        <v>101.854580595477</v>
      </c>
      <c r="R28" t="n">
        <v>91.8905455372239</v>
      </c>
      <c r="S28" t="n">
        <v>86.354970504861</v>
      </c>
      <c r="T28" t="n">
        <v>135.396064865646</v>
      </c>
      <c r="U28" t="n">
        <v>91.685524239729</v>
      </c>
      <c r="V28" t="n">
        <v>98.0821887215706</v>
      </c>
      <c r="W28" t="n">
        <v>107.574013436561</v>
      </c>
      <c r="X28" t="n">
        <v>92.0585307293649</v>
      </c>
      <c r="Y28" t="n">
        <v>104.33300149328</v>
      </c>
      <c r="Z28" t="n">
        <v>106.358885017422</v>
      </c>
      <c r="AA28" t="n">
        <v>120.540069686411</v>
      </c>
      <c r="AB28" t="n">
        <v>144.850671976107</v>
      </c>
      <c r="AC28" t="n">
        <v>148.90243902439</v>
      </c>
      <c r="AD28" t="n">
        <v>155.94512195122</v>
      </c>
      <c r="AE28" t="n">
        <v>165</v>
      </c>
      <c r="AF28" t="n">
        <v>152</v>
      </c>
    </row>
    <row r="29">
      <c r="A29" t="s">
        <v>53</v>
      </c>
      <c r="B29" t="s">
        <v>328</v>
      </c>
      <c r="C29" t="s">
        <v>236</v>
      </c>
      <c r="D29" t="s">
        <v>329</v>
      </c>
      <c r="E29" t="s">
        <v>237</v>
      </c>
      <c r="F29" t="n">
        <v>11</v>
      </c>
      <c r="G29" t="n">
        <v>8</v>
      </c>
      <c r="H29" t="n">
        <v>11</v>
      </c>
      <c r="I29" t="n">
        <v>9</v>
      </c>
      <c r="J29" t="n">
        <v>10</v>
      </c>
      <c r="K29" t="n">
        <v>10</v>
      </c>
      <c r="L29" t="n">
        <v>13</v>
      </c>
      <c r="M29" t="n">
        <v>13</v>
      </c>
      <c r="N29" t="n">
        <v>12</v>
      </c>
      <c r="O29" t="n">
        <v>16</v>
      </c>
      <c r="P29" t="n">
        <v>13</v>
      </c>
      <c r="Q29" t="n">
        <v>18</v>
      </c>
      <c r="R29" t="n">
        <v>18</v>
      </c>
      <c r="S29" t="n">
        <v>11</v>
      </c>
      <c r="T29" t="n">
        <v>45</v>
      </c>
      <c r="U29" t="n">
        <v>20</v>
      </c>
      <c r="V29" t="n">
        <v>9</v>
      </c>
      <c r="W29" t="n">
        <v>11</v>
      </c>
      <c r="X29" t="n">
        <v>12</v>
      </c>
      <c r="Y29" t="n">
        <v>25</v>
      </c>
      <c r="Z29" t="n">
        <v>17</v>
      </c>
      <c r="AA29" t="n">
        <v>19</v>
      </c>
      <c r="AB29" t="n">
        <v>44</v>
      </c>
      <c r="AC29" t="n">
        <v>35</v>
      </c>
      <c r="AD29" t="n">
        <v>34</v>
      </c>
      <c r="AE29" t="n">
        <v>31</v>
      </c>
      <c r="AF29" t="n">
        <v>27</v>
      </c>
    </row>
    <row r="30">
      <c r="A30" t="s">
        <v>53</v>
      </c>
      <c r="B30" t="s">
        <v>330</v>
      </c>
      <c r="C30" t="s">
        <v>236</v>
      </c>
      <c r="D30" t="s">
        <v>331</v>
      </c>
      <c r="E30" t="s">
        <v>237</v>
      </c>
      <c r="F30" t="n">
        <v>2</v>
      </c>
      <c r="G30" t="n">
        <v>2</v>
      </c>
      <c r="H30" t="n">
        <v>3</v>
      </c>
      <c r="I30" t="n">
        <v>3</v>
      </c>
      <c r="J30" t="n">
        <v>4</v>
      </c>
      <c r="K30" t="n">
        <v>4</v>
      </c>
      <c r="L30" t="n">
        <v>5</v>
      </c>
      <c r="M30" t="n">
        <v>5</v>
      </c>
      <c r="N30" t="n">
        <v>5</v>
      </c>
      <c r="O30" t="n">
        <v>5</v>
      </c>
      <c r="P30" t="n">
        <v>7</v>
      </c>
      <c r="Q30" t="n">
        <v>5</v>
      </c>
      <c r="R30" t="n">
        <v>6</v>
      </c>
      <c r="S30" t="n">
        <v>7</v>
      </c>
      <c r="T30" t="n">
        <v>7</v>
      </c>
      <c r="U30" t="n">
        <v>6</v>
      </c>
      <c r="V30" t="n">
        <v>4</v>
      </c>
      <c r="W30" t="n">
        <v>4</v>
      </c>
      <c r="X30" t="n">
        <v>4</v>
      </c>
      <c r="Y30" t="n">
        <v>4</v>
      </c>
      <c r="Z30" t="n">
        <v>6</v>
      </c>
      <c r="AA30" t="n">
        <v>5</v>
      </c>
      <c r="AB30" t="n">
        <v>5</v>
      </c>
      <c r="AC30" t="n">
        <v>6</v>
      </c>
      <c r="AD30" t="n">
        <v>5</v>
      </c>
      <c r="AE30" t="n">
        <v>5</v>
      </c>
      <c r="AF30" t="n">
        <v>3</v>
      </c>
    </row>
    <row r="31">
      <c r="A31" t="s">
        <v>53</v>
      </c>
      <c r="B31" t="s">
        <v>332</v>
      </c>
      <c r="C31" t="s">
        <v>236</v>
      </c>
      <c r="D31" t="s">
        <v>333</v>
      </c>
      <c r="E31" t="s">
        <v>237</v>
      </c>
      <c r="F31" t="n">
        <v>18.5385121790652</v>
      </c>
      <c r="G31" t="n">
        <v>16.221198156682</v>
      </c>
      <c r="H31" t="n">
        <v>18.5385121790652</v>
      </c>
      <c r="I31" t="n">
        <v>24.331797235023</v>
      </c>
      <c r="J31" t="n">
        <v>26.6491112574062</v>
      </c>
      <c r="K31" t="n">
        <v>30.1250822909809</v>
      </c>
      <c r="L31" t="n">
        <v>33.6010533245556</v>
      </c>
      <c r="M31" t="n">
        <v>32.442396313364</v>
      </c>
      <c r="N31" t="n">
        <v>31.2837393021725</v>
      </c>
      <c r="O31" t="n">
        <v>48.6635944700461</v>
      </c>
      <c r="P31" t="n">
        <v>37.6036866359447</v>
      </c>
      <c r="Q31" t="n">
        <v>34.2857142857143</v>
      </c>
      <c r="R31" t="n">
        <v>28.9285714285714</v>
      </c>
      <c r="S31" t="n">
        <v>22.5</v>
      </c>
      <c r="T31" t="n">
        <v>23.5227272727273</v>
      </c>
      <c r="U31" t="n">
        <v>14.3181818181818</v>
      </c>
      <c r="V31" t="n">
        <v>15.3409090909091</v>
      </c>
      <c r="W31" t="n">
        <v>18.4090909090909</v>
      </c>
      <c r="X31" t="n">
        <v>18.4090909090909</v>
      </c>
      <c r="Y31" t="n">
        <v>16.3636363636364</v>
      </c>
      <c r="Z31" t="n">
        <v>30.6818181818182</v>
      </c>
      <c r="AA31" t="n">
        <v>42.9545454545455</v>
      </c>
      <c r="AB31" t="n">
        <v>34.7727272727273</v>
      </c>
      <c r="AC31" t="n">
        <v>45</v>
      </c>
      <c r="AD31" t="n">
        <v>43</v>
      </c>
      <c r="AE31" t="n">
        <v>27</v>
      </c>
      <c r="AF31" t="n">
        <v>23</v>
      </c>
    </row>
    <row r="32">
      <c r="A32" t="s">
        <v>53</v>
      </c>
      <c r="B32" t="s">
        <v>334</v>
      </c>
      <c r="C32" t="s">
        <v>236</v>
      </c>
      <c r="D32" t="s">
        <v>335</v>
      </c>
      <c r="E32" t="s">
        <v>237</v>
      </c>
      <c r="F32" t="n">
        <v>9.42247314018806</v>
      </c>
      <c r="G32" t="n">
        <v>8.24466399766455</v>
      </c>
      <c r="H32" t="n">
        <v>9.42247314018806</v>
      </c>
      <c r="I32" t="n">
        <v>15.3115188528056</v>
      </c>
      <c r="J32" t="n">
        <v>17.6671371378526</v>
      </c>
      <c r="K32" t="n">
        <v>20.0227554228996</v>
      </c>
      <c r="L32" t="n">
        <v>20.0227554228996</v>
      </c>
      <c r="M32" t="n">
        <v>22.3783737079466</v>
      </c>
      <c r="N32" t="n">
        <v>17.6671371378526</v>
      </c>
      <c r="O32" t="n">
        <v>22.3783737079466</v>
      </c>
      <c r="P32" t="n">
        <v>21.2594550225493</v>
      </c>
      <c r="Q32" t="n">
        <v>21.2594550225493</v>
      </c>
      <c r="R32" t="n">
        <v>20.140536337152</v>
      </c>
      <c r="S32" t="n">
        <v>24.6162110787413</v>
      </c>
      <c r="T32" t="n">
        <v>32.1081014070539</v>
      </c>
      <c r="U32" t="n">
        <v>25.6864811256431</v>
      </c>
      <c r="V32" t="n">
        <v>41.74053182917</v>
      </c>
      <c r="W32" t="n">
        <v>35.4794520547945</v>
      </c>
      <c r="X32" t="n">
        <v>24.3287671232877</v>
      </c>
      <c r="Y32" t="n">
        <v>27.3698630136986</v>
      </c>
      <c r="Z32" t="n">
        <v>26.3561643835616</v>
      </c>
      <c r="AA32" t="n">
        <v>37.5068493150685</v>
      </c>
      <c r="AB32" t="n">
        <v>51.6986301369863</v>
      </c>
      <c r="AC32" t="n">
        <v>39.5342465753425</v>
      </c>
      <c r="AD32" t="n">
        <v>57.7808219178082</v>
      </c>
      <c r="AE32" t="n">
        <v>74</v>
      </c>
      <c r="AF32" t="n">
        <v>63</v>
      </c>
    </row>
    <row r="33">
      <c r="A33" t="s">
        <v>53</v>
      </c>
      <c r="B33" t="s">
        <v>336</v>
      </c>
      <c r="C33" t="s">
        <v>236</v>
      </c>
      <c r="D33" t="s">
        <v>337</v>
      </c>
      <c r="E33" t="s">
        <v>237</v>
      </c>
      <c r="F33" t="n">
        <v>22.304268907563</v>
      </c>
      <c r="G33" t="n">
        <v>39.3604745427583</v>
      </c>
      <c r="H33" t="n">
        <v>44.608537815126</v>
      </c>
      <c r="I33" t="n">
        <v>56.4166801779535</v>
      </c>
      <c r="J33" t="n">
        <v>61.6647434503213</v>
      </c>
      <c r="K33" t="n">
        <v>49.8566010874938</v>
      </c>
      <c r="L33" t="n">
        <v>34.1124112703905</v>
      </c>
      <c r="M33" t="n">
        <v>17.0562056351953</v>
      </c>
      <c r="N33" t="n">
        <v>23.616284725655</v>
      </c>
      <c r="O33" t="n">
        <v>19.6802372713791</v>
      </c>
      <c r="P33" t="n">
        <v>19.6802372713791</v>
      </c>
      <c r="Q33" t="n">
        <v>20.9102521008403</v>
      </c>
      <c r="R33" t="n">
        <v>16.2635294117647</v>
      </c>
      <c r="S33" t="n">
        <v>19.7485714285714</v>
      </c>
      <c r="T33" t="n">
        <v>24.1371428571429</v>
      </c>
      <c r="U33" t="n">
        <v>24.1371428571429</v>
      </c>
      <c r="V33" t="n">
        <v>27.4285714285714</v>
      </c>
      <c r="W33" t="n">
        <v>38.4</v>
      </c>
      <c r="X33" t="n">
        <v>33.0666666666667</v>
      </c>
      <c r="Y33" t="n">
        <v>31</v>
      </c>
      <c r="Z33" t="n">
        <v>26</v>
      </c>
      <c r="AA33" t="n">
        <v>16</v>
      </c>
      <c r="AB33" t="n">
        <v>9</v>
      </c>
      <c r="AC33" t="n">
        <v>23</v>
      </c>
      <c r="AD33" t="n">
        <v>16</v>
      </c>
      <c r="AE33" t="n">
        <v>28</v>
      </c>
      <c r="AF33" t="n">
        <v>36</v>
      </c>
    </row>
    <row r="34">
      <c r="A34" t="s">
        <v>53</v>
      </c>
      <c r="B34" t="s">
        <v>338</v>
      </c>
      <c r="C34" t="s">
        <v>236</v>
      </c>
      <c r="D34" t="s">
        <v>339</v>
      </c>
      <c r="E34" t="s">
        <v>237</v>
      </c>
      <c r="F34" t="n">
        <v>4</v>
      </c>
      <c r="G34" t="n">
        <v>3</v>
      </c>
      <c r="H34" t="n">
        <v>4</v>
      </c>
      <c r="I34" t="n">
        <v>5</v>
      </c>
      <c r="J34" t="n">
        <v>6</v>
      </c>
      <c r="K34" t="n">
        <v>7</v>
      </c>
      <c r="L34" t="n">
        <v>8</v>
      </c>
      <c r="M34" t="n">
        <v>7</v>
      </c>
      <c r="N34" t="n">
        <v>10</v>
      </c>
      <c r="O34" t="n">
        <v>9</v>
      </c>
      <c r="P34" t="n">
        <v>8</v>
      </c>
      <c r="Q34" t="n">
        <v>9</v>
      </c>
      <c r="R34" t="n">
        <v>12</v>
      </c>
      <c r="S34" t="n">
        <v>14</v>
      </c>
      <c r="T34" t="n">
        <v>16</v>
      </c>
      <c r="U34" t="n">
        <v>22</v>
      </c>
      <c r="V34" t="n">
        <v>20</v>
      </c>
      <c r="W34" t="n">
        <v>22</v>
      </c>
      <c r="X34" t="n">
        <v>23</v>
      </c>
      <c r="Y34" t="n">
        <v>20</v>
      </c>
      <c r="Z34" t="n">
        <v>21</v>
      </c>
      <c r="AA34" t="n">
        <v>24</v>
      </c>
      <c r="AB34" t="n">
        <v>25</v>
      </c>
      <c r="AC34" t="n">
        <v>26</v>
      </c>
      <c r="AD34" t="n">
        <v>36</v>
      </c>
      <c r="AE34" t="n">
        <v>28</v>
      </c>
      <c r="AF34" t="n">
        <v>30</v>
      </c>
    </row>
    <row r="35">
      <c r="A35" t="s">
        <v>53</v>
      </c>
      <c r="B35" t="s">
        <v>340</v>
      </c>
      <c r="C35" t="s">
        <v>236</v>
      </c>
      <c r="D35" t="s">
        <v>341</v>
      </c>
      <c r="E35" t="s">
        <v>237</v>
      </c>
      <c r="F35" t="n">
        <v>202.408787034355</v>
      </c>
      <c r="G35" t="n">
        <v>193.821747584412</v>
      </c>
      <c r="H35" t="n">
        <v>206.088946798615</v>
      </c>
      <c r="I35" t="n">
        <v>260.06462334111</v>
      </c>
      <c r="J35" t="n">
        <v>307.349100312221</v>
      </c>
      <c r="K35" t="n">
        <v>361.513081104948</v>
      </c>
      <c r="L35" t="n">
        <v>405.600042215308</v>
      </c>
      <c r="M35" t="n">
        <v>381.442045970509</v>
      </c>
      <c r="N35" t="n">
        <v>500.400243357922</v>
      </c>
      <c r="O35" t="n">
        <v>386.852958585412</v>
      </c>
      <c r="P35" t="n">
        <v>534.285519349233</v>
      </c>
      <c r="Q35" t="n">
        <v>521.564435555204</v>
      </c>
      <c r="R35" t="n">
        <v>588.304908351368</v>
      </c>
      <c r="S35" t="n">
        <v>514.311919878309</v>
      </c>
      <c r="T35" t="n">
        <v>523.705744898917</v>
      </c>
      <c r="U35" t="n">
        <v>486.298191691852</v>
      </c>
      <c r="V35" t="n">
        <v>446.931195221559</v>
      </c>
      <c r="W35" t="n">
        <v>410.632214898996</v>
      </c>
      <c r="X35" t="n">
        <v>506.335115932366</v>
      </c>
      <c r="Y35" t="n">
        <v>546.798181352447</v>
      </c>
      <c r="Z35" t="n">
        <v>569.357634807067</v>
      </c>
      <c r="AA35" t="n">
        <v>598.03796342608</v>
      </c>
      <c r="AB35" t="n">
        <v>583.297591088113</v>
      </c>
      <c r="AC35" t="n">
        <v>754.855706114029</v>
      </c>
      <c r="AD35" t="n">
        <v>764.098837209302</v>
      </c>
      <c r="AE35" t="n">
        <v>700</v>
      </c>
      <c r="AF35" t="n">
        <v>812</v>
      </c>
    </row>
    <row r="36">
      <c r="A36" t="s">
        <v>53</v>
      </c>
      <c r="B36" t="s">
        <v>342</v>
      </c>
      <c r="C36" t="s">
        <v>236</v>
      </c>
      <c r="D36" t="s">
        <v>343</v>
      </c>
      <c r="E36" t="s">
        <v>237</v>
      </c>
      <c r="F36" t="n">
        <v>43.9328532492053</v>
      </c>
      <c r="G36" t="n">
        <v>40.0564250213343</v>
      </c>
      <c r="H36" t="n">
        <v>37.4721395360869</v>
      </c>
      <c r="I36" t="n">
        <v>42.6407105065816</v>
      </c>
      <c r="J36" t="n">
        <v>56.8542806754422</v>
      </c>
      <c r="K36" t="n">
        <v>54.2699951901948</v>
      </c>
      <c r="L36" t="n">
        <v>68.4835653590554</v>
      </c>
      <c r="M36" t="n">
        <v>42.6407105065816</v>
      </c>
      <c r="N36" t="n">
        <v>59.4385661606896</v>
      </c>
      <c r="O36" t="n">
        <v>73.9679934444137</v>
      </c>
      <c r="P36" t="n">
        <v>72.7142986402711</v>
      </c>
      <c r="Q36" t="n">
        <v>65.1921298154155</v>
      </c>
      <c r="R36" t="n">
        <v>102.093335371311</v>
      </c>
      <c r="S36" t="n">
        <v>82.6469857767756</v>
      </c>
      <c r="T36" t="n">
        <v>116.404205319402</v>
      </c>
      <c r="U36" t="n">
        <v>118.73228942579</v>
      </c>
      <c r="V36" t="n">
        <v>114.121326729643</v>
      </c>
      <c r="W36" t="n">
        <v>123.160639737932</v>
      </c>
      <c r="X36" t="n">
        <v>106.517310043617</v>
      </c>
      <c r="Y36" t="n">
        <v>106.517310043617</v>
      </c>
      <c r="Z36" t="n">
        <v>115.038694847106</v>
      </c>
      <c r="AA36" t="n">
        <v>124.537302678518</v>
      </c>
      <c r="AB36" t="n">
        <v>115.118515080983</v>
      </c>
      <c r="AC36" t="n">
        <v>141.046108567691</v>
      </c>
      <c r="AD36" t="n">
        <v>134.913669064748</v>
      </c>
      <c r="AE36" t="n">
        <v>141</v>
      </c>
      <c r="AF36" t="n">
        <v>157</v>
      </c>
    </row>
    <row r="37">
      <c r="A37" t="s">
        <v>53</v>
      </c>
      <c r="B37" t="s">
        <v>344</v>
      </c>
      <c r="C37" t="s">
        <v>236</v>
      </c>
      <c r="D37" t="s">
        <v>345</v>
      </c>
      <c r="E37" t="s">
        <v>237</v>
      </c>
      <c r="F37" t="n">
        <v>61.6492279916714</v>
      </c>
      <c r="G37" t="n">
        <v>51.180491162897</v>
      </c>
      <c r="H37" t="n">
        <v>56.9964560677717</v>
      </c>
      <c r="I37" t="n">
        <v>74.4443507823957</v>
      </c>
      <c r="J37" t="n">
        <v>83.8976016753983</v>
      </c>
      <c r="K37" t="n">
        <v>113.861030845183</v>
      </c>
      <c r="L37" t="n">
        <v>117.456642345558</v>
      </c>
      <c r="M37" t="n">
        <v>121.089322005729</v>
      </c>
      <c r="N37" t="n">
        <v>212.524116173321</v>
      </c>
      <c r="O37" t="n">
        <v>89.8167395732488</v>
      </c>
      <c r="P37" t="n">
        <v>158.99990383913</v>
      </c>
      <c r="Q37" t="n">
        <v>141.333247857004</v>
      </c>
      <c r="R37" t="n">
        <v>171.792999550324</v>
      </c>
      <c r="S37" t="n">
        <v>89.4755205991271</v>
      </c>
      <c r="T37" t="n">
        <v>123.174093292305</v>
      </c>
      <c r="U37" t="n">
        <v>104.755537285979</v>
      </c>
      <c r="V37" t="n">
        <v>66.0415343759432</v>
      </c>
      <c r="W37" t="n">
        <v>62.6834902551325</v>
      </c>
      <c r="X37" t="n">
        <v>79.1791455854306</v>
      </c>
      <c r="Y37" t="n">
        <v>86.7716663949924</v>
      </c>
      <c r="Z37" t="n">
        <v>85.7004112543135</v>
      </c>
      <c r="AA37" t="n">
        <v>98.3967684771747</v>
      </c>
      <c r="AB37" t="n">
        <v>123.519347662836</v>
      </c>
      <c r="AC37" t="n">
        <v>125.578003457217</v>
      </c>
      <c r="AD37" t="n">
        <v>106.179775280899</v>
      </c>
      <c r="AE37" t="n">
        <v>90</v>
      </c>
      <c r="AF37" t="n">
        <v>179</v>
      </c>
    </row>
    <row r="38">
      <c r="A38" t="s">
        <v>53</v>
      </c>
      <c r="B38" t="s">
        <v>346</v>
      </c>
      <c r="C38" t="s">
        <v>236</v>
      </c>
      <c r="D38" t="s">
        <v>347</v>
      </c>
      <c r="E38" t="s">
        <v>237</v>
      </c>
      <c r="F38" t="n">
        <v>96.6773462249622</v>
      </c>
      <c r="G38" t="n">
        <v>102.874612008614</v>
      </c>
      <c r="H38" t="n">
        <v>111.550784105726</v>
      </c>
      <c r="I38" t="n">
        <v>142.537113023983</v>
      </c>
      <c r="J38" t="n">
        <v>166.503530258104</v>
      </c>
      <c r="K38" t="n">
        <v>192.11945799012</v>
      </c>
      <c r="L38" t="n">
        <v>219.016182108736</v>
      </c>
      <c r="M38" t="n">
        <v>216.42427462816</v>
      </c>
      <c r="N38" t="n">
        <v>223.022575683896</v>
      </c>
      <c r="O38" t="n">
        <v>223.022575683896</v>
      </c>
      <c r="P38" t="n">
        <v>301.208651067331</v>
      </c>
      <c r="Q38" t="n">
        <v>313.971729502387</v>
      </c>
      <c r="R38" t="n">
        <v>312.730734524117</v>
      </c>
      <c r="S38" t="n">
        <v>341.935161094463</v>
      </c>
      <c r="T38" t="n">
        <v>282.980822974728</v>
      </c>
      <c r="U38" t="n">
        <v>261.845325823088</v>
      </c>
      <c r="V38" t="n">
        <v>266.500353837721</v>
      </c>
      <c r="W38" t="n">
        <v>224.361409000133</v>
      </c>
      <c r="X38" t="n">
        <v>320.356837726557</v>
      </c>
      <c r="Y38" t="n">
        <v>353.270211465587</v>
      </c>
      <c r="Z38" t="n">
        <v>368.348818052533</v>
      </c>
      <c r="AA38" t="n">
        <v>374.73636981067</v>
      </c>
      <c r="AB38" t="n">
        <v>344.124102981066</v>
      </c>
      <c r="AC38" t="n">
        <v>488.030546045875</v>
      </c>
      <c r="AD38" t="n">
        <v>523.036956521739</v>
      </c>
      <c r="AE38" t="n">
        <v>469</v>
      </c>
      <c r="AF38" t="n">
        <v>476</v>
      </c>
    </row>
    <row r="39">
      <c r="A39" t="s">
        <v>53</v>
      </c>
      <c r="B39" t="s">
        <v>348</v>
      </c>
      <c r="C39" t="s">
        <v>236</v>
      </c>
      <c r="D39" t="s">
        <v>349</v>
      </c>
      <c r="E39" t="s">
        <v>237</v>
      </c>
      <c r="F39" t="n">
        <v>242.36783474485</v>
      </c>
      <c r="G39" t="n">
        <v>182.077328589415</v>
      </c>
      <c r="H39" t="n">
        <v>179.665708343197</v>
      </c>
      <c r="I39" t="n">
        <v>202.576100682263</v>
      </c>
      <c r="J39" t="n">
        <v>231.864211624277</v>
      </c>
      <c r="K39" t="n">
        <v>250.364015743235</v>
      </c>
      <c r="L39" t="n">
        <v>292.29690507954</v>
      </c>
      <c r="M39" t="n">
        <v>264.932939497626</v>
      </c>
      <c r="N39" t="n">
        <v>338.454999262517</v>
      </c>
      <c r="O39" t="n">
        <v>378.501201465334</v>
      </c>
      <c r="P39" t="n">
        <v>379.750380348058</v>
      </c>
      <c r="Q39" t="n">
        <v>415.97656794705</v>
      </c>
      <c r="R39" t="n">
        <v>501.11797074323</v>
      </c>
      <c r="S39" t="n">
        <v>480.737574803912</v>
      </c>
      <c r="T39" t="n">
        <v>440.095509301166</v>
      </c>
      <c r="U39" t="n">
        <v>435.475084006665</v>
      </c>
      <c r="V39" t="n">
        <v>421.72323924856</v>
      </c>
      <c r="W39" t="n">
        <v>294.643969821661</v>
      </c>
      <c r="X39" t="n">
        <v>295.747505289158</v>
      </c>
      <c r="Y39" t="n">
        <v>392.163358661813</v>
      </c>
      <c r="Z39" t="n">
        <v>377.244100451853</v>
      </c>
      <c r="AA39" t="n">
        <v>382.512872804533</v>
      </c>
      <c r="AB39" t="n">
        <v>371.01658427762</v>
      </c>
      <c r="AC39" t="n">
        <v>364.81575</v>
      </c>
      <c r="AD39" t="n">
        <v>408.757142857143</v>
      </c>
      <c r="AE39" t="n">
        <v>284</v>
      </c>
      <c r="AF39" t="n">
        <v>254</v>
      </c>
    </row>
    <row r="40">
      <c r="A40" t="s">
        <v>53</v>
      </c>
      <c r="B40" t="s">
        <v>350</v>
      </c>
      <c r="C40" t="s">
        <v>236</v>
      </c>
      <c r="D40" t="s">
        <v>351</v>
      </c>
      <c r="E40" t="s">
        <v>237</v>
      </c>
      <c r="F40" t="n">
        <v>3</v>
      </c>
      <c r="G40" t="n">
        <v>3</v>
      </c>
      <c r="H40" t="n">
        <v>3</v>
      </c>
      <c r="I40" t="n">
        <v>3</v>
      </c>
      <c r="J40" t="n">
        <v>2</v>
      </c>
      <c r="K40" t="n">
        <v>2</v>
      </c>
      <c r="L40" t="n">
        <v>3</v>
      </c>
      <c r="M40" t="n">
        <v>4</v>
      </c>
      <c r="N40" t="n">
        <v>2</v>
      </c>
      <c r="O40" t="n">
        <v>2</v>
      </c>
      <c r="P40" t="n">
        <v>3</v>
      </c>
      <c r="Q40" t="n">
        <v>6</v>
      </c>
      <c r="R40" t="n">
        <v>5</v>
      </c>
      <c r="S40" t="n">
        <v>11</v>
      </c>
      <c r="T40" t="n">
        <v>14</v>
      </c>
      <c r="U40" t="n">
        <v>27</v>
      </c>
      <c r="V40" t="n">
        <v>17</v>
      </c>
      <c r="W40" t="n">
        <v>19</v>
      </c>
      <c r="X40" t="n">
        <v>24</v>
      </c>
      <c r="Y40" t="n">
        <v>32</v>
      </c>
      <c r="Z40" t="n">
        <v>29</v>
      </c>
      <c r="AA40" t="n">
        <v>25</v>
      </c>
      <c r="AB40" t="n">
        <v>29</v>
      </c>
      <c r="AC40" t="n">
        <v>35</v>
      </c>
      <c r="AD40" t="n">
        <v>27</v>
      </c>
      <c r="AE40" t="n">
        <v>31</v>
      </c>
      <c r="AF40" t="n">
        <v>38</v>
      </c>
    </row>
    <row r="41">
      <c r="A41" t="s">
        <v>53</v>
      </c>
      <c r="B41" t="s">
        <v>352</v>
      </c>
      <c r="C41" t="s">
        <v>236</v>
      </c>
      <c r="D41" t="s">
        <v>353</v>
      </c>
      <c r="E41" t="s">
        <v>237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/>
      <c r="AD41"/>
      <c r="AE41"/>
      <c r="AF41"/>
    </row>
    <row r="42">
      <c r="A42" t="s">
        <v>53</v>
      </c>
      <c r="B42" t="s">
        <v>354</v>
      </c>
      <c r="C42" t="s">
        <v>236</v>
      </c>
      <c r="D42" t="s">
        <v>355</v>
      </c>
      <c r="E42" t="s">
        <v>237</v>
      </c>
      <c r="F42" t="n">
        <v>49.174800545071</v>
      </c>
      <c r="G42" t="n">
        <v>40.7791028910345</v>
      </c>
      <c r="H42" t="n">
        <v>46.7760297867749</v>
      </c>
      <c r="I42" t="n">
        <v>59.9692689574037</v>
      </c>
      <c r="J42" t="n">
        <v>73.1625081280325</v>
      </c>
      <c r="K42" t="n">
        <v>88.7545180569574</v>
      </c>
      <c r="L42" t="n">
        <v>92.3526741944017</v>
      </c>
      <c r="M42" t="n">
        <v>93.5520595735497</v>
      </c>
      <c r="N42" t="n">
        <v>111.776486763202</v>
      </c>
      <c r="O42" t="n">
        <v>108.091547639141</v>
      </c>
      <c r="P42" t="n">
        <v>131.847931735655</v>
      </c>
      <c r="Q42" t="n">
        <v>117.594101277746</v>
      </c>
      <c r="R42" t="n">
        <v>164.631741788845</v>
      </c>
      <c r="S42" t="n">
        <v>176.307751844791</v>
      </c>
      <c r="T42" t="n">
        <v>137.881703365798</v>
      </c>
      <c r="U42" t="n">
        <v>155.964549708854</v>
      </c>
      <c r="V42" t="n">
        <v>169.526684466146</v>
      </c>
      <c r="W42" t="n">
        <v>148.611054564478</v>
      </c>
      <c r="X42" t="n">
        <v>169.071996859588</v>
      </c>
      <c r="Y42" t="n">
        <v>177.525596702567</v>
      </c>
      <c r="Z42" t="n">
        <v>184.835474213849</v>
      </c>
      <c r="AA42" t="n">
        <v>178.605064970686</v>
      </c>
      <c r="AB42" t="n">
        <v>177.572665751202</v>
      </c>
      <c r="AC42" t="n">
        <v>167.308349811826</v>
      </c>
      <c r="AD42" t="n">
        <v>262.184426229508</v>
      </c>
      <c r="AE42" t="n">
        <v>247</v>
      </c>
      <c r="AF42" t="n">
        <v>276</v>
      </c>
    </row>
    <row r="43">
      <c r="A43" t="s">
        <v>53</v>
      </c>
      <c r="B43" t="s">
        <v>356</v>
      </c>
      <c r="C43" t="s">
        <v>236</v>
      </c>
      <c r="D43" t="s">
        <v>357</v>
      </c>
      <c r="E43" t="s">
        <v>237</v>
      </c>
      <c r="F43" t="n">
        <v>71.5504414957295</v>
      </c>
      <c r="G43" t="n">
        <v>55.3938901902422</v>
      </c>
      <c r="H43" t="n">
        <v>66.934283979876</v>
      </c>
      <c r="I43" t="n">
        <v>84.2448746643267</v>
      </c>
      <c r="J43" t="n">
        <v>99.2473865908506</v>
      </c>
      <c r="K43" t="n">
        <v>114.249898517375</v>
      </c>
      <c r="L43" t="n">
        <v>124.636252928045</v>
      </c>
      <c r="M43" t="n">
        <v>120.020095412191</v>
      </c>
      <c r="N43" t="n">
        <v>146.820699242098</v>
      </c>
      <c r="O43" t="n">
        <v>137.424174490604</v>
      </c>
      <c r="P43" t="n">
        <v>170.635016659167</v>
      </c>
      <c r="Q43" t="n">
        <v>158.037800664195</v>
      </c>
      <c r="R43" t="n">
        <v>203.516304452452</v>
      </c>
      <c r="S43" t="n">
        <v>221.606642626003</v>
      </c>
      <c r="T43" t="n">
        <v>190.736065543774</v>
      </c>
      <c r="U43" t="n">
        <v>210.581436525207</v>
      </c>
      <c r="V43" t="n">
        <v>224.914204456242</v>
      </c>
      <c r="W43" t="n">
        <v>221.670249584277</v>
      </c>
      <c r="X43" t="n">
        <v>237.656084890836</v>
      </c>
      <c r="Y43" t="n">
        <v>259.73917242494</v>
      </c>
      <c r="Z43" t="n">
        <v>256.622302355841</v>
      </c>
      <c r="AA43" t="n">
        <v>274.213347275394</v>
      </c>
      <c r="AB43" t="n">
        <v>284.522119729356</v>
      </c>
      <c r="AC43" t="n">
        <v>271.169096059748</v>
      </c>
      <c r="AD43" t="n">
        <v>392.481586402266</v>
      </c>
      <c r="AE43" t="n">
        <v>358</v>
      </c>
      <c r="AF43" t="n">
        <v>397</v>
      </c>
    </row>
    <row r="44">
      <c r="A44" t="s">
        <v>53</v>
      </c>
      <c r="B44" t="s">
        <v>358</v>
      </c>
      <c r="C44" t="s">
        <v>236</v>
      </c>
      <c r="D44" t="s">
        <v>359</v>
      </c>
      <c r="E44" t="s">
        <v>237</v>
      </c>
      <c r="F44" t="n">
        <v>921.049501885111</v>
      </c>
      <c r="G44" t="n">
        <v>830.140719880867</v>
      </c>
      <c r="H44" t="n">
        <v>943.776697386172</v>
      </c>
      <c r="I44" t="n">
        <v>1198.56052063491</v>
      </c>
      <c r="J44" t="n">
        <v>1379.06662314017</v>
      </c>
      <c r="K44" t="n">
        <v>1574.17183080763</v>
      </c>
      <c r="L44" t="n">
        <v>1808.05571329098</v>
      </c>
      <c r="M44" t="n">
        <v>1686.05465301493</v>
      </c>
      <c r="N44" t="n">
        <v>2152.9620953883</v>
      </c>
      <c r="O44" t="n">
        <v>2017.61872734293</v>
      </c>
      <c r="P44" t="n">
        <v>2352.87990759128</v>
      </c>
      <c r="Q44" t="n">
        <v>2420.69322453678</v>
      </c>
      <c r="R44" t="n">
        <v>2566.07665550262</v>
      </c>
      <c r="S44" t="n">
        <v>2584.73055213507</v>
      </c>
      <c r="T44" t="n">
        <v>2609.64907630114</v>
      </c>
      <c r="U44" t="n">
        <v>2589.32294762377</v>
      </c>
      <c r="V44" t="n">
        <v>2558.9793193313</v>
      </c>
      <c r="W44" t="n">
        <v>2519.20243871993</v>
      </c>
      <c r="X44" t="n">
        <v>2559.37937416503</v>
      </c>
      <c r="Y44" t="n">
        <v>2810.92858074336</v>
      </c>
      <c r="Z44" t="n">
        <v>2724.37351366828</v>
      </c>
      <c r="AA44" t="n">
        <v>2736.92341085216</v>
      </c>
      <c r="AB44" t="n">
        <v>2894.80286377418</v>
      </c>
      <c r="AC44" t="n">
        <v>3234.64098011907</v>
      </c>
      <c r="AD44" t="n">
        <v>3586.56502242152</v>
      </c>
      <c r="AE44" t="n">
        <v>3389</v>
      </c>
      <c r="AF44" t="n">
        <v>3566</v>
      </c>
    </row>
    <row r="45">
      <c r="A45" t="s">
        <v>53</v>
      </c>
      <c r="B45" t="s">
        <v>360</v>
      </c>
      <c r="C45" t="s">
        <v>236</v>
      </c>
      <c r="D45" t="s">
        <v>361</v>
      </c>
      <c r="E45" t="s">
        <v>237</v>
      </c>
      <c r="F45" t="n">
        <v>918.316134281456</v>
      </c>
      <c r="G45" t="n">
        <v>828.636824293032</v>
      </c>
      <c r="H45" t="n">
        <v>941.034892811856</v>
      </c>
      <c r="I45" t="n">
        <v>1195.72413317898</v>
      </c>
      <c r="J45" t="n">
        <v>1376.16540076132</v>
      </c>
      <c r="K45" t="n">
        <v>1569.9915135446</v>
      </c>
      <c r="L45" t="n">
        <v>1803.79426208944</v>
      </c>
      <c r="M45" t="n">
        <v>1681.83386573451</v>
      </c>
      <c r="N45" t="n">
        <v>2148.59833067404</v>
      </c>
      <c r="O45" t="n">
        <v>2013.29301305725</v>
      </c>
      <c r="P45" t="n">
        <v>2347.22863301146</v>
      </c>
      <c r="Q45" t="n">
        <v>2412.59755832483</v>
      </c>
      <c r="R45" t="n">
        <v>2559.10201338471</v>
      </c>
      <c r="S45" t="n">
        <v>2577.7475653948</v>
      </c>
      <c r="T45" t="n">
        <v>2602.65333897349</v>
      </c>
      <c r="U45" t="n">
        <v>2581.20910070788</v>
      </c>
      <c r="V45" t="n">
        <v>2552.00482019509</v>
      </c>
      <c r="W45" t="n">
        <v>2512.25052615483</v>
      </c>
      <c r="X45" t="n">
        <v>2550.23271553514</v>
      </c>
      <c r="Y45" t="n">
        <v>2802.68863871731</v>
      </c>
      <c r="Z45" t="n">
        <v>2717.24724626865</v>
      </c>
      <c r="AA45" t="n">
        <v>2731.88420719507</v>
      </c>
      <c r="AB45" t="n">
        <v>2890.81131126383</v>
      </c>
      <c r="AC45" t="n">
        <v>3229.63458216009</v>
      </c>
      <c r="AD45" t="n">
        <v>3581.56886227545</v>
      </c>
      <c r="AE45" t="n">
        <v>3384</v>
      </c>
      <c r="AF45" t="n">
        <v>3561</v>
      </c>
    </row>
    <row r="46">
      <c r="A46" t="s">
        <v>53</v>
      </c>
      <c r="B46" t="s">
        <v>362</v>
      </c>
      <c r="C46" t="s">
        <v>236</v>
      </c>
      <c r="D46" t="s">
        <v>363</v>
      </c>
      <c r="E46" t="s">
        <v>237</v>
      </c>
      <c r="F46" t="n">
        <v>21.8704374211663</v>
      </c>
      <c r="G46" t="n">
        <v>14.5802916141109</v>
      </c>
      <c r="H46" t="n">
        <v>19.7875386191505</v>
      </c>
      <c r="I46" t="n">
        <v>23.9533362231822</v>
      </c>
      <c r="J46" t="n">
        <v>26.036235025198</v>
      </c>
      <c r="K46" t="n">
        <v>26.036235025198</v>
      </c>
      <c r="L46" t="n">
        <v>32.2849314312456</v>
      </c>
      <c r="M46" t="n">
        <v>27.0776844262059</v>
      </c>
      <c r="N46" t="n">
        <v>35.4092796342693</v>
      </c>
      <c r="O46" t="n">
        <v>30.2020326292297</v>
      </c>
      <c r="P46" t="n">
        <v>39.575077238301</v>
      </c>
      <c r="Q46" t="n">
        <v>40.6165266393089</v>
      </c>
      <c r="R46" t="n">
        <v>40.6165266393089</v>
      </c>
      <c r="S46" t="n">
        <v>46.8652230453564</v>
      </c>
      <c r="T46" t="n">
        <v>53.113919451404</v>
      </c>
      <c r="U46" t="n">
        <v>55.1968182534198</v>
      </c>
      <c r="V46" t="n">
        <v>56.2382676544277</v>
      </c>
      <c r="W46" t="n">
        <v>72.9014580705545</v>
      </c>
      <c r="X46" t="n">
        <v>68.7356604665228</v>
      </c>
      <c r="Y46" t="n">
        <v>82.2745026796258</v>
      </c>
      <c r="Z46" t="n">
        <v>71.9901898446725</v>
      </c>
      <c r="AA46" t="n">
        <v>95.644109365065</v>
      </c>
      <c r="AB46" t="n">
        <v>106.956853483513</v>
      </c>
      <c r="AC46" t="n">
        <v>103.871559633028</v>
      </c>
      <c r="AD46" t="n">
        <v>130.348623853211</v>
      </c>
      <c r="AE46" t="n">
        <v>111</v>
      </c>
      <c r="AF46" t="n">
        <v>121</v>
      </c>
    </row>
    <row r="47">
      <c r="A47" t="s">
        <v>53</v>
      </c>
      <c r="B47" t="s">
        <v>364</v>
      </c>
      <c r="C47" t="s">
        <v>236</v>
      </c>
      <c r="D47" t="s">
        <v>365</v>
      </c>
      <c r="E47" t="s">
        <v>237</v>
      </c>
      <c r="F47" t="n">
        <v>66.2642882810365</v>
      </c>
      <c r="G47" t="n">
        <v>63.8100553817388</v>
      </c>
      <c r="H47" t="n">
        <v>68.7185211803341</v>
      </c>
      <c r="I47" t="n">
        <v>77.3083363278759</v>
      </c>
      <c r="J47" t="n">
        <v>85.8981514754177</v>
      </c>
      <c r="K47" t="n">
        <v>103.077781770501</v>
      </c>
      <c r="L47" t="n">
        <v>136.209925911019</v>
      </c>
      <c r="M47" t="n">
        <v>138.664158810317</v>
      </c>
      <c r="N47" t="n">
        <v>173.642505176884</v>
      </c>
      <c r="O47" t="n">
        <v>181.303203934687</v>
      </c>
      <c r="P47" t="n">
        <v>182.536559063495</v>
      </c>
      <c r="Q47" t="n">
        <v>167.533554208961</v>
      </c>
      <c r="R47" t="n">
        <v>162.712444735322</v>
      </c>
      <c r="S47" t="n">
        <v>178.265840187963</v>
      </c>
      <c r="T47" t="n">
        <v>172.477988233808</v>
      </c>
      <c r="U47" t="n">
        <v>201.417248004581</v>
      </c>
      <c r="V47" t="n">
        <v>203.719159410348</v>
      </c>
      <c r="W47" t="n">
        <v>183.459795491087</v>
      </c>
      <c r="X47" t="n">
        <v>175.723539054716</v>
      </c>
      <c r="Y47" t="n">
        <v>176.808252258757</v>
      </c>
      <c r="Z47" t="n">
        <v>208.761550859737</v>
      </c>
      <c r="AA47" t="n">
        <v>220.359414796389</v>
      </c>
      <c r="AB47" t="n">
        <v>204.69405355494</v>
      </c>
      <c r="AC47" t="n">
        <v>235.708304093567</v>
      </c>
      <c r="AD47" t="n">
        <v>230.584210526316</v>
      </c>
      <c r="AE47" t="n">
        <v>193</v>
      </c>
      <c r="AF47" t="n">
        <v>171</v>
      </c>
    </row>
    <row r="48">
      <c r="A48" t="s">
        <v>53</v>
      </c>
      <c r="B48" t="s">
        <v>366</v>
      </c>
      <c r="C48" t="s">
        <v>236</v>
      </c>
      <c r="D48" t="s">
        <v>367</v>
      </c>
      <c r="E48" t="s">
        <v>237</v>
      </c>
      <c r="F48" t="n">
        <v>100.572305174161</v>
      </c>
      <c r="G48" t="n">
        <v>98.1488761338194</v>
      </c>
      <c r="H48" t="n">
        <v>105.419163254843</v>
      </c>
      <c r="I48" t="n">
        <v>126.018310097743</v>
      </c>
      <c r="J48" t="n">
        <v>140.558884339791</v>
      </c>
      <c r="K48" t="n">
        <v>161.158031182691</v>
      </c>
      <c r="L48" t="n">
        <v>195.086037747468</v>
      </c>
      <c r="M48" t="n">
        <v>212.050041029857</v>
      </c>
      <c r="N48" t="n">
        <v>240.241664981803</v>
      </c>
      <c r="O48" t="n">
        <v>243.975991380484</v>
      </c>
      <c r="P48" t="n">
        <v>252.430604943174</v>
      </c>
      <c r="Q48" t="n">
        <v>253.650076464639</v>
      </c>
      <c r="R48" t="n">
        <v>242.98254988435</v>
      </c>
      <c r="S48" t="n">
        <v>255.894666061779</v>
      </c>
      <c r="T48" t="n">
        <v>241.109640911543</v>
      </c>
      <c r="U48" t="n">
        <v>293.42588375084</v>
      </c>
      <c r="V48" t="n">
        <v>287.761291400438</v>
      </c>
      <c r="W48" t="n">
        <v>292.205481229016</v>
      </c>
      <c r="X48" t="n">
        <v>295.476438108445</v>
      </c>
      <c r="Y48" t="n">
        <v>315.81720739852</v>
      </c>
      <c r="Z48" t="n">
        <v>317.929697080115</v>
      </c>
      <c r="AA48" t="n">
        <v>370.393343462972</v>
      </c>
      <c r="AB48" t="n">
        <v>377.696874179144</v>
      </c>
      <c r="AC48" t="n">
        <v>417.943262411347</v>
      </c>
      <c r="AD48" t="n">
        <v>432.249388753056</v>
      </c>
      <c r="AE48" t="n">
        <v>415</v>
      </c>
      <c r="AF48" t="n">
        <v>418</v>
      </c>
    </row>
    <row r="49">
      <c r="A49" t="s">
        <v>53</v>
      </c>
      <c r="B49" t="s">
        <v>368</v>
      </c>
      <c r="C49" t="s">
        <v>236</v>
      </c>
      <c r="D49" t="s">
        <v>369</v>
      </c>
      <c r="E49" t="s">
        <v>237</v>
      </c>
      <c r="F49" t="n">
        <v>15.6556153904641</v>
      </c>
      <c r="G49" t="n">
        <v>15.6556153904641</v>
      </c>
      <c r="H49" t="n">
        <v>16.7738736326401</v>
      </c>
      <c r="I49" t="n">
        <v>22.3651648435201</v>
      </c>
      <c r="J49" t="n">
        <v>25.7199395700482</v>
      </c>
      <c r="K49" t="n">
        <v>26.8381978122242</v>
      </c>
      <c r="L49" t="n">
        <v>23.4834230856961</v>
      </c>
      <c r="M49" t="n">
        <v>35.7842637496322</v>
      </c>
      <c r="N49" t="n">
        <v>29.0747142965762</v>
      </c>
      <c r="O49" t="n">
        <v>25.7199395700482</v>
      </c>
      <c r="P49" t="n">
        <v>25.7199395700482</v>
      </c>
      <c r="Q49" t="n">
        <v>24.6016813278722</v>
      </c>
      <c r="R49" t="n">
        <v>21.2469066013441</v>
      </c>
      <c r="S49" t="n">
        <v>29.0747142965762</v>
      </c>
      <c r="T49" t="n">
        <v>21.2469066013441</v>
      </c>
      <c r="U49" t="n">
        <v>31.3112307809282</v>
      </c>
      <c r="V49" t="n">
        <v>31.3112307809282</v>
      </c>
      <c r="W49" t="n">
        <v>32.4294890231042</v>
      </c>
      <c r="X49" t="n">
        <v>32.4294890231042</v>
      </c>
      <c r="Y49" t="n">
        <v>46.0289521618253</v>
      </c>
      <c r="Z49" t="n">
        <v>43.9367270635605</v>
      </c>
      <c r="AA49" t="n">
        <v>59.6284153005465</v>
      </c>
      <c r="AB49" t="n">
        <v>65.9050905953408</v>
      </c>
      <c r="AC49" t="n">
        <v>62.8157894736842</v>
      </c>
      <c r="AD49" t="n">
        <v>67.8815789473684</v>
      </c>
      <c r="AE49" t="n">
        <v>77</v>
      </c>
      <c r="AF49" t="n">
        <v>58</v>
      </c>
    </row>
    <row r="50">
      <c r="A50" t="s">
        <v>53</v>
      </c>
      <c r="B50" t="s">
        <v>370</v>
      </c>
      <c r="C50" t="s">
        <v>236</v>
      </c>
      <c r="D50" t="s">
        <v>371</v>
      </c>
      <c r="E50" t="s">
        <v>237</v>
      </c>
      <c r="F50" t="n">
        <v>18.5612632030072</v>
      </c>
      <c r="G50" t="n">
        <v>18.5612632030072</v>
      </c>
      <c r="H50" t="n">
        <v>19.7986807498743</v>
      </c>
      <c r="I50" t="n">
        <v>25.9857684842101</v>
      </c>
      <c r="J50" t="n">
        <v>28.4606035779444</v>
      </c>
      <c r="K50" t="n">
        <v>30.9354386716787</v>
      </c>
      <c r="L50" t="n">
        <v>35.8851088591472</v>
      </c>
      <c r="M50" t="n">
        <v>37.1225264060144</v>
      </c>
      <c r="N50" t="n">
        <v>38.3599439528815</v>
      </c>
      <c r="O50" t="n">
        <v>38.3599439528815</v>
      </c>
      <c r="P50" t="n">
        <v>45.5524334440468</v>
      </c>
      <c r="Q50" t="n">
        <v>62.3349089234325</v>
      </c>
      <c r="R50" t="n">
        <v>59.9826482093407</v>
      </c>
      <c r="S50" t="n">
        <v>49.6010360192625</v>
      </c>
      <c r="T50" t="n">
        <v>48.49879077439</v>
      </c>
      <c r="U50" t="n">
        <v>61.72573371286</v>
      </c>
      <c r="V50" t="n">
        <v>54.0100169987525</v>
      </c>
      <c r="W50" t="n">
        <v>76.6942241382285</v>
      </c>
      <c r="X50" t="n">
        <v>87.3461997129825</v>
      </c>
      <c r="Y50" t="n">
        <v>92.6080189728007</v>
      </c>
      <c r="Z50" t="n">
        <v>65.5539909582747</v>
      </c>
      <c r="AA50" t="n">
        <v>90.5269398947603</v>
      </c>
      <c r="AB50" t="n">
        <v>107.175572519084</v>
      </c>
      <c r="AC50" t="n">
        <v>119.541984732824</v>
      </c>
      <c r="AD50" t="n">
        <v>133.846153846154</v>
      </c>
      <c r="AE50" t="n">
        <v>145</v>
      </c>
      <c r="AF50" t="n">
        <v>189</v>
      </c>
    </row>
    <row r="51">
      <c r="A51" t="s">
        <v>53</v>
      </c>
      <c r="B51" t="s">
        <v>372</v>
      </c>
      <c r="C51" t="s">
        <v>236</v>
      </c>
      <c r="D51" t="s">
        <v>373</v>
      </c>
      <c r="E51" t="s">
        <v>237</v>
      </c>
      <c r="F51" t="n">
        <v>17.5889428899469</v>
      </c>
      <c r="G51" t="n">
        <v>17.5889428899469</v>
      </c>
      <c r="H51" t="n">
        <v>18.8452959535146</v>
      </c>
      <c r="I51" t="n">
        <v>23.8707082077851</v>
      </c>
      <c r="J51" t="n">
        <v>26.3834143349204</v>
      </c>
      <c r="K51" t="n">
        <v>28.8961204620557</v>
      </c>
      <c r="L51" t="n">
        <v>33.9215327163262</v>
      </c>
      <c r="M51" t="n">
        <v>35.1778857798939</v>
      </c>
      <c r="N51" t="n">
        <v>36.4342388434615</v>
      </c>
      <c r="O51" t="n">
        <v>35.1778857798939</v>
      </c>
      <c r="P51" t="n">
        <v>43.6690995888338</v>
      </c>
      <c r="Q51" t="n">
        <v>61.8645577508479</v>
      </c>
      <c r="R51" t="n">
        <v>59.4851516835076</v>
      </c>
      <c r="S51" t="n">
        <v>48.9877719746533</v>
      </c>
      <c r="T51" t="n">
        <v>46.7610550667145</v>
      </c>
      <c r="U51" t="n">
        <v>56.781281152439</v>
      </c>
      <c r="V51" t="n">
        <v>50.1011304286227</v>
      </c>
      <c r="W51" t="n">
        <v>71.8842306149804</v>
      </c>
      <c r="X51" t="n">
        <v>81.5403212946046</v>
      </c>
      <c r="Y51" t="n">
        <v>87.894112564314</v>
      </c>
      <c r="Z51" t="n">
        <v>56.503358077059</v>
      </c>
      <c r="AA51" t="n">
        <v>82.6623201497715</v>
      </c>
      <c r="AB51" t="n">
        <v>94.172263461765</v>
      </c>
      <c r="AC51" t="n">
        <v>108.660303994344</v>
      </c>
      <c r="AD51" t="n">
        <v>117.886178861789</v>
      </c>
      <c r="AE51" t="n">
        <v>125</v>
      </c>
      <c r="AF51" t="n">
        <v>163</v>
      </c>
    </row>
    <row r="52">
      <c r="A52" t="s">
        <v>53</v>
      </c>
      <c r="B52" t="s">
        <v>374</v>
      </c>
      <c r="C52" t="s">
        <v>236</v>
      </c>
      <c r="D52" t="s">
        <v>375</v>
      </c>
      <c r="E52" t="s">
        <v>237</v>
      </c>
      <c r="F52" t="n">
        <v>1</v>
      </c>
      <c r="G52" t="n">
        <v>1</v>
      </c>
      <c r="H52" t="n">
        <v>1</v>
      </c>
      <c r="I52" t="n">
        <v>2</v>
      </c>
      <c r="J52" t="n">
        <v>2</v>
      </c>
      <c r="K52" t="n">
        <v>2</v>
      </c>
      <c r="L52" t="n">
        <v>2</v>
      </c>
      <c r="M52" t="n">
        <v>2</v>
      </c>
      <c r="N52" t="n">
        <v>2</v>
      </c>
      <c r="O52" t="n">
        <v>3</v>
      </c>
      <c r="P52" t="n">
        <v>2</v>
      </c>
      <c r="Q52" t="n">
        <v>1</v>
      </c>
      <c r="R52" t="n">
        <v>1</v>
      </c>
      <c r="S52" t="n">
        <v>1</v>
      </c>
      <c r="T52" t="n">
        <v>2</v>
      </c>
      <c r="U52" t="n">
        <v>5</v>
      </c>
      <c r="V52" t="n">
        <v>4</v>
      </c>
      <c r="W52" t="n">
        <v>5</v>
      </c>
      <c r="X52" t="n">
        <v>6</v>
      </c>
      <c r="Y52" t="n">
        <v>5</v>
      </c>
      <c r="Z52" t="n">
        <v>9</v>
      </c>
      <c r="AA52" t="n">
        <v>8</v>
      </c>
      <c r="AB52" t="n">
        <v>13</v>
      </c>
      <c r="AC52" t="n">
        <v>11</v>
      </c>
      <c r="AD52" t="n">
        <v>16</v>
      </c>
      <c r="AE52" t="n">
        <v>20</v>
      </c>
      <c r="AF52" t="n">
        <v>26</v>
      </c>
    </row>
    <row r="53">
      <c r="A53" t="s">
        <v>53</v>
      </c>
      <c r="B53" t="s">
        <v>376</v>
      </c>
      <c r="C53" t="s">
        <v>236</v>
      </c>
      <c r="D53" t="s">
        <v>377</v>
      </c>
      <c r="E53" t="s">
        <v>237</v>
      </c>
      <c r="F53" t="n">
        <v>9.62837837837838</v>
      </c>
      <c r="G53" t="n">
        <v>8.55855855855856</v>
      </c>
      <c r="H53" t="n">
        <v>10.6981981981982</v>
      </c>
      <c r="I53" t="n">
        <v>12.8378378378378</v>
      </c>
      <c r="J53" t="n">
        <v>13.9076576576577</v>
      </c>
      <c r="K53" t="n">
        <v>16.0472972972973</v>
      </c>
      <c r="L53" t="n">
        <v>14.9774774774775</v>
      </c>
      <c r="M53" t="n">
        <v>17.1171171171171</v>
      </c>
      <c r="N53" t="n">
        <v>14.9774774774775</v>
      </c>
      <c r="O53" t="n">
        <v>18.1869369369369</v>
      </c>
      <c r="P53" t="n">
        <v>25.6756756756757</v>
      </c>
      <c r="Q53" t="n">
        <v>39.5833333333333</v>
      </c>
      <c r="R53" t="n">
        <v>29.1666666666667</v>
      </c>
      <c r="S53" t="n">
        <v>50</v>
      </c>
      <c r="T53" t="n">
        <v>27</v>
      </c>
      <c r="U53" t="n">
        <v>49</v>
      </c>
      <c r="V53" t="n">
        <v>27</v>
      </c>
      <c r="W53" t="n">
        <v>22</v>
      </c>
      <c r="X53" t="n">
        <v>28</v>
      </c>
      <c r="Y53" t="n">
        <v>27</v>
      </c>
      <c r="Z53" t="n">
        <v>13</v>
      </c>
      <c r="AA53" t="n">
        <v>18</v>
      </c>
      <c r="AB53" t="n">
        <v>37</v>
      </c>
      <c r="AC53" t="n">
        <v>23</v>
      </c>
      <c r="AD53" t="n">
        <v>33</v>
      </c>
      <c r="AE53" t="n">
        <v>25</v>
      </c>
      <c r="AF53" t="n">
        <v>38</v>
      </c>
    </row>
    <row r="54">
      <c r="A54" t="s">
        <v>53</v>
      </c>
      <c r="B54" t="s">
        <v>378</v>
      </c>
      <c r="C54" t="s">
        <v>236</v>
      </c>
      <c r="D54" t="s">
        <v>379</v>
      </c>
      <c r="E54" t="s">
        <v>237</v>
      </c>
      <c r="F54" t="n">
        <v>16.9009826152683</v>
      </c>
      <c r="G54" t="n">
        <v>15.8446712018141</v>
      </c>
      <c r="H54" t="n">
        <v>19.0136054421769</v>
      </c>
      <c r="I54" t="n">
        <v>23.238851095994</v>
      </c>
      <c r="J54" t="n">
        <v>25.3514739229025</v>
      </c>
      <c r="K54" t="n">
        <v>30.6330309901739</v>
      </c>
      <c r="L54" t="n">
        <v>30.6330309901739</v>
      </c>
      <c r="M54" t="n">
        <v>36.9708994708995</v>
      </c>
      <c r="N54" t="n">
        <v>26.4077853363568</v>
      </c>
      <c r="O54" t="n">
        <v>27.464096749811</v>
      </c>
      <c r="P54" t="n">
        <v>39.083522297808</v>
      </c>
      <c r="Q54" t="n">
        <v>44.3650793650794</v>
      </c>
      <c r="R54" t="n">
        <v>43.3333333333333</v>
      </c>
      <c r="S54" t="n">
        <v>65</v>
      </c>
      <c r="T54" t="n">
        <v>49</v>
      </c>
      <c r="U54" t="n">
        <v>67</v>
      </c>
      <c r="V54" t="n">
        <v>43</v>
      </c>
      <c r="W54" t="n">
        <v>42</v>
      </c>
      <c r="X54" t="n">
        <v>49</v>
      </c>
      <c r="Y54" t="n">
        <v>48</v>
      </c>
      <c r="Z54" t="n">
        <v>36</v>
      </c>
      <c r="AA54" t="n">
        <v>40</v>
      </c>
      <c r="AB54" t="n">
        <v>58</v>
      </c>
      <c r="AC54" t="n">
        <v>54</v>
      </c>
      <c r="AD54" t="n">
        <v>67</v>
      </c>
      <c r="AE54" t="n">
        <v>45</v>
      </c>
      <c r="AF54" t="n">
        <v>85</v>
      </c>
    </row>
    <row r="55">
      <c r="A55" t="s">
        <v>53</v>
      </c>
      <c r="B55" t="s">
        <v>380</v>
      </c>
      <c r="C55" t="s">
        <v>236</v>
      </c>
      <c r="D55" t="s">
        <v>381</v>
      </c>
      <c r="E55" t="s">
        <v>237</v>
      </c>
      <c r="F55" t="n">
        <v>7</v>
      </c>
      <c r="G55" t="n">
        <v>7</v>
      </c>
      <c r="H55" t="n">
        <v>8</v>
      </c>
      <c r="I55" t="n">
        <v>10</v>
      </c>
      <c r="J55" t="n">
        <v>11</v>
      </c>
      <c r="K55" t="n">
        <v>14</v>
      </c>
      <c r="L55" t="n">
        <v>15</v>
      </c>
      <c r="M55" t="n">
        <v>19</v>
      </c>
      <c r="N55" t="n">
        <v>11</v>
      </c>
      <c r="O55" t="n">
        <v>9</v>
      </c>
      <c r="P55" t="n">
        <v>13</v>
      </c>
      <c r="Q55" t="n">
        <v>5</v>
      </c>
      <c r="R55" t="n">
        <v>14</v>
      </c>
      <c r="S55" t="n">
        <v>15</v>
      </c>
      <c r="T55" t="n">
        <v>22</v>
      </c>
      <c r="U55" t="n">
        <v>18</v>
      </c>
      <c r="V55" t="n">
        <v>16</v>
      </c>
      <c r="W55" t="n">
        <v>20</v>
      </c>
      <c r="X55" t="n">
        <v>21</v>
      </c>
      <c r="Y55" t="n">
        <v>21</v>
      </c>
      <c r="Z55" t="n">
        <v>23</v>
      </c>
      <c r="AA55" t="n">
        <v>22</v>
      </c>
      <c r="AB55" t="n">
        <v>21</v>
      </c>
      <c r="AC55" t="n">
        <v>31</v>
      </c>
      <c r="AD55" t="n">
        <v>34</v>
      </c>
      <c r="AE55" t="n">
        <v>20</v>
      </c>
      <c r="AF55" t="n">
        <v>47</v>
      </c>
    </row>
    <row r="56">
      <c r="A56" t="s">
        <v>53</v>
      </c>
      <c r="B56" t="s">
        <v>382</v>
      </c>
      <c r="C56" t="s">
        <v>236</v>
      </c>
      <c r="D56" t="s">
        <v>383</v>
      </c>
      <c r="E56" t="s">
        <v>237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53</v>
      </c>
      <c r="B57" t="s">
        <v>384</v>
      </c>
      <c r="C57" t="s">
        <v>236</v>
      </c>
      <c r="D57" t="s">
        <v>385</v>
      </c>
      <c r="E57" t="s">
        <v>237</v>
      </c>
      <c r="F57" t="n">
        <v>1023.96448882643</v>
      </c>
      <c r="G57" t="n">
        <v>930.659313442713</v>
      </c>
      <c r="H57" t="n">
        <v>1051.47755336265</v>
      </c>
      <c r="I57" t="n">
        <v>1326.6081987249</v>
      </c>
      <c r="J57" t="n">
        <v>1520.24729210178</v>
      </c>
      <c r="K57" t="n">
        <v>1735.6963510143</v>
      </c>
      <c r="L57" t="n">
        <v>2004.40248066923</v>
      </c>
      <c r="M57" t="n">
        <v>1900.89445463224</v>
      </c>
      <c r="N57" t="n">
        <v>2392.76014036393</v>
      </c>
      <c r="O57" t="n">
        <v>2261.42725236696</v>
      </c>
      <c r="P57" t="n">
        <v>2605.89906793328</v>
      </c>
      <c r="Q57" t="n">
        <v>2678.52050038845</v>
      </c>
      <c r="R57" t="n">
        <v>2811.97412320322</v>
      </c>
      <c r="S57" t="n">
        <v>2850.43046222755</v>
      </c>
      <c r="T57" t="n">
        <v>2864.01472177748</v>
      </c>
      <c r="U57" t="n">
        <v>2910.29954778965</v>
      </c>
      <c r="V57" t="n">
        <v>2863.10550106874</v>
      </c>
      <c r="W57" t="n">
        <v>2829.96770591748</v>
      </c>
      <c r="X57" t="n">
        <v>2878.81640049604</v>
      </c>
      <c r="Y57" t="n">
        <v>3159.10250117607</v>
      </c>
      <c r="Z57" t="n">
        <v>3071.5255113305</v>
      </c>
      <c r="AA57" t="n">
        <v>3132.18212680792</v>
      </c>
      <c r="AB57" t="n">
        <v>3301.51734626719</v>
      </c>
      <c r="AC57" t="n">
        <v>3687.689836863</v>
      </c>
      <c r="AD57" t="n">
        <v>4045.74768824306</v>
      </c>
      <c r="AE57" t="n">
        <v>3835</v>
      </c>
      <c r="AF57" t="n">
        <v>4022</v>
      </c>
    </row>
    <row r="58">
      <c r="A58" t="s">
        <v>53</v>
      </c>
      <c r="B58" t="s">
        <v>386</v>
      </c>
      <c r="C58" t="s">
        <v>236</v>
      </c>
      <c r="D58" t="s">
        <v>387</v>
      </c>
      <c r="E58" t="s">
        <v>237</v>
      </c>
      <c r="F58" t="n">
        <v>1023.96448882643</v>
      </c>
      <c r="G58" t="n">
        <v>930.659313442713</v>
      </c>
      <c r="H58" t="n">
        <v>1051.47755336265</v>
      </c>
      <c r="I58" t="n">
        <v>1326.6081987249</v>
      </c>
      <c r="J58" t="n">
        <v>1520.24729210178</v>
      </c>
      <c r="K58" t="n">
        <v>1735.6963510143</v>
      </c>
      <c r="L58" t="n">
        <v>2004.40248066923</v>
      </c>
      <c r="M58" t="n">
        <v>1900.89445463224</v>
      </c>
      <c r="N58" t="n">
        <v>2392.76014036393</v>
      </c>
      <c r="O58" t="n">
        <v>2261.42725236696</v>
      </c>
      <c r="P58" t="n">
        <v>2605.89906793328</v>
      </c>
      <c r="Q58" t="n">
        <v>2678.52050038845</v>
      </c>
      <c r="R58" t="n">
        <v>2811.97412320322</v>
      </c>
      <c r="S58" t="n">
        <v>2850.43046222755</v>
      </c>
      <c r="T58" t="n">
        <v>2864.01472177748</v>
      </c>
      <c r="U58" t="n">
        <v>2910.29954778965</v>
      </c>
      <c r="V58" t="n">
        <v>2863.10550106874</v>
      </c>
      <c r="W58" t="n">
        <v>2829.96770591748</v>
      </c>
      <c r="X58" t="n">
        <v>2878.81640049604</v>
      </c>
      <c r="Y58" t="n">
        <v>3159.10250117607</v>
      </c>
      <c r="Z58" t="n">
        <v>3071.5255113305</v>
      </c>
      <c r="AA58" t="n">
        <v>3132.18212680792</v>
      </c>
      <c r="AB58" t="n">
        <v>3301.51734626719</v>
      </c>
      <c r="AC58" t="n">
        <v>3687.689836863</v>
      </c>
      <c r="AD58" t="n">
        <v>4045.74768824306</v>
      </c>
      <c r="AE58" t="n">
        <v>3835</v>
      </c>
      <c r="AF58" t="n">
        <v>4022</v>
      </c>
    </row>
    <row r="59">
      <c r="A59" t="s">
        <v>53</v>
      </c>
      <c r="B59" t="s">
        <v>388</v>
      </c>
      <c r="C59" t="s">
        <v>236</v>
      </c>
      <c r="D59" t="s">
        <v>389</v>
      </c>
      <c r="E59" t="s">
        <v>237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55</v>
      </c>
      <c r="B2" t="s">
        <v>197</v>
      </c>
      <c r="C2" t="s">
        <v>236</v>
      </c>
      <c r="D2" t="s">
        <v>199</v>
      </c>
      <c r="E2" t="s">
        <v>237</v>
      </c>
      <c r="F2" t="n">
        <v>302.506327090176</v>
      </c>
      <c r="G2" t="n">
        <v>287.628966741479</v>
      </c>
      <c r="H2" t="n">
        <v>338.090188976826</v>
      </c>
      <c r="I2" t="n">
        <v>314.423875748449</v>
      </c>
      <c r="J2" t="n">
        <v>351.218159080714</v>
      </c>
      <c r="K2" t="n">
        <v>368.85925382906</v>
      </c>
      <c r="L2" t="n">
        <v>370.396167386681</v>
      </c>
      <c r="M2" t="n">
        <v>401.760358979908</v>
      </c>
      <c r="N2" t="n">
        <v>388.706773309081</v>
      </c>
      <c r="O2" t="n">
        <v>360.437189795693</v>
      </c>
      <c r="P2" t="n">
        <v>328.916066733712</v>
      </c>
      <c r="Q2" t="n">
        <v>278.517637153547</v>
      </c>
      <c r="R2" t="n">
        <v>304.170577417689</v>
      </c>
      <c r="S2" t="n">
        <v>358.703151058311</v>
      </c>
      <c r="T2" t="n">
        <v>342.842127372059</v>
      </c>
      <c r="U2" t="n">
        <v>310.247981459927</v>
      </c>
      <c r="V2" t="n">
        <v>335.403223199921</v>
      </c>
      <c r="W2" t="n">
        <v>318.869261492882</v>
      </c>
      <c r="X2" t="n">
        <v>303.094810394295</v>
      </c>
      <c r="Y2" t="n">
        <v>261.405189633741</v>
      </c>
      <c r="Z2" t="n">
        <v>244.430826670511</v>
      </c>
      <c r="AA2" t="n">
        <v>288.671700276033</v>
      </c>
      <c r="AB2" t="n">
        <v>328.488486521004</v>
      </c>
      <c r="AC2" t="n">
        <v>251.915156892797</v>
      </c>
      <c r="AD2" t="n">
        <v>264.889328063241</v>
      </c>
      <c r="AE2" t="n">
        <v>267</v>
      </c>
      <c r="AF2" t="n">
        <v>245</v>
      </c>
    </row>
    <row r="3">
      <c r="A3" t="s">
        <v>55</v>
      </c>
      <c r="B3" t="s">
        <v>276</v>
      </c>
      <c r="C3" t="s">
        <v>236</v>
      </c>
      <c r="D3" t="s">
        <v>277</v>
      </c>
      <c r="E3" t="s">
        <v>237</v>
      </c>
      <c r="F3" t="n">
        <v>4.11764705882353</v>
      </c>
      <c r="G3" t="n">
        <v>4.11764705882353</v>
      </c>
      <c r="H3" t="n">
        <v>3.08823529411765</v>
      </c>
      <c r="I3" t="n">
        <v>5.14705882352941</v>
      </c>
      <c r="J3" t="n">
        <v>6.1764705882353</v>
      </c>
      <c r="K3" t="n">
        <v>4.11764705882353</v>
      </c>
      <c r="L3" t="n">
        <v>3.08823529411765</v>
      </c>
      <c r="M3" t="n">
        <v>5.14705882352941</v>
      </c>
      <c r="N3" t="n">
        <v>6.1764705882353</v>
      </c>
      <c r="O3" t="n">
        <v>6.1764705882353</v>
      </c>
      <c r="P3" t="n">
        <v>8.23529411764706</v>
      </c>
      <c r="Q3" t="n">
        <v>6.1764705882353</v>
      </c>
      <c r="R3" t="n">
        <v>8.23529411764706</v>
      </c>
      <c r="S3" t="n">
        <v>11.3235294117647</v>
      </c>
      <c r="T3" t="n">
        <v>6.1764705882353</v>
      </c>
      <c r="U3" t="n">
        <v>6.1764705882353</v>
      </c>
      <c r="V3" t="n">
        <v>11.3235294117647</v>
      </c>
      <c r="W3" t="n">
        <v>35</v>
      </c>
      <c r="X3" t="n">
        <v>29</v>
      </c>
      <c r="Y3" t="n">
        <v>22</v>
      </c>
      <c r="Z3" t="n">
        <v>17</v>
      </c>
      <c r="AA3" t="n">
        <v>11</v>
      </c>
      <c r="AB3" t="n">
        <v>13</v>
      </c>
      <c r="AC3" t="n">
        <v>13</v>
      </c>
      <c r="AD3" t="n">
        <v>9</v>
      </c>
      <c r="AE3" t="n">
        <v>15</v>
      </c>
      <c r="AF3" t="n">
        <v>19</v>
      </c>
    </row>
    <row r="4">
      <c r="A4" t="s">
        <v>55</v>
      </c>
      <c r="B4" t="s">
        <v>278</v>
      </c>
      <c r="C4" t="s">
        <v>236</v>
      </c>
      <c r="D4" t="s">
        <v>279</v>
      </c>
      <c r="E4" t="s">
        <v>237</v>
      </c>
      <c r="F4" t="n">
        <v>66.710589848589</v>
      </c>
      <c r="G4" t="n">
        <v>78.7403683458756</v>
      </c>
      <c r="H4" t="n">
        <v>91.8637630701882</v>
      </c>
      <c r="I4" t="n">
        <v>111.548855156657</v>
      </c>
      <c r="J4" t="n">
        <v>108.268006475579</v>
      </c>
      <c r="K4" t="n">
        <v>114.829703837735</v>
      </c>
      <c r="L4" t="n">
        <v>109.513513845247</v>
      </c>
      <c r="M4" t="n">
        <v>96.0826112038492</v>
      </c>
      <c r="N4" t="n">
        <v>105.380928417125</v>
      </c>
      <c r="O4" t="n">
        <v>114.679245630401</v>
      </c>
      <c r="P4" t="n">
        <v>117.778684701493</v>
      </c>
      <c r="Q4" t="n">
        <v>184.933197908484</v>
      </c>
      <c r="R4" t="n">
        <v>167.369709838963</v>
      </c>
      <c r="S4" t="n">
        <v>230.391637617832</v>
      </c>
      <c r="T4" t="n">
        <v>141.541050913197</v>
      </c>
      <c r="U4" t="n">
        <v>99.1820502749411</v>
      </c>
      <c r="V4" t="n">
        <v>104.347782060094</v>
      </c>
      <c r="W4" t="n">
        <v>112.612952916339</v>
      </c>
      <c r="X4" t="n">
        <v>77.4859767772977</v>
      </c>
      <c r="Y4" t="n">
        <v>92.9831721327572</v>
      </c>
      <c r="Z4" t="n">
        <v>125.010709200707</v>
      </c>
      <c r="AA4" t="n">
        <v>111.579806559309</v>
      </c>
      <c r="AB4" t="n">
        <v>138.441611842105</v>
      </c>
      <c r="AC4" t="n">
        <v>132.242733699921</v>
      </c>
      <c r="AD4" t="n">
        <v>137.368421052632</v>
      </c>
      <c r="AE4" t="n">
        <v>116</v>
      </c>
      <c r="AF4" t="n">
        <v>275</v>
      </c>
    </row>
    <row r="5">
      <c r="A5" t="s">
        <v>55</v>
      </c>
      <c r="B5" t="s">
        <v>280</v>
      </c>
      <c r="C5" t="s">
        <v>236</v>
      </c>
      <c r="D5" t="s">
        <v>281</v>
      </c>
      <c r="E5" t="s">
        <v>237</v>
      </c>
      <c r="F5" t="n">
        <v>10</v>
      </c>
      <c r="G5" t="n">
        <v>9</v>
      </c>
      <c r="H5" t="n">
        <v>11</v>
      </c>
      <c r="I5" t="n">
        <v>11</v>
      </c>
      <c r="J5" t="n">
        <v>11</v>
      </c>
      <c r="K5" t="n">
        <v>11</v>
      </c>
      <c r="L5" t="n">
        <v>10</v>
      </c>
      <c r="M5" t="n">
        <v>10</v>
      </c>
      <c r="N5" t="n">
        <v>10</v>
      </c>
      <c r="O5" t="n">
        <v>11</v>
      </c>
      <c r="P5" t="n">
        <v>10</v>
      </c>
      <c r="Q5" t="n">
        <v>15</v>
      </c>
      <c r="R5" t="n">
        <v>11</v>
      </c>
      <c r="S5" t="n">
        <v>15</v>
      </c>
      <c r="T5" t="n">
        <v>13</v>
      </c>
      <c r="U5" t="n">
        <v>10</v>
      </c>
      <c r="V5" t="n">
        <v>10</v>
      </c>
      <c r="W5" t="n">
        <v>11</v>
      </c>
      <c r="X5" t="n">
        <v>10</v>
      </c>
      <c r="Y5" t="n">
        <v>13</v>
      </c>
      <c r="Z5" t="n">
        <v>13</v>
      </c>
      <c r="AA5" t="n">
        <v>12</v>
      </c>
      <c r="AB5" t="n">
        <v>25</v>
      </c>
      <c r="AC5" t="n">
        <v>13</v>
      </c>
      <c r="AD5" t="n">
        <v>10</v>
      </c>
      <c r="AE5" t="n">
        <v>11</v>
      </c>
      <c r="AF5" t="n">
        <v>11</v>
      </c>
    </row>
    <row r="6">
      <c r="A6" t="s">
        <v>55</v>
      </c>
      <c r="B6" t="s">
        <v>282</v>
      </c>
      <c r="C6" t="s">
        <v>236</v>
      </c>
      <c r="D6" t="s">
        <v>283</v>
      </c>
      <c r="E6" t="s">
        <v>237</v>
      </c>
      <c r="F6" t="e">
        <v>#NUM!</v>
      </c>
      <c r="G6" t="e">
        <v>#NUM!</v>
      </c>
      <c r="H6" t="e">
        <v>#NUM!</v>
      </c>
      <c r="I6" t="e">
        <v>#NUM!</v>
      </c>
      <c r="J6" t="e">
        <v>#NUM!</v>
      </c>
      <c r="K6" t="e">
        <v>#NUM!</v>
      </c>
      <c r="L6" t="e">
        <v>#NUM!</v>
      </c>
      <c r="M6" t="e">
        <v>#NUM!</v>
      </c>
      <c r="N6" t="e">
        <v>#NUM!</v>
      </c>
      <c r="O6" t="e">
        <v>#NUM!</v>
      </c>
      <c r="P6" t="e">
        <v>#NUM!</v>
      </c>
      <c r="Q6" t="e">
        <v>#NUM!</v>
      </c>
      <c r="R6" t="e">
        <v>#NUM!</v>
      </c>
      <c r="S6" t="e">
        <v>#NUM!</v>
      </c>
      <c r="T6" t="e">
        <v>#NUM!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55</v>
      </c>
      <c r="B7" t="s">
        <v>284</v>
      </c>
      <c r="C7" t="s">
        <v>236</v>
      </c>
      <c r="D7" t="s">
        <v>285</v>
      </c>
      <c r="E7" t="s">
        <v>237</v>
      </c>
      <c r="F7" t="n">
        <v>19.89</v>
      </c>
      <c r="G7" t="n">
        <v>21.06</v>
      </c>
      <c r="H7" t="n">
        <v>25.74</v>
      </c>
      <c r="I7" t="n">
        <v>30.42</v>
      </c>
      <c r="J7" t="n">
        <v>30.42</v>
      </c>
      <c r="K7" t="n">
        <v>29.25</v>
      </c>
      <c r="L7" t="n">
        <v>26</v>
      </c>
      <c r="M7" t="n">
        <v>23</v>
      </c>
      <c r="N7" t="n">
        <v>26</v>
      </c>
      <c r="O7" t="n">
        <v>26</v>
      </c>
      <c r="P7" t="n">
        <v>26</v>
      </c>
      <c r="Q7" t="n">
        <v>41</v>
      </c>
      <c r="R7" t="n">
        <v>34</v>
      </c>
      <c r="S7" t="n">
        <v>37</v>
      </c>
      <c r="T7" t="n">
        <v>16</v>
      </c>
      <c r="U7" t="n">
        <v>15</v>
      </c>
      <c r="V7" t="n">
        <v>19</v>
      </c>
      <c r="W7" t="n">
        <v>16</v>
      </c>
      <c r="X7" t="n">
        <v>13</v>
      </c>
      <c r="Y7" t="n">
        <v>12</v>
      </c>
      <c r="Z7" t="n">
        <v>17</v>
      </c>
      <c r="AA7" t="n">
        <v>22</v>
      </c>
      <c r="AB7" t="n">
        <v>39</v>
      </c>
      <c r="AC7" t="n">
        <v>18</v>
      </c>
      <c r="AD7" t="n">
        <v>17</v>
      </c>
      <c r="AE7" t="n">
        <v>14</v>
      </c>
      <c r="AF7" t="n">
        <v>20</v>
      </c>
    </row>
    <row r="8">
      <c r="A8" t="s">
        <v>55</v>
      </c>
      <c r="B8" t="s">
        <v>286</v>
      </c>
      <c r="C8" t="s">
        <v>236</v>
      </c>
      <c r="D8" t="s">
        <v>287</v>
      </c>
      <c r="E8" t="s">
        <v>237</v>
      </c>
      <c r="F8" t="n">
        <v>1</v>
      </c>
      <c r="G8" t="n">
        <v>2</v>
      </c>
      <c r="H8" t="n">
        <v>2</v>
      </c>
      <c r="I8" t="n">
        <v>2</v>
      </c>
      <c r="J8" t="n">
        <v>2</v>
      </c>
      <c r="K8" t="n">
        <v>1</v>
      </c>
      <c r="L8" t="n">
        <v>2</v>
      </c>
      <c r="M8" t="n">
        <v>1</v>
      </c>
      <c r="N8" t="n">
        <v>1</v>
      </c>
      <c r="O8" t="n">
        <v>1</v>
      </c>
      <c r="P8" t="n">
        <v>1</v>
      </c>
      <c r="Q8" t="n">
        <v>2</v>
      </c>
      <c r="R8" t="n">
        <v>2</v>
      </c>
      <c r="S8" t="n">
        <v>2</v>
      </c>
      <c r="T8" t="n">
        <v>2</v>
      </c>
      <c r="U8" t="n">
        <v>5</v>
      </c>
      <c r="V8" t="n">
        <v>1</v>
      </c>
      <c r="W8" t="n">
        <v>2</v>
      </c>
      <c r="X8" t="n">
        <v>2</v>
      </c>
      <c r="Y8" t="n">
        <v>2</v>
      </c>
      <c r="Z8" t="n">
        <v>8</v>
      </c>
      <c r="AA8" t="n">
        <v>-2</v>
      </c>
      <c r="AB8" t="n">
        <v>-15</v>
      </c>
      <c r="AC8" t="n">
        <v>2</v>
      </c>
      <c r="AD8" t="n">
        <v>1</v>
      </c>
      <c r="AE8" t="n">
        <v>1</v>
      </c>
      <c r="AF8" t="n">
        <v>126</v>
      </c>
    </row>
    <row r="9">
      <c r="A9" t="s">
        <v>55</v>
      </c>
      <c r="B9" t="s">
        <v>288</v>
      </c>
      <c r="C9" t="s">
        <v>236</v>
      </c>
      <c r="D9" t="s">
        <v>289</v>
      </c>
      <c r="E9" t="s">
        <v>237</v>
      </c>
      <c r="F9" t="n">
        <v>5</v>
      </c>
      <c r="G9" t="n">
        <v>5</v>
      </c>
      <c r="H9" t="n">
        <v>6</v>
      </c>
      <c r="I9" t="n">
        <v>6</v>
      </c>
      <c r="J9" t="n">
        <v>5</v>
      </c>
      <c r="K9" t="n">
        <v>5</v>
      </c>
      <c r="L9" t="n">
        <v>6</v>
      </c>
      <c r="M9" t="n">
        <v>5</v>
      </c>
      <c r="N9" t="n">
        <v>4</v>
      </c>
      <c r="O9" t="n">
        <v>6</v>
      </c>
      <c r="P9" t="n">
        <v>5</v>
      </c>
      <c r="Q9" t="n">
        <v>5</v>
      </c>
      <c r="R9" t="n">
        <v>7</v>
      </c>
      <c r="S9" t="n">
        <v>6</v>
      </c>
      <c r="T9" t="n">
        <v>3</v>
      </c>
      <c r="U9" t="n">
        <v>2</v>
      </c>
      <c r="V9" t="n">
        <v>3</v>
      </c>
      <c r="W9" t="n">
        <v>4</v>
      </c>
      <c r="X9" t="n">
        <v>6</v>
      </c>
      <c r="Y9" t="n">
        <v>4</v>
      </c>
      <c r="Z9" t="n">
        <v>9</v>
      </c>
      <c r="AA9" t="n">
        <v>13</v>
      </c>
      <c r="AB9" t="n">
        <v>16</v>
      </c>
      <c r="AC9" t="n">
        <v>13</v>
      </c>
      <c r="AD9" t="n">
        <v>10</v>
      </c>
      <c r="AE9" t="n">
        <v>10</v>
      </c>
      <c r="AF9" t="n">
        <v>15</v>
      </c>
    </row>
    <row r="10">
      <c r="A10" t="s">
        <v>55</v>
      </c>
      <c r="B10" t="s">
        <v>290</v>
      </c>
      <c r="C10" t="s">
        <v>236</v>
      </c>
      <c r="D10" t="s">
        <v>291</v>
      </c>
      <c r="E10" t="s">
        <v>237</v>
      </c>
      <c r="F10" t="n">
        <v>7.10769230769231</v>
      </c>
      <c r="G10" t="n">
        <v>8.52923076923077</v>
      </c>
      <c r="H10" t="n">
        <v>8.52923076923077</v>
      </c>
      <c r="I10" t="n">
        <v>9.95076923076923</v>
      </c>
      <c r="J10" t="n">
        <v>8.52923076923077</v>
      </c>
      <c r="K10" t="n">
        <v>8.52923076923077</v>
      </c>
      <c r="L10" t="n">
        <v>8.52923076923077</v>
      </c>
      <c r="M10" t="n">
        <v>8.52923076923077</v>
      </c>
      <c r="N10" t="n">
        <v>7.10769230769231</v>
      </c>
      <c r="O10" t="n">
        <v>8.52923076923077</v>
      </c>
      <c r="P10" t="n">
        <v>8.52923076923077</v>
      </c>
      <c r="Q10" t="n">
        <v>8.52923076923077</v>
      </c>
      <c r="R10" t="n">
        <v>9.95076923076923</v>
      </c>
      <c r="S10" t="n">
        <v>11.3723076923077</v>
      </c>
      <c r="T10" t="n">
        <v>4.26461538461538</v>
      </c>
      <c r="U10" t="n">
        <v>2.84307692307692</v>
      </c>
      <c r="V10" t="n">
        <v>4.26461538461538</v>
      </c>
      <c r="W10" t="n">
        <v>5.68615384615385</v>
      </c>
      <c r="X10" t="n">
        <v>8.52923076923077</v>
      </c>
      <c r="Y10" t="n">
        <v>5.68615384615385</v>
      </c>
      <c r="Z10" t="n">
        <v>12.7938461538462</v>
      </c>
      <c r="AA10" t="n">
        <v>18.48</v>
      </c>
      <c r="AB10" t="n">
        <v>22.7446153846154</v>
      </c>
      <c r="AC10" t="n">
        <v>18.48</v>
      </c>
      <c r="AD10" t="n">
        <v>13.2</v>
      </c>
      <c r="AE10" t="n">
        <v>12</v>
      </c>
      <c r="AF10" t="n">
        <v>15</v>
      </c>
    </row>
    <row r="11">
      <c r="A11" t="s">
        <v>55</v>
      </c>
      <c r="B11" t="s">
        <v>292</v>
      </c>
      <c r="C11" t="s">
        <v>236</v>
      </c>
      <c r="D11" t="s">
        <v>293</v>
      </c>
      <c r="E11" t="s">
        <v>237</v>
      </c>
      <c r="F11" t="n">
        <v>0</v>
      </c>
      <c r="G11" t="e">
        <v>#NUM!</v>
      </c>
      <c r="H11" t="n">
        <v>0</v>
      </c>
      <c r="I11" t="e">
        <v>#NUM!</v>
      </c>
      <c r="J11" t="e">
        <v>#NUM!</v>
      </c>
      <c r="K11" t="e">
        <v>#NUM!</v>
      </c>
      <c r="L11" t="n">
        <v>0</v>
      </c>
      <c r="M11" t="e">
        <v>#NUM!</v>
      </c>
      <c r="N11" t="e">
        <v>#NUM!</v>
      </c>
      <c r="O11" t="n">
        <v>0</v>
      </c>
      <c r="P11" t="e">
        <v>#NUM!</v>
      </c>
      <c r="Q11" t="e">
        <v>#NUM!</v>
      </c>
      <c r="R11" t="n">
        <v>0</v>
      </c>
      <c r="S11" t="e">
        <v>#NUM!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e">
        <v>#NUM!</v>
      </c>
      <c r="AD11" t="e">
        <v>#NUM!</v>
      </c>
      <c r="AE11" t="n">
        <v>2</v>
      </c>
      <c r="AF11" t="n">
        <v>0</v>
      </c>
    </row>
    <row r="12">
      <c r="A12" t="s">
        <v>55</v>
      </c>
      <c r="B12" t="s">
        <v>294</v>
      </c>
      <c r="C12" t="s">
        <v>236</v>
      </c>
      <c r="D12" t="s">
        <v>295</v>
      </c>
      <c r="E12" t="s">
        <v>237</v>
      </c>
      <c r="F12" t="n">
        <v>5</v>
      </c>
      <c r="G12" t="n">
        <v>6</v>
      </c>
      <c r="H12" t="n">
        <v>8</v>
      </c>
      <c r="I12" t="n">
        <v>10</v>
      </c>
      <c r="J12" t="n">
        <v>10</v>
      </c>
      <c r="K12" t="n">
        <v>10</v>
      </c>
      <c r="L12" t="n">
        <v>10</v>
      </c>
      <c r="M12" t="n">
        <v>8</v>
      </c>
      <c r="N12" t="n">
        <v>9</v>
      </c>
      <c r="O12" t="n">
        <v>9</v>
      </c>
      <c r="P12" t="n">
        <v>10</v>
      </c>
      <c r="Q12" t="n">
        <v>14</v>
      </c>
      <c r="R12" t="n">
        <v>11</v>
      </c>
      <c r="S12" t="n">
        <v>15</v>
      </c>
      <c r="T12" t="n">
        <v>9</v>
      </c>
      <c r="U12" t="n">
        <v>6</v>
      </c>
      <c r="V12" t="n">
        <v>7</v>
      </c>
      <c r="W12" t="n">
        <v>7</v>
      </c>
      <c r="X12" t="n">
        <v>6</v>
      </c>
      <c r="Y12" t="n">
        <v>6</v>
      </c>
      <c r="Z12" t="n">
        <v>7</v>
      </c>
      <c r="AA12" t="n">
        <v>6</v>
      </c>
      <c r="AB12" t="n">
        <v>5</v>
      </c>
      <c r="AC12" t="n">
        <v>7</v>
      </c>
      <c r="AD12" t="n">
        <v>8</v>
      </c>
      <c r="AE12" t="n">
        <v>6</v>
      </c>
      <c r="AF12" t="n">
        <v>8</v>
      </c>
    </row>
    <row r="13">
      <c r="A13" t="s">
        <v>55</v>
      </c>
      <c r="B13" t="s">
        <v>296</v>
      </c>
      <c r="C13" t="s">
        <v>236</v>
      </c>
      <c r="D13" t="s">
        <v>297</v>
      </c>
      <c r="E13" t="s">
        <v>237</v>
      </c>
      <c r="F13" t="n">
        <v>4</v>
      </c>
      <c r="G13" t="n">
        <v>5</v>
      </c>
      <c r="H13" t="n">
        <v>6</v>
      </c>
      <c r="I13" t="n">
        <v>10</v>
      </c>
      <c r="J13" t="n">
        <v>10</v>
      </c>
      <c r="K13" t="n">
        <v>13</v>
      </c>
      <c r="L13" t="n">
        <v>10</v>
      </c>
      <c r="M13" t="n">
        <v>10</v>
      </c>
      <c r="N13" t="n">
        <v>10</v>
      </c>
      <c r="O13" t="n">
        <v>13</v>
      </c>
      <c r="P13" t="n">
        <v>13</v>
      </c>
      <c r="Q13" t="n">
        <v>25</v>
      </c>
      <c r="R13" t="n">
        <v>34</v>
      </c>
      <c r="S13" t="n">
        <v>41</v>
      </c>
      <c r="T13" t="n">
        <v>36</v>
      </c>
      <c r="U13" t="n">
        <v>22</v>
      </c>
      <c r="V13" t="n">
        <v>20</v>
      </c>
      <c r="W13" t="n">
        <v>34</v>
      </c>
      <c r="X13" t="n">
        <v>13</v>
      </c>
      <c r="Y13" t="n">
        <v>16</v>
      </c>
      <c r="Z13" t="n">
        <v>19</v>
      </c>
      <c r="AA13" t="n">
        <v>17</v>
      </c>
      <c r="AB13" t="n">
        <v>20</v>
      </c>
      <c r="AC13" t="n">
        <v>28</v>
      </c>
      <c r="AD13" t="n">
        <v>33</v>
      </c>
      <c r="AE13" t="n">
        <v>25</v>
      </c>
      <c r="AF13" t="n">
        <v>39</v>
      </c>
    </row>
    <row r="14">
      <c r="A14" t="s">
        <v>55</v>
      </c>
      <c r="B14" t="s">
        <v>298</v>
      </c>
      <c r="C14" t="s">
        <v>236</v>
      </c>
      <c r="D14" t="s">
        <v>299</v>
      </c>
      <c r="E14" t="s">
        <v>237</v>
      </c>
      <c r="F14" t="n">
        <v>3.52447552447553</v>
      </c>
      <c r="G14" t="n">
        <v>5.87412587412588</v>
      </c>
      <c r="H14" t="n">
        <v>8.22377622377623</v>
      </c>
      <c r="I14" t="n">
        <v>11.7482517482518</v>
      </c>
      <c r="J14" t="n">
        <v>11.7482517482518</v>
      </c>
      <c r="K14" t="n">
        <v>12.9230769230769</v>
      </c>
      <c r="L14" t="n">
        <v>14</v>
      </c>
      <c r="M14" t="n">
        <v>12</v>
      </c>
      <c r="N14" t="n">
        <v>15</v>
      </c>
      <c r="O14" t="n">
        <v>17</v>
      </c>
      <c r="P14" t="n">
        <v>18</v>
      </c>
      <c r="Q14" t="n">
        <v>26</v>
      </c>
      <c r="R14" t="n">
        <v>19</v>
      </c>
      <c r="S14" t="n">
        <v>47</v>
      </c>
      <c r="T14" t="n">
        <v>11</v>
      </c>
      <c r="U14" t="n">
        <v>14</v>
      </c>
      <c r="V14" t="n">
        <v>14</v>
      </c>
      <c r="W14" t="n">
        <v>11</v>
      </c>
      <c r="X14" t="n">
        <v>7</v>
      </c>
      <c r="Y14" t="n">
        <v>13</v>
      </c>
      <c r="Z14" t="n">
        <v>16</v>
      </c>
      <c r="AA14" t="n">
        <v>14</v>
      </c>
      <c r="AB14" t="n">
        <v>17</v>
      </c>
      <c r="AC14" t="n">
        <v>14</v>
      </c>
      <c r="AD14" t="n">
        <v>14</v>
      </c>
      <c r="AE14" t="n">
        <v>19</v>
      </c>
      <c r="AF14" t="n">
        <v>17</v>
      </c>
    </row>
    <row r="15">
      <c r="A15" t="s">
        <v>55</v>
      </c>
      <c r="B15" t="s">
        <v>300</v>
      </c>
      <c r="C15" t="s">
        <v>236</v>
      </c>
      <c r="D15" t="s">
        <v>301</v>
      </c>
      <c r="E15" t="s">
        <v>237</v>
      </c>
      <c r="F15" t="n">
        <v>5.64705882352941</v>
      </c>
      <c r="G15" t="n">
        <v>9.03529411764706</v>
      </c>
      <c r="H15" t="n">
        <v>11.2941176470588</v>
      </c>
      <c r="I15" t="n">
        <v>15.8117647058824</v>
      </c>
      <c r="J15" t="n">
        <v>14.6823529411765</v>
      </c>
      <c r="K15" t="n">
        <v>16.9411764705882</v>
      </c>
      <c r="L15" t="n">
        <v>18</v>
      </c>
      <c r="M15" t="n">
        <v>14</v>
      </c>
      <c r="N15" t="n">
        <v>20</v>
      </c>
      <c r="O15" t="n">
        <v>22</v>
      </c>
      <c r="P15" t="n">
        <v>22</v>
      </c>
      <c r="Q15" t="n">
        <v>31</v>
      </c>
      <c r="R15" t="n">
        <v>24</v>
      </c>
      <c r="S15" t="n">
        <v>55</v>
      </c>
      <c r="T15" t="n">
        <v>16</v>
      </c>
      <c r="U15" t="n">
        <v>17</v>
      </c>
      <c r="V15" t="n">
        <v>18</v>
      </c>
      <c r="W15" t="n">
        <v>14</v>
      </c>
      <c r="X15" t="n">
        <v>11</v>
      </c>
      <c r="Y15" t="n">
        <v>14</v>
      </c>
      <c r="Z15" t="n">
        <v>18</v>
      </c>
      <c r="AA15" t="n">
        <v>16</v>
      </c>
      <c r="AB15" t="n">
        <v>19</v>
      </c>
      <c r="AC15" t="n">
        <v>16</v>
      </c>
      <c r="AD15" t="n">
        <v>16</v>
      </c>
      <c r="AE15" t="n">
        <v>21</v>
      </c>
      <c r="AF15" t="n">
        <v>19</v>
      </c>
    </row>
    <row r="16">
      <c r="A16" t="s">
        <v>55</v>
      </c>
      <c r="B16" t="s">
        <v>302</v>
      </c>
      <c r="C16" t="s">
        <v>236</v>
      </c>
      <c r="D16" t="s">
        <v>303</v>
      </c>
      <c r="E16" t="s">
        <v>237</v>
      </c>
      <c r="F16" t="n">
        <v>2</v>
      </c>
      <c r="G16" t="n">
        <v>3</v>
      </c>
      <c r="H16" t="n">
        <v>3</v>
      </c>
      <c r="I16" t="n">
        <v>4</v>
      </c>
      <c r="J16" t="n">
        <v>3</v>
      </c>
      <c r="K16" t="n">
        <v>4</v>
      </c>
      <c r="L16" t="n">
        <v>4</v>
      </c>
      <c r="M16" t="n">
        <v>2</v>
      </c>
      <c r="N16" t="n">
        <v>5</v>
      </c>
      <c r="O16" t="n">
        <v>5</v>
      </c>
      <c r="P16" t="n">
        <v>4</v>
      </c>
      <c r="Q16" t="n">
        <v>5</v>
      </c>
      <c r="R16" t="n">
        <v>5</v>
      </c>
      <c r="S16" t="n">
        <v>8</v>
      </c>
      <c r="T16" t="n">
        <v>5</v>
      </c>
      <c r="U16" t="n">
        <v>3</v>
      </c>
      <c r="V16" t="n">
        <v>4</v>
      </c>
      <c r="W16" t="n">
        <v>3</v>
      </c>
      <c r="X16" t="n">
        <v>4</v>
      </c>
      <c r="Y16" t="n">
        <v>1</v>
      </c>
      <c r="Z16" t="n">
        <v>2</v>
      </c>
      <c r="AA16" t="n">
        <v>2</v>
      </c>
      <c r="AB16" t="n">
        <v>2</v>
      </c>
      <c r="AC16" t="n">
        <v>2</v>
      </c>
      <c r="AD16" t="n">
        <v>2</v>
      </c>
      <c r="AE16" t="n">
        <v>2</v>
      </c>
      <c r="AF16" t="n">
        <v>2</v>
      </c>
    </row>
    <row r="17">
      <c r="A17" t="s">
        <v>55</v>
      </c>
      <c r="B17" t="s">
        <v>304</v>
      </c>
      <c r="C17" t="s">
        <v>236</v>
      </c>
      <c r="D17" t="s">
        <v>305</v>
      </c>
      <c r="E17" t="s">
        <v>237</v>
      </c>
      <c r="F17" t="n">
        <v>7</v>
      </c>
      <c r="G17" t="n">
        <v>8</v>
      </c>
      <c r="H17" t="n">
        <v>8</v>
      </c>
      <c r="I17" t="n">
        <v>10</v>
      </c>
      <c r="J17" t="n">
        <v>10</v>
      </c>
      <c r="K17" t="n">
        <v>10</v>
      </c>
      <c r="L17" t="n">
        <v>10</v>
      </c>
      <c r="M17" t="n">
        <v>8</v>
      </c>
      <c r="N17" t="n">
        <v>10</v>
      </c>
      <c r="O17" t="n">
        <v>10</v>
      </c>
      <c r="P17" t="n">
        <v>13</v>
      </c>
      <c r="Q17" t="n">
        <v>24</v>
      </c>
      <c r="R17" t="n">
        <v>20</v>
      </c>
      <c r="S17" t="n">
        <v>29</v>
      </c>
      <c r="T17" t="n">
        <v>28</v>
      </c>
      <c r="U17" t="n">
        <v>10</v>
      </c>
      <c r="V17" t="n">
        <v>14</v>
      </c>
      <c r="W17" t="n">
        <v>15</v>
      </c>
      <c r="X17" t="n">
        <v>10</v>
      </c>
      <c r="Y17" t="n">
        <v>13</v>
      </c>
      <c r="Z17" t="n">
        <v>14</v>
      </c>
      <c r="AA17" t="n">
        <v>11</v>
      </c>
      <c r="AB17" t="n">
        <v>10</v>
      </c>
      <c r="AC17" t="n">
        <v>14</v>
      </c>
      <c r="AD17" t="n">
        <v>17</v>
      </c>
      <c r="AE17" t="n">
        <v>10</v>
      </c>
      <c r="AF17" t="n">
        <v>13</v>
      </c>
    </row>
    <row r="18">
      <c r="A18" t="s">
        <v>55</v>
      </c>
      <c r="B18" t="s">
        <v>306</v>
      </c>
      <c r="C18" t="s">
        <v>236</v>
      </c>
      <c r="D18" t="s">
        <v>307</v>
      </c>
      <c r="E18" t="s">
        <v>237</v>
      </c>
      <c r="F18" t="e">
        <v>#NUM!</v>
      </c>
      <c r="G18" t="e">
        <v>#NUM!</v>
      </c>
      <c r="H18" t="e">
        <v>#NUM!</v>
      </c>
      <c r="I18" t="e">
        <v>#NUM!</v>
      </c>
      <c r="J18" t="e">
        <v>#NUM!</v>
      </c>
      <c r="K18" t="e">
        <v>#NUM!</v>
      </c>
      <c r="L18" t="e">
        <v>#NUM!</v>
      </c>
      <c r="M18" t="e">
        <v>#NUM!</v>
      </c>
      <c r="N18" t="e">
        <v>#NUM!</v>
      </c>
      <c r="O18" t="e">
        <v>#NUM!</v>
      </c>
      <c r="P18" t="e">
        <v>#NUM!</v>
      </c>
      <c r="Q18" t="e">
        <v>#NUM!</v>
      </c>
      <c r="R18" t="e">
        <v>#NUM!</v>
      </c>
      <c r="S18" t="e">
        <v>#NUM!</v>
      </c>
      <c r="T18" t="e">
        <v>#NUM!</v>
      </c>
      <c r="U18" t="e">
        <v>#NUM!</v>
      </c>
      <c r="V18" t="e">
        <v>#NUM!</v>
      </c>
      <c r="W18" t="e">
        <v>#NUM!</v>
      </c>
      <c r="X18" t="e">
        <v>#NUM!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55</v>
      </c>
      <c r="B19" t="s">
        <v>308</v>
      </c>
      <c r="C19" t="s">
        <v>236</v>
      </c>
      <c r="D19" t="s">
        <v>309</v>
      </c>
      <c r="E19" t="s">
        <v>237</v>
      </c>
      <c r="F19" t="n">
        <v>2</v>
      </c>
      <c r="G19" t="n">
        <v>5</v>
      </c>
      <c r="H19" t="n">
        <v>5</v>
      </c>
      <c r="I19" t="n">
        <v>5</v>
      </c>
      <c r="J19" t="n">
        <v>5</v>
      </c>
      <c r="K19" t="n">
        <v>6</v>
      </c>
      <c r="L19" t="n">
        <v>7</v>
      </c>
      <c r="M19" t="n">
        <v>7</v>
      </c>
      <c r="N19" t="n">
        <v>6</v>
      </c>
      <c r="O19" t="n">
        <v>7</v>
      </c>
      <c r="P19" t="n">
        <v>6</v>
      </c>
      <c r="Q19" t="n">
        <v>10</v>
      </c>
      <c r="R19" t="n">
        <v>10</v>
      </c>
      <c r="S19" t="n">
        <v>12</v>
      </c>
      <c r="T19" t="n">
        <v>6</v>
      </c>
      <c r="U19" t="n">
        <v>6</v>
      </c>
      <c r="V19" t="n">
        <v>7</v>
      </c>
      <c r="W19" t="n">
        <v>4</v>
      </c>
      <c r="X19" t="n">
        <v>3</v>
      </c>
      <c r="Y19" t="n">
        <v>10</v>
      </c>
      <c r="Z19" t="n">
        <v>16</v>
      </c>
      <c r="AA19" t="n">
        <v>13</v>
      </c>
      <c r="AB19" t="n">
        <v>15</v>
      </c>
      <c r="AC19" t="n">
        <v>17</v>
      </c>
      <c r="AD19" t="n">
        <v>22</v>
      </c>
      <c r="AE19" t="n">
        <v>16</v>
      </c>
      <c r="AF19" t="n">
        <v>24</v>
      </c>
    </row>
    <row r="20">
      <c r="A20" t="s">
        <v>55</v>
      </c>
      <c r="B20" t="s">
        <v>310</v>
      </c>
      <c r="C20" t="s">
        <v>236</v>
      </c>
      <c r="D20" t="s">
        <v>311</v>
      </c>
      <c r="E20" t="s">
        <v>237</v>
      </c>
      <c r="F20" t="n">
        <v>10.21598254835</v>
      </c>
      <c r="G20" t="n">
        <v>11.4929803668937</v>
      </c>
      <c r="H20" t="n">
        <v>14.0469760039812</v>
      </c>
      <c r="I20" t="n">
        <v>15.3239738225249</v>
      </c>
      <c r="J20" t="n">
        <v>15.3239738225249</v>
      </c>
      <c r="K20" t="n">
        <v>14.0469760039812</v>
      </c>
      <c r="L20" t="n">
        <v>12.8763946703161</v>
      </c>
      <c r="M20" t="n">
        <v>10.7303288919301</v>
      </c>
      <c r="N20" t="n">
        <v>12.8763946703161</v>
      </c>
      <c r="O20" t="n">
        <v>12.8763946703161</v>
      </c>
      <c r="P20" t="n">
        <v>12.8763946703161</v>
      </c>
      <c r="Q20" t="n">
        <v>13.9494275595091</v>
      </c>
      <c r="R20" t="n">
        <v>11.8033617811231</v>
      </c>
      <c r="S20" t="n">
        <v>19.3145920054741</v>
      </c>
      <c r="T20" t="n">
        <v>13.9494275595091</v>
      </c>
      <c r="U20" t="n">
        <v>47.2134471244924</v>
      </c>
      <c r="V20" t="n">
        <v>8.58426311354406</v>
      </c>
      <c r="W20" t="n">
        <v>41.8482826785273</v>
      </c>
      <c r="X20" t="n">
        <v>49.1717321472696</v>
      </c>
      <c r="Y20" t="n">
        <v>58.5875957499382</v>
      </c>
      <c r="Z20" t="n">
        <v>64.8648381517173</v>
      </c>
      <c r="AA20" t="n">
        <v>78.2496460242939</v>
      </c>
      <c r="AB20" t="n">
        <v>64.8648381517173</v>
      </c>
      <c r="AC20" t="n">
        <v>59.6338028169014</v>
      </c>
      <c r="AD20" t="n">
        <v>48.3239436619718</v>
      </c>
      <c r="AE20" t="n">
        <v>73</v>
      </c>
      <c r="AF20" t="n">
        <v>64</v>
      </c>
    </row>
    <row r="21">
      <c r="A21" t="s">
        <v>55</v>
      </c>
      <c r="B21" t="s">
        <v>312</v>
      </c>
      <c r="C21" t="s">
        <v>236</v>
      </c>
      <c r="D21" t="s">
        <v>313</v>
      </c>
      <c r="E21" t="s">
        <v>237</v>
      </c>
      <c r="F21" t="n">
        <v>41.0323485977291</v>
      </c>
      <c r="G21" t="n">
        <v>43.5968703850871</v>
      </c>
      <c r="H21" t="n">
        <v>47.4436530661242</v>
      </c>
      <c r="I21" t="n">
        <v>66.1714108553838</v>
      </c>
      <c r="J21" t="n">
        <v>66.1714108553838</v>
      </c>
      <c r="K21" t="n">
        <v>56.3682388768084</v>
      </c>
      <c r="L21" t="n">
        <v>54.1135093217361</v>
      </c>
      <c r="M21" t="n">
        <v>27.5872792620615</v>
      </c>
      <c r="N21" t="n">
        <v>29.7093776668355</v>
      </c>
      <c r="O21" t="n">
        <v>29.7093776668355</v>
      </c>
      <c r="P21" t="n">
        <v>35.0146236787704</v>
      </c>
      <c r="Q21" t="n">
        <v>30.7704268692225</v>
      </c>
      <c r="R21" t="n">
        <v>32.8925252739964</v>
      </c>
      <c r="S21" t="n">
        <v>40.3198696907053</v>
      </c>
      <c r="T21" t="n">
        <v>31.8314760716094</v>
      </c>
      <c r="U21" t="n">
        <v>73.2123949647017</v>
      </c>
      <c r="V21" t="n">
        <v>25.4651808572876</v>
      </c>
      <c r="W21" t="n">
        <v>85.9449853933455</v>
      </c>
      <c r="X21" t="n">
        <v>71.4482408691667</v>
      </c>
      <c r="Y21" t="n">
        <v>80.7675766347102</v>
      </c>
      <c r="Z21" t="n">
        <v>90.0869124002537</v>
      </c>
      <c r="AA21" t="n">
        <v>111.584925586678</v>
      </c>
      <c r="AB21" t="n">
        <v>95.2054869684499</v>
      </c>
      <c r="AC21" t="n">
        <v>83.8222222222222</v>
      </c>
      <c r="AD21" t="n">
        <v>66.4444444444444</v>
      </c>
      <c r="AE21" t="n">
        <v>92</v>
      </c>
      <c r="AF21" t="n">
        <v>86</v>
      </c>
    </row>
    <row r="22">
      <c r="A22" t="s">
        <v>55</v>
      </c>
      <c r="B22" t="s">
        <v>314</v>
      </c>
      <c r="C22" t="s">
        <v>236</v>
      </c>
      <c r="D22" t="s">
        <v>315</v>
      </c>
      <c r="E22" t="s">
        <v>237</v>
      </c>
      <c r="F22" t="n">
        <v>29.9133251718617</v>
      </c>
      <c r="G22" t="n">
        <v>31.1597137206893</v>
      </c>
      <c r="H22" t="n">
        <v>32.4061022695169</v>
      </c>
      <c r="I22" t="n">
        <v>49.2092664092664</v>
      </c>
      <c r="J22" t="n">
        <v>49.2092664092664</v>
      </c>
      <c r="K22" t="n">
        <v>41.007722007722</v>
      </c>
      <c r="L22" t="n">
        <v>39.9285714285714</v>
      </c>
      <c r="M22" t="n">
        <v>16.3809523809524</v>
      </c>
      <c r="N22" t="n">
        <v>16.3809523809524</v>
      </c>
      <c r="O22" t="n">
        <v>16.3809523809524</v>
      </c>
      <c r="P22" t="n">
        <v>21.5</v>
      </c>
      <c r="Q22" t="n">
        <v>16.3809523809524</v>
      </c>
      <c r="R22" t="n">
        <v>20.4761904761905</v>
      </c>
      <c r="S22" t="n">
        <v>20.4761904761905</v>
      </c>
      <c r="T22" t="n">
        <v>17.4047619047619</v>
      </c>
      <c r="U22" t="n">
        <v>25.5952380952381</v>
      </c>
      <c r="V22" t="n">
        <v>16.3809523809524</v>
      </c>
      <c r="W22" t="n">
        <v>43</v>
      </c>
      <c r="X22" t="n">
        <v>22</v>
      </c>
      <c r="Y22" t="n">
        <v>22</v>
      </c>
      <c r="Z22" t="n">
        <v>25</v>
      </c>
      <c r="AA22" t="n">
        <v>33</v>
      </c>
      <c r="AB22" t="n">
        <v>30</v>
      </c>
      <c r="AC22" t="n">
        <v>24</v>
      </c>
      <c r="AD22" t="n">
        <v>18</v>
      </c>
      <c r="AE22" t="n">
        <v>19</v>
      </c>
      <c r="AF22" t="n">
        <v>22</v>
      </c>
    </row>
    <row r="23">
      <c r="A23" t="s">
        <v>55</v>
      </c>
      <c r="B23" t="s">
        <v>316</v>
      </c>
      <c r="C23" t="s">
        <v>236</v>
      </c>
      <c r="D23" t="s">
        <v>317</v>
      </c>
      <c r="E23" t="s">
        <v>237</v>
      </c>
      <c r="F23" t="n">
        <v>96.905350400562</v>
      </c>
      <c r="G23" t="n">
        <v>101.377905034434</v>
      </c>
      <c r="H23" t="n">
        <v>114.41220711029</v>
      </c>
      <c r="I23" t="n">
        <v>135.341269386562</v>
      </c>
      <c r="J23" t="n">
        <v>149.293977570744</v>
      </c>
      <c r="K23" t="n">
        <v>149.293977570744</v>
      </c>
      <c r="L23" t="n">
        <v>132.98455144957</v>
      </c>
      <c r="M23" t="n">
        <v>132.98455144957</v>
      </c>
      <c r="N23" t="n">
        <v>143.576241388032</v>
      </c>
      <c r="O23" t="n">
        <v>155.24910654153</v>
      </c>
      <c r="P23" t="n">
        <v>163.359134495192</v>
      </c>
      <c r="Q23" t="n">
        <v>169.111216695727</v>
      </c>
      <c r="R23" t="n">
        <v>186.13583582617</v>
      </c>
      <c r="S23" t="n">
        <v>185.021249982899</v>
      </c>
      <c r="T23" t="n">
        <v>148.016999986319</v>
      </c>
      <c r="U23" t="n">
        <v>214.791586446313</v>
      </c>
      <c r="V23" t="n">
        <v>160.818316005957</v>
      </c>
      <c r="W23" t="n">
        <v>149.952213573122</v>
      </c>
      <c r="X23" t="n">
        <v>120.590940985378</v>
      </c>
      <c r="Y23" t="n">
        <v>120.590940985378</v>
      </c>
      <c r="Z23" t="n">
        <v>139.466044791785</v>
      </c>
      <c r="AA23" t="n">
        <v>148.695415403006</v>
      </c>
      <c r="AB23" t="n">
        <v>172.120035637726</v>
      </c>
      <c r="AC23" t="n">
        <v>202.673888117796</v>
      </c>
      <c r="AD23" t="n">
        <v>220.823788546256</v>
      </c>
      <c r="AE23" t="n">
        <v>231</v>
      </c>
      <c r="AF23" t="n">
        <v>258</v>
      </c>
    </row>
    <row r="24">
      <c r="A24" t="s">
        <v>55</v>
      </c>
      <c r="B24" t="s">
        <v>318</v>
      </c>
      <c r="C24" t="s">
        <v>236</v>
      </c>
      <c r="D24" t="s">
        <v>319</v>
      </c>
      <c r="E24" t="s">
        <v>237</v>
      </c>
      <c r="F24" t="n">
        <v>215.327221909413</v>
      </c>
      <c r="G24" t="n">
        <v>239.761516594169</v>
      </c>
      <c r="H24" t="n">
        <v>232.361469785707</v>
      </c>
      <c r="I24" t="n">
        <v>282.753113835619</v>
      </c>
      <c r="J24" t="n">
        <v>282.753113835619</v>
      </c>
      <c r="K24" t="n">
        <v>306.760453689586</v>
      </c>
      <c r="L24" t="n">
        <v>337.559696027898</v>
      </c>
      <c r="M24" t="n">
        <v>286.343742147803</v>
      </c>
      <c r="N24" t="n">
        <v>303.524366676672</v>
      </c>
      <c r="O24" t="n">
        <v>293.331384213649</v>
      </c>
      <c r="P24" t="n">
        <v>303.446259531361</v>
      </c>
      <c r="Q24" t="n">
        <v>259.615133154609</v>
      </c>
      <c r="R24" t="n">
        <v>301.774855632708</v>
      </c>
      <c r="S24" t="n">
        <v>328.111570306108</v>
      </c>
      <c r="T24" t="n">
        <v>247.464618682048</v>
      </c>
      <c r="U24" t="n">
        <v>328.492856657585</v>
      </c>
      <c r="V24" t="n">
        <v>262.360631389887</v>
      </c>
      <c r="W24" t="n">
        <v>283.690764023211</v>
      </c>
      <c r="X24" t="n">
        <v>187.071445841393</v>
      </c>
      <c r="Y24" t="n">
        <v>173.709199709865</v>
      </c>
      <c r="Z24" t="n">
        <v>180.904255319149</v>
      </c>
      <c r="AA24" t="n">
        <v>146.542553191489</v>
      </c>
      <c r="AB24" t="n">
        <v>107.127659574468</v>
      </c>
      <c r="AC24" t="n">
        <v>95</v>
      </c>
      <c r="AD24" t="n">
        <v>69</v>
      </c>
      <c r="AE24" t="n">
        <v>49</v>
      </c>
      <c r="AF24" t="n">
        <v>43</v>
      </c>
    </row>
    <row r="25">
      <c r="A25" t="s">
        <v>55</v>
      </c>
      <c r="B25" t="s">
        <v>320</v>
      </c>
      <c r="C25" t="s">
        <v>236</v>
      </c>
      <c r="D25" t="s">
        <v>321</v>
      </c>
      <c r="E25" t="s">
        <v>237</v>
      </c>
      <c r="F25" t="n">
        <v>24.8550342224569</v>
      </c>
      <c r="G25" t="n">
        <v>27.6167046916188</v>
      </c>
      <c r="H25" t="n">
        <v>27.6167046916188</v>
      </c>
      <c r="I25" t="n">
        <v>30.2468670432015</v>
      </c>
      <c r="J25" t="n">
        <v>27.6167046916188</v>
      </c>
      <c r="K25" t="n">
        <v>47.7015808309779</v>
      </c>
      <c r="L25" t="n">
        <v>43.04776806698</v>
      </c>
      <c r="M25" t="n">
        <v>35.3212455934195</v>
      </c>
      <c r="N25" t="n">
        <v>35.3212455934195</v>
      </c>
      <c r="O25" t="n">
        <v>37.4619271445358</v>
      </c>
      <c r="P25" t="n">
        <v>29.9695417156287</v>
      </c>
      <c r="Q25" t="n">
        <v>40.6729494712103</v>
      </c>
      <c r="R25" t="n">
        <v>32.110223266745</v>
      </c>
      <c r="S25" t="n">
        <v>49.2356756756757</v>
      </c>
      <c r="T25" t="n">
        <v>33.1805640423032</v>
      </c>
      <c r="U25" t="n">
        <v>53.5170387779084</v>
      </c>
      <c r="V25" t="n">
        <v>48.2702702702703</v>
      </c>
      <c r="W25" t="n">
        <v>38</v>
      </c>
      <c r="X25" t="n">
        <v>17</v>
      </c>
      <c r="Y25" t="n">
        <v>20</v>
      </c>
      <c r="Z25" t="n">
        <v>24</v>
      </c>
      <c r="AA25" t="n">
        <v>26</v>
      </c>
      <c r="AB25" t="n">
        <v>15</v>
      </c>
      <c r="AC25" t="n">
        <v>15</v>
      </c>
      <c r="AD25" t="n">
        <v>13</v>
      </c>
      <c r="AE25" t="n">
        <v>10</v>
      </c>
      <c r="AF25" t="n">
        <v>8</v>
      </c>
    </row>
    <row r="26">
      <c r="A26" t="s">
        <v>55</v>
      </c>
      <c r="B26" t="s">
        <v>322</v>
      </c>
      <c r="C26" t="s">
        <v>236</v>
      </c>
      <c r="D26" t="s">
        <v>323</v>
      </c>
      <c r="E26" t="s">
        <v>237</v>
      </c>
      <c r="F26" t="n">
        <v>137.404589361713</v>
      </c>
      <c r="G26" t="n">
        <v>158.778636595758</v>
      </c>
      <c r="H26" t="n">
        <v>154.368118912542</v>
      </c>
      <c r="I26" t="n">
        <v>189.135713262214</v>
      </c>
      <c r="J26" t="n">
        <v>181.029896979548</v>
      </c>
      <c r="K26" t="n">
        <v>175.782653588836</v>
      </c>
      <c r="L26" t="n">
        <v>195.046506036928</v>
      </c>
      <c r="M26" t="n">
        <v>168.81218066354</v>
      </c>
      <c r="N26" t="n">
        <v>159.808864361484</v>
      </c>
      <c r="O26" t="n">
        <v>157.589296800908</v>
      </c>
      <c r="P26" t="n">
        <v>168.609527346426</v>
      </c>
      <c r="Q26" t="n">
        <v>125.347872303593</v>
      </c>
      <c r="R26" t="n">
        <v>165.677187740401</v>
      </c>
      <c r="S26" t="n">
        <v>171.09147492146</v>
      </c>
      <c r="T26" t="n">
        <v>116.603744054753</v>
      </c>
      <c r="U26" t="n">
        <v>141.436022881228</v>
      </c>
      <c r="V26" t="n">
        <v>120.006322444679</v>
      </c>
      <c r="W26" t="n">
        <v>136.849315068493</v>
      </c>
      <c r="X26" t="n">
        <v>93.2602739726027</v>
      </c>
      <c r="Y26" t="n">
        <v>81.0958904109589</v>
      </c>
      <c r="Z26" t="n">
        <v>74</v>
      </c>
      <c r="AA26" t="n">
        <v>60</v>
      </c>
      <c r="AB26" t="n">
        <v>49</v>
      </c>
      <c r="AC26" t="n">
        <v>38</v>
      </c>
      <c r="AD26" t="n">
        <v>24</v>
      </c>
      <c r="AE26" t="n">
        <v>15</v>
      </c>
      <c r="AF26" t="n">
        <v>10</v>
      </c>
    </row>
    <row r="27">
      <c r="A27" t="s">
        <v>55</v>
      </c>
      <c r="B27" t="s">
        <v>324</v>
      </c>
      <c r="C27" t="s">
        <v>236</v>
      </c>
      <c r="D27" t="s">
        <v>325</v>
      </c>
      <c r="E27" t="s">
        <v>237</v>
      </c>
      <c r="F27" t="n">
        <v>50.9735230274979</v>
      </c>
      <c r="G27" t="n">
        <v>50.9735230274979</v>
      </c>
      <c r="H27" t="n">
        <v>47.9750804964686</v>
      </c>
      <c r="I27" t="n">
        <v>60.6743665102397</v>
      </c>
      <c r="J27" t="n">
        <v>71.9626207447029</v>
      </c>
      <c r="K27" t="n">
        <v>80.2660000613994</v>
      </c>
      <c r="L27" t="n">
        <v>97.0959678162089</v>
      </c>
      <c r="M27" t="n">
        <v>80.1041734483724</v>
      </c>
      <c r="N27" t="n">
        <v>107.602621050052</v>
      </c>
      <c r="O27" t="n">
        <v>96.9606035835637</v>
      </c>
      <c r="P27" t="n">
        <v>103.969803842617</v>
      </c>
      <c r="Q27" t="n">
        <v>92.4176034156591</v>
      </c>
      <c r="R27" t="n">
        <v>102.686226017399</v>
      </c>
      <c r="S27" t="n">
        <v>106.034689909271</v>
      </c>
      <c r="T27" t="n">
        <v>97.0104609808222</v>
      </c>
      <c r="U27" t="n">
        <v>132.692469617446</v>
      </c>
      <c r="V27" t="n">
        <v>92.8847287322125</v>
      </c>
      <c r="W27" t="n">
        <v>108.183389935165</v>
      </c>
      <c r="X27" t="n">
        <v>76.6736647113306</v>
      </c>
      <c r="Y27" t="n">
        <v>72.4723680148194</v>
      </c>
      <c r="Z27" t="n">
        <v>82.9756097560976</v>
      </c>
      <c r="AA27" t="n">
        <v>60.4390243902439</v>
      </c>
      <c r="AB27" t="n">
        <v>43.0243902439024</v>
      </c>
      <c r="AC27" t="n">
        <v>42</v>
      </c>
      <c r="AD27" t="n">
        <v>32</v>
      </c>
      <c r="AE27" t="n">
        <v>24</v>
      </c>
      <c r="AF27" t="n">
        <v>25</v>
      </c>
    </row>
    <row r="28">
      <c r="A28" t="s">
        <v>55</v>
      </c>
      <c r="B28" t="s">
        <v>326</v>
      </c>
      <c r="C28" t="s">
        <v>236</v>
      </c>
      <c r="D28" t="s">
        <v>327</v>
      </c>
      <c r="E28" t="s">
        <v>237</v>
      </c>
      <c r="F28" t="n">
        <v>798.242175603005</v>
      </c>
      <c r="G28" t="n">
        <v>699.260145828232</v>
      </c>
      <c r="H28" t="n">
        <v>1091.33978609395</v>
      </c>
      <c r="I28" t="n">
        <v>1177.42140023773</v>
      </c>
      <c r="J28" t="n">
        <v>1174.58424023715</v>
      </c>
      <c r="K28" t="n">
        <v>810.105524004313</v>
      </c>
      <c r="L28" t="n">
        <v>1044.27665203681</v>
      </c>
      <c r="M28" t="n">
        <v>690.994986496834</v>
      </c>
      <c r="N28" t="n">
        <v>544.777617340507</v>
      </c>
      <c r="O28" t="n">
        <v>1126.88475021612</v>
      </c>
      <c r="P28" t="n">
        <v>1037.61507350147</v>
      </c>
      <c r="Q28" t="n">
        <v>1146.71553984279</v>
      </c>
      <c r="R28" t="n">
        <v>1218.74832957962</v>
      </c>
      <c r="S28" t="n">
        <v>834.489596986617</v>
      </c>
      <c r="T28" t="n">
        <v>1125.86166297356</v>
      </c>
      <c r="U28" t="n">
        <v>770.995615198529</v>
      </c>
      <c r="V28" t="n">
        <v>927.944202542063</v>
      </c>
      <c r="W28" t="n">
        <v>923.423158924319</v>
      </c>
      <c r="X28" t="n">
        <v>1017.85168647187</v>
      </c>
      <c r="Y28" t="n">
        <v>664.878037291876</v>
      </c>
      <c r="Z28" t="n">
        <v>863.689607266408</v>
      </c>
      <c r="AA28" t="n">
        <v>1274.67234309124</v>
      </c>
      <c r="AB28" t="n">
        <v>1087.09860805099</v>
      </c>
      <c r="AC28" t="n">
        <v>1119.16336242737</v>
      </c>
      <c r="AD28" t="n">
        <v>1275.66090712743</v>
      </c>
      <c r="AE28" t="n">
        <v>939</v>
      </c>
      <c r="AF28" t="n">
        <v>622</v>
      </c>
    </row>
    <row r="29">
      <c r="A29" t="s">
        <v>55</v>
      </c>
      <c r="B29" t="s">
        <v>328</v>
      </c>
      <c r="C29" t="s">
        <v>236</v>
      </c>
      <c r="D29" t="s">
        <v>329</v>
      </c>
      <c r="E29" t="s">
        <v>237</v>
      </c>
      <c r="F29" t="n">
        <v>635.126473712415</v>
      </c>
      <c r="G29" t="n">
        <v>534.04933894108</v>
      </c>
      <c r="H29" t="n">
        <v>566.150665325517</v>
      </c>
      <c r="I29" t="n">
        <v>626.760468912677</v>
      </c>
      <c r="J29" t="n">
        <v>645.549861985006</v>
      </c>
      <c r="K29" t="n">
        <v>539.040629222892</v>
      </c>
      <c r="L29" t="n">
        <v>539.040629222892</v>
      </c>
      <c r="M29" t="n">
        <v>495.060326838597</v>
      </c>
      <c r="N29" t="n">
        <v>503.940332701173</v>
      </c>
      <c r="O29" t="n">
        <v>574.206522881729</v>
      </c>
      <c r="P29" t="n">
        <v>614.597476012193</v>
      </c>
      <c r="Q29" t="n">
        <v>478.992338956122</v>
      </c>
      <c r="R29" t="n">
        <v>453.89706835022</v>
      </c>
      <c r="S29" t="n">
        <v>565.742518206853</v>
      </c>
      <c r="T29" t="n">
        <v>446.466049184519</v>
      </c>
      <c r="U29" t="n">
        <v>450.811217546412</v>
      </c>
      <c r="V29" t="n">
        <v>512.138757880888</v>
      </c>
      <c r="W29" t="n">
        <v>401.864573989351</v>
      </c>
      <c r="X29" t="n">
        <v>404.995986254203</v>
      </c>
      <c r="Y29" t="n">
        <v>472.317218797778</v>
      </c>
      <c r="Z29" t="n">
        <v>561.273825028749</v>
      </c>
      <c r="AA29" t="n">
        <v>702.3761832762</v>
      </c>
      <c r="AB29" t="n">
        <v>684.79091801008</v>
      </c>
      <c r="AC29" t="n">
        <v>674.539556962025</v>
      </c>
      <c r="AD29" t="n">
        <v>675.556962025316</v>
      </c>
      <c r="AE29" t="n">
        <v>643</v>
      </c>
      <c r="AF29" t="n">
        <v>696</v>
      </c>
    </row>
    <row r="30">
      <c r="A30" t="s">
        <v>55</v>
      </c>
      <c r="B30" t="s">
        <v>330</v>
      </c>
      <c r="C30" t="s">
        <v>236</v>
      </c>
      <c r="D30" t="s">
        <v>331</v>
      </c>
      <c r="E30" t="s">
        <v>237</v>
      </c>
      <c r="F30" t="n">
        <v>-10.5836720084127</v>
      </c>
      <c r="G30" t="n">
        <v>-10.5836720084127</v>
      </c>
      <c r="H30" t="n">
        <v>340.189457413266</v>
      </c>
      <c r="I30" t="n">
        <v>271.579818943364</v>
      </c>
      <c r="J30" t="n">
        <v>144.10357739852</v>
      </c>
      <c r="K30" t="n">
        <v>28.2820105174665</v>
      </c>
      <c r="L30" t="n">
        <v>202.892684147042</v>
      </c>
      <c r="M30" t="n">
        <v>82.7895435312643</v>
      </c>
      <c r="N30" t="n">
        <v>-54.0431742495753</v>
      </c>
      <c r="O30" t="n">
        <v>365.653817263084</v>
      </c>
      <c r="P30" t="n">
        <v>102.840136105242</v>
      </c>
      <c r="Q30" t="n">
        <v>233.933056854782</v>
      </c>
      <c r="R30" t="n">
        <v>390.645493000219</v>
      </c>
      <c r="S30" t="n">
        <v>-11.3230577681223</v>
      </c>
      <c r="T30" t="n">
        <v>99.6429083594761</v>
      </c>
      <c r="U30" t="n">
        <v>42.5441631197763</v>
      </c>
      <c r="V30" t="n">
        <v>218.318731798852</v>
      </c>
      <c r="W30" t="n">
        <v>337.401676416408</v>
      </c>
      <c r="X30" t="n">
        <v>228.493540357947</v>
      </c>
      <c r="Y30" t="n">
        <v>6.09316107621192</v>
      </c>
      <c r="Z30" t="n">
        <v>76.164513452649</v>
      </c>
      <c r="AA30" t="n">
        <v>79.211093990755</v>
      </c>
      <c r="AB30" t="n">
        <v>-66.0092449922958</v>
      </c>
      <c r="AC30" t="n">
        <v>145.220338983051</v>
      </c>
      <c r="AD30" t="n">
        <v>119</v>
      </c>
      <c r="AE30" t="n">
        <v>81</v>
      </c>
      <c r="AF30" t="n">
        <v>35</v>
      </c>
    </row>
    <row r="31">
      <c r="A31" t="s">
        <v>55</v>
      </c>
      <c r="B31" t="s">
        <v>332</v>
      </c>
      <c r="C31" t="s">
        <v>236</v>
      </c>
      <c r="D31" t="s">
        <v>333</v>
      </c>
      <c r="E31" t="s">
        <v>237</v>
      </c>
      <c r="F31" t="n">
        <v>107.674077315053</v>
      </c>
      <c r="G31" t="n">
        <v>146.828287247799</v>
      </c>
      <c r="H31" t="n">
        <v>77.1789715020483</v>
      </c>
      <c r="I31" t="n">
        <v>148.973363596977</v>
      </c>
      <c r="J31" t="n">
        <v>388.023644717707</v>
      </c>
      <c r="K31" t="n">
        <v>198.211212453201</v>
      </c>
      <c r="L31" t="n">
        <v>277.185992415024</v>
      </c>
      <c r="M31" t="n">
        <v>60.1302946508781</v>
      </c>
      <c r="N31" t="n">
        <v>40.0868631005854</v>
      </c>
      <c r="O31" t="n">
        <v>123.123936666084</v>
      </c>
      <c r="P31" t="n">
        <v>312.763103485109</v>
      </c>
      <c r="Q31" t="n">
        <v>390.953879356387</v>
      </c>
      <c r="R31" t="n">
        <v>363.843938817075</v>
      </c>
      <c r="S31" t="n">
        <v>254.406504094752</v>
      </c>
      <c r="T31" t="n">
        <v>585.992509431732</v>
      </c>
      <c r="U31" t="n">
        <v>167.022019596484</v>
      </c>
      <c r="V31" t="n">
        <v>113.687257036262</v>
      </c>
      <c r="W31" t="n">
        <v>141.415856313399</v>
      </c>
      <c r="X31" t="n">
        <v>365.864875966776</v>
      </c>
      <c r="Y31" t="n">
        <v>117.889793367072</v>
      </c>
      <c r="Z31" t="n">
        <v>163.326484560631</v>
      </c>
      <c r="AA31" t="n">
        <v>326.652969121263</v>
      </c>
      <c r="AB31" t="n">
        <v>367.095717679134</v>
      </c>
      <c r="AC31" t="n">
        <v>223.403965330444</v>
      </c>
      <c r="AD31" t="n">
        <v>375.869230769231</v>
      </c>
      <c r="AE31" t="n">
        <v>131</v>
      </c>
      <c r="AF31" t="n">
        <v>-263</v>
      </c>
    </row>
    <row r="32">
      <c r="A32" t="s">
        <v>55</v>
      </c>
      <c r="B32" t="s">
        <v>334</v>
      </c>
      <c r="C32" t="s">
        <v>236</v>
      </c>
      <c r="D32" t="s">
        <v>335</v>
      </c>
      <c r="E32" t="s">
        <v>237</v>
      </c>
      <c r="F32" t="n">
        <v>34.2628047759687</v>
      </c>
      <c r="G32" t="n">
        <v>17.8166584835037</v>
      </c>
      <c r="H32" t="n">
        <v>68.5256095519374</v>
      </c>
      <c r="I32" t="n">
        <v>96.9702021961378</v>
      </c>
      <c r="J32" t="n">
        <v>18.8902991291178</v>
      </c>
      <c r="K32" t="n">
        <v>23.9277122302158</v>
      </c>
      <c r="L32" t="n">
        <v>25.1240978417266</v>
      </c>
      <c r="M32" t="n">
        <v>18.2720711576194</v>
      </c>
      <c r="N32" t="n">
        <v>22.8400889470242</v>
      </c>
      <c r="O32" t="n">
        <v>26.2661022890778</v>
      </c>
      <c r="P32" t="n">
        <v>21.698084499673</v>
      </c>
      <c r="Q32" t="n">
        <v>44.5381734466972</v>
      </c>
      <c r="R32" t="n">
        <v>23.9820933943754</v>
      </c>
      <c r="S32" t="n">
        <v>23.9820933943754</v>
      </c>
      <c r="T32" t="n">
        <v>42.2541645519948</v>
      </c>
      <c r="U32" t="n">
        <v>65.094253499019</v>
      </c>
      <c r="V32" t="n">
        <v>41.5256444735121</v>
      </c>
      <c r="W32" t="n">
        <v>22.4462943100065</v>
      </c>
      <c r="X32" t="n">
        <v>28.8595212557227</v>
      </c>
      <c r="Y32" t="n">
        <v>47.0303309352518</v>
      </c>
      <c r="Z32" t="n">
        <v>50.2369444081099</v>
      </c>
      <c r="AA32" t="n">
        <v>145.477818181818</v>
      </c>
      <c r="AB32" t="n">
        <v>80.4770909090909</v>
      </c>
      <c r="AC32" t="n">
        <v>56.7466666666667</v>
      </c>
      <c r="AD32" t="n">
        <v>92.2133333333333</v>
      </c>
      <c r="AE32" t="n">
        <v>76</v>
      </c>
      <c r="AF32" t="n">
        <v>147</v>
      </c>
    </row>
    <row r="33">
      <c r="A33" t="s">
        <v>55</v>
      </c>
      <c r="B33" t="s">
        <v>336</v>
      </c>
      <c r="C33" t="s">
        <v>236</v>
      </c>
      <c r="D33" t="s">
        <v>337</v>
      </c>
      <c r="E33" t="s">
        <v>237</v>
      </c>
      <c r="F33" t="n">
        <v>7.171875</v>
      </c>
      <c r="G33" t="n">
        <v>3.5859375</v>
      </c>
      <c r="H33" t="n">
        <v>3.5859375</v>
      </c>
      <c r="I33" t="n">
        <v>4.78125</v>
      </c>
      <c r="J33" t="n">
        <v>4.78125</v>
      </c>
      <c r="K33" t="n">
        <v>19.125</v>
      </c>
      <c r="L33" t="n">
        <v>9</v>
      </c>
      <c r="M33" t="n">
        <v>10</v>
      </c>
      <c r="N33" t="n">
        <v>7</v>
      </c>
      <c r="O33" t="n">
        <v>16</v>
      </c>
      <c r="P33" t="n">
        <v>2</v>
      </c>
      <c r="Q33" t="n">
        <v>29</v>
      </c>
      <c r="R33" t="n">
        <v>13</v>
      </c>
      <c r="S33" t="n">
        <v>10</v>
      </c>
      <c r="T33" t="n">
        <v>23</v>
      </c>
      <c r="U33" t="n">
        <v>39</v>
      </c>
      <c r="V33" t="n">
        <v>21</v>
      </c>
      <c r="W33" t="n">
        <v>10</v>
      </c>
      <c r="X33" t="n">
        <v>16</v>
      </c>
      <c r="Y33" t="n">
        <v>20</v>
      </c>
      <c r="Z33" t="n">
        <v>10</v>
      </c>
      <c r="AA33" t="n">
        <v>17</v>
      </c>
      <c r="AB33" t="n">
        <v>20</v>
      </c>
      <c r="AC33" t="n">
        <v>13</v>
      </c>
      <c r="AD33" t="n">
        <v>11</v>
      </c>
      <c r="AE33" t="n">
        <v>8</v>
      </c>
      <c r="AF33" t="n">
        <v>7</v>
      </c>
    </row>
    <row r="34">
      <c r="A34" t="s">
        <v>55</v>
      </c>
      <c r="B34" t="s">
        <v>338</v>
      </c>
      <c r="C34" t="s">
        <v>236</v>
      </c>
      <c r="D34" t="s">
        <v>339</v>
      </c>
      <c r="E34" t="s">
        <v>237</v>
      </c>
      <c r="F34" t="n">
        <v>11.9787045252884</v>
      </c>
      <c r="G34" t="n">
        <v>14.374445430346</v>
      </c>
      <c r="H34" t="n">
        <v>8.38509316770186</v>
      </c>
      <c r="I34" t="n">
        <v>16.7701863354037</v>
      </c>
      <c r="J34" t="n">
        <v>17.9680567879326</v>
      </c>
      <c r="K34" t="n">
        <v>16.7701863354037</v>
      </c>
      <c r="L34" t="n">
        <v>15.6521739130435</v>
      </c>
      <c r="M34" t="n">
        <v>16.695652173913</v>
      </c>
      <c r="N34" t="n">
        <v>18.7826086956522</v>
      </c>
      <c r="O34" t="n">
        <v>19.8260869565217</v>
      </c>
      <c r="P34" t="n">
        <v>21.9130434782609</v>
      </c>
      <c r="Q34" t="n">
        <v>25.0434782608696</v>
      </c>
      <c r="R34" t="n">
        <v>16.695652173913</v>
      </c>
      <c r="S34" t="n">
        <v>13.5652173913043</v>
      </c>
      <c r="T34" t="n">
        <v>14.6086956521739</v>
      </c>
      <c r="U34" t="n">
        <v>22.9565217391304</v>
      </c>
      <c r="V34" t="n">
        <v>16.695652173913</v>
      </c>
      <c r="W34" t="n">
        <v>24</v>
      </c>
      <c r="X34" t="n">
        <v>15</v>
      </c>
      <c r="Y34" t="n">
        <v>15</v>
      </c>
      <c r="Z34" t="n">
        <v>13</v>
      </c>
      <c r="AA34" t="n">
        <v>14</v>
      </c>
      <c r="AB34" t="n">
        <v>13</v>
      </c>
      <c r="AC34" t="n">
        <v>20</v>
      </c>
      <c r="AD34" t="n">
        <v>20</v>
      </c>
      <c r="AE34" t="n">
        <v>20</v>
      </c>
      <c r="AF34" t="n">
        <v>33</v>
      </c>
    </row>
    <row r="35">
      <c r="A35" t="s">
        <v>55</v>
      </c>
      <c r="B35" t="s">
        <v>340</v>
      </c>
      <c r="C35" t="s">
        <v>236</v>
      </c>
      <c r="D35" t="s">
        <v>341</v>
      </c>
      <c r="E35" t="s">
        <v>237</v>
      </c>
      <c r="F35" t="n">
        <v>33.0351862021895</v>
      </c>
      <c r="G35" t="n">
        <v>41.2939827527369</v>
      </c>
      <c r="H35" t="n">
        <v>45.4233810280106</v>
      </c>
      <c r="I35" t="n">
        <v>50.6146245740689</v>
      </c>
      <c r="J35" t="n">
        <v>55.8058681201273</v>
      </c>
      <c r="K35" t="n">
        <v>68.7839769852732</v>
      </c>
      <c r="L35" t="n">
        <v>62.8543237968876</v>
      </c>
      <c r="M35" t="n">
        <v>54.9975333222766</v>
      </c>
      <c r="N35" t="n">
        <v>42.8980759913758</v>
      </c>
      <c r="O35" t="n">
        <v>96.7956586472068</v>
      </c>
      <c r="P35" t="n">
        <v>84.8321502750802</v>
      </c>
      <c r="Q35" t="n">
        <v>72.8686419029535</v>
      </c>
      <c r="R35" t="n">
        <v>75.0438252433402</v>
      </c>
      <c r="S35" t="n">
        <v>101.845191401676</v>
      </c>
      <c r="T35" t="n">
        <v>90.0525902920082</v>
      </c>
      <c r="U35" t="n">
        <v>135.608606557377</v>
      </c>
      <c r="V35" t="n">
        <v>58.8688524590164</v>
      </c>
      <c r="W35" t="n">
        <v>63</v>
      </c>
      <c r="X35" t="n">
        <v>43</v>
      </c>
      <c r="Y35" t="n">
        <v>37</v>
      </c>
      <c r="Z35" t="n">
        <v>34</v>
      </c>
      <c r="AA35" t="n">
        <v>34</v>
      </c>
      <c r="AB35" t="n">
        <v>30</v>
      </c>
      <c r="AC35" t="n">
        <v>40</v>
      </c>
      <c r="AD35" t="n">
        <v>31</v>
      </c>
      <c r="AE35" t="n">
        <v>40</v>
      </c>
      <c r="AF35" t="n">
        <v>38</v>
      </c>
    </row>
    <row r="36">
      <c r="A36" t="s">
        <v>55</v>
      </c>
      <c r="B36" t="s">
        <v>342</v>
      </c>
      <c r="C36" t="s">
        <v>236</v>
      </c>
      <c r="D36" t="s">
        <v>343</v>
      </c>
      <c r="E36" t="s">
        <v>237</v>
      </c>
      <c r="F36" t="n">
        <v>5.86805555555555</v>
      </c>
      <c r="G36" t="n">
        <v>8.21527777777778</v>
      </c>
      <c r="H36" t="n">
        <v>10.5625</v>
      </c>
      <c r="I36" t="n">
        <v>12.9097222222222</v>
      </c>
      <c r="J36" t="n">
        <v>12.9097222222222</v>
      </c>
      <c r="K36" t="n">
        <v>14.0833333333333</v>
      </c>
      <c r="L36" t="n">
        <v>13</v>
      </c>
      <c r="M36" t="n">
        <v>12</v>
      </c>
      <c r="N36" t="n">
        <v>10</v>
      </c>
      <c r="O36" t="n">
        <v>10</v>
      </c>
      <c r="P36" t="n">
        <v>14</v>
      </c>
      <c r="Q36" t="n">
        <v>13</v>
      </c>
      <c r="R36" t="n">
        <v>12</v>
      </c>
      <c r="S36" t="n">
        <v>10</v>
      </c>
      <c r="T36" t="n">
        <v>14</v>
      </c>
      <c r="U36" t="n">
        <v>15</v>
      </c>
      <c r="V36" t="n">
        <v>13</v>
      </c>
      <c r="W36" t="n">
        <v>13</v>
      </c>
      <c r="X36" t="n">
        <v>5</v>
      </c>
      <c r="Y36" t="n">
        <v>5</v>
      </c>
      <c r="Z36" t="n">
        <v>3</v>
      </c>
      <c r="AA36" t="n">
        <v>4</v>
      </c>
      <c r="AB36" t="n">
        <v>5</v>
      </c>
      <c r="AC36" t="n">
        <v>6</v>
      </c>
      <c r="AD36" t="n">
        <v>4</v>
      </c>
      <c r="AE36" t="n">
        <v>3</v>
      </c>
      <c r="AF36" t="n">
        <v>3</v>
      </c>
    </row>
    <row r="37">
      <c r="A37" t="s">
        <v>55</v>
      </c>
      <c r="B37" t="s">
        <v>344</v>
      </c>
      <c r="C37" t="s">
        <v>236</v>
      </c>
      <c r="D37" t="s">
        <v>345</v>
      </c>
      <c r="E37" t="s">
        <v>237</v>
      </c>
      <c r="F37" t="n">
        <v>11.085528151366</v>
      </c>
      <c r="G37" t="n">
        <v>11.085528151366</v>
      </c>
      <c r="H37" t="n">
        <v>16.628292227049</v>
      </c>
      <c r="I37" t="n">
        <v>17.9073916291297</v>
      </c>
      <c r="J37" t="n">
        <v>17.9073916291297</v>
      </c>
      <c r="K37" t="n">
        <v>29.4192862478559</v>
      </c>
      <c r="L37" t="n">
        <v>23.5354289982847</v>
      </c>
      <c r="M37" t="n">
        <v>17.9317554272645</v>
      </c>
      <c r="N37" t="n">
        <v>14.5695512846524</v>
      </c>
      <c r="O37" t="n">
        <v>67.244082852242</v>
      </c>
      <c r="P37" t="n">
        <v>51.8110146566455</v>
      </c>
      <c r="Q37" t="n">
        <v>36.377946461049</v>
      </c>
      <c r="R37" t="n">
        <v>62.8346347963573</v>
      </c>
      <c r="S37" t="n">
        <v>75.8349040645691</v>
      </c>
      <c r="T37" t="n">
        <v>75.8349040645691</v>
      </c>
      <c r="U37" t="n">
        <v>105.741626794258</v>
      </c>
      <c r="V37" t="n">
        <v>40.1818181818182</v>
      </c>
      <c r="W37" t="n">
        <v>34</v>
      </c>
      <c r="X37" t="n">
        <v>27</v>
      </c>
      <c r="Y37" t="n">
        <v>25</v>
      </c>
      <c r="Z37" t="n">
        <v>20</v>
      </c>
      <c r="AA37" t="n">
        <v>21</v>
      </c>
      <c r="AB37" t="n">
        <v>17</v>
      </c>
      <c r="AC37" t="n">
        <v>19</v>
      </c>
      <c r="AD37" t="n">
        <v>15</v>
      </c>
      <c r="AE37" t="n">
        <v>18</v>
      </c>
      <c r="AF37" t="n">
        <v>18</v>
      </c>
    </row>
    <row r="38">
      <c r="A38" t="s">
        <v>55</v>
      </c>
      <c r="B38" t="s">
        <v>346</v>
      </c>
      <c r="C38" t="s">
        <v>236</v>
      </c>
      <c r="D38" t="s">
        <v>347</v>
      </c>
      <c r="E38" t="s">
        <v>237</v>
      </c>
      <c r="F38" t="e">
        <v>#NUM!</v>
      </c>
      <c r="G38" t="e">
        <v>#NUM!</v>
      </c>
      <c r="H38" t="e">
        <v>#NUM!</v>
      </c>
      <c r="I38" t="e">
        <v>#NUM!</v>
      </c>
      <c r="J38" t="e">
        <v>#NUM!</v>
      </c>
      <c r="K38" t="e">
        <v>#NUM!</v>
      </c>
      <c r="L38" t="e">
        <v>#NUM!</v>
      </c>
      <c r="M38" t="e">
        <v>#NUM!</v>
      </c>
      <c r="N38" t="e">
        <v>#NUM!</v>
      </c>
      <c r="O38" t="e">
        <v>#NUM!</v>
      </c>
      <c r="P38" t="e">
        <v>#NUM!</v>
      </c>
      <c r="Q38" t="e">
        <v>#NUM!</v>
      </c>
      <c r="R38" t="n">
        <v>0</v>
      </c>
      <c r="S38" t="e">
        <v>#NUM!</v>
      </c>
      <c r="T38" t="n">
        <v>0</v>
      </c>
      <c r="U38" t="n">
        <v>14.9333333333333</v>
      </c>
      <c r="V38" t="n">
        <v>5.33333333333333</v>
      </c>
      <c r="W38" t="n">
        <v>16</v>
      </c>
      <c r="X38" t="n">
        <v>11</v>
      </c>
      <c r="Y38" t="n">
        <v>7</v>
      </c>
      <c r="Z38" t="n">
        <v>11</v>
      </c>
      <c r="AA38" t="n">
        <v>9</v>
      </c>
      <c r="AB38" t="n">
        <v>8</v>
      </c>
      <c r="AC38" t="n">
        <v>15</v>
      </c>
      <c r="AD38" t="n">
        <v>12</v>
      </c>
      <c r="AE38" t="n">
        <v>19</v>
      </c>
      <c r="AF38" t="n">
        <v>17</v>
      </c>
    </row>
    <row r="39">
      <c r="A39" t="s">
        <v>55</v>
      </c>
      <c r="B39" t="s">
        <v>348</v>
      </c>
      <c r="C39" t="s">
        <v>236</v>
      </c>
      <c r="D39" t="s">
        <v>349</v>
      </c>
      <c r="E39" t="s">
        <v>237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55</v>
      </c>
      <c r="B40" t="s">
        <v>350</v>
      </c>
      <c r="C40" t="s">
        <v>236</v>
      </c>
      <c r="D40" t="s">
        <v>351</v>
      </c>
      <c r="E40" t="s">
        <v>237</v>
      </c>
      <c r="F40" t="n">
        <v>8.00536437679766</v>
      </c>
      <c r="G40" t="n">
        <v>14.0093876593959</v>
      </c>
      <c r="H40" t="n">
        <v>9.00603492389737</v>
      </c>
      <c r="I40" t="n">
        <v>8.00536437679766</v>
      </c>
      <c r="J40" t="n">
        <v>10.0067054709971</v>
      </c>
      <c r="K40" t="n">
        <v>12.0080465651965</v>
      </c>
      <c r="L40" t="n">
        <v>8.00536437679766</v>
      </c>
      <c r="M40" t="n">
        <v>17.011399300695</v>
      </c>
      <c r="N40" t="n">
        <v>21.0140814890939</v>
      </c>
      <c r="O40" t="n">
        <v>20.0134109419942</v>
      </c>
      <c r="P40" t="n">
        <v>31.0207869600909</v>
      </c>
      <c r="Q40" t="n">
        <v>34.0227986013901</v>
      </c>
      <c r="R40" t="n">
        <v>32.0214575071906</v>
      </c>
      <c r="S40" t="n">
        <v>49.0328568078857</v>
      </c>
      <c r="T40" t="n">
        <v>55.0368800904839</v>
      </c>
      <c r="U40" t="n">
        <v>49.0328568078857</v>
      </c>
      <c r="V40" t="n">
        <v>35.0234691484898</v>
      </c>
      <c r="W40" t="n">
        <v>48.032186260786</v>
      </c>
      <c r="X40" t="n">
        <v>50.9729323583851</v>
      </c>
      <c r="Y40" t="n">
        <v>48.032186260786</v>
      </c>
      <c r="Z40" t="n">
        <v>46.0716888623865</v>
      </c>
      <c r="AA40" t="n">
        <v>51.8306499701849</v>
      </c>
      <c r="AB40" t="n">
        <v>42.0512820512821</v>
      </c>
      <c r="AC40" t="n">
        <v>51.0622710622711</v>
      </c>
      <c r="AD40" t="n">
        <v>42.051282051282</v>
      </c>
      <c r="AE40" t="n">
        <v>40</v>
      </c>
      <c r="AF40" t="n">
        <v>39</v>
      </c>
    </row>
    <row r="41">
      <c r="A41" t="s">
        <v>55</v>
      </c>
      <c r="B41" t="s">
        <v>352</v>
      </c>
      <c r="C41" t="s">
        <v>236</v>
      </c>
      <c r="D41" t="s">
        <v>353</v>
      </c>
      <c r="E41" t="s">
        <v>237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/>
      <c r="AD41"/>
      <c r="AE41"/>
      <c r="AF41"/>
    </row>
    <row r="42">
      <c r="A42" t="s">
        <v>55</v>
      </c>
      <c r="B42" t="s">
        <v>354</v>
      </c>
      <c r="C42" t="s">
        <v>236</v>
      </c>
      <c r="D42" t="s">
        <v>355</v>
      </c>
      <c r="E42" t="s">
        <v>237</v>
      </c>
      <c r="F42" t="n">
        <v>31.9723183391003</v>
      </c>
      <c r="G42" t="n">
        <v>41.4455978469819</v>
      </c>
      <c r="H42" t="n">
        <v>63.9446366782007</v>
      </c>
      <c r="I42" t="n">
        <v>53.6678200692042</v>
      </c>
      <c r="J42" t="n">
        <v>63.9446366782007</v>
      </c>
      <c r="K42" t="n">
        <v>58.2352941176471</v>
      </c>
      <c r="L42" t="n">
        <v>54</v>
      </c>
      <c r="M42" t="n">
        <v>50</v>
      </c>
      <c r="N42" t="n">
        <v>53</v>
      </c>
      <c r="O42" t="n">
        <v>57</v>
      </c>
      <c r="P42" t="n">
        <v>51</v>
      </c>
      <c r="Q42" t="n">
        <v>51</v>
      </c>
      <c r="R42" t="n">
        <v>65</v>
      </c>
      <c r="S42" t="n">
        <v>70</v>
      </c>
      <c r="T42" t="n">
        <v>29</v>
      </c>
      <c r="U42" t="n">
        <v>42</v>
      </c>
      <c r="V42" t="n">
        <v>55</v>
      </c>
      <c r="W42" t="n">
        <v>35</v>
      </c>
      <c r="X42" t="n">
        <v>28</v>
      </c>
      <c r="Y42" t="n">
        <v>27</v>
      </c>
      <c r="Z42" t="n">
        <v>20</v>
      </c>
      <c r="AA42" t="n">
        <v>24</v>
      </c>
      <c r="AB42" t="n">
        <v>29</v>
      </c>
      <c r="AC42" t="n">
        <v>47</v>
      </c>
      <c r="AD42" t="n">
        <v>64</v>
      </c>
      <c r="AE42" t="n">
        <v>58</v>
      </c>
      <c r="AF42" t="n">
        <v>79</v>
      </c>
    </row>
    <row r="43">
      <c r="A43" t="s">
        <v>55</v>
      </c>
      <c r="B43" t="s">
        <v>356</v>
      </c>
      <c r="C43" t="s">
        <v>236</v>
      </c>
      <c r="D43" t="s">
        <v>357</v>
      </c>
      <c r="E43" t="s">
        <v>237</v>
      </c>
      <c r="F43" t="n">
        <v>120.434287117835</v>
      </c>
      <c r="G43" t="n">
        <v>171.387254744612</v>
      </c>
      <c r="H43" t="n">
        <v>244.512483435646</v>
      </c>
      <c r="I43" t="n">
        <v>240.146189088581</v>
      </c>
      <c r="J43" t="n">
        <v>248.878777782712</v>
      </c>
      <c r="K43" t="n">
        <v>253.207104352846</v>
      </c>
      <c r="L43" t="n">
        <v>185.035960873233</v>
      </c>
      <c r="M43" t="n">
        <v>183.78571789436</v>
      </c>
      <c r="N43" t="n">
        <v>220.115452826966</v>
      </c>
      <c r="O43" t="n">
        <v>226.464937043129</v>
      </c>
      <c r="P43" t="n">
        <v>224.358286465983</v>
      </c>
      <c r="Q43" t="n">
        <v>372.519419037859</v>
      </c>
      <c r="R43" t="n">
        <v>272.756383739971</v>
      </c>
      <c r="S43" t="n">
        <v>244.212111022997</v>
      </c>
      <c r="T43" t="n">
        <v>160.330559845533</v>
      </c>
      <c r="U43" t="n">
        <v>190.919942973957</v>
      </c>
      <c r="V43" t="n">
        <v>221.341252568708</v>
      </c>
      <c r="W43" t="n">
        <v>219.262930948345</v>
      </c>
      <c r="X43" t="n">
        <v>185.918798592145</v>
      </c>
      <c r="Y43" t="n">
        <v>212.189933175818</v>
      </c>
      <c r="Z43" t="n">
        <v>221.327298719274</v>
      </c>
      <c r="AA43" t="n">
        <v>236.417796359224</v>
      </c>
      <c r="AB43" t="n">
        <v>344.987342326765</v>
      </c>
      <c r="AC43" t="n">
        <v>292.224572323848</v>
      </c>
      <c r="AD43" t="n">
        <v>331.659722222222</v>
      </c>
      <c r="AE43" t="n">
        <v>293</v>
      </c>
      <c r="AF43" t="n">
        <v>314</v>
      </c>
    </row>
    <row r="44">
      <c r="A44" t="s">
        <v>55</v>
      </c>
      <c r="B44" t="s">
        <v>358</v>
      </c>
      <c r="C44" t="s">
        <v>236</v>
      </c>
      <c r="D44" t="s">
        <v>359</v>
      </c>
      <c r="E44" t="s">
        <v>237</v>
      </c>
      <c r="F44" t="n">
        <v>1695.91142200135</v>
      </c>
      <c r="G44" t="n">
        <v>1688.09616199213</v>
      </c>
      <c r="H44" t="n">
        <v>2199.12890921339</v>
      </c>
      <c r="I44" t="n">
        <v>2412.70807320263</v>
      </c>
      <c r="J44" t="n">
        <v>2469.15415289963</v>
      </c>
      <c r="K44" t="n">
        <v>2143.41194312247</v>
      </c>
      <c r="L44" t="n">
        <v>2327.61140698455</v>
      </c>
      <c r="M44" t="n">
        <v>1893.7523752569</v>
      </c>
      <c r="N44" t="n">
        <v>1816.40852824765</v>
      </c>
      <c r="O44" t="n">
        <v>2457.0168931207</v>
      </c>
      <c r="P44" t="n">
        <v>2365.16579431245</v>
      </c>
      <c r="Q44" t="n">
        <v>2603.1698994005</v>
      </c>
      <c r="R44" t="n">
        <v>2642.85236737916</v>
      </c>
      <c r="S44" t="n">
        <v>2407.30603698162</v>
      </c>
      <c r="T44" t="n">
        <v>2344.99929249504</v>
      </c>
      <c r="U44" t="n">
        <v>2196.61007552028</v>
      </c>
      <c r="V44" t="n">
        <v>2157.5641879412</v>
      </c>
      <c r="W44" t="n">
        <v>2253.43144246157</v>
      </c>
      <c r="X44" t="n">
        <v>2067.51533483316</v>
      </c>
      <c r="Y44" t="n">
        <v>1707.71396487518</v>
      </c>
      <c r="Z44" t="n">
        <v>1957.31113400747</v>
      </c>
      <c r="AA44" t="n">
        <v>2403.47823097304</v>
      </c>
      <c r="AB44" t="n">
        <v>2351.63443824282</v>
      </c>
      <c r="AC44" t="n">
        <v>2278.0162525659</v>
      </c>
      <c r="AD44" t="n">
        <v>2457.04734016593</v>
      </c>
      <c r="AE44" t="n">
        <v>2089</v>
      </c>
      <c r="AF44" t="n">
        <v>1963</v>
      </c>
    </row>
    <row r="45">
      <c r="A45" t="s">
        <v>55</v>
      </c>
      <c r="B45" t="s">
        <v>360</v>
      </c>
      <c r="C45" t="s">
        <v>236</v>
      </c>
      <c r="D45" t="s">
        <v>361</v>
      </c>
      <c r="E45" t="s">
        <v>237</v>
      </c>
      <c r="F45" t="n">
        <v>1408.50966413482</v>
      </c>
      <c r="G45" t="n">
        <v>1414.75582672522</v>
      </c>
      <c r="H45" t="n">
        <v>1876.18856676585</v>
      </c>
      <c r="I45" t="n">
        <v>2106.90317010364</v>
      </c>
      <c r="J45" t="n">
        <v>2131.12044792093</v>
      </c>
      <c r="K45" t="n">
        <v>1794.48131711358</v>
      </c>
      <c r="L45" t="n">
        <v>1973.42538103923</v>
      </c>
      <c r="M45" t="n">
        <v>1526.52332812212</v>
      </c>
      <c r="N45" t="n">
        <v>1461.54063230213</v>
      </c>
      <c r="O45" t="n">
        <v>2109.23033246387</v>
      </c>
      <c r="P45" t="n">
        <v>2045.17805278862</v>
      </c>
      <c r="Q45" t="n">
        <v>2321.76617867427</v>
      </c>
      <c r="R45" t="n">
        <v>2337.48413152797</v>
      </c>
      <c r="S45" t="n">
        <v>2053.94976218312</v>
      </c>
      <c r="T45" t="n">
        <v>2006.83567697739</v>
      </c>
      <c r="U45" t="n">
        <v>1889.90019080501</v>
      </c>
      <c r="V45" t="n">
        <v>1828.00872256813</v>
      </c>
      <c r="W45" t="n">
        <v>1938.30076616393</v>
      </c>
      <c r="X45" t="n">
        <v>1768.46061140696</v>
      </c>
      <c r="Y45" t="n">
        <v>1450.22313423349</v>
      </c>
      <c r="Z45" t="n">
        <v>1713.803835273</v>
      </c>
      <c r="AA45" t="n">
        <v>2115.17029639353</v>
      </c>
      <c r="AB45" t="n">
        <v>2026.73828594635</v>
      </c>
      <c r="AC45" t="n">
        <v>2024.68277044337</v>
      </c>
      <c r="AD45" t="n">
        <v>2190.25501113586</v>
      </c>
      <c r="AE45" t="n">
        <v>1822</v>
      </c>
      <c r="AF45" t="n">
        <v>1718</v>
      </c>
    </row>
    <row r="46">
      <c r="A46" t="s">
        <v>55</v>
      </c>
      <c r="B46" t="s">
        <v>362</v>
      </c>
      <c r="C46" t="s">
        <v>236</v>
      </c>
      <c r="D46" t="s">
        <v>363</v>
      </c>
      <c r="E46" t="s">
        <v>237</v>
      </c>
      <c r="F46" t="n">
        <v>86.034430890463</v>
      </c>
      <c r="G46" t="n">
        <v>134.213712189122</v>
      </c>
      <c r="H46" t="n">
        <v>177.833168650587</v>
      </c>
      <c r="I46" t="n">
        <v>200.062314731911</v>
      </c>
      <c r="J46" t="n">
        <v>184.184353245251</v>
      </c>
      <c r="K46" t="n">
        <v>206.036734138755</v>
      </c>
      <c r="L46" t="n">
        <v>128.51796287863</v>
      </c>
      <c r="M46" t="n">
        <v>132.619599991777</v>
      </c>
      <c r="N46" t="n">
        <v>166.318022940508</v>
      </c>
      <c r="O46" t="n">
        <v>168.464061946192</v>
      </c>
      <c r="P46" t="n">
        <v>172.728974906855</v>
      </c>
      <c r="Q46" t="n">
        <v>322.928083521511</v>
      </c>
      <c r="R46" t="n">
        <v>206.673973453767</v>
      </c>
      <c r="S46" t="n">
        <v>172.40678614537</v>
      </c>
      <c r="T46" t="n">
        <v>131.460174435845</v>
      </c>
      <c r="U46" t="n">
        <v>148.560684931565</v>
      </c>
      <c r="V46" t="n">
        <v>165.539048923743</v>
      </c>
      <c r="W46" t="n">
        <v>184.397927915056</v>
      </c>
      <c r="X46" t="n">
        <v>158.055366784334</v>
      </c>
      <c r="Y46" t="n">
        <v>185.411103343161</v>
      </c>
      <c r="Z46" t="n">
        <v>201.710980560142</v>
      </c>
      <c r="AA46" t="n">
        <v>212.80508449095</v>
      </c>
      <c r="AB46" t="n">
        <v>316.6621113717</v>
      </c>
      <c r="AC46" t="n">
        <v>245.38768115942</v>
      </c>
      <c r="AD46" t="n">
        <v>267.695652173913</v>
      </c>
      <c r="AE46" t="n">
        <v>235</v>
      </c>
      <c r="AF46" t="n">
        <v>235</v>
      </c>
    </row>
    <row r="47">
      <c r="A47" t="s">
        <v>55</v>
      </c>
      <c r="B47" t="s">
        <v>364</v>
      </c>
      <c r="C47" t="s">
        <v>236</v>
      </c>
      <c r="D47" t="s">
        <v>365</v>
      </c>
      <c r="E47" t="s">
        <v>237</v>
      </c>
      <c r="F47" t="n">
        <v>66.0395844152828</v>
      </c>
      <c r="G47" t="n">
        <v>66.0395844152828</v>
      </c>
      <c r="H47" t="n">
        <v>44.5049373233427</v>
      </c>
      <c r="I47" t="n">
        <v>49.8994751807176</v>
      </c>
      <c r="J47" t="n">
        <v>68.7803576815297</v>
      </c>
      <c r="K47" t="n">
        <v>75.2690706703532</v>
      </c>
      <c r="L47" t="n">
        <v>53.7636219073952</v>
      </c>
      <c r="M47" t="n">
        <v>74.3539451910784</v>
      </c>
      <c r="N47" t="n">
        <v>66.5856225591747</v>
      </c>
      <c r="O47" t="n">
        <v>67.6953829351609</v>
      </c>
      <c r="P47" t="n">
        <v>84.3417885749546</v>
      </c>
      <c r="Q47" t="n">
        <v>64.6255263106795</v>
      </c>
      <c r="R47" t="n">
        <v>49.2906556606878</v>
      </c>
      <c r="S47" t="n">
        <v>62.4348305035378</v>
      </c>
      <c r="T47" t="n">
        <v>59.1487867928253</v>
      </c>
      <c r="U47" t="n">
        <v>106.248746646371</v>
      </c>
      <c r="V47" t="n">
        <v>100.827892225638</v>
      </c>
      <c r="W47" t="n">
        <v>104.045803679648</v>
      </c>
      <c r="X47" t="n">
        <v>105.065860578468</v>
      </c>
      <c r="Y47" t="n">
        <v>88.9018820279344</v>
      </c>
      <c r="Z47" t="n">
        <v>109.33909628723</v>
      </c>
      <c r="AA47" t="n">
        <v>111.345318237454</v>
      </c>
      <c r="AB47" t="n">
        <v>90.2799877600979</v>
      </c>
      <c r="AC47" t="n">
        <v>79.1217870257038</v>
      </c>
      <c r="AD47" t="n">
        <v>87.2368421052632</v>
      </c>
      <c r="AE47" t="n">
        <v>117</v>
      </c>
      <c r="AF47" t="n">
        <v>122</v>
      </c>
    </row>
    <row r="48">
      <c r="A48" t="s">
        <v>55</v>
      </c>
      <c r="B48" t="s">
        <v>366</v>
      </c>
      <c r="C48" t="s">
        <v>236</v>
      </c>
      <c r="D48" t="s">
        <v>367</v>
      </c>
      <c r="E48" t="s">
        <v>237</v>
      </c>
      <c r="F48" t="n">
        <v>92.8779508225218</v>
      </c>
      <c r="G48" t="n">
        <v>88.8397790476296</v>
      </c>
      <c r="H48" t="n">
        <v>67.6243094243151</v>
      </c>
      <c r="I48" t="n">
        <v>79.1076827227837</v>
      </c>
      <c r="J48" t="n">
        <v>95.6947774872383</v>
      </c>
      <c r="K48" t="n">
        <v>104.394302713351</v>
      </c>
      <c r="L48" t="n">
        <v>79.1561196397935</v>
      </c>
      <c r="M48" t="n">
        <v>106.640883403611</v>
      </c>
      <c r="N48" t="n">
        <v>105.56370276317</v>
      </c>
      <c r="O48" t="n">
        <v>117.412689808016</v>
      </c>
      <c r="P48" t="n">
        <v>135.724760695505</v>
      </c>
      <c r="Q48" t="n">
        <v>117.556879342563</v>
      </c>
      <c r="R48" t="n">
        <v>118.625578245677</v>
      </c>
      <c r="S48" t="n">
        <v>125.037771664362</v>
      </c>
      <c r="T48" t="n">
        <v>119.694277148791</v>
      </c>
      <c r="U48" t="n">
        <v>168.854426692045</v>
      </c>
      <c r="V48" t="n">
        <v>161.42058400749</v>
      </c>
      <c r="W48" t="n">
        <v>160.365547510709</v>
      </c>
      <c r="X48" t="n">
        <v>154.27571659258</v>
      </c>
      <c r="Y48" t="n">
        <v>134.108956253681</v>
      </c>
      <c r="Z48" t="n">
        <v>161.540333669207</v>
      </c>
      <c r="AA48" t="n">
        <v>152.510128681487</v>
      </c>
      <c r="AB48" t="n">
        <v>126.422869828075</v>
      </c>
      <c r="AC48" t="n">
        <v>120.354572076327</v>
      </c>
      <c r="AD48" t="n">
        <v>135.525316455696</v>
      </c>
      <c r="AE48" t="n">
        <v>161</v>
      </c>
      <c r="AF48" t="n">
        <v>194</v>
      </c>
    </row>
    <row r="49">
      <c r="A49" t="s">
        <v>55</v>
      </c>
      <c r="B49" t="s">
        <v>368</v>
      </c>
      <c r="C49" t="s">
        <v>236</v>
      </c>
      <c r="D49" t="s">
        <v>369</v>
      </c>
      <c r="E49" t="s">
        <v>237</v>
      </c>
      <c r="F49" t="n">
        <v>20.5248868778281</v>
      </c>
      <c r="G49" t="n">
        <v>15.9638009049774</v>
      </c>
      <c r="H49" t="n">
        <v>14.8235294117647</v>
      </c>
      <c r="I49" t="n">
        <v>17.10407239819</v>
      </c>
      <c r="J49" t="n">
        <v>17.10407239819</v>
      </c>
      <c r="K49" t="n">
        <v>19.3846153846154</v>
      </c>
      <c r="L49" t="n">
        <v>14</v>
      </c>
      <c r="M49" t="n">
        <v>19</v>
      </c>
      <c r="N49" t="n">
        <v>17</v>
      </c>
      <c r="O49" t="n">
        <v>19</v>
      </c>
      <c r="P49" t="n">
        <v>19</v>
      </c>
      <c r="Q49" t="n">
        <v>18</v>
      </c>
      <c r="R49" t="n">
        <v>21</v>
      </c>
      <c r="S49" t="n">
        <v>22</v>
      </c>
      <c r="T49" t="n">
        <v>22</v>
      </c>
      <c r="U49" t="n">
        <v>18</v>
      </c>
      <c r="V49" t="n">
        <v>17</v>
      </c>
      <c r="W49" t="n">
        <v>18</v>
      </c>
      <c r="X49" t="n">
        <v>14</v>
      </c>
      <c r="Y49" t="n">
        <v>15</v>
      </c>
      <c r="Z49" t="n">
        <v>19</v>
      </c>
      <c r="AA49" t="n">
        <v>13</v>
      </c>
      <c r="AB49" t="n">
        <v>13</v>
      </c>
      <c r="AC49" t="n">
        <v>13</v>
      </c>
      <c r="AD49" t="n">
        <v>15</v>
      </c>
      <c r="AE49" t="n">
        <v>17</v>
      </c>
      <c r="AF49" t="n">
        <v>30</v>
      </c>
    </row>
    <row r="50">
      <c r="A50" t="s">
        <v>55</v>
      </c>
      <c r="B50" t="s">
        <v>370</v>
      </c>
      <c r="C50" t="s">
        <v>236</v>
      </c>
      <c r="D50" t="s">
        <v>371</v>
      </c>
      <c r="E50" t="s">
        <v>237</v>
      </c>
      <c r="F50" t="n">
        <v>6.84684684684685</v>
      </c>
      <c r="G50" t="n">
        <v>7.98798798798799</v>
      </c>
      <c r="H50" t="n">
        <v>7.98798798798799</v>
      </c>
      <c r="I50" t="n">
        <v>11.4114114114114</v>
      </c>
      <c r="J50" t="n">
        <v>10.2702702702703</v>
      </c>
      <c r="K50" t="n">
        <v>10.2702702702703</v>
      </c>
      <c r="L50" t="n">
        <v>11.2972972972973</v>
      </c>
      <c r="M50" t="n">
        <v>13.3513513513514</v>
      </c>
      <c r="N50" t="n">
        <v>21.5675675675676</v>
      </c>
      <c r="O50" t="n">
        <v>29.7837837837838</v>
      </c>
      <c r="P50" t="n">
        <v>31.8378378378379</v>
      </c>
      <c r="Q50" t="n">
        <v>33.8918918918919</v>
      </c>
      <c r="R50" t="n">
        <v>46.2162162162162</v>
      </c>
      <c r="S50" t="n">
        <v>39.027027027027</v>
      </c>
      <c r="T50" t="n">
        <v>36.972972972973</v>
      </c>
      <c r="U50" t="n">
        <v>44.1621621621622</v>
      </c>
      <c r="V50" t="n">
        <v>43.1351351351351</v>
      </c>
      <c r="W50" t="n">
        <v>38</v>
      </c>
      <c r="X50" t="n">
        <v>35</v>
      </c>
      <c r="Y50" t="n">
        <v>30</v>
      </c>
      <c r="Z50" t="n">
        <v>33</v>
      </c>
      <c r="AA50" t="n">
        <v>28</v>
      </c>
      <c r="AB50" t="n">
        <v>23</v>
      </c>
      <c r="AC50" t="n">
        <v>28</v>
      </c>
      <c r="AD50" t="n">
        <v>33</v>
      </c>
      <c r="AE50" t="n">
        <v>27</v>
      </c>
      <c r="AF50" t="n">
        <v>42</v>
      </c>
    </row>
    <row r="51">
      <c r="A51" t="s">
        <v>55</v>
      </c>
      <c r="B51" t="s">
        <v>372</v>
      </c>
      <c r="C51" t="s">
        <v>236</v>
      </c>
      <c r="D51" t="s">
        <v>373</v>
      </c>
      <c r="E51" t="s">
        <v>237</v>
      </c>
      <c r="F51" t="n">
        <v>6.08695652173913</v>
      </c>
      <c r="G51" t="n">
        <v>6.08695652173913</v>
      </c>
      <c r="H51" t="n">
        <v>7.30434782608696</v>
      </c>
      <c r="I51" t="n">
        <v>8.52173913043479</v>
      </c>
      <c r="J51" t="n">
        <v>8.52173913043479</v>
      </c>
      <c r="K51" t="n">
        <v>7.30434782608696</v>
      </c>
      <c r="L51" t="n">
        <v>7.30434782608696</v>
      </c>
      <c r="M51" t="n">
        <v>8.34782608695653</v>
      </c>
      <c r="N51" t="n">
        <v>14.6086956521739</v>
      </c>
      <c r="O51" t="n">
        <v>19.8260869565217</v>
      </c>
      <c r="P51" t="n">
        <v>20.8695652173913</v>
      </c>
      <c r="Q51" t="n">
        <v>20.8695652173913</v>
      </c>
      <c r="R51" t="n">
        <v>29.2173913043478</v>
      </c>
      <c r="S51" t="n">
        <v>25.0434782608696</v>
      </c>
      <c r="T51" t="n">
        <v>26.0869565217391</v>
      </c>
      <c r="U51" t="n">
        <v>30.2608695652174</v>
      </c>
      <c r="V51" t="n">
        <v>29.2173913043478</v>
      </c>
      <c r="W51" t="n">
        <v>24</v>
      </c>
      <c r="X51" t="n">
        <v>24</v>
      </c>
      <c r="Y51" t="n">
        <v>20</v>
      </c>
      <c r="Z51" t="n">
        <v>22</v>
      </c>
      <c r="AA51" t="n">
        <v>18</v>
      </c>
      <c r="AB51" t="n">
        <v>18</v>
      </c>
      <c r="AC51" t="n">
        <v>17</v>
      </c>
      <c r="AD51" t="n">
        <v>20</v>
      </c>
      <c r="AE51" t="n">
        <v>18</v>
      </c>
      <c r="AF51" t="n">
        <v>19</v>
      </c>
    </row>
    <row r="52">
      <c r="A52" t="s">
        <v>55</v>
      </c>
      <c r="B52" t="s">
        <v>374</v>
      </c>
      <c r="C52" t="s">
        <v>236</v>
      </c>
      <c r="D52" t="s">
        <v>375</v>
      </c>
      <c r="E52" t="s">
        <v>237</v>
      </c>
      <c r="F52" t="n">
        <v>1</v>
      </c>
      <c r="G52" t="n">
        <v>2</v>
      </c>
      <c r="H52" t="n">
        <v>1</v>
      </c>
      <c r="I52" t="n">
        <v>3</v>
      </c>
      <c r="J52" t="n">
        <v>2</v>
      </c>
      <c r="K52" t="n">
        <v>3</v>
      </c>
      <c r="L52" t="n">
        <v>4</v>
      </c>
      <c r="M52" t="n">
        <v>5</v>
      </c>
      <c r="N52" t="n">
        <v>7</v>
      </c>
      <c r="O52" t="n">
        <v>10</v>
      </c>
      <c r="P52" t="n">
        <v>11</v>
      </c>
      <c r="Q52" t="n">
        <v>13</v>
      </c>
      <c r="R52" t="n">
        <v>17</v>
      </c>
      <c r="S52" t="n">
        <v>14</v>
      </c>
      <c r="T52" t="n">
        <v>11</v>
      </c>
      <c r="U52" t="n">
        <v>14</v>
      </c>
      <c r="V52" t="n">
        <v>14</v>
      </c>
      <c r="W52" t="n">
        <v>14</v>
      </c>
      <c r="X52" t="n">
        <v>11</v>
      </c>
      <c r="Y52" t="n">
        <v>10</v>
      </c>
      <c r="Z52" t="n">
        <v>11</v>
      </c>
      <c r="AA52" t="n">
        <v>10</v>
      </c>
      <c r="AB52" t="n">
        <v>5</v>
      </c>
      <c r="AC52" t="n">
        <v>11</v>
      </c>
      <c r="AD52" t="n">
        <v>13</v>
      </c>
      <c r="AE52" t="n">
        <v>9</v>
      </c>
      <c r="AF52" t="n">
        <v>23</v>
      </c>
    </row>
    <row r="53">
      <c r="A53" t="s">
        <v>55</v>
      </c>
      <c r="B53" t="s">
        <v>376</v>
      </c>
      <c r="C53" t="s">
        <v>236</v>
      </c>
      <c r="D53" t="s">
        <v>377</v>
      </c>
      <c r="E53" t="s">
        <v>237</v>
      </c>
      <c r="F53" t="n">
        <v>4.33333333333333</v>
      </c>
      <c r="G53" t="n">
        <v>9.75</v>
      </c>
      <c r="H53" t="n">
        <v>10.8333333333333</v>
      </c>
      <c r="I53" t="n">
        <v>13</v>
      </c>
      <c r="J53" t="n">
        <v>14.0833333333333</v>
      </c>
      <c r="K53" t="n">
        <v>13</v>
      </c>
      <c r="L53" t="n">
        <v>13</v>
      </c>
      <c r="M53" t="n">
        <v>13</v>
      </c>
      <c r="N53" t="n">
        <v>21</v>
      </c>
      <c r="O53" t="n">
        <v>25</v>
      </c>
      <c r="P53" t="n">
        <v>28</v>
      </c>
      <c r="Q53" t="n">
        <v>28</v>
      </c>
      <c r="R53" t="n">
        <v>38</v>
      </c>
      <c r="S53" t="n">
        <v>28</v>
      </c>
      <c r="T53" t="n">
        <v>29</v>
      </c>
      <c r="U53" t="n">
        <v>19</v>
      </c>
      <c r="V53" t="n">
        <v>27</v>
      </c>
      <c r="W53" t="n">
        <v>26</v>
      </c>
      <c r="X53" t="n">
        <v>24</v>
      </c>
      <c r="Y53" t="n">
        <v>20</v>
      </c>
      <c r="Z53" t="n">
        <v>19</v>
      </c>
      <c r="AA53" t="n">
        <v>22</v>
      </c>
      <c r="AB53" t="n">
        <v>20</v>
      </c>
      <c r="AC53" t="n">
        <v>18</v>
      </c>
      <c r="AD53" t="n">
        <v>16</v>
      </c>
      <c r="AE53" t="n">
        <v>16</v>
      </c>
      <c r="AF53" t="n">
        <v>17</v>
      </c>
    </row>
    <row r="54">
      <c r="A54" t="s">
        <v>55</v>
      </c>
      <c r="B54" t="s">
        <v>378</v>
      </c>
      <c r="C54" t="s">
        <v>236</v>
      </c>
      <c r="D54" t="s">
        <v>379</v>
      </c>
      <c r="E54" t="s">
        <v>237</v>
      </c>
      <c r="F54" t="n">
        <v>14.1304347826087</v>
      </c>
      <c r="G54" t="n">
        <v>18.4782608695652</v>
      </c>
      <c r="H54" t="n">
        <v>19.5652173913044</v>
      </c>
      <c r="I54" t="n">
        <v>25</v>
      </c>
      <c r="J54" t="n">
        <v>27.1739130434783</v>
      </c>
      <c r="K54" t="n">
        <v>25</v>
      </c>
      <c r="L54" t="n">
        <v>26</v>
      </c>
      <c r="M54" t="n">
        <v>28</v>
      </c>
      <c r="N54" t="n">
        <v>34</v>
      </c>
      <c r="O54" t="n">
        <v>42</v>
      </c>
      <c r="P54" t="n">
        <v>47</v>
      </c>
      <c r="Q54" t="n">
        <v>42</v>
      </c>
      <c r="R54" t="n">
        <v>54</v>
      </c>
      <c r="S54" t="n">
        <v>43</v>
      </c>
      <c r="T54" t="n">
        <v>45</v>
      </c>
      <c r="U54" t="n">
        <v>35</v>
      </c>
      <c r="V54" t="n">
        <v>37</v>
      </c>
      <c r="W54" t="n">
        <v>35</v>
      </c>
      <c r="X54" t="n">
        <v>27</v>
      </c>
      <c r="Y54" t="n">
        <v>23</v>
      </c>
      <c r="Z54" t="n">
        <v>25</v>
      </c>
      <c r="AA54" t="n">
        <v>27</v>
      </c>
      <c r="AB54" t="n">
        <v>24</v>
      </c>
      <c r="AC54" t="n">
        <v>25</v>
      </c>
      <c r="AD54" t="n">
        <v>29</v>
      </c>
      <c r="AE54" t="n">
        <v>27</v>
      </c>
      <c r="AF54" t="n">
        <v>30</v>
      </c>
    </row>
    <row r="55">
      <c r="A55" t="s">
        <v>55</v>
      </c>
      <c r="B55" t="s">
        <v>380</v>
      </c>
      <c r="C55" t="s">
        <v>236</v>
      </c>
      <c r="D55" t="s">
        <v>381</v>
      </c>
      <c r="E55" t="s">
        <v>237</v>
      </c>
      <c r="F55" t="n">
        <v>9.81818181818182</v>
      </c>
      <c r="G55" t="n">
        <v>8.72727272727273</v>
      </c>
      <c r="H55" t="n">
        <v>8.72727272727273</v>
      </c>
      <c r="I55" t="n">
        <v>12</v>
      </c>
      <c r="J55" t="n">
        <v>13.0909090909091</v>
      </c>
      <c r="K55" t="n">
        <v>12</v>
      </c>
      <c r="L55" t="n">
        <v>13</v>
      </c>
      <c r="M55" t="n">
        <v>15</v>
      </c>
      <c r="N55" t="n">
        <v>13</v>
      </c>
      <c r="O55" t="n">
        <v>17</v>
      </c>
      <c r="P55" t="n">
        <v>19</v>
      </c>
      <c r="Q55" t="n">
        <v>14</v>
      </c>
      <c r="R55" t="n">
        <v>16</v>
      </c>
      <c r="S55" t="n">
        <v>15</v>
      </c>
      <c r="T55" t="n">
        <v>16</v>
      </c>
      <c r="U55" t="n">
        <v>16</v>
      </c>
      <c r="V55" t="n">
        <v>10</v>
      </c>
      <c r="W55" t="n">
        <v>9</v>
      </c>
      <c r="X55" t="n">
        <v>3</v>
      </c>
      <c r="Y55" t="n">
        <v>3</v>
      </c>
      <c r="Z55" t="n">
        <v>6</v>
      </c>
      <c r="AA55" t="n">
        <v>5</v>
      </c>
      <c r="AB55" t="n">
        <v>4</v>
      </c>
      <c r="AC55" t="n">
        <v>7</v>
      </c>
      <c r="AD55" t="n">
        <v>13</v>
      </c>
      <c r="AE55" t="n">
        <v>11</v>
      </c>
      <c r="AF55" t="n">
        <v>13</v>
      </c>
    </row>
    <row r="56">
      <c r="A56" t="s">
        <v>55</v>
      </c>
      <c r="B56" t="s">
        <v>382</v>
      </c>
      <c r="C56" t="s">
        <v>236</v>
      </c>
      <c r="D56" t="s">
        <v>383</v>
      </c>
      <c r="E56" t="s">
        <v>237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55</v>
      </c>
      <c r="B57" t="s">
        <v>384</v>
      </c>
      <c r="C57" t="s">
        <v>236</v>
      </c>
      <c r="D57" t="s">
        <v>385</v>
      </c>
      <c r="E57" t="s">
        <v>237</v>
      </c>
      <c r="F57" t="n">
        <v>1794.21708776676</v>
      </c>
      <c r="G57" t="n">
        <v>1791.12893443153</v>
      </c>
      <c r="H57" t="n">
        <v>2264.31456317212</v>
      </c>
      <c r="I57" t="n">
        <v>2487.10564237812</v>
      </c>
      <c r="J57" t="n">
        <v>2564.4249887733</v>
      </c>
      <c r="K57" t="n">
        <v>2254.68486499328</v>
      </c>
      <c r="L57" t="n">
        <v>2403.9763925565</v>
      </c>
      <c r="M57" t="n">
        <v>2014.49866195787</v>
      </c>
      <c r="N57" t="n">
        <v>1941.22301778734</v>
      </c>
      <c r="O57" t="n">
        <v>2589.06448726824</v>
      </c>
      <c r="P57" t="n">
        <v>2529.72938222728</v>
      </c>
      <c r="Q57" t="n">
        <v>2750.29904521698</v>
      </c>
      <c r="R57" t="n">
        <v>2788.62288437164</v>
      </c>
      <c r="S57" t="n">
        <v>2580.14866552393</v>
      </c>
      <c r="T57" t="n">
        <v>2519.33328885946</v>
      </c>
      <c r="U57" t="n">
        <v>2416.45771736586</v>
      </c>
      <c r="V57" t="n">
        <v>2354.29803331787</v>
      </c>
      <c r="W57" t="n">
        <v>2462.90730885303</v>
      </c>
      <c r="X57" t="n">
        <v>2274.67993680339</v>
      </c>
      <c r="Y57" t="n">
        <v>1892.36283944394</v>
      </c>
      <c r="Z57" t="n">
        <v>2167.4032296886</v>
      </c>
      <c r="AA57" t="n">
        <v>2608.96888050034</v>
      </c>
      <c r="AB57" t="n">
        <v>2520.03851041591</v>
      </c>
      <c r="AC57" t="n">
        <v>2449.66371833858</v>
      </c>
      <c r="AD57" t="n">
        <v>2634.62154942119</v>
      </c>
      <c r="AE57" t="n">
        <v>2290</v>
      </c>
      <c r="AF57" t="n">
        <v>2196</v>
      </c>
    </row>
    <row r="58">
      <c r="A58" t="s">
        <v>55</v>
      </c>
      <c r="B58" t="s">
        <v>386</v>
      </c>
      <c r="C58" t="s">
        <v>236</v>
      </c>
      <c r="D58" t="s">
        <v>387</v>
      </c>
      <c r="E58" t="s">
        <v>237</v>
      </c>
      <c r="F58" t="n">
        <v>1794.21708776676</v>
      </c>
      <c r="G58" t="n">
        <v>1791.12893443153</v>
      </c>
      <c r="H58" t="n">
        <v>2264.31456317212</v>
      </c>
      <c r="I58" t="n">
        <v>2487.10564237812</v>
      </c>
      <c r="J58" t="n">
        <v>2564.4249887733</v>
      </c>
      <c r="K58" t="n">
        <v>2254.68486499328</v>
      </c>
      <c r="L58" t="n">
        <v>2403.9763925565</v>
      </c>
      <c r="M58" t="n">
        <v>2014.49866195787</v>
      </c>
      <c r="N58" t="n">
        <v>1941.22301778734</v>
      </c>
      <c r="O58" t="n">
        <v>2589.06448726824</v>
      </c>
      <c r="P58" t="n">
        <v>2529.72938222728</v>
      </c>
      <c r="Q58" t="n">
        <v>2750.29904521698</v>
      </c>
      <c r="R58" t="n">
        <v>2788.62288437164</v>
      </c>
      <c r="S58" t="n">
        <v>2580.14866552393</v>
      </c>
      <c r="T58" t="n">
        <v>2519.33328885946</v>
      </c>
      <c r="U58" t="n">
        <v>2416.45771736586</v>
      </c>
      <c r="V58" t="n">
        <v>2354.29803331787</v>
      </c>
      <c r="W58" t="n">
        <v>2462.90730885303</v>
      </c>
      <c r="X58" t="n">
        <v>2274.67993680339</v>
      </c>
      <c r="Y58" t="n">
        <v>1892.36283944394</v>
      </c>
      <c r="Z58" t="n">
        <v>2167.4032296886</v>
      </c>
      <c r="AA58" t="n">
        <v>2608.96888050034</v>
      </c>
      <c r="AB58" t="n">
        <v>2520.03851041591</v>
      </c>
      <c r="AC58" t="n">
        <v>2449.66371833858</v>
      </c>
      <c r="AD58" t="n">
        <v>2634.62154942119</v>
      </c>
      <c r="AE58" t="n">
        <v>2290</v>
      </c>
      <c r="AF58" t="n">
        <v>2196</v>
      </c>
    </row>
    <row r="59">
      <c r="A59" t="s">
        <v>55</v>
      </c>
      <c r="B59" t="s">
        <v>388</v>
      </c>
      <c r="C59" t="s">
        <v>236</v>
      </c>
      <c r="D59" t="s">
        <v>389</v>
      </c>
      <c r="E59" t="s">
        <v>237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57</v>
      </c>
      <c r="B2" t="s">
        <v>197</v>
      </c>
      <c r="C2" t="s">
        <v>236</v>
      </c>
      <c r="D2" t="s">
        <v>199</v>
      </c>
      <c r="E2" t="s">
        <v>237</v>
      </c>
      <c r="F2" t="n">
        <v>202.776142589812</v>
      </c>
      <c r="G2" t="n">
        <v>184.271855813555</v>
      </c>
      <c r="H2" t="n">
        <v>262.325873341568</v>
      </c>
      <c r="I2" t="n">
        <v>286.019823191774</v>
      </c>
      <c r="J2" t="n">
        <v>329.524456492788</v>
      </c>
      <c r="K2" t="n">
        <v>324.454849469822</v>
      </c>
      <c r="L2" t="n">
        <v>344.80020306694</v>
      </c>
      <c r="M2" t="n">
        <v>384.667726546555</v>
      </c>
      <c r="N2" t="n">
        <v>411.044942081175</v>
      </c>
      <c r="O2" t="n">
        <v>417.801845238674</v>
      </c>
      <c r="P2" t="n">
        <v>406.228386921813</v>
      </c>
      <c r="Q2" t="n">
        <v>454.088627909728</v>
      </c>
      <c r="R2" t="n">
        <v>522.023147045829</v>
      </c>
      <c r="S2" t="n">
        <v>438.403878640319</v>
      </c>
      <c r="T2" t="n">
        <v>430.306709377833</v>
      </c>
      <c r="U2" t="n">
        <v>393.684861771209</v>
      </c>
      <c r="V2" t="n">
        <v>439.329483425842</v>
      </c>
      <c r="W2" t="n">
        <v>395.842554863385</v>
      </c>
      <c r="X2" t="n">
        <v>403.496968907705</v>
      </c>
      <c r="Y2" t="n">
        <v>367.989235643827</v>
      </c>
      <c r="Z2" t="n">
        <v>317.857368759016</v>
      </c>
      <c r="AA2" t="n">
        <v>232.604233429611</v>
      </c>
      <c r="AB2" t="n">
        <v>269.609452384322</v>
      </c>
      <c r="AC2" t="n">
        <v>425.314136125654</v>
      </c>
      <c r="AD2" t="n">
        <v>425.314136125654</v>
      </c>
      <c r="AE2" t="n">
        <v>385</v>
      </c>
      <c r="AF2" t="n">
        <v>391</v>
      </c>
    </row>
    <row r="3">
      <c r="A3" t="s">
        <v>57</v>
      </c>
      <c r="B3" t="s">
        <v>276</v>
      </c>
      <c r="C3" t="s">
        <v>236</v>
      </c>
      <c r="D3" t="s">
        <v>277</v>
      </c>
      <c r="E3" t="s">
        <v>237</v>
      </c>
      <c r="F3" t="n">
        <v>44.863208385967</v>
      </c>
      <c r="G3" t="n">
        <v>46.0757275315336</v>
      </c>
      <c r="H3" t="n">
        <v>26.6754212024668</v>
      </c>
      <c r="I3" t="n">
        <v>48.500765822667</v>
      </c>
      <c r="J3" t="n">
        <v>52.138323259367</v>
      </c>
      <c r="K3" t="n">
        <v>38.8006126581336</v>
      </c>
      <c r="L3" t="n">
        <v>69.1135912973004</v>
      </c>
      <c r="M3" t="n">
        <v>64.2635147150338</v>
      </c>
      <c r="N3" t="n">
        <v>105.489165664301</v>
      </c>
      <c r="O3" t="n">
        <v>61.8384764239004</v>
      </c>
      <c r="P3" t="n">
        <v>69.1135912973004</v>
      </c>
      <c r="Q3" t="n">
        <v>89.7264167719339</v>
      </c>
      <c r="R3" t="n">
        <v>82.4513018985339</v>
      </c>
      <c r="S3" t="n">
        <v>424.205973535935</v>
      </c>
      <c r="T3" t="n">
        <v>169.218776328542</v>
      </c>
      <c r="U3" t="n">
        <v>122.021702658677</v>
      </c>
      <c r="V3" t="n">
        <v>204.904368615514</v>
      </c>
      <c r="W3" t="n">
        <v>181.261556852185</v>
      </c>
      <c r="X3" t="n">
        <v>167.917147758773</v>
      </c>
      <c r="Y3" t="n">
        <v>145.967193803378</v>
      </c>
      <c r="Z3" t="n">
        <v>143.772198407838</v>
      </c>
      <c r="AA3" t="n">
        <v>111.096698769693</v>
      </c>
      <c r="AB3" t="n">
        <v>112.185882090965</v>
      </c>
      <c r="AC3" t="n">
        <v>125.256081946223</v>
      </c>
      <c r="AD3" t="n">
        <v>91.8544600938967</v>
      </c>
      <c r="AE3" t="n">
        <v>215</v>
      </c>
      <c r="AF3" t="n">
        <v>266</v>
      </c>
    </row>
    <row r="4">
      <c r="A4" t="s">
        <v>57</v>
      </c>
      <c r="B4" t="s">
        <v>278</v>
      </c>
      <c r="C4" t="s">
        <v>236</v>
      </c>
      <c r="D4" t="s">
        <v>279</v>
      </c>
      <c r="E4" t="s">
        <v>237</v>
      </c>
      <c r="F4" t="n">
        <v>2616.23745662982</v>
      </c>
      <c r="G4" t="n">
        <v>3192.47854835557</v>
      </c>
      <c r="H4" t="n">
        <v>3174.90987709889</v>
      </c>
      <c r="I4" t="n">
        <v>3314.17102599819</v>
      </c>
      <c r="J4" t="n">
        <v>2834.13747578046</v>
      </c>
      <c r="K4" t="n">
        <v>2913.97233425315</v>
      </c>
      <c r="L4" t="n">
        <v>3776.92886638226</v>
      </c>
      <c r="M4" t="n">
        <v>2925.03481607837</v>
      </c>
      <c r="N4" t="n">
        <v>2779.73585534484</v>
      </c>
      <c r="O4" t="n">
        <v>2542.73181283686</v>
      </c>
      <c r="P4" t="n">
        <v>2549.82450966485</v>
      </c>
      <c r="Q4" t="n">
        <v>2216.47589257564</v>
      </c>
      <c r="R4" t="n">
        <v>2915.67964417679</v>
      </c>
      <c r="S4" t="n">
        <v>2488.54913617753</v>
      </c>
      <c r="T4" t="n">
        <v>1893.65468226556</v>
      </c>
      <c r="U4" t="n">
        <v>1495.74470537507</v>
      </c>
      <c r="V4" t="n">
        <v>1568.38572859417</v>
      </c>
      <c r="W4" t="n">
        <v>1844.84329529424</v>
      </c>
      <c r="X4" t="n">
        <v>1648.20097270127</v>
      </c>
      <c r="Y4" t="n">
        <v>1530.92110679114</v>
      </c>
      <c r="Z4" t="n">
        <v>1894.03089767052</v>
      </c>
      <c r="AA4" t="n">
        <v>2155.16976258095</v>
      </c>
      <c r="AB4" t="n">
        <v>3018.06340315454</v>
      </c>
      <c r="AC4" t="n">
        <v>2279.69926782621</v>
      </c>
      <c r="AD4" t="n">
        <v>2152.93663060278</v>
      </c>
      <c r="AE4" t="n">
        <v>1950</v>
      </c>
      <c r="AF4" t="n">
        <v>2759</v>
      </c>
    </row>
    <row r="5">
      <c r="A5" t="s">
        <v>57</v>
      </c>
      <c r="B5" t="s">
        <v>280</v>
      </c>
      <c r="C5" t="s">
        <v>236</v>
      </c>
      <c r="D5" t="s">
        <v>281</v>
      </c>
      <c r="E5" t="s">
        <v>237</v>
      </c>
      <c r="F5" t="n">
        <v>221.422115903998</v>
      </c>
      <c r="G5" t="n">
        <v>232.555071452243</v>
      </c>
      <c r="H5" t="n">
        <v>215.597930825517</v>
      </c>
      <c r="I5" t="n">
        <v>256.832507759359</v>
      </c>
      <c r="J5" t="n">
        <v>235.722986573658</v>
      </c>
      <c r="K5" t="n">
        <v>220.477221272875</v>
      </c>
      <c r="L5" t="n">
        <v>273.251024237127</v>
      </c>
      <c r="M5" t="n">
        <v>300.224301307744</v>
      </c>
      <c r="N5" t="n">
        <v>308.433559546628</v>
      </c>
      <c r="O5" t="n">
        <v>229.859230688742</v>
      </c>
      <c r="P5" t="n">
        <v>243.932244812542</v>
      </c>
      <c r="Q5" t="n">
        <v>216.958967741925</v>
      </c>
      <c r="R5" t="n">
        <v>267.38726835221</v>
      </c>
      <c r="S5" t="n">
        <v>273.149924997731</v>
      </c>
      <c r="T5" t="n">
        <v>246.172154627585</v>
      </c>
      <c r="U5" t="n">
        <v>187.986008988338</v>
      </c>
      <c r="V5" t="n">
        <v>177.915329935391</v>
      </c>
      <c r="W5" t="n">
        <v>176.830480362614</v>
      </c>
      <c r="X5" t="n">
        <v>216.483375959079</v>
      </c>
      <c r="Y5" t="n">
        <v>230.34684338503</v>
      </c>
      <c r="Z5" t="n">
        <v>216.483375959079</v>
      </c>
      <c r="AA5" t="n">
        <v>207.161125319693</v>
      </c>
      <c r="AB5" t="n">
        <v>357.352941176471</v>
      </c>
      <c r="AC5" t="n">
        <v>243</v>
      </c>
      <c r="AD5" t="n">
        <v>208</v>
      </c>
      <c r="AE5" t="n">
        <v>213</v>
      </c>
      <c r="AF5" t="n">
        <v>221</v>
      </c>
    </row>
    <row r="6">
      <c r="A6" t="s">
        <v>57</v>
      </c>
      <c r="B6" t="s">
        <v>282</v>
      </c>
      <c r="C6" t="s">
        <v>236</v>
      </c>
      <c r="D6" t="s">
        <v>283</v>
      </c>
      <c r="E6" t="s">
        <v>237</v>
      </c>
      <c r="F6" t="n">
        <v>35.945945945946</v>
      </c>
      <c r="G6" t="n">
        <v>27.7297297297297</v>
      </c>
      <c r="H6" t="n">
        <v>38</v>
      </c>
      <c r="I6" t="n">
        <v>35</v>
      </c>
      <c r="J6" t="n">
        <v>25</v>
      </c>
      <c r="K6" t="n">
        <v>29</v>
      </c>
      <c r="L6" t="n">
        <v>37</v>
      </c>
      <c r="M6" t="n">
        <v>36</v>
      </c>
      <c r="N6" t="n">
        <v>26</v>
      </c>
      <c r="O6" t="n">
        <v>24</v>
      </c>
      <c r="P6" t="n">
        <v>28</v>
      </c>
      <c r="Q6" t="n">
        <v>24</v>
      </c>
      <c r="R6" t="n">
        <v>30</v>
      </c>
      <c r="S6" t="n">
        <v>16</v>
      </c>
      <c r="T6" t="n">
        <v>11</v>
      </c>
      <c r="U6" t="n">
        <v>13</v>
      </c>
      <c r="V6" t="n">
        <v>15</v>
      </c>
      <c r="W6" t="n">
        <v>11</v>
      </c>
      <c r="X6" t="n">
        <v>7</v>
      </c>
      <c r="Y6" t="n">
        <v>11</v>
      </c>
      <c r="Z6" t="n">
        <v>16</v>
      </c>
      <c r="AA6" t="n">
        <v>34</v>
      </c>
      <c r="AB6" t="n">
        <v>23</v>
      </c>
      <c r="AC6" t="n">
        <v>21</v>
      </c>
      <c r="AD6" t="n">
        <v>31</v>
      </c>
      <c r="AE6" t="n">
        <v>37</v>
      </c>
      <c r="AF6" t="n">
        <v>24</v>
      </c>
    </row>
    <row r="7">
      <c r="A7" t="s">
        <v>57</v>
      </c>
      <c r="B7" t="s">
        <v>284</v>
      </c>
      <c r="C7" t="s">
        <v>236</v>
      </c>
      <c r="D7" t="s">
        <v>285</v>
      </c>
      <c r="E7" t="s">
        <v>237</v>
      </c>
      <c r="F7" t="n">
        <v>854.799072926863</v>
      </c>
      <c r="G7" t="n">
        <v>1651.43934817041</v>
      </c>
      <c r="H7" t="n">
        <v>1150.883746219</v>
      </c>
      <c r="I7" t="n">
        <v>1325.2986502367</v>
      </c>
      <c r="J7" t="n">
        <v>972.22194037345</v>
      </c>
      <c r="K7" t="n">
        <v>934.538919428743</v>
      </c>
      <c r="L7" t="n">
        <v>1680.44399364298</v>
      </c>
      <c r="M7" t="n">
        <v>801.555827500996</v>
      </c>
      <c r="N7" t="n">
        <v>1039.32621058233</v>
      </c>
      <c r="O7" t="n">
        <v>740.274800933642</v>
      </c>
      <c r="P7" t="n">
        <v>764.546105882286</v>
      </c>
      <c r="Q7" t="n">
        <v>696.665844145073</v>
      </c>
      <c r="R7" t="n">
        <v>635.055939560815</v>
      </c>
      <c r="S7" t="n">
        <v>819.799485614871</v>
      </c>
      <c r="T7" t="n">
        <v>279.247704402329</v>
      </c>
      <c r="U7" t="n">
        <v>315.961546016978</v>
      </c>
      <c r="V7" t="n">
        <v>383.588403234647</v>
      </c>
      <c r="W7" t="n">
        <v>399.842149134421</v>
      </c>
      <c r="X7" t="n">
        <v>480.661306938187</v>
      </c>
      <c r="Y7" t="n">
        <v>341.080621735613</v>
      </c>
      <c r="Z7" t="n">
        <v>419.550089926321</v>
      </c>
      <c r="AA7" t="n">
        <v>765.54942334704</v>
      </c>
      <c r="AB7" t="n">
        <v>950.194135211232</v>
      </c>
      <c r="AC7" t="n">
        <v>509.106185243328</v>
      </c>
      <c r="AD7" t="n">
        <v>533.494505494505</v>
      </c>
      <c r="AE7" t="n">
        <v>458</v>
      </c>
      <c r="AF7" t="n">
        <v>810</v>
      </c>
    </row>
    <row r="8">
      <c r="A8" t="s">
        <v>57</v>
      </c>
      <c r="B8" t="s">
        <v>286</v>
      </c>
      <c r="C8" t="s">
        <v>236</v>
      </c>
      <c r="D8" t="s">
        <v>287</v>
      </c>
      <c r="E8" t="s">
        <v>237</v>
      </c>
      <c r="F8" t="n">
        <v>34.5253812173438</v>
      </c>
      <c r="G8" t="n">
        <v>33.1974819397537</v>
      </c>
      <c r="H8" t="n">
        <v>132.789927759015</v>
      </c>
      <c r="I8" t="n">
        <v>23.5795198824419</v>
      </c>
      <c r="J8" t="n">
        <v>55.8462313005202</v>
      </c>
      <c r="K8" t="n">
        <v>29.7846566936108</v>
      </c>
      <c r="L8" t="n">
        <v>106.728353152105</v>
      </c>
      <c r="M8" t="n">
        <v>17.374383071273</v>
      </c>
      <c r="N8" t="n">
        <v>65.7744501983905</v>
      </c>
      <c r="O8" t="n">
        <v>29.7846566936108</v>
      </c>
      <c r="P8" t="n">
        <v>163.815611814859</v>
      </c>
      <c r="Q8" t="n">
        <v>204.158262485683</v>
      </c>
      <c r="R8" t="n">
        <v>672.876640263464</v>
      </c>
      <c r="S8" t="n">
        <v>41.389600016206</v>
      </c>
      <c r="T8" t="n">
        <v>32.1919111237158</v>
      </c>
      <c r="U8" t="n">
        <v>91.9768889249023</v>
      </c>
      <c r="V8" t="n">
        <v>33.3416222352771</v>
      </c>
      <c r="W8" t="n">
        <v>75.5743437332947</v>
      </c>
      <c r="X8" t="n">
        <v>59.1451385738828</v>
      </c>
      <c r="Y8" t="n">
        <v>65.5973355092155</v>
      </c>
      <c r="Z8" t="n">
        <v>204.319569618868</v>
      </c>
      <c r="AA8" t="n">
        <v>68.457587758899</v>
      </c>
      <c r="AB8" t="n">
        <v>489.735050890585</v>
      </c>
      <c r="AC8" t="n">
        <v>136.791666666667</v>
      </c>
      <c r="AD8" t="n">
        <v>49</v>
      </c>
      <c r="AE8" t="n">
        <v>60</v>
      </c>
      <c r="AF8" t="n">
        <v>359</v>
      </c>
    </row>
    <row r="9">
      <c r="A9" t="s">
        <v>57</v>
      </c>
      <c r="B9" t="s">
        <v>288</v>
      </c>
      <c r="C9" t="s">
        <v>236</v>
      </c>
      <c r="D9" t="s">
        <v>289</v>
      </c>
      <c r="E9" t="s">
        <v>237</v>
      </c>
      <c r="F9" t="n">
        <v>285.564555250705</v>
      </c>
      <c r="G9" t="n">
        <v>151.257937941013</v>
      </c>
      <c r="H9" t="n">
        <v>254.617528867372</v>
      </c>
      <c r="I9" t="n">
        <v>209.324987674618</v>
      </c>
      <c r="J9" t="n">
        <v>217.844027870678</v>
      </c>
      <c r="K9" t="n">
        <v>150.070330310912</v>
      </c>
      <c r="L9" t="n">
        <v>183.419292602225</v>
      </c>
      <c r="M9" t="n">
        <v>280.454015140177</v>
      </c>
      <c r="N9" t="n">
        <v>176.319190953107</v>
      </c>
      <c r="O9" t="n">
        <v>179.869241777666</v>
      </c>
      <c r="P9" t="n">
        <v>154.173635809428</v>
      </c>
      <c r="Q9" t="n">
        <v>141.517591078803</v>
      </c>
      <c r="R9" t="n">
        <v>268.07803838505</v>
      </c>
      <c r="S9" t="n">
        <v>206.99696634795</v>
      </c>
      <c r="T9" t="n">
        <v>204.79487096127</v>
      </c>
      <c r="U9" t="n">
        <v>78.4320782404863</v>
      </c>
      <c r="V9" t="n">
        <v>125.273458300777</v>
      </c>
      <c r="W9" t="n">
        <v>147.567887320407</v>
      </c>
      <c r="X9" t="n">
        <v>185.244794721361</v>
      </c>
      <c r="Y9" t="n">
        <v>124.186454561807</v>
      </c>
      <c r="Z9" t="n">
        <v>154.19818108091</v>
      </c>
      <c r="AA9" t="n">
        <v>179.559724021849</v>
      </c>
      <c r="AB9" t="n">
        <v>242.813717711364</v>
      </c>
      <c r="AC9" t="n">
        <v>202.175438596491</v>
      </c>
      <c r="AD9" t="n">
        <v>172</v>
      </c>
      <c r="AE9" t="n">
        <v>160</v>
      </c>
      <c r="AF9" t="n">
        <v>264</v>
      </c>
    </row>
    <row r="10">
      <c r="A10" t="s">
        <v>57</v>
      </c>
      <c r="B10" t="s">
        <v>290</v>
      </c>
      <c r="C10" t="s">
        <v>236</v>
      </c>
      <c r="D10" t="s">
        <v>291</v>
      </c>
      <c r="E10" t="s">
        <v>237</v>
      </c>
      <c r="F10" t="n">
        <v>305.598568902708</v>
      </c>
      <c r="G10" t="n">
        <v>168.079212896489</v>
      </c>
      <c r="H10" t="n">
        <v>270.656967825965</v>
      </c>
      <c r="I10" t="n">
        <v>234.569372115836</v>
      </c>
      <c r="J10" t="n">
        <v>235.766154626631</v>
      </c>
      <c r="K10" t="n">
        <v>175.038508737953</v>
      </c>
      <c r="L10" t="n">
        <v>192.659835120969</v>
      </c>
      <c r="M10" t="n">
        <v>321.099725201615</v>
      </c>
      <c r="N10" t="n">
        <v>194.995105849708</v>
      </c>
      <c r="O10" t="n">
        <v>194.995105849708</v>
      </c>
      <c r="P10" t="n">
        <v>168.457310379038</v>
      </c>
      <c r="Q10" t="n">
        <v>154.798609537494</v>
      </c>
      <c r="R10" t="n">
        <v>285.694492602287</v>
      </c>
      <c r="S10" t="n">
        <v>221.833370726481</v>
      </c>
      <c r="T10" t="n">
        <v>237.132223880032</v>
      </c>
      <c r="U10" t="n">
        <v>103.948372111795</v>
      </c>
      <c r="V10" t="n">
        <v>145.09460273938</v>
      </c>
      <c r="W10" t="n">
        <v>173.689889410645</v>
      </c>
      <c r="X10" t="n">
        <v>222.572672657952</v>
      </c>
      <c r="Y10" t="n">
        <v>151.473068892217</v>
      </c>
      <c r="Z10" t="n">
        <v>177.233794894295</v>
      </c>
      <c r="AA10" t="n">
        <v>200.527379366117</v>
      </c>
      <c r="AB10" t="n">
        <v>260.58380262805</v>
      </c>
      <c r="AC10" t="n">
        <v>229.151515151515</v>
      </c>
      <c r="AD10" t="n">
        <v>199</v>
      </c>
      <c r="AE10" t="n">
        <v>175</v>
      </c>
      <c r="AF10" t="n">
        <v>289</v>
      </c>
    </row>
    <row r="11">
      <c r="A11" t="s">
        <v>57</v>
      </c>
      <c r="B11" t="s">
        <v>292</v>
      </c>
      <c r="C11" t="s">
        <v>236</v>
      </c>
      <c r="D11" t="s">
        <v>293</v>
      </c>
      <c r="E11" t="s">
        <v>237</v>
      </c>
      <c r="F11" t="n">
        <v>21.84</v>
      </c>
      <c r="G11" t="n">
        <v>16.64</v>
      </c>
      <c r="H11" t="n">
        <v>17.68</v>
      </c>
      <c r="I11" t="n">
        <v>24.96</v>
      </c>
      <c r="J11" t="n">
        <v>18.72</v>
      </c>
      <c r="K11" t="n">
        <v>23.92</v>
      </c>
      <c r="L11" t="n">
        <v>10.4</v>
      </c>
      <c r="M11" t="n">
        <v>39.52</v>
      </c>
      <c r="N11" t="n">
        <v>18.72</v>
      </c>
      <c r="O11" t="n">
        <v>15.6</v>
      </c>
      <c r="P11" t="n">
        <v>14.56</v>
      </c>
      <c r="Q11" t="n">
        <v>13.52</v>
      </c>
      <c r="R11" t="n">
        <v>18.72</v>
      </c>
      <c r="S11" t="n">
        <v>15.6</v>
      </c>
      <c r="T11" t="n">
        <v>32.24</v>
      </c>
      <c r="U11" t="n">
        <v>24.96</v>
      </c>
      <c r="V11" t="n">
        <v>19.76</v>
      </c>
      <c r="W11" t="n">
        <v>26</v>
      </c>
      <c r="X11" t="n">
        <v>37</v>
      </c>
      <c r="Y11" t="n">
        <v>27</v>
      </c>
      <c r="Z11" t="n">
        <v>23</v>
      </c>
      <c r="AA11" t="n">
        <v>21</v>
      </c>
      <c r="AB11" t="n">
        <v>18</v>
      </c>
      <c r="AC11" t="n">
        <v>27</v>
      </c>
      <c r="AD11" t="n">
        <v>27</v>
      </c>
      <c r="AE11" t="n">
        <v>15</v>
      </c>
      <c r="AF11" t="n">
        <v>25</v>
      </c>
    </row>
    <row r="12">
      <c r="A12" t="s">
        <v>57</v>
      </c>
      <c r="B12" t="s">
        <v>294</v>
      </c>
      <c r="C12" t="s">
        <v>236</v>
      </c>
      <c r="D12" t="s">
        <v>295</v>
      </c>
      <c r="E12" t="s">
        <v>237</v>
      </c>
      <c r="F12" t="n">
        <v>135.181018760909</v>
      </c>
      <c r="G12" t="n">
        <v>132.745324729181</v>
      </c>
      <c r="H12" t="n">
        <v>156.663401256961</v>
      </c>
      <c r="I12" t="n">
        <v>220.965543563923</v>
      </c>
      <c r="J12" t="n">
        <v>208.172801568117</v>
      </c>
      <c r="K12" t="n">
        <v>227.943402834362</v>
      </c>
      <c r="L12" t="n">
        <v>202.616358074989</v>
      </c>
      <c r="M12" t="n">
        <v>192.25529430979</v>
      </c>
      <c r="N12" t="n">
        <v>200.3138994605</v>
      </c>
      <c r="O12" t="n">
        <v>177.289313315615</v>
      </c>
      <c r="P12" t="n">
        <v>206.070045996721</v>
      </c>
      <c r="Q12" t="n">
        <v>175.159539097213</v>
      </c>
      <c r="R12" t="n">
        <v>184.318207808179</v>
      </c>
      <c r="S12" t="n">
        <v>182.056634706238</v>
      </c>
      <c r="T12" t="n">
        <v>162.315553834477</v>
      </c>
      <c r="U12" t="n">
        <v>101.311050379908</v>
      </c>
      <c r="V12" t="n">
        <v>133.992034373427</v>
      </c>
      <c r="W12" t="n">
        <v>103.152597890654</v>
      </c>
      <c r="X12" t="n">
        <v>112.625795656123</v>
      </c>
      <c r="Y12" t="n">
        <v>120.968447186206</v>
      </c>
      <c r="Z12" t="n">
        <v>173.110019249226</v>
      </c>
      <c r="AA12" t="n">
        <v>197.840021999115</v>
      </c>
      <c r="AB12" t="n">
        <v>196.80960521787</v>
      </c>
      <c r="AC12" t="n">
        <v>243.178360373912</v>
      </c>
      <c r="AD12" t="n">
        <v>231.939024390244</v>
      </c>
      <c r="AE12" t="n">
        <v>247</v>
      </c>
      <c r="AF12" t="n">
        <v>219</v>
      </c>
    </row>
    <row r="13">
      <c r="A13" t="s">
        <v>57</v>
      </c>
      <c r="B13" t="s">
        <v>296</v>
      </c>
      <c r="C13" t="s">
        <v>236</v>
      </c>
      <c r="D13" t="s">
        <v>297</v>
      </c>
      <c r="E13" t="s">
        <v>237</v>
      </c>
      <c r="F13" t="n">
        <v>422.31511279083</v>
      </c>
      <c r="G13" t="n">
        <v>413.302290261758</v>
      </c>
      <c r="H13" t="n">
        <v>567.500698249325</v>
      </c>
      <c r="I13" t="n">
        <v>497.179959553213</v>
      </c>
      <c r="J13" t="n">
        <v>318.830391752797</v>
      </c>
      <c r="K13" t="n">
        <v>469.083794762736</v>
      </c>
      <c r="L13" t="n">
        <v>426.769534925892</v>
      </c>
      <c r="M13" t="n">
        <v>632.920920440941</v>
      </c>
      <c r="N13" t="n">
        <v>380.958115922547</v>
      </c>
      <c r="O13" t="n">
        <v>665.471139206475</v>
      </c>
      <c r="P13" t="n">
        <v>345.280357685227</v>
      </c>
      <c r="Q13" t="n">
        <v>276.697272939531</v>
      </c>
      <c r="R13" t="n">
        <v>373.246959667367</v>
      </c>
      <c r="S13" t="n">
        <v>455.935516885984</v>
      </c>
      <c r="T13" t="n">
        <v>469.345385029689</v>
      </c>
      <c r="U13" t="n">
        <v>344.554729715913</v>
      </c>
      <c r="V13" t="n">
        <v>273.001830573631</v>
      </c>
      <c r="W13" t="n">
        <v>557.873305954811</v>
      </c>
      <c r="X13" t="n">
        <v>222.302455883321</v>
      </c>
      <c r="Y13" t="n">
        <v>279.704498482301</v>
      </c>
      <c r="Z13" t="n">
        <v>322.495112056086</v>
      </c>
      <c r="AA13" t="n">
        <v>275.981393971073</v>
      </c>
      <c r="AB13" t="n">
        <v>305.734034956803</v>
      </c>
      <c r="AC13" t="n">
        <v>379.355608591885</v>
      </c>
      <c r="AD13" t="n">
        <v>425</v>
      </c>
      <c r="AE13" t="n">
        <v>315</v>
      </c>
      <c r="AF13" t="n">
        <v>281</v>
      </c>
    </row>
    <row r="14">
      <c r="A14" t="s">
        <v>57</v>
      </c>
      <c r="B14" t="s">
        <v>298</v>
      </c>
      <c r="C14" t="s">
        <v>236</v>
      </c>
      <c r="D14" t="s">
        <v>299</v>
      </c>
      <c r="E14" t="s">
        <v>237</v>
      </c>
      <c r="F14" t="n">
        <v>283.546278708161</v>
      </c>
      <c r="G14" t="n">
        <v>179.967729408376</v>
      </c>
      <c r="H14" t="n">
        <v>255.478664824478</v>
      </c>
      <c r="I14" t="n">
        <v>322.709892409867</v>
      </c>
      <c r="J14" t="n">
        <v>429.071205264055</v>
      </c>
      <c r="K14" t="n">
        <v>473.665684462847</v>
      </c>
      <c r="L14" t="n">
        <v>496.164804474832</v>
      </c>
      <c r="M14" t="n">
        <v>280.492217256556</v>
      </c>
      <c r="N14" t="n">
        <v>227.457974497964</v>
      </c>
      <c r="O14" t="n">
        <v>234.529206865776</v>
      </c>
      <c r="P14" t="n">
        <v>319.28481132717</v>
      </c>
      <c r="Q14" t="n">
        <v>167.681951272543</v>
      </c>
      <c r="R14" t="n">
        <v>158.556402903969</v>
      </c>
      <c r="S14" t="n">
        <v>74.2178907210067</v>
      </c>
      <c r="T14" t="n">
        <v>80.7665281375661</v>
      </c>
      <c r="U14" t="n">
        <v>109.84247826709</v>
      </c>
      <c r="V14" t="n">
        <v>104.458043057919</v>
      </c>
      <c r="W14" t="n">
        <v>91.7964620812014</v>
      </c>
      <c r="X14" t="n">
        <v>52.1570807279553</v>
      </c>
      <c r="Y14" t="n">
        <v>92.8396036957605</v>
      </c>
      <c r="Z14" t="n">
        <v>125.176993747093</v>
      </c>
      <c r="AA14" t="n">
        <v>105.35730307047</v>
      </c>
      <c r="AB14" t="n">
        <v>117.875002445179</v>
      </c>
      <c r="AC14" t="n">
        <v>112.705046197584</v>
      </c>
      <c r="AD14" t="n">
        <v>107.582089552239</v>
      </c>
      <c r="AE14" t="n">
        <v>136</v>
      </c>
      <c r="AF14" t="n">
        <v>138</v>
      </c>
    </row>
    <row r="15">
      <c r="A15" t="s">
        <v>57</v>
      </c>
      <c r="B15" t="s">
        <v>300</v>
      </c>
      <c r="C15" t="s">
        <v>236</v>
      </c>
      <c r="D15" t="s">
        <v>301</v>
      </c>
      <c r="E15" t="s">
        <v>237</v>
      </c>
      <c r="F15" t="n">
        <v>336.389725469079</v>
      </c>
      <c r="G15" t="n">
        <v>244.993271756725</v>
      </c>
      <c r="H15" t="n">
        <v>326.657695675634</v>
      </c>
      <c r="I15" t="n">
        <v>405.007327479753</v>
      </c>
      <c r="J15" t="n">
        <v>482.663599710384</v>
      </c>
      <c r="K15" t="n">
        <v>529.142316719532</v>
      </c>
      <c r="L15" t="n">
        <v>554.954137047314</v>
      </c>
      <c r="M15" t="n">
        <v>324.794210735059</v>
      </c>
      <c r="N15" t="n">
        <v>281.566204270321</v>
      </c>
      <c r="O15" t="n">
        <v>272.219608277946</v>
      </c>
      <c r="P15" t="n">
        <v>377.185643673255</v>
      </c>
      <c r="Q15" t="n">
        <v>204.594637022766</v>
      </c>
      <c r="R15" t="n">
        <v>208.004547639812</v>
      </c>
      <c r="S15" t="n">
        <v>137.551394406972</v>
      </c>
      <c r="T15" t="n">
        <v>131.00132800664</v>
      </c>
      <c r="U15" t="n">
        <v>158.067718090657</v>
      </c>
      <c r="V15" t="n">
        <v>147.24116205705</v>
      </c>
      <c r="W15" t="n">
        <v>131.351828022117</v>
      </c>
      <c r="X15" t="n">
        <v>94.8652091270843</v>
      </c>
      <c r="Y15" t="n">
        <v>118.842130115248</v>
      </c>
      <c r="Z15" t="n">
        <v>182.433094475162</v>
      </c>
      <c r="AA15" t="n">
        <v>194.871714553014</v>
      </c>
      <c r="AB15" t="n">
        <v>173.104129416773</v>
      </c>
      <c r="AC15" t="n">
        <v>164.861075635022</v>
      </c>
      <c r="AD15" t="n">
        <v>165.885057471264</v>
      </c>
      <c r="AE15" t="n">
        <v>176</v>
      </c>
      <c r="AF15" t="n">
        <v>197</v>
      </c>
    </row>
    <row r="16">
      <c r="A16" t="s">
        <v>57</v>
      </c>
      <c r="B16" t="s">
        <v>302</v>
      </c>
      <c r="C16" t="s">
        <v>236</v>
      </c>
      <c r="D16" t="s">
        <v>303</v>
      </c>
      <c r="E16" t="s">
        <v>237</v>
      </c>
      <c r="F16" t="n">
        <v>54.0825702746899</v>
      </c>
      <c r="G16" t="n">
        <v>63.4882346702882</v>
      </c>
      <c r="H16" t="n">
        <v>70.4142239070469</v>
      </c>
      <c r="I16" t="n">
        <v>81.7713567952802</v>
      </c>
      <c r="J16" t="n">
        <v>55.6499511523435</v>
      </c>
      <c r="K16" t="n">
        <v>57.9213777299902</v>
      </c>
      <c r="L16" t="n">
        <v>61.3285175964602</v>
      </c>
      <c r="M16" t="n">
        <v>45.4285315529335</v>
      </c>
      <c r="N16" t="n">
        <v>54.5142378635202</v>
      </c>
      <c r="O16" t="n">
        <v>38.6142518199934</v>
      </c>
      <c r="P16" t="n">
        <v>59.0570910188135</v>
      </c>
      <c r="Q16" t="n">
        <v>37.4785385311701</v>
      </c>
      <c r="R16" t="n">
        <v>49.9713847082268</v>
      </c>
      <c r="S16" t="n">
        <v>63.2970872970873</v>
      </c>
      <c r="T16" t="n">
        <v>50.2011382011382</v>
      </c>
      <c r="U16" t="n">
        <v>48.01848001848</v>
      </c>
      <c r="V16" t="n">
        <v>42.5618345618346</v>
      </c>
      <c r="W16" t="n">
        <v>39.369696969697</v>
      </c>
      <c r="X16" t="n">
        <v>42.4778309409888</v>
      </c>
      <c r="Y16" t="n">
        <v>25.9011164274322</v>
      </c>
      <c r="Z16" t="n">
        <v>56.9824561403509</v>
      </c>
      <c r="AA16" t="n">
        <v>88.5263157894737</v>
      </c>
      <c r="AB16" t="n">
        <v>54.9473684210526</v>
      </c>
      <c r="AC16" t="n">
        <v>51.8947368421053</v>
      </c>
      <c r="AD16" t="n">
        <v>58</v>
      </c>
      <c r="AE16" t="n">
        <v>40</v>
      </c>
      <c r="AF16" t="n">
        <v>59</v>
      </c>
    </row>
    <row r="17">
      <c r="A17" t="s">
        <v>57</v>
      </c>
      <c r="B17" t="s">
        <v>304</v>
      </c>
      <c r="C17" t="s">
        <v>236</v>
      </c>
      <c r="D17" t="s">
        <v>305</v>
      </c>
      <c r="E17" t="s">
        <v>237</v>
      </c>
      <c r="F17" t="n">
        <v>132.938006305272</v>
      </c>
      <c r="G17" t="n">
        <v>183.405212402644</v>
      </c>
      <c r="H17" t="n">
        <v>159.272947612822</v>
      </c>
      <c r="I17" t="n">
        <v>153.373949553088</v>
      </c>
      <c r="J17" t="n">
        <v>129.777957314152</v>
      </c>
      <c r="K17" t="n">
        <v>143.935552657514</v>
      </c>
      <c r="L17" t="n">
        <v>135.676955373886</v>
      </c>
      <c r="M17" t="n">
        <v>108.541564299109</v>
      </c>
      <c r="N17" t="n">
        <v>153.373949553088</v>
      </c>
      <c r="O17" t="n">
        <v>90.8445701199061</v>
      </c>
      <c r="P17" t="n">
        <v>109.721363911055</v>
      </c>
      <c r="Q17" t="n">
        <v>130.957756926098</v>
      </c>
      <c r="R17" t="n">
        <v>141.57595343362</v>
      </c>
      <c r="S17" t="n">
        <v>203.731250063014</v>
      </c>
      <c r="T17" t="n">
        <v>226.119299520488</v>
      </c>
      <c r="U17" t="n">
        <v>82.7265729953005</v>
      </c>
      <c r="V17" t="n">
        <v>125.744390952857</v>
      </c>
      <c r="W17" t="n">
        <v>125.744390952857</v>
      </c>
      <c r="X17" t="n">
        <v>92.2125533654283</v>
      </c>
      <c r="Y17" t="n">
        <v>135.175220274321</v>
      </c>
      <c r="Z17" t="n">
        <v>105.834862385321</v>
      </c>
      <c r="AA17" t="n">
        <v>94.5321100917431</v>
      </c>
      <c r="AB17" t="n">
        <v>77.0642201834862</v>
      </c>
      <c r="AC17" t="n">
        <v>117.137614678899</v>
      </c>
      <c r="AD17" t="n">
        <v>155.155963302752</v>
      </c>
      <c r="AE17" t="n">
        <v>112</v>
      </c>
      <c r="AF17" t="n">
        <v>111</v>
      </c>
    </row>
    <row r="18">
      <c r="A18" t="s">
        <v>57</v>
      </c>
      <c r="B18" t="s">
        <v>306</v>
      </c>
      <c r="C18" t="s">
        <v>236</v>
      </c>
      <c r="D18" t="s">
        <v>307</v>
      </c>
      <c r="E18" t="s">
        <v>237</v>
      </c>
      <c r="F18" t="n">
        <v>36.9591180398338</v>
      </c>
      <c r="G18" t="n">
        <v>43.481315340981</v>
      </c>
      <c r="H18" t="n">
        <v>42.3942824574564</v>
      </c>
      <c r="I18" t="n">
        <v>43.481315340981</v>
      </c>
      <c r="J18" t="n">
        <v>39.1331838068829</v>
      </c>
      <c r="K18" t="n">
        <v>29.3498878551621</v>
      </c>
      <c r="L18" t="n">
        <v>53.2646112927017</v>
      </c>
      <c r="M18" t="n">
        <v>40.2202166904074</v>
      </c>
      <c r="N18" t="n">
        <v>40.2202166904074</v>
      </c>
      <c r="O18" t="n">
        <v>40.2202166904074</v>
      </c>
      <c r="P18" t="n">
        <v>46.7424139915545</v>
      </c>
      <c r="Q18" t="n">
        <v>41.3072495739319</v>
      </c>
      <c r="R18" t="n">
        <v>39.1331838068829</v>
      </c>
      <c r="S18" t="n">
        <v>47.8294468750791</v>
      </c>
      <c r="T18" t="n">
        <v>48.9164797586036</v>
      </c>
      <c r="U18" t="n">
        <v>46.7424139915545</v>
      </c>
      <c r="V18" t="n">
        <v>66.309005894996</v>
      </c>
      <c r="W18" t="n">
        <v>47.0580041835455</v>
      </c>
      <c r="X18" t="n">
        <v>116.076410319412</v>
      </c>
      <c r="Y18" t="n">
        <v>41.4558608283615</v>
      </c>
      <c r="Z18" t="n">
        <v>34.2010851833983</v>
      </c>
      <c r="AA18" t="n">
        <v>50.7834295147429</v>
      </c>
      <c r="AB18" t="n">
        <v>117.112806840121</v>
      </c>
      <c r="AC18" t="n">
        <v>153.068493150685</v>
      </c>
      <c r="AD18" t="n">
        <v>74</v>
      </c>
      <c r="AE18" t="n">
        <v>73</v>
      </c>
      <c r="AF18" t="n">
        <v>104</v>
      </c>
    </row>
    <row r="19">
      <c r="A19" t="s">
        <v>57</v>
      </c>
      <c r="B19" t="s">
        <v>308</v>
      </c>
      <c r="C19" t="s">
        <v>236</v>
      </c>
      <c r="D19" t="s">
        <v>309</v>
      </c>
      <c r="E19" t="s">
        <v>237</v>
      </c>
      <c r="F19" t="n">
        <v>83.5499415362097</v>
      </c>
      <c r="G19" t="n">
        <v>84.6492828722124</v>
      </c>
      <c r="H19" t="n">
        <v>109.609968847352</v>
      </c>
      <c r="I19" t="n">
        <v>113.866666666667</v>
      </c>
      <c r="J19" t="n">
        <v>114.920987654321</v>
      </c>
      <c r="K19" t="n">
        <v>109.649382716049</v>
      </c>
      <c r="L19" t="n">
        <v>117.02962962963</v>
      </c>
      <c r="M19" t="n">
        <v>128.627160493827</v>
      </c>
      <c r="N19" t="n">
        <v>83.2913580246913</v>
      </c>
      <c r="O19" t="n">
        <v>70.6395061728395</v>
      </c>
      <c r="P19" t="n">
        <v>86.4543209876543</v>
      </c>
      <c r="Q19" t="n">
        <v>87.5086419753086</v>
      </c>
      <c r="R19" t="n">
        <v>87.5086419753086</v>
      </c>
      <c r="S19" t="n">
        <v>84.3833333333333</v>
      </c>
      <c r="T19" t="n">
        <v>44.7333333333333</v>
      </c>
      <c r="U19" t="n">
        <v>47.7833333333333</v>
      </c>
      <c r="V19" t="n">
        <v>61</v>
      </c>
      <c r="W19" t="n">
        <v>41</v>
      </c>
      <c r="X19" t="n">
        <v>23</v>
      </c>
      <c r="Y19" t="n">
        <v>35</v>
      </c>
      <c r="Z19" t="n">
        <v>44</v>
      </c>
      <c r="AA19" t="n">
        <v>64</v>
      </c>
      <c r="AB19" t="n">
        <v>75</v>
      </c>
      <c r="AC19" t="n">
        <v>83</v>
      </c>
      <c r="AD19" t="n">
        <v>81</v>
      </c>
      <c r="AE19" t="n">
        <v>84</v>
      </c>
      <c r="AF19" t="n">
        <v>144</v>
      </c>
    </row>
    <row r="20">
      <c r="A20" t="s">
        <v>57</v>
      </c>
      <c r="B20" t="s">
        <v>310</v>
      </c>
      <c r="C20" t="s">
        <v>236</v>
      </c>
      <c r="D20" t="s">
        <v>311</v>
      </c>
      <c r="E20" t="s">
        <v>237</v>
      </c>
      <c r="F20" t="n">
        <v>274.183935537494</v>
      </c>
      <c r="G20" t="n">
        <v>260.405848324555</v>
      </c>
      <c r="H20" t="n">
        <v>383.897281550632</v>
      </c>
      <c r="I20" t="n">
        <v>232.941062364621</v>
      </c>
      <c r="J20" t="n">
        <v>217.497456020005</v>
      </c>
      <c r="K20" t="n">
        <v>321.128596829537</v>
      </c>
      <c r="L20" t="n">
        <v>292.164056723343</v>
      </c>
      <c r="M20" t="n">
        <v>393.731818931888</v>
      </c>
      <c r="N20" t="n">
        <v>308.46505559632</v>
      </c>
      <c r="O20" t="n">
        <v>381.192589029598</v>
      </c>
      <c r="P20" t="n">
        <v>393.5689717903</v>
      </c>
      <c r="Q20" t="n">
        <v>342.392820659673</v>
      </c>
      <c r="R20" t="n">
        <v>384.888383507504</v>
      </c>
      <c r="S20" t="n">
        <v>567.887461555551</v>
      </c>
      <c r="T20" t="n">
        <v>877.019749095871</v>
      </c>
      <c r="U20" t="n">
        <v>667.936432623272</v>
      </c>
      <c r="V20" t="n">
        <v>569.942386015811</v>
      </c>
      <c r="W20" t="n">
        <v>661.089241582887</v>
      </c>
      <c r="X20" t="n">
        <v>745.071262500582</v>
      </c>
      <c r="Y20" t="n">
        <v>1005.4742001791</v>
      </c>
      <c r="Z20" t="n">
        <v>1164.23328441791</v>
      </c>
      <c r="AA20" t="n">
        <v>1184.74840837241</v>
      </c>
      <c r="AB20" t="n">
        <v>1214.7551366194</v>
      </c>
      <c r="AC20" t="n">
        <v>811.20936242041</v>
      </c>
      <c r="AD20" t="n">
        <v>614.521665250637</v>
      </c>
      <c r="AE20" t="n">
        <v>1178</v>
      </c>
      <c r="AF20" t="n">
        <v>892</v>
      </c>
    </row>
    <row r="21">
      <c r="A21" t="s">
        <v>57</v>
      </c>
      <c r="B21" t="s">
        <v>312</v>
      </c>
      <c r="C21" t="s">
        <v>236</v>
      </c>
      <c r="D21" t="s">
        <v>313</v>
      </c>
      <c r="E21" t="s">
        <v>237</v>
      </c>
      <c r="F21" t="n">
        <v>311.615703438745</v>
      </c>
      <c r="G21" t="n">
        <v>307.586190032209</v>
      </c>
      <c r="H21" t="n">
        <v>429.831983506548</v>
      </c>
      <c r="I21" t="n">
        <v>275.041298969964</v>
      </c>
      <c r="J21" t="n">
        <v>272.506356122315</v>
      </c>
      <c r="K21" t="n">
        <v>367.126618664785</v>
      </c>
      <c r="L21" t="n">
        <v>334.769696341787</v>
      </c>
      <c r="M21" t="n">
        <v>457.518585000442</v>
      </c>
      <c r="N21" t="n">
        <v>369.486553740194</v>
      </c>
      <c r="O21" t="n">
        <v>420.321952073577</v>
      </c>
      <c r="P21" t="n">
        <v>450.957662866112</v>
      </c>
      <c r="Q21" t="n">
        <v>403.806593558395</v>
      </c>
      <c r="R21" t="n">
        <v>497.827233252588</v>
      </c>
      <c r="S21" t="n">
        <v>652.000679011664</v>
      </c>
      <c r="T21" t="n">
        <v>991.679354440818</v>
      </c>
      <c r="U21" t="n">
        <v>742.915293905721</v>
      </c>
      <c r="V21" t="n">
        <v>673.33712438585</v>
      </c>
      <c r="W21" t="n">
        <v>829.90169151947</v>
      </c>
      <c r="X21" t="n">
        <v>853.490628487723</v>
      </c>
      <c r="Y21" t="n">
        <v>1089.6300951785</v>
      </c>
      <c r="Z21" t="n">
        <v>1257.34663451381</v>
      </c>
      <c r="AA21" t="n">
        <v>1296.22309676892</v>
      </c>
      <c r="AB21" t="n">
        <v>1341.59606117451</v>
      </c>
      <c r="AC21" t="n">
        <v>927.928721730496</v>
      </c>
      <c r="AD21" t="n">
        <v>717.544006069803</v>
      </c>
      <c r="AE21" t="n">
        <v>1319</v>
      </c>
      <c r="AF21" t="n">
        <v>1150</v>
      </c>
    </row>
    <row r="22">
      <c r="A22" t="s">
        <v>57</v>
      </c>
      <c r="B22" t="s">
        <v>314</v>
      </c>
      <c r="C22" t="s">
        <v>236</v>
      </c>
      <c r="D22" t="s">
        <v>315</v>
      </c>
      <c r="E22" t="s">
        <v>237</v>
      </c>
      <c r="F22" t="n">
        <v>38.1965163247488</v>
      </c>
      <c r="G22" t="n">
        <v>46.2988076663622</v>
      </c>
      <c r="H22" t="n">
        <v>47.4562778580212</v>
      </c>
      <c r="I22" t="n">
        <v>41.6689268997259</v>
      </c>
      <c r="J22" t="n">
        <v>53.2436288163165</v>
      </c>
      <c r="K22" t="n">
        <v>46.2988076663622</v>
      </c>
      <c r="L22" t="n">
        <v>42.826397091385</v>
      </c>
      <c r="M22" t="n">
        <v>63.660860541248</v>
      </c>
      <c r="N22" t="n">
        <v>60.1884499662708</v>
      </c>
      <c r="O22" t="n">
        <v>40.5114567080669</v>
      </c>
      <c r="P22" t="n">
        <v>57.8735095829527</v>
      </c>
      <c r="Q22" t="n">
        <v>61.3459201579299</v>
      </c>
      <c r="R22" t="n">
        <v>111.117138399269</v>
      </c>
      <c r="S22" t="n">
        <v>83.6242381767696</v>
      </c>
      <c r="T22" t="n">
        <v>114.433168031369</v>
      </c>
      <c r="U22" t="n">
        <v>75.1989389920424</v>
      </c>
      <c r="V22" t="n">
        <v>102.444931380464</v>
      </c>
      <c r="W22" t="n">
        <v>166.473013493253</v>
      </c>
      <c r="X22" t="n">
        <v>108.207458770615</v>
      </c>
      <c r="Y22" t="n">
        <v>85.5354197901049</v>
      </c>
      <c r="Z22" t="n">
        <v>94.8103448275862</v>
      </c>
      <c r="AA22" t="n">
        <v>112.965517241379</v>
      </c>
      <c r="AB22" t="n">
        <v>128.094827586207</v>
      </c>
      <c r="AC22" t="n">
        <v>117</v>
      </c>
      <c r="AD22" t="n">
        <v>103</v>
      </c>
      <c r="AE22" t="n">
        <v>141</v>
      </c>
      <c r="AF22" t="n">
        <v>258</v>
      </c>
    </row>
    <row r="23">
      <c r="A23" t="s">
        <v>57</v>
      </c>
      <c r="B23" t="s">
        <v>316</v>
      </c>
      <c r="C23" t="s">
        <v>236</v>
      </c>
      <c r="D23" t="s">
        <v>317</v>
      </c>
      <c r="E23" t="s">
        <v>237</v>
      </c>
      <c r="F23" t="n">
        <v>179.603821397599</v>
      </c>
      <c r="G23" t="n">
        <v>212.86378832308</v>
      </c>
      <c r="H23" t="n">
        <v>247.908436400661</v>
      </c>
      <c r="I23" t="n">
        <v>213.757784447508</v>
      </c>
      <c r="J23" t="n">
        <v>313.761426294296</v>
      </c>
      <c r="K23" t="n">
        <v>366.263338263859</v>
      </c>
      <c r="L23" t="n">
        <v>342.832350294117</v>
      </c>
      <c r="M23" t="n">
        <v>345.298770080406</v>
      </c>
      <c r="N23" t="n">
        <v>416.824943882776</v>
      </c>
      <c r="O23" t="n">
        <v>410.658894417054</v>
      </c>
      <c r="P23" t="n">
        <v>480.532198840255</v>
      </c>
      <c r="Q23" t="n">
        <v>513.213229995637</v>
      </c>
      <c r="R23" t="n">
        <v>583.959913569802</v>
      </c>
      <c r="S23" t="n">
        <v>630.8643242983</v>
      </c>
      <c r="T23" t="n">
        <v>423.986293627506</v>
      </c>
      <c r="U23" t="n">
        <v>348.63594436214</v>
      </c>
      <c r="V23" t="n">
        <v>508.427418861455</v>
      </c>
      <c r="W23" t="n">
        <v>519.361341847723</v>
      </c>
      <c r="X23" t="n">
        <v>494.680947503719</v>
      </c>
      <c r="Y23" t="n">
        <v>475.614015908287</v>
      </c>
      <c r="Z23" t="n">
        <v>455.577061801286</v>
      </c>
      <c r="AA23" t="n">
        <v>584.708882039746</v>
      </c>
      <c r="AB23" t="n">
        <v>635.508057961638</v>
      </c>
      <c r="AC23" t="n">
        <v>735.579943712091</v>
      </c>
      <c r="AD23" t="n">
        <v>805.148005148005</v>
      </c>
      <c r="AE23" t="n">
        <v>782</v>
      </c>
      <c r="AF23" t="n">
        <v>858</v>
      </c>
    </row>
    <row r="24">
      <c r="A24" t="s">
        <v>57</v>
      </c>
      <c r="B24" t="s">
        <v>318</v>
      </c>
      <c r="C24" t="s">
        <v>236</v>
      </c>
      <c r="D24" t="s">
        <v>319</v>
      </c>
      <c r="E24" t="s">
        <v>237</v>
      </c>
      <c r="F24" t="n">
        <v>313.24223078388</v>
      </c>
      <c r="G24" t="n">
        <v>383.003600958456</v>
      </c>
      <c r="H24" t="n">
        <v>581.845191699954</v>
      </c>
      <c r="I24" t="n">
        <v>563.703025366325</v>
      </c>
      <c r="J24" t="n">
        <v>558.578452408449</v>
      </c>
      <c r="K24" t="n">
        <v>538.173760083027</v>
      </c>
      <c r="L24" t="n">
        <v>545.700665818453</v>
      </c>
      <c r="M24" t="n">
        <v>538.208208164196</v>
      </c>
      <c r="N24" t="n">
        <v>540.705694048948</v>
      </c>
      <c r="O24" t="n">
        <v>415.831399811316</v>
      </c>
      <c r="P24" t="n">
        <v>443.139730545193</v>
      </c>
      <c r="Q24" t="n">
        <v>383.156728344325</v>
      </c>
      <c r="R24" t="n">
        <v>534.721889872934</v>
      </c>
      <c r="S24" t="n">
        <v>564.362792859239</v>
      </c>
      <c r="T24" t="n">
        <v>534.478001384004</v>
      </c>
      <c r="U24" t="n">
        <v>423.270264365676</v>
      </c>
      <c r="V24" t="n">
        <v>619.66766703135</v>
      </c>
      <c r="W24" t="n">
        <v>739.638849458378</v>
      </c>
      <c r="X24" t="n">
        <v>571.44109360487</v>
      </c>
      <c r="Y24" t="n">
        <v>662.956799470826</v>
      </c>
      <c r="Z24" t="n">
        <v>511.272283751901</v>
      </c>
      <c r="AA24" t="n">
        <v>793.70898888904</v>
      </c>
      <c r="AB24" t="n">
        <v>827.813672005366</v>
      </c>
      <c r="AC24" t="n">
        <v>916.031733706062</v>
      </c>
      <c r="AD24" t="n">
        <v>859.160583941606</v>
      </c>
      <c r="AE24" t="n">
        <v>826</v>
      </c>
      <c r="AF24" t="n">
        <v>877</v>
      </c>
    </row>
    <row r="25">
      <c r="A25" t="s">
        <v>57</v>
      </c>
      <c r="B25" t="s">
        <v>320</v>
      </c>
      <c r="C25" t="s">
        <v>236</v>
      </c>
      <c r="D25" t="s">
        <v>321</v>
      </c>
      <c r="E25" t="s">
        <v>237</v>
      </c>
      <c r="F25" t="n">
        <v>42.326418344027</v>
      </c>
      <c r="G25" t="n">
        <v>47.6172206370303</v>
      </c>
      <c r="H25" t="n">
        <v>75.9301626374267</v>
      </c>
      <c r="I25" t="n">
        <v>86.054184322417</v>
      </c>
      <c r="J25" t="n">
        <v>79.8183738642708</v>
      </c>
      <c r="K25" t="n">
        <v>73.5825634061246</v>
      </c>
      <c r="L25" t="n">
        <v>74.8089394628934</v>
      </c>
      <c r="M25" t="n">
        <v>73.5825634061246</v>
      </c>
      <c r="N25" t="n">
        <v>71.1298112925872</v>
      </c>
      <c r="O25" t="n">
        <v>66.2243070655122</v>
      </c>
      <c r="P25" t="n">
        <v>52.734170441056</v>
      </c>
      <c r="Q25" t="n">
        <v>71.1298112925871</v>
      </c>
      <c r="R25" t="n">
        <v>51.5077943842872</v>
      </c>
      <c r="S25" t="n">
        <v>45.5185159675097</v>
      </c>
      <c r="T25" t="n">
        <v>70.028486103861</v>
      </c>
      <c r="U25" t="n">
        <v>76.9165339173556</v>
      </c>
      <c r="V25" t="n">
        <v>130.872908456396</v>
      </c>
      <c r="W25" t="n">
        <v>95.0786087076381</v>
      </c>
      <c r="X25" t="n">
        <v>71.0357421378905</v>
      </c>
      <c r="Y25" t="n">
        <v>94.7143228505207</v>
      </c>
      <c r="Z25" t="n">
        <v>68.8831438912878</v>
      </c>
      <c r="AA25" t="n">
        <v>125.242079802341</v>
      </c>
      <c r="AB25" t="n">
        <v>97.0626118468146</v>
      </c>
      <c r="AC25" t="n">
        <v>115.649069434503</v>
      </c>
      <c r="AD25" t="n">
        <v>129.977272727273</v>
      </c>
      <c r="AE25" t="n">
        <v>133</v>
      </c>
      <c r="AF25" t="n">
        <v>139</v>
      </c>
    </row>
    <row r="26">
      <c r="A26" t="s">
        <v>57</v>
      </c>
      <c r="B26" t="s">
        <v>322</v>
      </c>
      <c r="C26" t="s">
        <v>236</v>
      </c>
      <c r="D26" t="s">
        <v>323</v>
      </c>
      <c r="E26" t="s">
        <v>237</v>
      </c>
      <c r="F26" t="n">
        <v>113.430513502162</v>
      </c>
      <c r="G26" t="n">
        <v>161.845976582353</v>
      </c>
      <c r="H26" t="n">
        <v>284.579175490637</v>
      </c>
      <c r="I26" t="n">
        <v>233.433609388633</v>
      </c>
      <c r="J26" t="n">
        <v>208.793395064278</v>
      </c>
      <c r="K26" t="n">
        <v>221.681876241085</v>
      </c>
      <c r="L26" t="n">
        <v>224.215383398126</v>
      </c>
      <c r="M26" t="n">
        <v>226.734657368891</v>
      </c>
      <c r="N26" t="n">
        <v>201.541917661237</v>
      </c>
      <c r="O26" t="n">
        <v>148.637164275162</v>
      </c>
      <c r="P26" t="n">
        <v>161.127682281478</v>
      </c>
      <c r="Q26" t="n">
        <v>111.92838998179</v>
      </c>
      <c r="R26" t="n">
        <v>264.005006804875</v>
      </c>
      <c r="S26" t="n">
        <v>298.492147333439</v>
      </c>
      <c r="T26" t="n">
        <v>237.410742666751</v>
      </c>
      <c r="U26" t="n">
        <v>173.798294870875</v>
      </c>
      <c r="V26" t="n">
        <v>266.340244087835</v>
      </c>
      <c r="W26" t="n">
        <v>325.771538223137</v>
      </c>
      <c r="X26" t="n">
        <v>259.970002356874</v>
      </c>
      <c r="Y26" t="n">
        <v>310.046191335452</v>
      </c>
      <c r="Z26" t="n">
        <v>210.236800974039</v>
      </c>
      <c r="AA26" t="n">
        <v>367.914401704569</v>
      </c>
      <c r="AB26" t="n">
        <v>447.49139308449</v>
      </c>
      <c r="AC26" t="n">
        <v>474.176659644574</v>
      </c>
      <c r="AD26" t="n">
        <v>414.269972451791</v>
      </c>
      <c r="AE26" t="n">
        <v>365</v>
      </c>
      <c r="AF26" t="n">
        <v>338</v>
      </c>
    </row>
    <row r="27">
      <c r="A27" t="s">
        <v>57</v>
      </c>
      <c r="B27" t="s">
        <v>324</v>
      </c>
      <c r="C27" t="s">
        <v>236</v>
      </c>
      <c r="D27" t="s">
        <v>325</v>
      </c>
      <c r="E27" t="s">
        <v>237</v>
      </c>
      <c r="F27" t="n">
        <v>157.478912410397</v>
      </c>
      <c r="G27" t="n">
        <v>173.911494574961</v>
      </c>
      <c r="H27" t="n">
        <v>222.07160076495</v>
      </c>
      <c r="I27" t="n">
        <v>244.020538049858</v>
      </c>
      <c r="J27" t="n">
        <v>269.57242685089</v>
      </c>
      <c r="K27" t="n">
        <v>242.869497776038</v>
      </c>
      <c r="L27" t="n">
        <v>246.625211659172</v>
      </c>
      <c r="M27" t="n">
        <v>237.906138519706</v>
      </c>
      <c r="N27" t="n">
        <v>267.800103569303</v>
      </c>
      <c r="O27" t="n">
        <v>200.538682207711</v>
      </c>
      <c r="P27" t="n">
        <v>229.010223508805</v>
      </c>
      <c r="Q27" t="n">
        <v>199.77487582683</v>
      </c>
      <c r="R27" t="n">
        <v>219.030285545079</v>
      </c>
      <c r="S27" t="n">
        <v>220.207867725429</v>
      </c>
      <c r="T27" t="n">
        <v>227.053708172851</v>
      </c>
      <c r="U27" t="n">
        <v>172.831927116648</v>
      </c>
      <c r="V27" t="n">
        <v>223.334762962422</v>
      </c>
      <c r="W27" t="n">
        <v>318.580470696396</v>
      </c>
      <c r="X27" t="n">
        <v>240.276179919167</v>
      </c>
      <c r="Y27" t="n">
        <v>258.270431278753</v>
      </c>
      <c r="Z27" t="n">
        <v>231.916305638064</v>
      </c>
      <c r="AA27" t="n">
        <v>300.670254654658</v>
      </c>
      <c r="AB27" t="n">
        <v>283.1654795549</v>
      </c>
      <c r="AC27" t="n">
        <v>326.100317610156</v>
      </c>
      <c r="AD27" t="n">
        <v>314.960244648318</v>
      </c>
      <c r="AE27" t="n">
        <v>328</v>
      </c>
      <c r="AF27" t="n">
        <v>400</v>
      </c>
    </row>
    <row r="28">
      <c r="A28" t="s">
        <v>57</v>
      </c>
      <c r="B28" t="s">
        <v>326</v>
      </c>
      <c r="C28" t="s">
        <v>236</v>
      </c>
      <c r="D28" t="s">
        <v>327</v>
      </c>
      <c r="E28" t="s">
        <v>237</v>
      </c>
      <c r="F28" t="n">
        <v>189.857662463419</v>
      </c>
      <c r="G28" t="n">
        <v>202.106543912672</v>
      </c>
      <c r="H28" t="n">
        <v>222.436787974893</v>
      </c>
      <c r="I28" t="n">
        <v>280.972784810391</v>
      </c>
      <c r="J28" t="n">
        <v>228.50898681675</v>
      </c>
      <c r="K28" t="n">
        <v>234.338297704932</v>
      </c>
      <c r="L28" t="n">
        <v>236.647049406459</v>
      </c>
      <c r="M28" t="n">
        <v>264.352069824776</v>
      </c>
      <c r="N28" t="n">
        <v>308.218352153778</v>
      </c>
      <c r="O28" t="n">
        <v>256.271438869433</v>
      </c>
      <c r="P28" t="n">
        <v>232.138254043164</v>
      </c>
      <c r="Q28" t="n">
        <v>191.37251186973</v>
      </c>
      <c r="R28" t="n">
        <v>204.881159766417</v>
      </c>
      <c r="S28" t="n">
        <v>201.540706074573</v>
      </c>
      <c r="T28" t="n">
        <v>262.8791818364</v>
      </c>
      <c r="U28" t="n">
        <v>222.686910233314</v>
      </c>
      <c r="V28" t="n">
        <v>285.691011665178</v>
      </c>
      <c r="W28" t="n">
        <v>203.158052739682</v>
      </c>
      <c r="X28" t="n">
        <v>162.526442191746</v>
      </c>
      <c r="Y28" t="n">
        <v>260.248037180454</v>
      </c>
      <c r="Z28" t="n">
        <v>189.550735741669</v>
      </c>
      <c r="AA28" t="n">
        <v>272.66924018454</v>
      </c>
      <c r="AB28" t="n">
        <v>219.763268208435</v>
      </c>
      <c r="AC28" t="n">
        <v>251.303366886498</v>
      </c>
      <c r="AD28" t="n">
        <v>348.582089552239</v>
      </c>
      <c r="AE28" t="n">
        <v>270</v>
      </c>
      <c r="AF28" t="n">
        <v>331</v>
      </c>
    </row>
    <row r="29">
      <c r="A29" t="s">
        <v>57</v>
      </c>
      <c r="B29" t="s">
        <v>328</v>
      </c>
      <c r="C29" t="s">
        <v>236</v>
      </c>
      <c r="D29" t="s">
        <v>329</v>
      </c>
      <c r="E29" t="s">
        <v>237</v>
      </c>
      <c r="F29" t="n">
        <v>111.40336136987</v>
      </c>
      <c r="G29" t="n">
        <v>113.851786894483</v>
      </c>
      <c r="H29" t="n">
        <v>129.431505101096</v>
      </c>
      <c r="I29" t="n">
        <v>172.96755681692</v>
      </c>
      <c r="J29" t="n">
        <v>109.857772572908</v>
      </c>
      <c r="K29" t="n">
        <v>120.37606994691</v>
      </c>
      <c r="L29" t="n">
        <v>122.690994368966</v>
      </c>
      <c r="M29" t="n">
        <v>144.682776378498</v>
      </c>
      <c r="N29" t="n">
        <v>177.091718287281</v>
      </c>
      <c r="O29" t="n">
        <v>157.414860699806</v>
      </c>
      <c r="P29" t="n">
        <v>133.285575483047</v>
      </c>
      <c r="Q29" t="n">
        <v>92.6221795729649</v>
      </c>
      <c r="R29" t="n">
        <v>82.5788107036073</v>
      </c>
      <c r="S29" t="n">
        <v>105.700877700617</v>
      </c>
      <c r="T29" t="n">
        <v>90.6007523148148</v>
      </c>
      <c r="U29" t="n">
        <v>86.3371875</v>
      </c>
      <c r="V29" t="n">
        <v>115.11625</v>
      </c>
      <c r="W29" t="n">
        <v>77.78125</v>
      </c>
      <c r="X29" t="n">
        <v>65.5</v>
      </c>
      <c r="Y29" t="n">
        <v>95.7307692307692</v>
      </c>
      <c r="Z29" t="n">
        <v>32.2461538461538</v>
      </c>
      <c r="AA29" t="n">
        <v>70.5384615384615</v>
      </c>
      <c r="AB29" t="n">
        <v>73.5615384615385</v>
      </c>
      <c r="AC29" t="n">
        <v>72.5538461538462</v>
      </c>
      <c r="AD29" t="n">
        <v>131</v>
      </c>
      <c r="AE29" t="n">
        <v>78</v>
      </c>
      <c r="AF29" t="n">
        <v>75</v>
      </c>
    </row>
    <row r="30">
      <c r="A30" t="s">
        <v>57</v>
      </c>
      <c r="B30" t="s">
        <v>330</v>
      </c>
      <c r="C30" t="s">
        <v>236</v>
      </c>
      <c r="D30" t="s">
        <v>331</v>
      </c>
      <c r="E30" t="s">
        <v>237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7.51989389920425</v>
      </c>
      <c r="M30" t="n">
        <v>7.51989389920425</v>
      </c>
      <c r="N30" t="n">
        <v>7.51989389920425</v>
      </c>
      <c r="O30" t="n">
        <v>8.59416445623342</v>
      </c>
      <c r="P30" t="n">
        <v>10.7427055702918</v>
      </c>
      <c r="Q30" t="n">
        <v>21.4854111405836</v>
      </c>
      <c r="R30" t="n">
        <v>20.4111405835544</v>
      </c>
      <c r="S30" t="n">
        <v>17.1883289124668</v>
      </c>
      <c r="T30" t="n">
        <v>7.51989389920424</v>
      </c>
      <c r="U30" t="n">
        <v>4.29708222811671</v>
      </c>
      <c r="V30" t="n">
        <v>27.9310344827586</v>
      </c>
      <c r="W30" t="n">
        <v>30</v>
      </c>
      <c r="X30" t="n">
        <v>24</v>
      </c>
      <c r="Y30" t="n">
        <v>10</v>
      </c>
      <c r="Z30" t="n">
        <v>18</v>
      </c>
      <c r="AA30" t="n">
        <v>21</v>
      </c>
      <c r="AB30" t="n">
        <v>8</v>
      </c>
      <c r="AC30" t="n">
        <v>23</v>
      </c>
      <c r="AD30" t="n">
        <v>24</v>
      </c>
      <c r="AE30" t="n">
        <v>13</v>
      </c>
      <c r="AF30" t="n">
        <v>17</v>
      </c>
    </row>
    <row r="31">
      <c r="A31" t="s">
        <v>57</v>
      </c>
      <c r="B31" t="s">
        <v>332</v>
      </c>
      <c r="C31" t="s">
        <v>236</v>
      </c>
      <c r="D31" t="s">
        <v>333</v>
      </c>
      <c r="E31" t="s">
        <v>237</v>
      </c>
      <c r="F31" t="e">
        <v>#NUM!</v>
      </c>
      <c r="G31" t="e">
        <v>#NUM!</v>
      </c>
      <c r="H31" t="e">
        <v>#NUM!</v>
      </c>
      <c r="I31" t="e">
        <v>#NUM!</v>
      </c>
      <c r="J31" t="e">
        <v>#NUM!</v>
      </c>
      <c r="K31" t="e">
        <v>#NUM!</v>
      </c>
      <c r="L31" t="e">
        <v>#NUM!</v>
      </c>
      <c r="M31" t="e">
        <v>#NUM!</v>
      </c>
      <c r="N31" t="e">
        <v>#NUM!</v>
      </c>
      <c r="O31" t="e">
        <v>#NUM!</v>
      </c>
      <c r="P31" t="e">
        <v>#NUM!</v>
      </c>
      <c r="Q31" t="e">
        <v>#NUM!</v>
      </c>
      <c r="R31" t="e">
        <v>#NUM!</v>
      </c>
      <c r="S31" t="e">
        <v>#NUM!</v>
      </c>
      <c r="T31" t="e">
        <v>#NUM!</v>
      </c>
      <c r="U31" t="e">
        <v>#NUM!</v>
      </c>
      <c r="V31" t="e">
        <v>#NUM!</v>
      </c>
      <c r="W31" t="n">
        <v>0</v>
      </c>
      <c r="X31" t="n">
        <v>1</v>
      </c>
      <c r="Y31" t="n">
        <v>1</v>
      </c>
      <c r="Z31" t="n">
        <v>1</v>
      </c>
      <c r="AA31" t="n">
        <v>2</v>
      </c>
      <c r="AB31" t="n">
        <v>4</v>
      </c>
      <c r="AC31" t="n">
        <v>4</v>
      </c>
      <c r="AD31" t="n">
        <v>5</v>
      </c>
      <c r="AE31" t="n">
        <v>4</v>
      </c>
      <c r="AF31" t="n">
        <v>3</v>
      </c>
    </row>
    <row r="32">
      <c r="A32" t="s">
        <v>57</v>
      </c>
      <c r="B32" t="s">
        <v>334</v>
      </c>
      <c r="C32" t="s">
        <v>236</v>
      </c>
      <c r="D32" t="s">
        <v>335</v>
      </c>
      <c r="E32" t="s">
        <v>237</v>
      </c>
      <c r="F32" t="n">
        <v>64.7372061679526</v>
      </c>
      <c r="G32" t="n">
        <v>67.2759201353233</v>
      </c>
      <c r="H32" t="n">
        <v>61.1599273957485</v>
      </c>
      <c r="I32" t="n">
        <v>68.2168420952579</v>
      </c>
      <c r="J32" t="n">
        <v>74.0976043448491</v>
      </c>
      <c r="K32" t="n">
        <v>76.4499092446856</v>
      </c>
      <c r="L32" t="n">
        <v>63.7082577039047</v>
      </c>
      <c r="M32" t="n">
        <v>75.2915772864328</v>
      </c>
      <c r="N32" t="n">
        <v>97.2998844932362</v>
      </c>
      <c r="O32" t="n">
        <v>78.7665731611912</v>
      </c>
      <c r="P32" t="n">
        <v>77.6082412029384</v>
      </c>
      <c r="Q32" t="n">
        <v>62.7713715612002</v>
      </c>
      <c r="R32" t="n">
        <v>85.5973248561821</v>
      </c>
      <c r="S32" t="n">
        <v>61.9454324617107</v>
      </c>
      <c r="T32" t="n">
        <v>144.90806522293</v>
      </c>
      <c r="U32" t="n">
        <v>125.147874510713</v>
      </c>
      <c r="V32" t="n">
        <v>138.321334985525</v>
      </c>
      <c r="W32" t="n">
        <v>92.214223323683</v>
      </c>
      <c r="X32" t="n">
        <v>65.7158832881419</v>
      </c>
      <c r="Y32" t="n">
        <v>146.035296195871</v>
      </c>
      <c r="Z32" t="n">
        <v>129.463915067261</v>
      </c>
      <c r="AA32" t="n">
        <v>168.201149496836</v>
      </c>
      <c r="AB32" t="n">
        <v>124.099628592178</v>
      </c>
      <c r="AC32" t="n">
        <v>139.483880070547</v>
      </c>
      <c r="AD32" t="n">
        <v>178.172839506173</v>
      </c>
      <c r="AE32" t="n">
        <v>164</v>
      </c>
      <c r="AF32" t="n">
        <v>227</v>
      </c>
    </row>
    <row r="33">
      <c r="A33" t="s">
        <v>57</v>
      </c>
      <c r="B33" t="s">
        <v>336</v>
      </c>
      <c r="C33" t="s">
        <v>236</v>
      </c>
      <c r="D33" t="s">
        <v>337</v>
      </c>
      <c r="E33" t="s">
        <v>237</v>
      </c>
      <c r="F33" t="n">
        <v>6</v>
      </c>
      <c r="G33" t="n">
        <v>9</v>
      </c>
      <c r="H33" t="n">
        <v>18</v>
      </c>
      <c r="I33" t="n">
        <v>19</v>
      </c>
      <c r="J33" t="n">
        <v>25</v>
      </c>
      <c r="K33" t="n">
        <v>26</v>
      </c>
      <c r="L33" t="n">
        <v>24</v>
      </c>
      <c r="M33" t="n">
        <v>27</v>
      </c>
      <c r="N33" t="n">
        <v>18</v>
      </c>
      <c r="O33" t="n">
        <v>4</v>
      </c>
      <c r="P33" t="n">
        <v>1</v>
      </c>
      <c r="Q33" t="n">
        <v>1</v>
      </c>
      <c r="R33" t="n">
        <v>2</v>
      </c>
      <c r="S33" t="n">
        <v>2</v>
      </c>
      <c r="T33" t="n">
        <v>4</v>
      </c>
      <c r="U33" t="n">
        <v>5</v>
      </c>
      <c r="V33" t="n">
        <v>2</v>
      </c>
      <c r="W33" t="n">
        <v>2</v>
      </c>
      <c r="X33" t="n">
        <v>5</v>
      </c>
      <c r="Y33" t="n">
        <v>7</v>
      </c>
      <c r="Z33" t="n">
        <v>9</v>
      </c>
      <c r="AA33" t="n">
        <v>11</v>
      </c>
      <c r="AB33" t="n">
        <v>10</v>
      </c>
      <c r="AC33" t="n">
        <v>12</v>
      </c>
      <c r="AD33" t="n">
        <v>10</v>
      </c>
      <c r="AE33" t="n">
        <v>11</v>
      </c>
      <c r="AF33" t="n">
        <v>9</v>
      </c>
    </row>
    <row r="34">
      <c r="A34" t="s">
        <v>57</v>
      </c>
      <c r="B34" t="s">
        <v>338</v>
      </c>
      <c r="C34" t="s">
        <v>236</v>
      </c>
      <c r="D34" t="s">
        <v>339</v>
      </c>
      <c r="E34" t="s">
        <v>237</v>
      </c>
      <c r="F34" t="n">
        <v>43.170693401568</v>
      </c>
      <c r="G34" t="n">
        <v>58.4074087197685</v>
      </c>
      <c r="H34" t="n">
        <v>82.0189143724408</v>
      </c>
      <c r="I34" t="n">
        <v>102.523642965551</v>
      </c>
      <c r="J34" t="n">
        <v>82.0189143724408</v>
      </c>
      <c r="K34" t="n">
        <v>84.431235383395</v>
      </c>
      <c r="L34" t="n">
        <v>79.6065933614867</v>
      </c>
      <c r="M34" t="n">
        <v>79.6065933614867</v>
      </c>
      <c r="N34" t="n">
        <v>90.4620379107803</v>
      </c>
      <c r="O34" t="n">
        <v>75.9881118450555</v>
      </c>
      <c r="P34" t="n">
        <v>89.2558774053033</v>
      </c>
      <c r="Q34" t="n">
        <v>108.297131251768</v>
      </c>
      <c r="R34" t="n">
        <v>103.588560327778</v>
      </c>
      <c r="S34" t="n">
        <v>112.899891593196</v>
      </c>
      <c r="T34" t="n">
        <v>89.1909143586251</v>
      </c>
      <c r="U34" t="n">
        <v>66.8931857689688</v>
      </c>
      <c r="V34" t="n">
        <v>94.7653465060391</v>
      </c>
      <c r="W34" t="n">
        <v>105.657915069952</v>
      </c>
      <c r="X34" t="n">
        <v>87.5146367246064</v>
      </c>
      <c r="Y34" t="n">
        <v>97.0041756465517</v>
      </c>
      <c r="Z34" t="n">
        <v>101.22174850075</v>
      </c>
      <c r="AA34" t="n">
        <v>133.939889430285</v>
      </c>
      <c r="AB34" t="n">
        <v>118.603260869565</v>
      </c>
      <c r="AC34" t="n">
        <v>158.13768115942</v>
      </c>
      <c r="AD34" t="n">
        <v>157.130434782609</v>
      </c>
      <c r="AE34" t="n">
        <v>139</v>
      </c>
      <c r="AF34" t="n">
        <v>155</v>
      </c>
    </row>
    <row r="35">
      <c r="A35" t="s">
        <v>57</v>
      </c>
      <c r="B35" t="s">
        <v>340</v>
      </c>
      <c r="C35" t="s">
        <v>236</v>
      </c>
      <c r="D35" t="s">
        <v>341</v>
      </c>
      <c r="E35" t="s">
        <v>237</v>
      </c>
      <c r="F35" t="n">
        <v>164.899644424506</v>
      </c>
      <c r="G35" t="n">
        <v>244.732011963354</v>
      </c>
      <c r="H35" t="n">
        <v>330.1332869714</v>
      </c>
      <c r="I35" t="n">
        <v>312.75785081501</v>
      </c>
      <c r="J35" t="n">
        <v>295.519229116545</v>
      </c>
      <c r="K35" t="n">
        <v>425.498641093117</v>
      </c>
      <c r="L35" t="n">
        <v>491.79446335975</v>
      </c>
      <c r="M35" t="n">
        <v>442.615017023775</v>
      </c>
      <c r="N35" t="n">
        <v>244.697732988754</v>
      </c>
      <c r="O35" t="n">
        <v>251.894725135482</v>
      </c>
      <c r="P35" t="n">
        <v>235.181331050663</v>
      </c>
      <c r="Q35" t="n">
        <v>197.363227565129</v>
      </c>
      <c r="R35" t="n">
        <v>196.195397816223</v>
      </c>
      <c r="S35" t="n">
        <v>244.383741139506</v>
      </c>
      <c r="T35" t="n">
        <v>217.47910908745</v>
      </c>
      <c r="U35" t="n">
        <v>251.876315116588</v>
      </c>
      <c r="V35" t="n">
        <v>290.541538928345</v>
      </c>
      <c r="W35" t="n">
        <v>344.545542446624</v>
      </c>
      <c r="X35" t="n">
        <v>295.779096438795</v>
      </c>
      <c r="Y35" t="n">
        <v>283.192751909484</v>
      </c>
      <c r="Z35" t="n">
        <v>290.507693840725</v>
      </c>
      <c r="AA35" t="n">
        <v>318.223975585247</v>
      </c>
      <c r="AB35" t="n">
        <v>284.348520119721</v>
      </c>
      <c r="AC35" t="n">
        <v>315.942800133023</v>
      </c>
      <c r="AD35" t="n">
        <v>294.677419354839</v>
      </c>
      <c r="AE35" t="n">
        <v>378</v>
      </c>
      <c r="AF35" t="n">
        <v>470</v>
      </c>
    </row>
    <row r="36">
      <c r="A36" t="s">
        <v>57</v>
      </c>
      <c r="B36" t="s">
        <v>342</v>
      </c>
      <c r="C36" t="s">
        <v>236</v>
      </c>
      <c r="D36" t="s">
        <v>343</v>
      </c>
      <c r="E36" t="s">
        <v>237</v>
      </c>
      <c r="F36" t="n">
        <v>35.9717647058824</v>
      </c>
      <c r="G36" t="n">
        <v>51.5595294117647</v>
      </c>
      <c r="H36" t="n">
        <v>89.9294117647059</v>
      </c>
      <c r="I36" t="n">
        <v>72.4106951871658</v>
      </c>
      <c r="J36" t="n">
        <v>16.3508021390374</v>
      </c>
      <c r="K36" t="n">
        <v>66.5711229946524</v>
      </c>
      <c r="L36" t="n">
        <v>65.4032085561497</v>
      </c>
      <c r="M36" t="n">
        <v>51.3882352941176</v>
      </c>
      <c r="N36" t="n">
        <v>44.3807486631016</v>
      </c>
      <c r="O36" t="n">
        <v>33.8695187165775</v>
      </c>
      <c r="P36" t="n">
        <v>45.5486631016043</v>
      </c>
      <c r="Q36" t="n">
        <v>31.5336898395722</v>
      </c>
      <c r="R36" t="n">
        <v>28.0299465240642</v>
      </c>
      <c r="S36" t="n">
        <v>28.0299465240642</v>
      </c>
      <c r="T36" t="n">
        <v>32.7016042780749</v>
      </c>
      <c r="U36" t="n">
        <v>52.5561497326203</v>
      </c>
      <c r="V36" t="n">
        <v>44.3807486631016</v>
      </c>
      <c r="W36" t="n">
        <v>62.5882352941177</v>
      </c>
      <c r="X36" t="n">
        <v>44.7058823529412</v>
      </c>
      <c r="Y36" t="n">
        <v>43.5882352941177</v>
      </c>
      <c r="Z36" t="n">
        <v>51.4117647058824</v>
      </c>
      <c r="AA36" t="n">
        <v>53.6470588235294</v>
      </c>
      <c r="AB36" t="n">
        <v>54.764705882353</v>
      </c>
      <c r="AC36" t="n">
        <v>35.7647058823529</v>
      </c>
      <c r="AD36" t="n">
        <v>24.5882352941176</v>
      </c>
      <c r="AE36" t="n">
        <v>19</v>
      </c>
      <c r="AF36" t="n">
        <v>43</v>
      </c>
    </row>
    <row r="37">
      <c r="A37" t="s">
        <v>57</v>
      </c>
      <c r="B37" t="s">
        <v>344</v>
      </c>
      <c r="C37" t="s">
        <v>236</v>
      </c>
      <c r="D37" t="s">
        <v>345</v>
      </c>
      <c r="E37" t="s">
        <v>237</v>
      </c>
      <c r="F37" t="n">
        <v>94.2899841592803</v>
      </c>
      <c r="G37" t="n">
        <v>162.61605963702</v>
      </c>
      <c r="H37" t="n">
        <v>186.413531779022</v>
      </c>
      <c r="I37" t="n">
        <v>168.414983883117</v>
      </c>
      <c r="J37" t="n">
        <v>190.104792413518</v>
      </c>
      <c r="K37" t="n">
        <v>253.473056551358</v>
      </c>
      <c r="L37" t="n">
        <v>265.898206382307</v>
      </c>
      <c r="M37" t="n">
        <v>288.159451567802</v>
      </c>
      <c r="N37" t="n">
        <v>107.596018396561</v>
      </c>
      <c r="O37" t="n">
        <v>145.934829549359</v>
      </c>
      <c r="P37" t="n">
        <v>105.465507069285</v>
      </c>
      <c r="Q37" t="n">
        <v>93.3430349923554</v>
      </c>
      <c r="R37" t="n">
        <v>94.5397405691805</v>
      </c>
      <c r="S37" t="n">
        <v>163.402020736855</v>
      </c>
      <c r="T37" t="n">
        <v>159.997811971504</v>
      </c>
      <c r="U37" t="n">
        <v>151.046885427644</v>
      </c>
      <c r="V37" t="n">
        <v>188.808606784554</v>
      </c>
      <c r="W37" t="n">
        <v>175.787323558033</v>
      </c>
      <c r="X37" t="n">
        <v>159.80665778003</v>
      </c>
      <c r="Y37" t="n">
        <v>160.858017370689</v>
      </c>
      <c r="Z37" t="n">
        <v>147.27909382641</v>
      </c>
      <c r="AA37" t="n">
        <v>189.21272470754</v>
      </c>
      <c r="AB37" t="n">
        <v>182.053324313201</v>
      </c>
      <c r="AC37" t="n">
        <v>186.098953742383</v>
      </c>
      <c r="AD37" t="n">
        <v>195.152416356877</v>
      </c>
      <c r="AE37" t="n">
        <v>272</v>
      </c>
      <c r="AF37" t="n">
        <v>306</v>
      </c>
    </row>
    <row r="38">
      <c r="A38" t="s">
        <v>57</v>
      </c>
      <c r="B38" t="s">
        <v>346</v>
      </c>
      <c r="C38" t="s">
        <v>236</v>
      </c>
      <c r="D38" t="s">
        <v>347</v>
      </c>
      <c r="E38" t="s">
        <v>237</v>
      </c>
      <c r="F38" t="n">
        <v>35.2180254882293</v>
      </c>
      <c r="G38" t="n">
        <v>32.6092828594716</v>
      </c>
      <c r="H38" t="n">
        <v>53.9307370368183</v>
      </c>
      <c r="I38" t="n">
        <v>72.3162155720973</v>
      </c>
      <c r="J38" t="n">
        <v>92.8058099841916</v>
      </c>
      <c r="K38" t="n">
        <v>108.474323358146</v>
      </c>
      <c r="L38" t="n">
        <v>162.711485037219</v>
      </c>
      <c r="M38" t="n">
        <v>107.69393254262</v>
      </c>
      <c r="N38" t="n">
        <v>92.4763116398583</v>
      </c>
      <c r="O38" t="n">
        <v>73.7469320672288</v>
      </c>
      <c r="P38" t="n">
        <v>84.2822080768329</v>
      </c>
      <c r="Q38" t="n">
        <v>72.7367001211023</v>
      </c>
      <c r="R38" t="n">
        <v>73.8732110604946</v>
      </c>
      <c r="S38" t="n">
        <v>54.8452627570338</v>
      </c>
      <c r="T38" t="n">
        <v>27.4226313785169</v>
      </c>
      <c r="U38" t="n">
        <v>51.5545469916118</v>
      </c>
      <c r="V38" t="n">
        <v>60.3297890327372</v>
      </c>
      <c r="W38" t="n">
        <v>109.886401452486</v>
      </c>
      <c r="X38" t="n">
        <v>94.0374012429925</v>
      </c>
      <c r="Y38" t="n">
        <v>81.4990810772602</v>
      </c>
      <c r="Z38" t="n">
        <v>95.0822612568036</v>
      </c>
      <c r="AA38" t="n">
        <v>78.7240227610094</v>
      </c>
      <c r="AB38" t="n">
        <v>51.1194952993568</v>
      </c>
      <c r="AC38" t="n">
        <v>96.1046511627907</v>
      </c>
      <c r="AD38" t="n">
        <v>75.8720930232558</v>
      </c>
      <c r="AE38" t="n">
        <v>87</v>
      </c>
      <c r="AF38" t="n">
        <v>121</v>
      </c>
    </row>
    <row r="39">
      <c r="A39" t="s">
        <v>57</v>
      </c>
      <c r="B39" t="s">
        <v>348</v>
      </c>
      <c r="C39" t="s">
        <v>236</v>
      </c>
      <c r="D39" t="s">
        <v>349</v>
      </c>
      <c r="E39" t="s">
        <v>237</v>
      </c>
      <c r="F39" t="n">
        <v>10.4721633085896</v>
      </c>
      <c r="G39" t="n">
        <v>39.7942205726405</v>
      </c>
      <c r="H39" t="n">
        <v>5.2360816542948</v>
      </c>
      <c r="I39" t="n">
        <v>11.5193796394486</v>
      </c>
      <c r="J39" t="n">
        <v>14.6610286320254</v>
      </c>
      <c r="K39" t="n">
        <v>10.4721633085896</v>
      </c>
      <c r="L39" t="n">
        <v>6.28329798515376</v>
      </c>
      <c r="M39" t="n">
        <v>120.42987804878</v>
      </c>
      <c r="N39" t="n">
        <v>10.5640243902439</v>
      </c>
      <c r="O39" t="n">
        <v>4.22560975609756</v>
      </c>
      <c r="P39" t="n">
        <v>9.50762195121951</v>
      </c>
      <c r="Q39" t="n">
        <v>63.3841463414634</v>
      </c>
      <c r="R39" t="n">
        <v>34.8612804878049</v>
      </c>
      <c r="S39" t="n">
        <v>43.3125</v>
      </c>
      <c r="T39" t="n">
        <v>26.8125</v>
      </c>
      <c r="U39" t="n">
        <v>-56.71875</v>
      </c>
      <c r="V39" t="n">
        <v>-33</v>
      </c>
      <c r="W39" t="n">
        <v>23</v>
      </c>
      <c r="X39" t="n">
        <v>19</v>
      </c>
      <c r="Y39" t="n">
        <v>10</v>
      </c>
      <c r="Z39" t="n">
        <v>9</v>
      </c>
      <c r="AA39" t="n">
        <v>9</v>
      </c>
      <c r="AB39" t="n">
        <v>57</v>
      </c>
      <c r="AC39" t="n">
        <v>34</v>
      </c>
      <c r="AD39" t="n">
        <v>53</v>
      </c>
      <c r="AE39" t="n">
        <v>42</v>
      </c>
      <c r="AF39" t="n">
        <v>37</v>
      </c>
    </row>
    <row r="40">
      <c r="A40" t="s">
        <v>57</v>
      </c>
      <c r="B40" t="s">
        <v>350</v>
      </c>
      <c r="C40" t="s">
        <v>236</v>
      </c>
      <c r="D40" t="s">
        <v>351</v>
      </c>
      <c r="E40" t="s">
        <v>237</v>
      </c>
      <c r="F40" t="n">
        <v>26.3460612837224</v>
      </c>
      <c r="G40" t="n">
        <v>32.0734659106186</v>
      </c>
      <c r="H40" t="n">
        <v>37.8008705375147</v>
      </c>
      <c r="I40" t="n">
        <v>21.7641375822055</v>
      </c>
      <c r="J40" t="n">
        <v>25.2005803583432</v>
      </c>
      <c r="K40" t="n">
        <v>61.8559699704787</v>
      </c>
      <c r="L40" t="n">
        <v>45.8192370151694</v>
      </c>
      <c r="M40" t="n">
        <v>73.310779224271</v>
      </c>
      <c r="N40" t="n">
        <v>116.839054388682</v>
      </c>
      <c r="O40" t="n">
        <v>89.3475121795803</v>
      </c>
      <c r="P40" t="n">
        <v>129.439344567854</v>
      </c>
      <c r="Q40" t="n">
        <v>128.303911720767</v>
      </c>
      <c r="R40" t="n">
        <v>95.6651973356597</v>
      </c>
      <c r="S40" t="n">
        <v>172.419832407294</v>
      </c>
      <c r="T40" t="n">
        <v>163.744620713845</v>
      </c>
      <c r="U40" t="n">
        <v>86.1813793230763</v>
      </c>
      <c r="V40" t="n">
        <v>81.8723103569225</v>
      </c>
      <c r="W40" t="n">
        <v>87.1205353798021</v>
      </c>
      <c r="X40" t="n">
        <v>98.5291769176333</v>
      </c>
      <c r="Y40" t="n">
        <v>105.713596067877</v>
      </c>
      <c r="Z40" t="n">
        <v>120.082434368366</v>
      </c>
      <c r="AA40" t="n">
        <v>133.200683501044</v>
      </c>
      <c r="AB40" t="n">
        <v>162.464470027789</v>
      </c>
      <c r="AC40" t="n">
        <v>290.619673093187</v>
      </c>
      <c r="AD40" t="n">
        <v>255.301310043668</v>
      </c>
      <c r="AE40" t="n">
        <v>232</v>
      </c>
      <c r="AF40" t="n">
        <v>255</v>
      </c>
    </row>
    <row r="41">
      <c r="A41" t="s">
        <v>57</v>
      </c>
      <c r="B41" t="s">
        <v>352</v>
      </c>
      <c r="C41" t="s">
        <v>236</v>
      </c>
      <c r="D41" t="s">
        <v>353</v>
      </c>
      <c r="E41" t="s">
        <v>237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/>
      <c r="AD41"/>
      <c r="AE41"/>
      <c r="AF41"/>
    </row>
    <row r="42">
      <c r="A42" t="s">
        <v>57</v>
      </c>
      <c r="B42" t="s">
        <v>354</v>
      </c>
      <c r="C42" t="s">
        <v>236</v>
      </c>
      <c r="D42" t="s">
        <v>355</v>
      </c>
      <c r="E42" t="s">
        <v>237</v>
      </c>
      <c r="F42" t="n">
        <v>113.088327601017</v>
      </c>
      <c r="G42" t="n">
        <v>131.936382201186</v>
      </c>
      <c r="H42" t="n">
        <v>155.083115920693</v>
      </c>
      <c r="I42" t="n">
        <v>167.626603237807</v>
      </c>
      <c r="J42" t="n">
        <v>169.907237295465</v>
      </c>
      <c r="K42" t="n">
        <v>177.889456497265</v>
      </c>
      <c r="L42" t="n">
        <v>176.749139468436</v>
      </c>
      <c r="M42" t="n">
        <v>202.976431131495</v>
      </c>
      <c r="N42" t="n">
        <v>182.450724612579</v>
      </c>
      <c r="O42" t="n">
        <v>191.573260843208</v>
      </c>
      <c r="P42" t="n">
        <v>174.468505410779</v>
      </c>
      <c r="Q42" t="n">
        <v>141.614046599658</v>
      </c>
      <c r="R42" t="n">
        <v>237.911598287426</v>
      </c>
      <c r="S42" t="n">
        <v>172.01120251767</v>
      </c>
      <c r="T42" t="n">
        <v>112.510472087029</v>
      </c>
      <c r="U42" t="n">
        <v>167.683876668168</v>
      </c>
      <c r="V42" t="n">
        <v>197.975157614676</v>
      </c>
      <c r="W42" t="n">
        <v>221.391574106735</v>
      </c>
      <c r="X42" t="n">
        <v>184.667853283343</v>
      </c>
      <c r="Y42" t="n">
        <v>204.269468994982</v>
      </c>
      <c r="Z42" t="n">
        <v>186.731181252989</v>
      </c>
      <c r="AA42" t="n">
        <v>185.710792284393</v>
      </c>
      <c r="AB42" t="n">
        <v>196.935070938945</v>
      </c>
      <c r="AC42" t="n">
        <v>226.526351028216</v>
      </c>
      <c r="AD42" t="n">
        <v>260.19918699187</v>
      </c>
      <c r="AE42" t="n">
        <v>253</v>
      </c>
      <c r="AF42" t="n">
        <v>327</v>
      </c>
    </row>
    <row r="43">
      <c r="A43" t="s">
        <v>57</v>
      </c>
      <c r="B43" t="s">
        <v>356</v>
      </c>
      <c r="C43" t="s">
        <v>236</v>
      </c>
      <c r="D43" t="s">
        <v>357</v>
      </c>
      <c r="E43" t="s">
        <v>237</v>
      </c>
      <c r="F43" t="n">
        <v>170.238812275316</v>
      </c>
      <c r="G43" t="n">
        <v>248.663433660574</v>
      </c>
      <c r="H43" t="n">
        <v>230.901759827676</v>
      </c>
      <c r="I43" t="n">
        <v>261.138895043205</v>
      </c>
      <c r="J43" t="n">
        <v>271.182698698713</v>
      </c>
      <c r="K43" t="n">
        <v>327.793228393394</v>
      </c>
      <c r="L43" t="n">
        <v>307.059319368511</v>
      </c>
      <c r="M43" t="n">
        <v>422.747161524957</v>
      </c>
      <c r="N43" t="n">
        <v>419.291462656905</v>
      </c>
      <c r="O43" t="n">
        <v>405.4686671847</v>
      </c>
      <c r="P43" t="n">
        <v>411.228165298119</v>
      </c>
      <c r="Q43" t="n">
        <v>362.109245554177</v>
      </c>
      <c r="R43" t="n">
        <v>478.257494128158</v>
      </c>
      <c r="S43" t="n">
        <v>505.201578304392</v>
      </c>
      <c r="T43" t="n">
        <v>314.930854007933</v>
      </c>
      <c r="U43" t="n">
        <v>340.994097098244</v>
      </c>
      <c r="V43" t="n">
        <v>435.473353300624</v>
      </c>
      <c r="W43" t="n">
        <v>470.695462758763</v>
      </c>
      <c r="X43" t="n">
        <v>420.26380603461</v>
      </c>
      <c r="Y43" t="n">
        <v>496.015059961836</v>
      </c>
      <c r="Z43" t="n">
        <v>380.036590826709</v>
      </c>
      <c r="AA43" t="n">
        <v>445.24394153156</v>
      </c>
      <c r="AB43" t="n">
        <v>448.307546633841</v>
      </c>
      <c r="AC43" t="n">
        <v>547.138983050847</v>
      </c>
      <c r="AD43" t="n">
        <v>598.909090909091</v>
      </c>
      <c r="AE43" t="n">
        <v>549</v>
      </c>
      <c r="AF43" t="n">
        <v>652</v>
      </c>
    </row>
    <row r="44">
      <c r="A44" t="s">
        <v>57</v>
      </c>
      <c r="B44" t="s">
        <v>358</v>
      </c>
      <c r="C44" t="s">
        <v>236</v>
      </c>
      <c r="D44" t="s">
        <v>359</v>
      </c>
      <c r="E44" t="s">
        <v>237</v>
      </c>
      <c r="F44" t="n">
        <v>4282.47795922632</v>
      </c>
      <c r="G44" t="n">
        <v>5166.68947371721</v>
      </c>
      <c r="H44" t="n">
        <v>5675.30237745991</v>
      </c>
      <c r="I44" t="n">
        <v>5763.62934951002</v>
      </c>
      <c r="J44" t="n">
        <v>5287.15049942805</v>
      </c>
      <c r="K44" t="n">
        <v>5751.78604197618</v>
      </c>
      <c r="L44" t="n">
        <v>6645.30174765563</v>
      </c>
      <c r="M44" t="n">
        <v>6175.53949804394</v>
      </c>
      <c r="N44" t="n">
        <v>5837.47989560668</v>
      </c>
      <c r="O44" t="n">
        <v>5391.47019571763</v>
      </c>
      <c r="P44" t="n">
        <v>5503.17356763684</v>
      </c>
      <c r="Q44" t="n">
        <v>5121.77715353752</v>
      </c>
      <c r="R44" t="n">
        <v>6313.29762359037</v>
      </c>
      <c r="S44" t="n">
        <v>6449.4147658494</v>
      </c>
      <c r="T44" t="n">
        <v>5495.85718175269</v>
      </c>
      <c r="U44" t="n">
        <v>4467.11981561099</v>
      </c>
      <c r="V44" t="n">
        <v>5235.09650432803</v>
      </c>
      <c r="W44" t="n">
        <v>5800.76000572717</v>
      </c>
      <c r="X44" t="n">
        <v>5261.03063833799</v>
      </c>
      <c r="Y44" t="n">
        <v>5566.23145552503</v>
      </c>
      <c r="Z44" t="n">
        <v>5722.59806315572</v>
      </c>
      <c r="AA44" t="n">
        <v>6560.40288750982</v>
      </c>
      <c r="AB44" t="n">
        <v>7531.3590242111</v>
      </c>
      <c r="AC44" t="n">
        <v>6927.00337499307</v>
      </c>
      <c r="AD44" t="n">
        <v>6725.77880512091</v>
      </c>
      <c r="AE44" t="n">
        <v>7075</v>
      </c>
      <c r="AF44" t="n">
        <v>8155</v>
      </c>
    </row>
    <row r="45">
      <c r="A45" t="s">
        <v>57</v>
      </c>
      <c r="B45" t="s">
        <v>360</v>
      </c>
      <c r="C45" t="s">
        <v>236</v>
      </c>
      <c r="D45" t="s">
        <v>361</v>
      </c>
      <c r="E45" t="s">
        <v>237</v>
      </c>
      <c r="F45" t="n">
        <v>4100.68552766179</v>
      </c>
      <c r="G45" t="n">
        <v>5046.80219477484</v>
      </c>
      <c r="H45" t="n">
        <v>5451.24111205522</v>
      </c>
      <c r="I45" t="n">
        <v>5508.06265391962</v>
      </c>
      <c r="J45" t="n">
        <v>4965.6564840783</v>
      </c>
      <c r="K45" t="n">
        <v>5442.22539670506</v>
      </c>
      <c r="L45" t="n">
        <v>6321.07930103073</v>
      </c>
      <c r="M45" t="n">
        <v>5803.07544592361</v>
      </c>
      <c r="N45" t="n">
        <v>5433.63616577799</v>
      </c>
      <c r="O45" t="n">
        <v>4977.83445650743</v>
      </c>
      <c r="P45" t="n">
        <v>5101.8035138534</v>
      </c>
      <c r="Q45" t="n">
        <v>4671.44569491269</v>
      </c>
      <c r="R45" t="n">
        <v>5795.31434778219</v>
      </c>
      <c r="S45" t="n">
        <v>6011.66047514181</v>
      </c>
      <c r="T45" t="n">
        <v>5067.93053463072</v>
      </c>
      <c r="U45" t="n">
        <v>4076.74044538113</v>
      </c>
      <c r="V45" t="n">
        <v>4798.96277604686</v>
      </c>
      <c r="W45" t="n">
        <v>5405.72818451256</v>
      </c>
      <c r="X45" t="n">
        <v>4859.52329226969</v>
      </c>
      <c r="Y45" t="n">
        <v>5198.9752869503</v>
      </c>
      <c r="Z45" t="n">
        <v>5404.46009361338</v>
      </c>
      <c r="AA45" t="n">
        <v>6324.39006390322</v>
      </c>
      <c r="AB45" t="n">
        <v>7257.90218477262</v>
      </c>
      <c r="AC45" t="n">
        <v>6501.57179613068</v>
      </c>
      <c r="AD45" t="n">
        <v>6300.55505415162</v>
      </c>
      <c r="AE45" t="n">
        <v>6690</v>
      </c>
      <c r="AF45" t="n">
        <v>7764</v>
      </c>
    </row>
    <row r="46">
      <c r="A46" t="s">
        <v>57</v>
      </c>
      <c r="B46" t="s">
        <v>362</v>
      </c>
      <c r="C46" t="s">
        <v>236</v>
      </c>
      <c r="D46" t="s">
        <v>363</v>
      </c>
      <c r="E46" t="s">
        <v>237</v>
      </c>
      <c r="F46" t="n">
        <v>64.2896203506061</v>
      </c>
      <c r="G46" t="n">
        <v>116.03492453524</v>
      </c>
      <c r="H46" t="n">
        <v>86.2628057400142</v>
      </c>
      <c r="I46" t="n">
        <v>102.622993035534</v>
      </c>
      <c r="J46" t="n">
        <v>109.267647260857</v>
      </c>
      <c r="K46" t="n">
        <v>149.873867526715</v>
      </c>
      <c r="L46" t="n">
        <v>132.842746216861</v>
      </c>
      <c r="M46" t="n">
        <v>219.344999567376</v>
      </c>
      <c r="N46" t="n">
        <v>236.753332866374</v>
      </c>
      <c r="O46" t="n">
        <v>213.542221801043</v>
      </c>
      <c r="P46" t="n">
        <v>236.753332866374</v>
      </c>
      <c r="Q46" t="n">
        <v>220.663300535649</v>
      </c>
      <c r="R46" t="n">
        <v>240.099964313401</v>
      </c>
      <c r="S46" t="n">
        <v>333.660044304069</v>
      </c>
      <c r="T46" t="n">
        <v>202.618640765507</v>
      </c>
      <c r="U46" t="n">
        <v>173.206257428579</v>
      </c>
      <c r="V46" t="n">
        <v>237.477761757422</v>
      </c>
      <c r="W46" t="n">
        <v>249.244677880538</v>
      </c>
      <c r="X46" t="n">
        <v>235.573028882871</v>
      </c>
      <c r="Y46" t="n">
        <v>291.860389766389</v>
      </c>
      <c r="Z46" t="n">
        <v>193.188727745724</v>
      </c>
      <c r="AA46" t="n">
        <v>259.279608290313</v>
      </c>
      <c r="AB46" t="n">
        <v>251.113321415028</v>
      </c>
      <c r="AC46" t="n">
        <v>320.245733788396</v>
      </c>
      <c r="AD46" t="n">
        <v>338.430034129693</v>
      </c>
      <c r="AE46" t="n">
        <v>296</v>
      </c>
      <c r="AF46" t="n">
        <v>325</v>
      </c>
    </row>
    <row r="47">
      <c r="A47" t="s">
        <v>57</v>
      </c>
      <c r="B47" t="s">
        <v>364</v>
      </c>
      <c r="C47" t="s">
        <v>236</v>
      </c>
      <c r="D47" t="s">
        <v>365</v>
      </c>
      <c r="E47" t="s">
        <v>237</v>
      </c>
      <c r="F47" t="n">
        <v>663.300404135084</v>
      </c>
      <c r="G47" t="n">
        <v>761.301544926214</v>
      </c>
      <c r="H47" t="n">
        <v>809.748006876064</v>
      </c>
      <c r="I47" t="n">
        <v>967.230033040926</v>
      </c>
      <c r="J47" t="n">
        <v>830.783475478839</v>
      </c>
      <c r="K47" t="n">
        <v>770.660987121817</v>
      </c>
      <c r="L47" t="n">
        <v>584.158884536009</v>
      </c>
      <c r="M47" t="n">
        <v>681.332542193051</v>
      </c>
      <c r="N47" t="n">
        <v>780.693537929537</v>
      </c>
      <c r="O47" t="n">
        <v>829.948650732663</v>
      </c>
      <c r="P47" t="n">
        <v>933.994691495067</v>
      </c>
      <c r="Q47" t="n">
        <v>653.312348973233</v>
      </c>
      <c r="R47" t="n">
        <v>687.313735165149</v>
      </c>
      <c r="S47" t="n">
        <v>863.786180680525</v>
      </c>
      <c r="T47" t="n">
        <v>723.276961956493</v>
      </c>
      <c r="U47" t="n">
        <v>707.229612562846</v>
      </c>
      <c r="V47" t="n">
        <v>676.381148040719</v>
      </c>
      <c r="W47" t="n">
        <v>900.730888441746</v>
      </c>
      <c r="X47" t="n">
        <v>876.682248216359</v>
      </c>
      <c r="Y47" t="n">
        <v>783.831665277188</v>
      </c>
      <c r="Z47" t="n">
        <v>578.062594825531</v>
      </c>
      <c r="AA47" t="n">
        <v>635.767617426329</v>
      </c>
      <c r="AB47" t="n">
        <v>807.596703217228</v>
      </c>
      <c r="AC47" t="n">
        <v>932.930859911767</v>
      </c>
      <c r="AD47" t="n">
        <v>1011.77008750994</v>
      </c>
      <c r="AE47" t="n">
        <v>1253</v>
      </c>
      <c r="AF47" t="n">
        <v>916</v>
      </c>
    </row>
    <row r="48">
      <c r="A48" t="s">
        <v>57</v>
      </c>
      <c r="B48" t="s">
        <v>366</v>
      </c>
      <c r="C48" t="s">
        <v>236</v>
      </c>
      <c r="D48" t="s">
        <v>367</v>
      </c>
      <c r="E48" t="s">
        <v>237</v>
      </c>
      <c r="F48" t="n">
        <v>885.498362589452</v>
      </c>
      <c r="G48" t="n">
        <v>1014.38491671298</v>
      </c>
      <c r="H48" t="n">
        <v>1101.23294040416</v>
      </c>
      <c r="I48" t="n">
        <v>1253.08835098084</v>
      </c>
      <c r="J48" t="n">
        <v>1120.7746741692</v>
      </c>
      <c r="K48" t="n">
        <v>1113.02993308412</v>
      </c>
      <c r="L48" t="n">
        <v>958.533109527964</v>
      </c>
      <c r="M48" t="n">
        <v>1108.0598111307</v>
      </c>
      <c r="N48" t="n">
        <v>1170.58356222898</v>
      </c>
      <c r="O48" t="n">
        <v>1183.65606901529</v>
      </c>
      <c r="P48" t="n">
        <v>1290.51390857918</v>
      </c>
      <c r="Q48" t="n">
        <v>1052.78766226196</v>
      </c>
      <c r="R48" t="n">
        <v>1103.19954363976</v>
      </c>
      <c r="S48" t="n">
        <v>1233.45410988059</v>
      </c>
      <c r="T48" t="n">
        <v>1114.01556711387</v>
      </c>
      <c r="U48" t="n">
        <v>1079.65289787952</v>
      </c>
      <c r="V48" t="n">
        <v>1112.80498276834</v>
      </c>
      <c r="W48" t="n">
        <v>1362.72827028263</v>
      </c>
      <c r="X48" t="n">
        <v>1316.98485449641</v>
      </c>
      <c r="Y48" t="n">
        <v>1206.79887065408</v>
      </c>
      <c r="Z48" t="n">
        <v>1043.13001094305</v>
      </c>
      <c r="AA48" t="n">
        <v>1104.31359812337</v>
      </c>
      <c r="AB48" t="n">
        <v>1287.19355704825</v>
      </c>
      <c r="AC48" t="n">
        <v>1415.81242925916</v>
      </c>
      <c r="AD48" t="n">
        <v>1546.25581395349</v>
      </c>
      <c r="AE48" t="n">
        <v>1797</v>
      </c>
      <c r="AF48" t="n">
        <v>1465</v>
      </c>
    </row>
    <row r="49">
      <c r="A49" t="s">
        <v>57</v>
      </c>
      <c r="B49" t="s">
        <v>368</v>
      </c>
      <c r="C49" t="s">
        <v>236</v>
      </c>
      <c r="D49" t="s">
        <v>369</v>
      </c>
      <c r="E49" t="s">
        <v>237</v>
      </c>
      <c r="F49" t="n">
        <v>150.913507619288</v>
      </c>
      <c r="G49" t="n">
        <v>148.555484062736</v>
      </c>
      <c r="H49" t="n">
        <v>168.285509289818</v>
      </c>
      <c r="I49" t="n">
        <v>163.737252281986</v>
      </c>
      <c r="J49" t="n">
        <v>168.285509289818</v>
      </c>
      <c r="K49" t="n">
        <v>186.47853732115</v>
      </c>
      <c r="L49" t="n">
        <v>208.945830974301</v>
      </c>
      <c r="M49" t="n">
        <v>233.659853992767</v>
      </c>
      <c r="N49" t="n">
        <v>215.599188949847</v>
      </c>
      <c r="O49" t="n">
        <v>197.538523906928</v>
      </c>
      <c r="P49" t="n">
        <v>165.93236008182</v>
      </c>
      <c r="Q49" t="n">
        <v>154.795960076328</v>
      </c>
      <c r="R49" t="n">
        <v>151.455040074681</v>
      </c>
      <c r="S49" t="n">
        <v>135.110971001874</v>
      </c>
      <c r="T49" t="n">
        <v>163.835350663689</v>
      </c>
      <c r="U49" t="n">
        <v>134.429005672771</v>
      </c>
      <c r="V49" t="n">
        <v>176.438069945512</v>
      </c>
      <c r="W49" t="n">
        <v>165.088252580596</v>
      </c>
      <c r="X49" t="n">
        <v>151.758145229368</v>
      </c>
      <c r="Y49" t="n">
        <v>149.7481035707</v>
      </c>
      <c r="Z49" t="n">
        <v>149.7481035707</v>
      </c>
      <c r="AA49" t="n">
        <v>161.493052870363</v>
      </c>
      <c r="AB49" t="n">
        <v>176.263758925579</v>
      </c>
      <c r="AC49" t="n">
        <v>154.600056711262</v>
      </c>
      <c r="AD49" t="n">
        <v>197.927461139896</v>
      </c>
      <c r="AE49" t="n">
        <v>191</v>
      </c>
      <c r="AF49" t="n">
        <v>199</v>
      </c>
    </row>
    <row r="50">
      <c r="A50" t="s">
        <v>57</v>
      </c>
      <c r="B50" t="s">
        <v>370</v>
      </c>
      <c r="C50" t="s">
        <v>236</v>
      </c>
      <c r="D50" t="s">
        <v>371</v>
      </c>
      <c r="E50" t="s">
        <v>237</v>
      </c>
      <c r="F50" t="n">
        <v>68.9245728033408</v>
      </c>
      <c r="G50" t="n">
        <v>101.634539557469</v>
      </c>
      <c r="H50" t="n">
        <v>120.113546749736</v>
      </c>
      <c r="I50" t="n">
        <v>117.847253414835</v>
      </c>
      <c r="J50" t="n">
        <v>118.980400082285</v>
      </c>
      <c r="K50" t="n">
        <v>155.241093440696</v>
      </c>
      <c r="L50" t="n">
        <v>168.740318957278</v>
      </c>
      <c r="M50" t="n">
        <v>196.863705450158</v>
      </c>
      <c r="N50" t="n">
        <v>181.024096965663</v>
      </c>
      <c r="O50" t="n">
        <v>166.315889087203</v>
      </c>
      <c r="P50" t="n">
        <v>203.65210908637</v>
      </c>
      <c r="Q50" t="n">
        <v>247.532950270727</v>
      </c>
      <c r="R50" t="n">
        <v>267.694005043908</v>
      </c>
      <c r="S50" t="n">
        <v>243.458333805365</v>
      </c>
      <c r="T50" t="n">
        <v>230.644737289293</v>
      </c>
      <c r="U50" t="n">
        <v>242.282774491964</v>
      </c>
      <c r="V50" t="n">
        <v>260.190631737022</v>
      </c>
      <c r="W50" t="n">
        <v>302.35591197899</v>
      </c>
      <c r="X50" t="n">
        <v>294.184130574152</v>
      </c>
      <c r="Y50" t="n">
        <v>277.056972287301</v>
      </c>
      <c r="Z50" t="n">
        <v>313.194838237818</v>
      </c>
      <c r="AA50" t="n">
        <v>305.265854991291</v>
      </c>
      <c r="AB50" t="n">
        <v>302.273052491377</v>
      </c>
      <c r="AC50" t="n">
        <v>328.210674157303</v>
      </c>
      <c r="AD50" t="n">
        <v>336.143258426966</v>
      </c>
      <c r="AE50" t="n">
        <v>353</v>
      </c>
      <c r="AF50" t="n">
        <v>350</v>
      </c>
    </row>
    <row r="51">
      <c r="A51" t="s">
        <v>57</v>
      </c>
      <c r="B51" t="s">
        <v>372</v>
      </c>
      <c r="C51" t="s">
        <v>236</v>
      </c>
      <c r="D51" t="s">
        <v>373</v>
      </c>
      <c r="E51" t="s">
        <v>237</v>
      </c>
      <c r="F51" t="n">
        <v>55.9500715079965</v>
      </c>
      <c r="G51" t="n">
        <v>84.5203207886756</v>
      </c>
      <c r="H51" t="n">
        <v>104.476507641557</v>
      </c>
      <c r="I51" t="n">
        <v>104.476507641557</v>
      </c>
      <c r="J51" t="n">
        <v>105.624601132124</v>
      </c>
      <c r="K51" t="n">
        <v>136.623125377421</v>
      </c>
      <c r="L51" t="n">
        <v>142.31575560148</v>
      </c>
      <c r="M51" t="n">
        <v>171.917432766588</v>
      </c>
      <c r="N51" t="n">
        <v>158.164038145261</v>
      </c>
      <c r="O51" t="n">
        <v>142.118411087046</v>
      </c>
      <c r="P51" t="n">
        <v>178.794130077252</v>
      </c>
      <c r="Q51" t="n">
        <v>212.958613531504</v>
      </c>
      <c r="R51" t="n">
        <v>229.949992270719</v>
      </c>
      <c r="S51" t="n">
        <v>206.621732185284</v>
      </c>
      <c r="T51" t="n">
        <v>190.479409358309</v>
      </c>
      <c r="U51" t="n">
        <v>204.313109479303</v>
      </c>
      <c r="V51" t="n">
        <v>220.192366692721</v>
      </c>
      <c r="W51" t="n">
        <v>256.374210984952</v>
      </c>
      <c r="X51" t="n">
        <v>247.144739389493</v>
      </c>
      <c r="Y51" t="n">
        <v>223.943396508031</v>
      </c>
      <c r="Z51" t="n">
        <v>259.091463224538</v>
      </c>
      <c r="AA51" t="n">
        <v>242.280185076381</v>
      </c>
      <c r="AB51" t="n">
        <v>263.217978848414</v>
      </c>
      <c r="AC51" t="n">
        <v>275.182432432432</v>
      </c>
      <c r="AD51" t="n">
        <v>266.273648648649</v>
      </c>
      <c r="AE51" t="n">
        <v>293</v>
      </c>
      <c r="AF51" t="n">
        <v>299</v>
      </c>
    </row>
    <row r="52">
      <c r="A52" t="s">
        <v>57</v>
      </c>
      <c r="B52" t="s">
        <v>374</v>
      </c>
      <c r="C52" t="s">
        <v>236</v>
      </c>
      <c r="D52" t="s">
        <v>375</v>
      </c>
      <c r="E52" t="s">
        <v>237</v>
      </c>
      <c r="F52" t="n">
        <v>12.6593406593407</v>
      </c>
      <c r="G52" t="n">
        <v>16.8791208791209</v>
      </c>
      <c r="H52" t="n">
        <v>15.8241758241758</v>
      </c>
      <c r="I52" t="n">
        <v>13.7142857142857</v>
      </c>
      <c r="J52" t="n">
        <v>13.7142857142857</v>
      </c>
      <c r="K52" t="n">
        <v>18.989010989011</v>
      </c>
      <c r="L52" t="n">
        <v>26.3736263736264</v>
      </c>
      <c r="M52" t="n">
        <v>25.3186813186813</v>
      </c>
      <c r="N52" t="n">
        <v>23.2087912087912</v>
      </c>
      <c r="O52" t="n">
        <v>24.2637362637363</v>
      </c>
      <c r="P52" t="n">
        <v>25.3186813186813</v>
      </c>
      <c r="Q52" t="n">
        <v>34.8131868131868</v>
      </c>
      <c r="R52" t="n">
        <v>37.978021978022</v>
      </c>
      <c r="S52" t="n">
        <v>36.9230769230769</v>
      </c>
      <c r="T52" t="n">
        <v>40</v>
      </c>
      <c r="U52" t="n">
        <v>37.948717948718</v>
      </c>
      <c r="V52" t="n">
        <v>40</v>
      </c>
      <c r="W52" t="n">
        <v>46</v>
      </c>
      <c r="X52" t="n">
        <v>47</v>
      </c>
      <c r="Y52" t="n">
        <v>53</v>
      </c>
      <c r="Z52" t="n">
        <v>54</v>
      </c>
      <c r="AA52" t="n">
        <v>63</v>
      </c>
      <c r="AB52" t="n">
        <v>39</v>
      </c>
      <c r="AC52" t="n">
        <v>53</v>
      </c>
      <c r="AD52" t="n">
        <v>70</v>
      </c>
      <c r="AE52" t="n">
        <v>60</v>
      </c>
      <c r="AF52" t="n">
        <v>51</v>
      </c>
    </row>
    <row r="53">
      <c r="A53" t="s">
        <v>57</v>
      </c>
      <c r="B53" t="s">
        <v>376</v>
      </c>
      <c r="C53" t="s">
        <v>236</v>
      </c>
      <c r="D53" t="s">
        <v>377</v>
      </c>
      <c r="E53" t="s">
        <v>237</v>
      </c>
      <c r="F53" t="n">
        <v>22.9533057462616</v>
      </c>
      <c r="G53" t="n">
        <v>47.9932756512743</v>
      </c>
      <c r="H53" t="n">
        <v>73.033245556287</v>
      </c>
      <c r="I53" t="n">
        <v>58.6323238973009</v>
      </c>
      <c r="J53" t="n">
        <v>-12.3436471362739</v>
      </c>
      <c r="K53" t="n">
        <v>58.6323238973009</v>
      </c>
      <c r="L53" t="n">
        <v>59.660961158657</v>
      </c>
      <c r="M53" t="n">
        <v>51.4318630678078</v>
      </c>
      <c r="N53" t="n">
        <v>54.5177748518762</v>
      </c>
      <c r="O53" t="n">
        <v>55.5464121132324</v>
      </c>
      <c r="P53" t="n">
        <v>55.5464121132324</v>
      </c>
      <c r="Q53" t="n">
        <v>60.6895984200132</v>
      </c>
      <c r="R53" t="n">
        <v>64.8041474654378</v>
      </c>
      <c r="S53" t="n">
        <v>58.6323238973009</v>
      </c>
      <c r="T53" t="n">
        <v>60.6895984200132</v>
      </c>
      <c r="U53" t="n">
        <v>52.4605003291639</v>
      </c>
      <c r="V53" t="n">
        <v>67.8900592495063</v>
      </c>
      <c r="W53" t="n">
        <v>82.2909809084925</v>
      </c>
      <c r="X53" t="n">
        <v>81.2623436471363</v>
      </c>
      <c r="Y53" t="n">
        <v>86.4055299539171</v>
      </c>
      <c r="Z53" t="n">
        <v>86.4055299539171</v>
      </c>
      <c r="AA53" t="n">
        <v>120.967741935484</v>
      </c>
      <c r="AB53" t="n">
        <v>113.911290322581</v>
      </c>
      <c r="AC53" t="n">
        <v>135.08064516129</v>
      </c>
      <c r="AD53" t="n">
        <v>133.064516129032</v>
      </c>
      <c r="AE53" t="n">
        <v>125</v>
      </c>
      <c r="AF53" t="n">
        <v>111</v>
      </c>
    </row>
    <row r="54">
      <c r="A54" t="s">
        <v>57</v>
      </c>
      <c r="B54" t="s">
        <v>378</v>
      </c>
      <c r="C54" t="s">
        <v>236</v>
      </c>
      <c r="D54" t="s">
        <v>379</v>
      </c>
      <c r="E54" t="s">
        <v>237</v>
      </c>
      <c r="F54" t="n">
        <v>62.3805838459129</v>
      </c>
      <c r="G54" t="n">
        <v>94.0995247845127</v>
      </c>
      <c r="H54" t="n">
        <v>132.162253910832</v>
      </c>
      <c r="I54" t="n">
        <v>116.428652254781</v>
      </c>
      <c r="J54" t="n">
        <v>41.956271082804</v>
      </c>
      <c r="K54" t="n">
        <v>116.428652254781</v>
      </c>
      <c r="L54" t="n">
        <v>118.526465808921</v>
      </c>
      <c r="M54" t="n">
        <v>109.08630481529</v>
      </c>
      <c r="N54" t="n">
        <v>125.868813248412</v>
      </c>
      <c r="O54" t="n">
        <v>113.281931923571</v>
      </c>
      <c r="P54" t="n">
        <v>115.379745477711</v>
      </c>
      <c r="Q54" t="n">
        <v>123.770999694272</v>
      </c>
      <c r="R54" t="n">
        <v>144.749135235674</v>
      </c>
      <c r="S54" t="n">
        <v>145.790495920822</v>
      </c>
      <c r="T54" t="n">
        <v>146.817189554068</v>
      </c>
      <c r="U54" t="n">
        <v>123.203235989427</v>
      </c>
      <c r="V54" t="n">
        <v>156.057432253275</v>
      </c>
      <c r="W54" t="n">
        <v>147.897566514541</v>
      </c>
      <c r="X54" t="n">
        <v>142.797650427833</v>
      </c>
      <c r="Y54" t="n">
        <v>150.957516166566</v>
      </c>
      <c r="Z54" t="n">
        <v>176.457096600108</v>
      </c>
      <c r="AA54" t="n">
        <v>206.880733944954</v>
      </c>
      <c r="AB54" t="n">
        <v>198.807339449541</v>
      </c>
      <c r="AC54" t="n">
        <v>213.94495412844</v>
      </c>
      <c r="AD54" t="n">
        <v>224.036697247706</v>
      </c>
      <c r="AE54" t="n">
        <v>220</v>
      </c>
      <c r="AF54" t="n">
        <v>209</v>
      </c>
    </row>
    <row r="55">
      <c r="A55" t="s">
        <v>57</v>
      </c>
      <c r="B55" t="s">
        <v>380</v>
      </c>
      <c r="C55" t="s">
        <v>236</v>
      </c>
      <c r="D55" t="s">
        <v>381</v>
      </c>
      <c r="E55" t="s">
        <v>237</v>
      </c>
      <c r="F55" t="n">
        <v>39.2564876030594</v>
      </c>
      <c r="G55" t="n">
        <v>45.6224045116637</v>
      </c>
      <c r="H55" t="n">
        <v>58.3542383288721</v>
      </c>
      <c r="I55" t="n">
        <v>57.2932521774381</v>
      </c>
      <c r="J55" t="n">
        <v>55.17127987457</v>
      </c>
      <c r="K55" t="n">
        <v>57.2932521774381</v>
      </c>
      <c r="L55" t="n">
        <v>58.3542383288721</v>
      </c>
      <c r="M55" t="n">
        <v>57.2932521774381</v>
      </c>
      <c r="N55" t="n">
        <v>71.0860721460806</v>
      </c>
      <c r="O55" t="n">
        <v>57.2932521774381</v>
      </c>
      <c r="P55" t="n">
        <v>59.4152244803062</v>
      </c>
      <c r="Q55" t="n">
        <v>62.5981829346083</v>
      </c>
      <c r="R55" t="n">
        <v>79.5739613575529</v>
      </c>
      <c r="S55" t="n">
        <v>86.9031420089065</v>
      </c>
      <c r="T55" t="n">
        <v>85.8807521029193</v>
      </c>
      <c r="U55" t="n">
        <v>70.5449035131123</v>
      </c>
      <c r="V55" t="n">
        <v>87.9255319148936</v>
      </c>
      <c r="W55" t="n">
        <v>65.6914893617021</v>
      </c>
      <c r="X55" t="n">
        <v>61.6489361702128</v>
      </c>
      <c r="Y55" t="n">
        <v>64.6808510638298</v>
      </c>
      <c r="Z55" t="n">
        <v>89.9468085106383</v>
      </c>
      <c r="AA55" t="n">
        <v>85.9042553191489</v>
      </c>
      <c r="AB55" t="n">
        <v>84.8936170212766</v>
      </c>
      <c r="AC55" t="n">
        <v>78.8297872340426</v>
      </c>
      <c r="AD55" t="n">
        <v>90.9574468085106</v>
      </c>
      <c r="AE55" t="n">
        <v>95</v>
      </c>
      <c r="AF55" t="n">
        <v>98</v>
      </c>
    </row>
    <row r="56">
      <c r="A56" t="s">
        <v>57</v>
      </c>
      <c r="B56" t="s">
        <v>382</v>
      </c>
      <c r="C56" t="s">
        <v>236</v>
      </c>
      <c r="D56" t="s">
        <v>383</v>
      </c>
      <c r="E56" t="s">
        <v>237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57</v>
      </c>
      <c r="B57" t="s">
        <v>384</v>
      </c>
      <c r="C57" t="s">
        <v>236</v>
      </c>
      <c r="D57" t="s">
        <v>385</v>
      </c>
      <c r="E57" t="s">
        <v>237</v>
      </c>
      <c r="F57" t="n">
        <v>5196.40878372848</v>
      </c>
      <c r="G57" t="n">
        <v>6214.45081464921</v>
      </c>
      <c r="H57" t="n">
        <v>6815.46384286851</v>
      </c>
      <c r="I57" t="n">
        <v>7044.55506447753</v>
      </c>
      <c r="J57" t="n">
        <v>6437.40648075664</v>
      </c>
      <c r="K57" t="n">
        <v>6926.0274920071</v>
      </c>
      <c r="L57" t="n">
        <v>7625.61447061152</v>
      </c>
      <c r="M57" t="n">
        <v>7345.87205181241</v>
      </c>
      <c r="N57" t="n">
        <v>7118.71672342653</v>
      </c>
      <c r="O57" t="n">
        <v>6658.17787822992</v>
      </c>
      <c r="P57" t="n">
        <v>6918.6792357278</v>
      </c>
      <c r="Q57" t="n">
        <v>6298.570147888</v>
      </c>
      <c r="R57" t="n">
        <v>7504.38013526972</v>
      </c>
      <c r="S57" t="n">
        <v>7851.28397743281</v>
      </c>
      <c r="T57" t="n">
        <v>6770.93476336998</v>
      </c>
      <c r="U57" t="n">
        <v>5629.50424706793</v>
      </c>
      <c r="V57" t="n">
        <v>6425.02577883716</v>
      </c>
      <c r="W57" t="n">
        <v>7245.72496532948</v>
      </c>
      <c r="X57" t="n">
        <v>6672.57472225455</v>
      </c>
      <c r="Y57" t="n">
        <v>6874.32816267547</v>
      </c>
      <c r="Z57" t="n">
        <v>6879.55817497209</v>
      </c>
      <c r="AA57" t="n">
        <v>7788.77794865496</v>
      </c>
      <c r="AB57" t="n">
        <v>8971.10397274912</v>
      </c>
      <c r="AC57" t="n">
        <v>8629.91190637492</v>
      </c>
      <c r="AD57" t="n">
        <v>8525.52189740761</v>
      </c>
      <c r="AE57" t="n">
        <v>9104</v>
      </c>
      <c r="AF57" t="n">
        <v>9875</v>
      </c>
    </row>
    <row r="58">
      <c r="A58" t="s">
        <v>57</v>
      </c>
      <c r="B58" t="s">
        <v>386</v>
      </c>
      <c r="C58" t="s">
        <v>236</v>
      </c>
      <c r="D58" t="s">
        <v>387</v>
      </c>
      <c r="E58" t="s">
        <v>237</v>
      </c>
      <c r="F58" t="n">
        <v>5196.40878372848</v>
      </c>
      <c r="G58" t="n">
        <v>6214.45081464921</v>
      </c>
      <c r="H58" t="n">
        <v>6815.46384286851</v>
      </c>
      <c r="I58" t="n">
        <v>7044.55506447753</v>
      </c>
      <c r="J58" t="n">
        <v>6437.40648075664</v>
      </c>
      <c r="K58" t="n">
        <v>6926.0274920071</v>
      </c>
      <c r="L58" t="n">
        <v>7625.61447061152</v>
      </c>
      <c r="M58" t="n">
        <v>7345.87205181241</v>
      </c>
      <c r="N58" t="n">
        <v>7118.71672342653</v>
      </c>
      <c r="O58" t="n">
        <v>6658.17787822992</v>
      </c>
      <c r="P58" t="n">
        <v>6918.6792357278</v>
      </c>
      <c r="Q58" t="n">
        <v>6298.570147888</v>
      </c>
      <c r="R58" t="n">
        <v>7504.38013526972</v>
      </c>
      <c r="S58" t="n">
        <v>7851.28397743281</v>
      </c>
      <c r="T58" t="n">
        <v>6770.93476336998</v>
      </c>
      <c r="U58" t="n">
        <v>5629.50424706793</v>
      </c>
      <c r="V58" t="n">
        <v>6425.02577883716</v>
      </c>
      <c r="W58" t="n">
        <v>7245.72496532948</v>
      </c>
      <c r="X58" t="n">
        <v>6672.57472225455</v>
      </c>
      <c r="Y58" t="n">
        <v>6874.32816267547</v>
      </c>
      <c r="Z58" t="n">
        <v>6879.55817497209</v>
      </c>
      <c r="AA58" t="n">
        <v>7788.77794865496</v>
      </c>
      <c r="AB58" t="n">
        <v>8971.10397274912</v>
      </c>
      <c r="AC58" t="n">
        <v>8629.91190637492</v>
      </c>
      <c r="AD58" t="n">
        <v>8525.52189740761</v>
      </c>
      <c r="AE58" t="n">
        <v>9104</v>
      </c>
      <c r="AF58" t="n">
        <v>9875</v>
      </c>
    </row>
    <row r="59">
      <c r="A59" t="s">
        <v>57</v>
      </c>
      <c r="B59" t="s">
        <v>388</v>
      </c>
      <c r="C59" t="s">
        <v>236</v>
      </c>
      <c r="D59" t="s">
        <v>389</v>
      </c>
      <c r="E59" t="s">
        <v>237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59</v>
      </c>
      <c r="B2" t="s">
        <v>197</v>
      </c>
      <c r="C2" t="s">
        <v>236</v>
      </c>
      <c r="D2" t="s">
        <v>199</v>
      </c>
      <c r="E2" t="s">
        <v>237</v>
      </c>
      <c r="F2" t="n">
        <v>711.053967618419</v>
      </c>
      <c r="G2" t="n">
        <v>839.841803590122</v>
      </c>
      <c r="H2" t="n">
        <v>1053.45374059022</v>
      </c>
      <c r="I2" t="n">
        <v>1172.84516452378</v>
      </c>
      <c r="J2" t="n">
        <v>1184.99001090198</v>
      </c>
      <c r="K2" t="n">
        <v>1138.75485151708</v>
      </c>
      <c r="L2" t="n">
        <v>1216.09802784844</v>
      </c>
      <c r="M2" t="n">
        <v>1190.32641401324</v>
      </c>
      <c r="N2" t="n">
        <v>1119.09677487681</v>
      </c>
      <c r="O2" t="n">
        <v>1005.47498827597</v>
      </c>
      <c r="P2" t="n">
        <v>1128.50138412242</v>
      </c>
      <c r="Q2" t="n">
        <v>1143.19541256151</v>
      </c>
      <c r="R2" t="n">
        <v>1238.57858808812</v>
      </c>
      <c r="S2" t="n">
        <v>1184.39077485926</v>
      </c>
      <c r="T2" t="n">
        <v>1131.18819459821</v>
      </c>
      <c r="U2" t="n">
        <v>1083.18347252059</v>
      </c>
      <c r="V2" t="n">
        <v>1083.18347252059</v>
      </c>
      <c r="W2" t="n">
        <v>1365.69943517118</v>
      </c>
      <c r="X2" t="n">
        <v>1558.61477312817</v>
      </c>
      <c r="Y2" t="n">
        <v>1365.5222901071</v>
      </c>
      <c r="Z2" t="n">
        <v>900.267676782704</v>
      </c>
      <c r="AA2" t="n">
        <v>1095.92740472513</v>
      </c>
      <c r="AB2" t="n">
        <v>1107.40308435576</v>
      </c>
      <c r="AC2" t="n">
        <v>922.082568198264</v>
      </c>
      <c r="AD2" t="n">
        <v>900.909604519774</v>
      </c>
      <c r="AE2" t="n">
        <v>905</v>
      </c>
      <c r="AF2" t="n">
        <v>851</v>
      </c>
    </row>
    <row r="3">
      <c r="A3" t="s">
        <v>59</v>
      </c>
      <c r="B3" t="s">
        <v>276</v>
      </c>
      <c r="C3" t="s">
        <v>236</v>
      </c>
      <c r="D3" t="s">
        <v>277</v>
      </c>
      <c r="E3" t="s">
        <v>237</v>
      </c>
      <c r="F3" t="n">
        <v>16.1389656783037</v>
      </c>
      <c r="G3" t="n">
        <v>17.6061443763313</v>
      </c>
      <c r="H3" t="n">
        <v>16.1389656783037</v>
      </c>
      <c r="I3" t="n">
        <v>17.6061443763313</v>
      </c>
      <c r="J3" t="n">
        <v>36.6794674506902</v>
      </c>
      <c r="K3" t="n">
        <v>66.0230414112424</v>
      </c>
      <c r="L3" t="n">
        <v>49.1660946679464</v>
      </c>
      <c r="M3" t="n">
        <v>29.4996568007679</v>
      </c>
      <c r="N3" t="n">
        <v>51.9755857918291</v>
      </c>
      <c r="O3" t="n">
        <v>29.4996568007679</v>
      </c>
      <c r="P3" t="n">
        <v>40.7376212962985</v>
      </c>
      <c r="Q3" t="n">
        <v>48.8851455555582</v>
      </c>
      <c r="R3" t="n">
        <v>290.668433033049</v>
      </c>
      <c r="S3" t="n">
        <v>321.856033143891</v>
      </c>
      <c r="T3" t="n">
        <v>160.338536657762</v>
      </c>
      <c r="U3" t="n">
        <v>153.212379472973</v>
      </c>
      <c r="V3" t="n">
        <v>228.602597943801</v>
      </c>
      <c r="W3" t="n">
        <v>165.939956883064</v>
      </c>
      <c r="X3" t="n">
        <v>90.1130891682862</v>
      </c>
      <c r="Y3" t="n">
        <v>100.97008786326</v>
      </c>
      <c r="Z3" t="n">
        <v>199.768775987526</v>
      </c>
      <c r="AA3" t="n">
        <v>108.665433092116</v>
      </c>
      <c r="AB3" t="n">
        <v>140.496721573645</v>
      </c>
      <c r="AC3" t="n">
        <v>157.526627218935</v>
      </c>
      <c r="AD3" t="n">
        <v>174</v>
      </c>
      <c r="AE3" t="n">
        <v>161</v>
      </c>
      <c r="AF3" t="n">
        <v>109</v>
      </c>
    </row>
    <row r="4">
      <c r="A4" t="s">
        <v>59</v>
      </c>
      <c r="B4" t="s">
        <v>278</v>
      </c>
      <c r="C4" t="s">
        <v>236</v>
      </c>
      <c r="D4" t="s">
        <v>279</v>
      </c>
      <c r="E4" t="s">
        <v>237</v>
      </c>
      <c r="F4" t="n">
        <v>1192.02129901105</v>
      </c>
      <c r="G4" t="n">
        <v>1001.23482125928</v>
      </c>
      <c r="H4" t="n">
        <v>1028.16677056531</v>
      </c>
      <c r="I4" t="n">
        <v>1004.29292914351</v>
      </c>
      <c r="J4" t="n">
        <v>913.552832942184</v>
      </c>
      <c r="K4" t="n">
        <v>890.0152398229</v>
      </c>
      <c r="L4" t="n">
        <v>887.125579953346</v>
      </c>
      <c r="M4" t="n">
        <v>1029.06567274588</v>
      </c>
      <c r="N4" t="n">
        <v>772.826949971607</v>
      </c>
      <c r="O4" t="n">
        <v>667.129480792542</v>
      </c>
      <c r="P4" t="n">
        <v>714.587878816401</v>
      </c>
      <c r="Q4" t="n">
        <v>839.77115685723</v>
      </c>
      <c r="R4" t="n">
        <v>899.034286545353</v>
      </c>
      <c r="S4" t="n">
        <v>780.584446420801</v>
      </c>
      <c r="T4" t="n">
        <v>647.286378869926</v>
      </c>
      <c r="U4" t="n">
        <v>479.471391755501</v>
      </c>
      <c r="V4" t="n">
        <v>551.935581945249</v>
      </c>
      <c r="W4" t="n">
        <v>455.167655240563</v>
      </c>
      <c r="X4" t="n">
        <v>446.064302135751</v>
      </c>
      <c r="Y4" t="n">
        <v>584.614577799128</v>
      </c>
      <c r="Z4" t="n">
        <v>668.933988058618</v>
      </c>
      <c r="AA4" t="n">
        <v>863.430761057174</v>
      </c>
      <c r="AB4" t="n">
        <v>859.002911000471</v>
      </c>
      <c r="AC4" t="n">
        <v>874.225747397948</v>
      </c>
      <c r="AD4" t="n">
        <v>753.715789473684</v>
      </c>
      <c r="AE4" t="n">
        <v>772</v>
      </c>
      <c r="AF4" t="n">
        <v>928</v>
      </c>
    </row>
    <row r="5">
      <c r="A5" t="s">
        <v>59</v>
      </c>
      <c r="B5" t="s">
        <v>280</v>
      </c>
      <c r="C5" t="s">
        <v>236</v>
      </c>
      <c r="D5" t="s">
        <v>281</v>
      </c>
      <c r="E5" t="s">
        <v>237</v>
      </c>
      <c r="F5" t="n">
        <v>117.863850243224</v>
      </c>
      <c r="G5" t="n">
        <v>152.904454369588</v>
      </c>
      <c r="H5" t="n">
        <v>138.569661772439</v>
      </c>
      <c r="I5" t="n">
        <v>100.343548180042</v>
      </c>
      <c r="J5" t="n">
        <v>91.0810668095769</v>
      </c>
      <c r="K5" t="n">
        <v>130.745402355683</v>
      </c>
      <c r="L5" t="n">
        <v>156.89448282682</v>
      </c>
      <c r="M5" t="n">
        <v>184.18047984018</v>
      </c>
      <c r="N5" t="n">
        <v>109.958495426973</v>
      </c>
      <c r="O5" t="n">
        <v>79.7199091845553</v>
      </c>
      <c r="P5" t="n">
        <v>155.316374790599</v>
      </c>
      <c r="Q5" t="n">
        <v>134.076528665389</v>
      </c>
      <c r="R5" t="n">
        <v>154.903950593993</v>
      </c>
      <c r="S5" t="n">
        <v>125.630763080168</v>
      </c>
      <c r="T5" t="n">
        <v>67.556165052543</v>
      </c>
      <c r="U5" t="n">
        <v>66.3709691744282</v>
      </c>
      <c r="V5" t="n">
        <v>110.200854478296</v>
      </c>
      <c r="W5" t="n">
        <v>164.076827778796</v>
      </c>
      <c r="X5" t="n">
        <v>126.839533531126</v>
      </c>
      <c r="Y5" t="n">
        <v>186.800040291295</v>
      </c>
      <c r="Z5" t="n">
        <v>140.959539606314</v>
      </c>
      <c r="AA5" t="n">
        <v>254.414778801641</v>
      </c>
      <c r="AB5" t="n">
        <v>106.944265425468</v>
      </c>
      <c r="AC5" t="n">
        <v>99.2266380236305</v>
      </c>
      <c r="AD5" t="n">
        <v>121.632653061224</v>
      </c>
      <c r="AE5" t="n">
        <v>149</v>
      </c>
      <c r="AF5" t="n">
        <v>170</v>
      </c>
    </row>
    <row r="6">
      <c r="A6" t="s">
        <v>59</v>
      </c>
      <c r="B6" t="s">
        <v>282</v>
      </c>
      <c r="C6" t="s">
        <v>236</v>
      </c>
      <c r="D6" t="s">
        <v>283</v>
      </c>
      <c r="E6" t="s">
        <v>237</v>
      </c>
      <c r="F6" t="e">
        <v>#NUM!</v>
      </c>
      <c r="G6" t="e">
        <v>#NUM!</v>
      </c>
      <c r="H6" t="e">
        <v>#NUM!</v>
      </c>
      <c r="I6" t="e">
        <v>#NUM!</v>
      </c>
      <c r="J6" t="e">
        <v>#NUM!</v>
      </c>
      <c r="K6" t="e">
        <v>#NUM!</v>
      </c>
      <c r="L6" t="e">
        <v>#NUM!</v>
      </c>
      <c r="M6" t="e">
        <v>#NUM!</v>
      </c>
      <c r="N6" t="e">
        <v>#NUM!</v>
      </c>
      <c r="O6" t="n">
        <v>0</v>
      </c>
      <c r="P6" t="e">
        <v>#NUM!</v>
      </c>
      <c r="Q6" t="e">
        <v>#NUM!</v>
      </c>
      <c r="R6" t="e">
        <v>#NUM!</v>
      </c>
      <c r="S6" t="e">
        <v>#NUM!</v>
      </c>
      <c r="T6" t="e">
        <v>#NUM!</v>
      </c>
      <c r="U6" t="e">
        <v>#NUM!</v>
      </c>
      <c r="V6" t="e">
        <v>#NUM!</v>
      </c>
      <c r="W6" t="e">
        <v>#NUM!</v>
      </c>
      <c r="X6" t="e">
        <v>#NUM!</v>
      </c>
      <c r="Y6" t="e">
        <v>#NUM!</v>
      </c>
      <c r="Z6" t="e">
        <v>#NUM!</v>
      </c>
      <c r="AA6" t="n">
        <v>0</v>
      </c>
      <c r="AB6" t="n">
        <v>4</v>
      </c>
      <c r="AC6" t="n">
        <v>7</v>
      </c>
      <c r="AD6" t="n">
        <v>6</v>
      </c>
      <c r="AE6" t="n">
        <v>-2</v>
      </c>
      <c r="AF6" t="n">
        <v>9</v>
      </c>
    </row>
    <row r="7">
      <c r="A7" t="s">
        <v>59</v>
      </c>
      <c r="B7" t="s">
        <v>284</v>
      </c>
      <c r="C7" t="s">
        <v>236</v>
      </c>
      <c r="D7" t="s">
        <v>285</v>
      </c>
      <c r="E7" t="s">
        <v>237</v>
      </c>
      <c r="F7" t="n">
        <v>472.946067626368</v>
      </c>
      <c r="G7" t="n">
        <v>313.004306574542</v>
      </c>
      <c r="H7" t="n">
        <v>313.004306574542</v>
      </c>
      <c r="I7" t="n">
        <v>248.305092366396</v>
      </c>
      <c r="J7" t="n">
        <v>233.205458371143</v>
      </c>
      <c r="K7" t="n">
        <v>296.662725955127</v>
      </c>
      <c r="L7" t="n">
        <v>253.399411753338</v>
      </c>
      <c r="M7" t="n">
        <v>208.25353954441</v>
      </c>
      <c r="N7" t="n">
        <v>141.262890460194</v>
      </c>
      <c r="O7" t="n">
        <v>180.583488835712</v>
      </c>
      <c r="P7" t="n">
        <v>197.781916343875</v>
      </c>
      <c r="Q7" t="n">
        <v>149.709922788072</v>
      </c>
      <c r="R7" t="n">
        <v>239.800849775584</v>
      </c>
      <c r="S7" t="n">
        <v>145.858248832572</v>
      </c>
      <c r="T7" t="n">
        <v>37.3397117011384</v>
      </c>
      <c r="U7" t="n">
        <v>23.3373198132115</v>
      </c>
      <c r="V7" t="n">
        <v>65.0988394789584</v>
      </c>
      <c r="W7" t="n">
        <v>76.1533593904796</v>
      </c>
      <c r="X7" t="n">
        <v>86.6976706906999</v>
      </c>
      <c r="Y7" t="n">
        <v>49.7066645293346</v>
      </c>
      <c r="Z7" t="n">
        <v>82.0737949205292</v>
      </c>
      <c r="AA7" t="n">
        <v>265.872856784813</v>
      </c>
      <c r="AB7" t="n">
        <v>176.494321950769</v>
      </c>
      <c r="AC7" t="n">
        <v>210.690096828731</v>
      </c>
      <c r="AD7" t="n">
        <v>158.549618320611</v>
      </c>
      <c r="AE7" t="n">
        <v>134</v>
      </c>
      <c r="AF7" t="n">
        <v>227</v>
      </c>
    </row>
    <row r="8">
      <c r="A8" t="s">
        <v>59</v>
      </c>
      <c r="B8" t="s">
        <v>286</v>
      </c>
      <c r="C8" t="s">
        <v>236</v>
      </c>
      <c r="D8" t="s">
        <v>287</v>
      </c>
      <c r="E8" t="s">
        <v>237</v>
      </c>
      <c r="F8" t="n">
        <v>14.1113805593851</v>
      </c>
      <c r="G8" t="n">
        <v>19.4031482691545</v>
      </c>
      <c r="H8" t="n">
        <v>35.2784513984627</v>
      </c>
      <c r="I8" t="n">
        <v>24.6949159789239</v>
      </c>
      <c r="J8" t="n">
        <v>65.265135087156</v>
      </c>
      <c r="K8" t="n">
        <v>40.1631600536344</v>
      </c>
      <c r="L8" t="n">
        <v>22.4913696300353</v>
      </c>
      <c r="M8" t="n">
        <v>35.9861914080565</v>
      </c>
      <c r="N8" t="n">
        <v>53.9792871120847</v>
      </c>
      <c r="O8" t="n">
        <v>53.9792871120847</v>
      </c>
      <c r="P8" t="n">
        <v>94.8284773590677</v>
      </c>
      <c r="Q8" t="n">
        <v>79.4885766098068</v>
      </c>
      <c r="R8" t="n">
        <v>212.403901432762</v>
      </c>
      <c r="S8" t="n">
        <v>64.6977400915885</v>
      </c>
      <c r="T8" t="n">
        <v>156.636633905951</v>
      </c>
      <c r="U8" t="n">
        <v>63.345697535495</v>
      </c>
      <c r="V8" t="n">
        <v>37.7637812230835</v>
      </c>
      <c r="W8" t="n">
        <v>51.9251991817399</v>
      </c>
      <c r="X8" t="n">
        <v>67.7285206718346</v>
      </c>
      <c r="Y8" t="n">
        <v>63.2873062015504</v>
      </c>
      <c r="Z8" t="n">
        <v>87.7139857881137</v>
      </c>
      <c r="AA8" t="n">
        <v>-7.77212532299742</v>
      </c>
      <c r="AB8" t="n">
        <v>59.9563953488372</v>
      </c>
      <c r="AC8" t="n">
        <v>52.3255813953488</v>
      </c>
      <c r="AD8" t="n">
        <v>45</v>
      </c>
      <c r="AE8" t="n">
        <v>14</v>
      </c>
      <c r="AF8" t="n">
        <v>92</v>
      </c>
    </row>
    <row r="9">
      <c r="A9" t="s">
        <v>59</v>
      </c>
      <c r="B9" t="s">
        <v>288</v>
      </c>
      <c r="C9" t="s">
        <v>236</v>
      </c>
      <c r="D9" t="s">
        <v>289</v>
      </c>
      <c r="E9" t="s">
        <v>237</v>
      </c>
      <c r="F9" t="n">
        <v>132.941622206035</v>
      </c>
      <c r="G9" t="n">
        <v>54.458013915725</v>
      </c>
      <c r="H9" t="n">
        <v>78.4836082903096</v>
      </c>
      <c r="I9" t="n">
        <v>88.0938460401434</v>
      </c>
      <c r="J9" t="n">
        <v>61.8202428351884</v>
      </c>
      <c r="K9" t="n">
        <v>42.6854057671539</v>
      </c>
      <c r="L9" t="n">
        <v>58.3367212151103</v>
      </c>
      <c r="M9" t="n">
        <v>93.6100875312235</v>
      </c>
      <c r="N9" t="n">
        <v>50.1967136036995</v>
      </c>
      <c r="O9" t="n">
        <v>75.9734043731669</v>
      </c>
      <c r="P9" t="n">
        <v>10.6629339471111</v>
      </c>
      <c r="Q9" t="n">
        <v>66.6433371694446</v>
      </c>
      <c r="R9" t="n">
        <v>24.3504501196048</v>
      </c>
      <c r="S9" t="n">
        <v>62.0936478049922</v>
      </c>
      <c r="T9" t="n">
        <v>155.23411951248</v>
      </c>
      <c r="U9" t="n">
        <v>53.6899962223616</v>
      </c>
      <c r="V9" t="n">
        <v>36.2095323360113</v>
      </c>
      <c r="W9" t="n">
        <v>43.7011597158757</v>
      </c>
      <c r="X9" t="n">
        <v>39.1010376405204</v>
      </c>
      <c r="Y9" t="n">
        <v>45.8040726646096</v>
      </c>
      <c r="Z9" t="n">
        <v>77.084902777026</v>
      </c>
      <c r="AA9" t="n">
        <v>83.7879378011151</v>
      </c>
      <c r="AB9" t="n">
        <v>191.830278649921</v>
      </c>
      <c r="AC9" t="n">
        <v>98.0705357142857</v>
      </c>
      <c r="AD9" t="n">
        <v>83.4642857142857</v>
      </c>
      <c r="AE9" t="n">
        <v>57</v>
      </c>
      <c r="AF9" t="n">
        <v>44</v>
      </c>
    </row>
    <row r="10">
      <c r="A10" t="s">
        <v>59</v>
      </c>
      <c r="B10" t="s">
        <v>290</v>
      </c>
      <c r="C10" t="s">
        <v>236</v>
      </c>
      <c r="D10" t="s">
        <v>291</v>
      </c>
      <c r="E10" t="s">
        <v>237</v>
      </c>
      <c r="F10" t="n">
        <v>135.976676138697</v>
      </c>
      <c r="G10" t="n">
        <v>57.1720115583158</v>
      </c>
      <c r="H10" t="n">
        <v>81.8950435835335</v>
      </c>
      <c r="I10" t="n">
        <v>94.2565595961423</v>
      </c>
      <c r="J10" t="n">
        <v>71.8145215970608</v>
      </c>
      <c r="K10" t="n">
        <v>54.5790364137662</v>
      </c>
      <c r="L10" t="n">
        <v>61.5763487745055</v>
      </c>
      <c r="M10" t="n">
        <v>115.120999882771</v>
      </c>
      <c r="N10" t="n">
        <v>62.9149650522121</v>
      </c>
      <c r="O10" t="n">
        <v>89.6872906063449</v>
      </c>
      <c r="P10" t="n">
        <v>10.5514459536876</v>
      </c>
      <c r="Q10" t="n">
        <v>79.1358446526573</v>
      </c>
      <c r="R10" t="n">
        <v>29.3568455969535</v>
      </c>
      <c r="S10" t="n">
        <v>69.7225082927646</v>
      </c>
      <c r="T10" t="n">
        <v>167.334019902635</v>
      </c>
      <c r="U10" t="n">
        <v>61.2772467249086</v>
      </c>
      <c r="V10" t="n">
        <v>42.5189058907529</v>
      </c>
      <c r="W10" t="n">
        <v>71.2816951697916</v>
      </c>
      <c r="X10" t="n">
        <v>117.269885601915</v>
      </c>
      <c r="Y10" t="n">
        <v>69.9108933396033</v>
      </c>
      <c r="Z10" t="n">
        <v>95.8455795784884</v>
      </c>
      <c r="AA10" t="n">
        <v>96.973174632353</v>
      </c>
      <c r="AB10" t="n">
        <v>214.009764705882</v>
      </c>
      <c r="AC10" t="n">
        <v>122.291294117647</v>
      </c>
      <c r="AD10" t="n">
        <v>105.423529411765</v>
      </c>
      <c r="AE10" t="n">
        <v>87</v>
      </c>
      <c r="AF10" t="n">
        <v>141</v>
      </c>
    </row>
    <row r="11">
      <c r="A11" t="s">
        <v>59</v>
      </c>
      <c r="B11" t="s">
        <v>292</v>
      </c>
      <c r="C11" t="s">
        <v>236</v>
      </c>
      <c r="D11" t="s">
        <v>293</v>
      </c>
      <c r="E11" t="s">
        <v>237</v>
      </c>
      <c r="F11" t="e">
        <v>#NUM!</v>
      </c>
      <c r="G11" t="e">
        <v>#NUM!</v>
      </c>
      <c r="H11" t="e">
        <v>#NUM!</v>
      </c>
      <c r="I11" t="e">
        <v>#NUM!</v>
      </c>
      <c r="J11" t="e">
        <v>#NUM!</v>
      </c>
      <c r="K11" t="e">
        <v>#NUM!</v>
      </c>
      <c r="L11" t="e">
        <v>#NUM!</v>
      </c>
      <c r="M11" t="e">
        <v>#NUM!</v>
      </c>
      <c r="N11" t="e">
        <v>#NUM!</v>
      </c>
      <c r="O11" t="e">
        <v>#NUM!</v>
      </c>
      <c r="P11" t="n">
        <v>0</v>
      </c>
      <c r="Q11" t="n">
        <v>12.5963488843813</v>
      </c>
      <c r="R11" t="n">
        <v>5.03853955375253</v>
      </c>
      <c r="S11" t="n">
        <v>7.5578093306288</v>
      </c>
      <c r="T11" t="n">
        <v>11.3367139959432</v>
      </c>
      <c r="U11" t="n">
        <v>7.5578093306288</v>
      </c>
      <c r="V11" t="n">
        <v>6.29817444219067</v>
      </c>
      <c r="W11" t="n">
        <v>27.7119675456389</v>
      </c>
      <c r="X11" t="n">
        <v>78.5172413793103</v>
      </c>
      <c r="Y11" t="n">
        <v>23.8965517241379</v>
      </c>
      <c r="Z11" t="n">
        <v>18.2068965517241</v>
      </c>
      <c r="AA11" t="n">
        <v>12.5172413793103</v>
      </c>
      <c r="AB11" t="n">
        <v>20.4827586206897</v>
      </c>
      <c r="AC11" t="n">
        <v>23.8965517241379</v>
      </c>
      <c r="AD11" t="n">
        <v>21.7241379310345</v>
      </c>
      <c r="AE11" t="n">
        <v>30</v>
      </c>
      <c r="AF11" t="n">
        <v>97</v>
      </c>
    </row>
    <row r="12">
      <c r="A12" t="s">
        <v>59</v>
      </c>
      <c r="B12" t="s">
        <v>294</v>
      </c>
      <c r="C12" t="s">
        <v>236</v>
      </c>
      <c r="D12" t="s">
        <v>295</v>
      </c>
      <c r="E12" t="s">
        <v>237</v>
      </c>
      <c r="F12" t="n">
        <v>48.095210946825</v>
      </c>
      <c r="G12" t="n">
        <v>25.4621705012603</v>
      </c>
      <c r="H12" t="n">
        <v>52.3389060303684</v>
      </c>
      <c r="I12" t="n">
        <v>87.7030317265632</v>
      </c>
      <c r="J12" t="n">
        <v>83.5919521143805</v>
      </c>
      <c r="K12" t="n">
        <v>24.8163607839567</v>
      </c>
      <c r="L12" t="n">
        <v>43.1021003089775</v>
      </c>
      <c r="M12" t="n">
        <v>45.5650774694905</v>
      </c>
      <c r="N12" t="n">
        <v>49.25954321026</v>
      </c>
      <c r="O12" t="n">
        <v>54.185497531286</v>
      </c>
      <c r="P12" t="n">
        <v>64.037406173338</v>
      </c>
      <c r="Q12" t="n">
        <v>77.0820629864253</v>
      </c>
      <c r="R12" t="n">
        <v>19.5581353846154</v>
      </c>
      <c r="S12" t="n">
        <v>43.4625230769231</v>
      </c>
      <c r="T12" t="n">
        <v>30.7417846153846</v>
      </c>
      <c r="U12" t="n">
        <v>37.1021538461538</v>
      </c>
      <c r="V12" t="n">
        <v>47.2209230769231</v>
      </c>
      <c r="W12" t="n">
        <v>39.3507692307692</v>
      </c>
      <c r="X12" t="n">
        <v>28.42</v>
      </c>
      <c r="Y12" t="n">
        <v>25.1407692307692</v>
      </c>
      <c r="Z12" t="n">
        <v>41.5369230769231</v>
      </c>
      <c r="AA12" t="n">
        <v>52.4676923076923</v>
      </c>
      <c r="AB12" t="n">
        <v>39.6184615384615</v>
      </c>
      <c r="AC12" t="n">
        <v>61.0338461538461</v>
      </c>
      <c r="AD12" t="n">
        <v>54.72</v>
      </c>
      <c r="AE12" t="n">
        <v>76</v>
      </c>
      <c r="AF12" t="n">
        <v>55</v>
      </c>
    </row>
    <row r="13">
      <c r="A13" t="s">
        <v>59</v>
      </c>
      <c r="B13" t="s">
        <v>296</v>
      </c>
      <c r="C13" t="s">
        <v>236</v>
      </c>
      <c r="D13" t="s">
        <v>297</v>
      </c>
      <c r="E13" t="s">
        <v>237</v>
      </c>
      <c r="F13" t="n">
        <v>134.011127032919</v>
      </c>
      <c r="G13" t="n">
        <v>200.280365675571</v>
      </c>
      <c r="H13" t="n">
        <v>186.9283412972</v>
      </c>
      <c r="I13" t="n">
        <v>143.560966116249</v>
      </c>
      <c r="J13" t="n">
        <v>123.462430859974</v>
      </c>
      <c r="K13" t="n">
        <v>104.041374320203</v>
      </c>
      <c r="L13" t="n">
        <v>127.313786997091</v>
      </c>
      <c r="M13" t="n">
        <v>294.4935072963</v>
      </c>
      <c r="N13" t="n">
        <v>204.977859704033</v>
      </c>
      <c r="O13" t="n">
        <v>133.170329234467</v>
      </c>
      <c r="P13" t="n">
        <v>85.7924236414356</v>
      </c>
      <c r="Q13" t="n">
        <v>100.712845144294</v>
      </c>
      <c r="R13" t="n">
        <v>112.702469566234</v>
      </c>
      <c r="S13" t="n">
        <v>194.66790197804</v>
      </c>
      <c r="T13" t="n">
        <v>134.439158824613</v>
      </c>
      <c r="U13" t="n">
        <v>95.0911123393607</v>
      </c>
      <c r="V13" t="n">
        <v>180.905042987076</v>
      </c>
      <c r="W13" t="n">
        <v>149.990890071563</v>
      </c>
      <c r="X13" t="n">
        <v>60.4279844892629</v>
      </c>
      <c r="Y13" t="n">
        <v>93.8791901886763</v>
      </c>
      <c r="Z13" t="n">
        <v>85.2466209759245</v>
      </c>
      <c r="AA13" t="n">
        <v>73.3768383083907</v>
      </c>
      <c r="AB13" t="n">
        <v>101.432688249834</v>
      </c>
      <c r="AC13" t="n">
        <v>120.451317296678</v>
      </c>
      <c r="AD13" t="n">
        <v>112.144329896907</v>
      </c>
      <c r="AE13" t="n">
        <v>98</v>
      </c>
      <c r="AF13" t="n">
        <v>104</v>
      </c>
    </row>
    <row r="14">
      <c r="A14" t="s">
        <v>59</v>
      </c>
      <c r="B14" t="s">
        <v>298</v>
      </c>
      <c r="C14" t="s">
        <v>236</v>
      </c>
      <c r="D14" t="s">
        <v>299</v>
      </c>
      <c r="E14" t="s">
        <v>237</v>
      </c>
      <c r="F14" t="n">
        <v>94.4409933476154</v>
      </c>
      <c r="G14" t="n">
        <v>175.390416217</v>
      </c>
      <c r="H14" t="n">
        <v>48.7195600602778</v>
      </c>
      <c r="I14" t="n">
        <v>126.670856156722</v>
      </c>
      <c r="J14" t="n">
        <v>139.90512471041</v>
      </c>
      <c r="K14" t="n">
        <v>116.882762416292</v>
      </c>
      <c r="L14" t="n">
        <v>118.627281258326</v>
      </c>
      <c r="M14" t="n">
        <v>16.0307136835575</v>
      </c>
      <c r="N14" t="n">
        <v>25.6491418936921</v>
      </c>
      <c r="O14" t="n">
        <v>16.0307136835575</v>
      </c>
      <c r="P14" t="n">
        <v>32.0614273671151</v>
      </c>
      <c r="Q14" t="n">
        <v>106.87142455705</v>
      </c>
      <c r="R14" t="n">
        <v>5.85596846887947</v>
      </c>
      <c r="S14" t="n">
        <v>25.7662612630697</v>
      </c>
      <c r="T14" t="n">
        <v>-25.7662612630697</v>
      </c>
      <c r="U14" t="n">
        <v>51.5325225261393</v>
      </c>
      <c r="V14" t="n">
        <v>8.38901529495291</v>
      </c>
      <c r="W14" t="n">
        <v>-221.709689938041</v>
      </c>
      <c r="X14" t="n">
        <v>-64.1495041952708</v>
      </c>
      <c r="Y14" t="n">
        <v>7.74218154080854</v>
      </c>
      <c r="Z14" t="n">
        <v>11.0602593440122</v>
      </c>
      <c r="AA14" t="n">
        <v>-2.21205186880244</v>
      </c>
      <c r="AB14" t="n">
        <v>14.3783371472159</v>
      </c>
      <c r="AC14" t="n">
        <v>19.908466819222</v>
      </c>
      <c r="AD14" t="n">
        <v>25.4385964912281</v>
      </c>
      <c r="AE14" t="n">
        <v>58</v>
      </c>
      <c r="AF14" t="n">
        <v>22</v>
      </c>
    </row>
    <row r="15">
      <c r="A15" t="s">
        <v>59</v>
      </c>
      <c r="B15" t="s">
        <v>300</v>
      </c>
      <c r="C15" t="s">
        <v>236</v>
      </c>
      <c r="D15" t="s">
        <v>301</v>
      </c>
      <c r="E15" t="s">
        <v>237</v>
      </c>
      <c r="F15" t="n">
        <v>110.284413846028</v>
      </c>
      <c r="G15" t="n">
        <v>165.426620769041</v>
      </c>
      <c r="H15" t="n">
        <v>67.1533807082247</v>
      </c>
      <c r="I15" t="n">
        <v>119.565775407327</v>
      </c>
      <c r="J15" t="n">
        <v>137.102089133735</v>
      </c>
      <c r="K15" t="n">
        <v>109.982994579809</v>
      </c>
      <c r="L15" t="n">
        <v>124.845561414919</v>
      </c>
      <c r="M15" t="n">
        <v>34.6793226152552</v>
      </c>
      <c r="N15" t="n">
        <v>33.292149710645</v>
      </c>
      <c r="O15" t="n">
        <v>27.7434580922042</v>
      </c>
      <c r="P15" t="n">
        <v>23.5819393783735</v>
      </c>
      <c r="Q15" t="n">
        <v>113.979373662139</v>
      </c>
      <c r="R15" t="n">
        <v>52.605864767141</v>
      </c>
      <c r="S15" t="n">
        <v>54.9439032012361</v>
      </c>
      <c r="T15" t="n">
        <v>-8.97043317571202</v>
      </c>
      <c r="U15" t="n">
        <v>76.2486819935522</v>
      </c>
      <c r="V15" t="n">
        <v>15.4880135299403</v>
      </c>
      <c r="W15" t="n">
        <v>-208.492489826119</v>
      </c>
      <c r="X15" t="n">
        <v>-59.4091503267974</v>
      </c>
      <c r="Y15" t="n">
        <v>24.2037279109175</v>
      </c>
      <c r="Z15" t="n">
        <v>53.9083030743162</v>
      </c>
      <c r="AA15" t="n">
        <v>8.80135560396998</v>
      </c>
      <c r="AB15" t="n">
        <v>17.60271120794</v>
      </c>
      <c r="AC15" t="n">
        <v>56.1086419753087</v>
      </c>
      <c r="AD15" t="n">
        <v>77.6888888888889</v>
      </c>
      <c r="AE15" t="n">
        <v>92</v>
      </c>
      <c r="AF15" t="n">
        <v>45</v>
      </c>
    </row>
    <row r="16">
      <c r="A16" t="s">
        <v>59</v>
      </c>
      <c r="B16" t="s">
        <v>302</v>
      </c>
      <c r="C16" t="s">
        <v>236</v>
      </c>
      <c r="D16" t="s">
        <v>303</v>
      </c>
      <c r="E16" t="s">
        <v>237</v>
      </c>
      <c r="F16" t="n">
        <v>25.5493742621015</v>
      </c>
      <c r="G16" t="n">
        <v>14.7917429938483</v>
      </c>
      <c r="H16" t="n">
        <v>21.5152625365066</v>
      </c>
      <c r="I16" t="n">
        <v>10.7576312682533</v>
      </c>
      <c r="J16" t="n">
        <v>16.1364469023799</v>
      </c>
      <c r="K16" t="n">
        <v>9.41292735972162</v>
      </c>
      <c r="L16" t="n">
        <v>21.5152625365066</v>
      </c>
      <c r="M16" t="n">
        <v>20.1705586279749</v>
      </c>
      <c r="N16" t="n">
        <v>10.7576312682533</v>
      </c>
      <c r="O16" t="n">
        <v>13.4470390853166</v>
      </c>
      <c r="P16" t="n">
        <v>-4.03411172559498</v>
      </c>
      <c r="Q16" t="n">
        <v>22.8599664450382</v>
      </c>
      <c r="R16" t="n">
        <v>48.2599291617474</v>
      </c>
      <c r="S16" t="n">
        <v>30.1624557260921</v>
      </c>
      <c r="T16" t="n">
        <v>17.4014167650531</v>
      </c>
      <c r="U16" t="n">
        <v>25.5220779220779</v>
      </c>
      <c r="V16" t="n">
        <v>7.29202226345083</v>
      </c>
      <c r="W16" t="n">
        <v>12.1533704390847</v>
      </c>
      <c r="X16" t="n">
        <v>4.41940743239445</v>
      </c>
      <c r="Y16" t="n">
        <v>16.5727778714792</v>
      </c>
      <c r="Z16" t="n">
        <v>43.0892224658458</v>
      </c>
      <c r="AA16" t="n">
        <v>11.0485185809861</v>
      </c>
      <c r="AB16" t="n">
        <v>3.31455557429583</v>
      </c>
      <c r="AC16" t="n">
        <v>36.4601113172542</v>
      </c>
      <c r="AD16" t="n">
        <v>52.5454545454545</v>
      </c>
      <c r="AE16" t="n">
        <v>34</v>
      </c>
      <c r="AF16" t="n">
        <v>23</v>
      </c>
    </row>
    <row r="17">
      <c r="A17" t="s">
        <v>59</v>
      </c>
      <c r="B17" t="s">
        <v>304</v>
      </c>
      <c r="C17" t="s">
        <v>236</v>
      </c>
      <c r="D17" t="s">
        <v>305</v>
      </c>
      <c r="E17" t="s">
        <v>237</v>
      </c>
      <c r="F17" t="n">
        <v>82.4585574649157</v>
      </c>
      <c r="G17" t="n">
        <v>35.9093717992375</v>
      </c>
      <c r="H17" t="n">
        <v>70.4887668651699</v>
      </c>
      <c r="I17" t="n">
        <v>61.1789297320342</v>
      </c>
      <c r="J17" t="n">
        <v>36.4470219680204</v>
      </c>
      <c r="K17" t="n">
        <v>40.3520600360226</v>
      </c>
      <c r="L17" t="n">
        <v>53.3688535960299</v>
      </c>
      <c r="M17" t="n">
        <v>64.8050365094648</v>
      </c>
      <c r="N17" t="n">
        <v>73.6998454421365</v>
      </c>
      <c r="O17" t="n">
        <v>16.5189308749616</v>
      </c>
      <c r="P17" t="n">
        <v>34.3085487403049</v>
      </c>
      <c r="Q17" t="n">
        <v>45.3362965496886</v>
      </c>
      <c r="R17" t="n">
        <v>42.9501756786524</v>
      </c>
      <c r="S17" t="n">
        <v>28.2566945254292</v>
      </c>
      <c r="T17" t="n">
        <v>40.2114499015723</v>
      </c>
      <c r="U17" t="n">
        <v>38.0378580150009</v>
      </c>
      <c r="V17" t="n">
        <v>43.8011698354555</v>
      </c>
      <c r="W17" t="n">
        <v>48.4118192918193</v>
      </c>
      <c r="X17" t="n">
        <v>25.3061782661783</v>
      </c>
      <c r="Y17" t="n">
        <v>53.9131623931624</v>
      </c>
      <c r="Z17" t="n">
        <v>50.6123565323565</v>
      </c>
      <c r="AA17" t="n">
        <v>56.1136996336996</v>
      </c>
      <c r="AB17" t="n">
        <v>95.72336996337</v>
      </c>
      <c r="AC17" t="n">
        <v>92.4600732600733</v>
      </c>
      <c r="AD17" t="n">
        <v>69.0793650793651</v>
      </c>
      <c r="AE17" t="n">
        <v>64</v>
      </c>
      <c r="AF17" t="n">
        <v>36</v>
      </c>
    </row>
    <row r="18">
      <c r="A18" t="s">
        <v>59</v>
      </c>
      <c r="B18" t="s">
        <v>306</v>
      </c>
      <c r="C18" t="s">
        <v>236</v>
      </c>
      <c r="D18" t="s">
        <v>307</v>
      </c>
      <c r="E18" t="s">
        <v>237</v>
      </c>
      <c r="F18" t="n">
        <v>32.9359398496241</v>
      </c>
      <c r="G18" t="n">
        <v>15.8092511278196</v>
      </c>
      <c r="H18" t="n">
        <v>7.90462556390978</v>
      </c>
      <c r="I18" t="n">
        <v>32.9359398496241</v>
      </c>
      <c r="J18" t="n">
        <v>17.7347368421053</v>
      </c>
      <c r="K18" t="n">
        <v>16.467969924812</v>
      </c>
      <c r="L18" t="n">
        <v>19.0015037593985</v>
      </c>
      <c r="M18" t="n">
        <v>21.535037593985</v>
      </c>
      <c r="N18" t="n">
        <v>8.86736842105263</v>
      </c>
      <c r="O18" t="n">
        <v>16.467969924812</v>
      </c>
      <c r="P18" t="n">
        <v>25.3353383458647</v>
      </c>
      <c r="Q18" t="n">
        <v>45.8448979591837</v>
      </c>
      <c r="R18" t="n">
        <v>25.8612244897959</v>
      </c>
      <c r="S18" t="n">
        <v>25.8612244897959</v>
      </c>
      <c r="T18" t="n">
        <v>14.0081632653061</v>
      </c>
      <c r="U18" t="n">
        <v>4.31020408163265</v>
      </c>
      <c r="V18" t="n">
        <v>-6.46530612244898</v>
      </c>
      <c r="W18" t="n">
        <v>22.6285714285714</v>
      </c>
      <c r="X18" t="n">
        <v>-18.5142857142857</v>
      </c>
      <c r="Y18" t="n">
        <v>3.08571428571429</v>
      </c>
      <c r="Z18" t="n">
        <v>10.2857142857143</v>
      </c>
      <c r="AA18" t="n">
        <v>15.4285714285714</v>
      </c>
      <c r="AB18" t="n">
        <v>34.9714285714286</v>
      </c>
      <c r="AC18" t="n">
        <v>36</v>
      </c>
      <c r="AD18" t="n">
        <v>3</v>
      </c>
      <c r="AE18" t="n">
        <v>28</v>
      </c>
      <c r="AF18" t="n">
        <v>20</v>
      </c>
    </row>
    <row r="19">
      <c r="A19" t="s">
        <v>59</v>
      </c>
      <c r="B19" t="s">
        <v>308</v>
      </c>
      <c r="C19" t="s">
        <v>236</v>
      </c>
      <c r="D19" t="s">
        <v>309</v>
      </c>
      <c r="E19" t="s">
        <v>237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16.2765957446808</v>
      </c>
      <c r="S19" t="n">
        <v>19.531914893617</v>
      </c>
      <c r="T19" t="n">
        <v>14.1063829787234</v>
      </c>
      <c r="U19" t="n">
        <v>10.8510638297872</v>
      </c>
      <c r="V19" t="n">
        <v>5.42553191489362</v>
      </c>
      <c r="W19" t="n">
        <v>17.3617021276596</v>
      </c>
      <c r="X19" t="n">
        <v>12.2553191489362</v>
      </c>
      <c r="Y19" t="n">
        <v>6.12765957446808</v>
      </c>
      <c r="Z19" t="n">
        <v>9.19148936170213</v>
      </c>
      <c r="AA19" t="n">
        <v>48</v>
      </c>
      <c r="AB19" t="n">
        <v>7</v>
      </c>
      <c r="AC19" t="n">
        <v>14</v>
      </c>
      <c r="AD19" t="n">
        <v>1</v>
      </c>
      <c r="AE19" t="n">
        <v>32</v>
      </c>
      <c r="AF19" t="n">
        <v>29</v>
      </c>
    </row>
    <row r="20">
      <c r="A20" t="s">
        <v>59</v>
      </c>
      <c r="B20" t="s">
        <v>310</v>
      </c>
      <c r="C20" t="s">
        <v>236</v>
      </c>
      <c r="D20" t="s">
        <v>311</v>
      </c>
      <c r="E20" t="s">
        <v>237</v>
      </c>
      <c r="F20" t="n">
        <v>654.062461464216</v>
      </c>
      <c r="G20" t="n">
        <v>681.776972543208</v>
      </c>
      <c r="H20" t="n">
        <v>728.093342960545</v>
      </c>
      <c r="I20" t="n">
        <v>664.702131508757</v>
      </c>
      <c r="J20" t="n">
        <v>537.494985047512</v>
      </c>
      <c r="K20" t="n">
        <v>612.779298914102</v>
      </c>
      <c r="L20" t="n">
        <v>800.942507548051</v>
      </c>
      <c r="M20" t="n">
        <v>659.410498182131</v>
      </c>
      <c r="N20" t="n">
        <v>629.147697540922</v>
      </c>
      <c r="O20" t="n">
        <v>999.784212428891</v>
      </c>
      <c r="P20" t="n">
        <v>804.337674660837</v>
      </c>
      <c r="Q20" t="n">
        <v>792.867618694194</v>
      </c>
      <c r="R20" t="n">
        <v>833.388962068684</v>
      </c>
      <c r="S20" t="n">
        <v>1030.00279634668</v>
      </c>
      <c r="T20" t="n">
        <v>910.070963895358</v>
      </c>
      <c r="U20" t="n">
        <v>1876.20134496382</v>
      </c>
      <c r="V20" t="n">
        <v>1584.39988656533</v>
      </c>
      <c r="W20" t="n">
        <v>1058.12099165985</v>
      </c>
      <c r="X20" t="n">
        <v>1235.88531825871</v>
      </c>
      <c r="Y20" t="n">
        <v>1392.20697566155</v>
      </c>
      <c r="Z20" t="n">
        <v>1317.12165562587</v>
      </c>
      <c r="AA20" t="n">
        <v>1860.46076557105</v>
      </c>
      <c r="AB20" t="n">
        <v>2213.76685472998</v>
      </c>
      <c r="AC20" t="n">
        <v>1972.64295318193</v>
      </c>
      <c r="AD20" t="n">
        <v>1307.35548841893</v>
      </c>
      <c r="AE20" t="n">
        <v>982</v>
      </c>
      <c r="AF20" t="n">
        <v>1493</v>
      </c>
    </row>
    <row r="21">
      <c r="A21" t="s">
        <v>59</v>
      </c>
      <c r="B21" t="s">
        <v>312</v>
      </c>
      <c r="C21" t="s">
        <v>236</v>
      </c>
      <c r="D21" t="s">
        <v>313</v>
      </c>
      <c r="E21" t="s">
        <v>237</v>
      </c>
      <c r="F21" t="n">
        <v>1021.07144215817</v>
      </c>
      <c r="G21" t="n">
        <v>1065.14646843838</v>
      </c>
      <c r="H21" t="n">
        <v>1149.76950392744</v>
      </c>
      <c r="I21" t="n">
        <v>1068.92633568254</v>
      </c>
      <c r="J21" t="n">
        <v>955.474784299985</v>
      </c>
      <c r="K21" t="n">
        <v>1055.86887395469</v>
      </c>
      <c r="L21" t="n">
        <v>1153.05493255583</v>
      </c>
      <c r="M21" t="n">
        <v>1133.96988539628</v>
      </c>
      <c r="N21" t="n">
        <v>1137.11543292859</v>
      </c>
      <c r="O21" t="n">
        <v>1461.34699556093</v>
      </c>
      <c r="P21" t="n">
        <v>1284.79847528504</v>
      </c>
      <c r="Q21" t="n">
        <v>1369.79065667104</v>
      </c>
      <c r="R21" t="n">
        <v>1357.73971247745</v>
      </c>
      <c r="S21" t="n">
        <v>1602.88716056366</v>
      </c>
      <c r="T21" t="n">
        <v>1452.50720149987</v>
      </c>
      <c r="U21" t="n">
        <v>2517.04831009098</v>
      </c>
      <c r="V21" t="n">
        <v>2092.28911450771</v>
      </c>
      <c r="W21" t="n">
        <v>1439.21106021781</v>
      </c>
      <c r="X21" t="n">
        <v>1670.45627092045</v>
      </c>
      <c r="Y21" t="n">
        <v>1850.59324809808</v>
      </c>
      <c r="Z21" t="n">
        <v>1710.08138730323</v>
      </c>
      <c r="AA21" t="n">
        <v>2362.44576838557</v>
      </c>
      <c r="AB21" t="n">
        <v>2658.55033268277</v>
      </c>
      <c r="AC21" t="n">
        <v>2567.26963456491</v>
      </c>
      <c r="AD21" t="n">
        <v>1790.74358974359</v>
      </c>
      <c r="AE21" t="n">
        <v>1771</v>
      </c>
      <c r="AF21" t="n">
        <v>2226</v>
      </c>
    </row>
    <row r="22">
      <c r="A22" t="s">
        <v>59</v>
      </c>
      <c r="B22" t="s">
        <v>314</v>
      </c>
      <c r="C22" t="s">
        <v>236</v>
      </c>
      <c r="D22" t="s">
        <v>315</v>
      </c>
      <c r="E22" t="s">
        <v>237</v>
      </c>
      <c r="F22" t="n">
        <v>364.855507293247</v>
      </c>
      <c r="G22" t="n">
        <v>381.111445737005</v>
      </c>
      <c r="H22" t="n">
        <v>419.041968772442</v>
      </c>
      <c r="I22" t="n">
        <v>401.435163361835</v>
      </c>
      <c r="J22" t="n">
        <v>413.54743122189</v>
      </c>
      <c r="K22" t="n">
        <v>438.866661704863</v>
      </c>
      <c r="L22" t="n">
        <v>352.057871477528</v>
      </c>
      <c r="M22" t="n">
        <v>469.927467214497</v>
      </c>
      <c r="N22" t="n">
        <v>502.072342822004</v>
      </c>
      <c r="O22" t="n">
        <v>461.727243845235</v>
      </c>
      <c r="P22" t="n">
        <v>477.599117852415</v>
      </c>
      <c r="Q22" t="n">
        <v>571.462528297399</v>
      </c>
      <c r="R22" t="n">
        <v>520.345467279971</v>
      </c>
      <c r="S22" t="n">
        <v>569.550712412829</v>
      </c>
      <c r="T22" t="n">
        <v>538.733339196102</v>
      </c>
      <c r="U22" t="n">
        <v>643.004308072767</v>
      </c>
      <c r="V22" t="n">
        <v>510.008812698004</v>
      </c>
      <c r="W22" t="n">
        <v>382.231226795265</v>
      </c>
      <c r="X22" t="n">
        <v>435.93313469212</v>
      </c>
      <c r="Y22" t="n">
        <v>459.977408308232</v>
      </c>
      <c r="Z22" t="n">
        <v>394.563013898709</v>
      </c>
      <c r="AA22" t="n">
        <v>504.281071239527</v>
      </c>
      <c r="AB22" t="n">
        <v>448.013920132801</v>
      </c>
      <c r="AC22" t="n">
        <v>597.007002116919</v>
      </c>
      <c r="AD22" t="n">
        <v>484.629213483146</v>
      </c>
      <c r="AE22" t="n">
        <v>789</v>
      </c>
      <c r="AF22" t="n">
        <v>733</v>
      </c>
    </row>
    <row r="23">
      <c r="A23" t="s">
        <v>59</v>
      </c>
      <c r="B23" t="s">
        <v>316</v>
      </c>
      <c r="C23" t="s">
        <v>236</v>
      </c>
      <c r="D23" t="s">
        <v>317</v>
      </c>
      <c r="E23" t="s">
        <v>237</v>
      </c>
      <c r="F23" t="n">
        <v>36.8415638711011</v>
      </c>
      <c r="G23" t="n">
        <v>30.1430977127191</v>
      </c>
      <c r="H23" t="n">
        <v>63.6354285046291</v>
      </c>
      <c r="I23" t="n">
        <v>58.6115788858426</v>
      </c>
      <c r="J23" t="n">
        <v>74.8925730207989</v>
      </c>
      <c r="K23" t="n">
        <v>82.6938827104655</v>
      </c>
      <c r="L23" t="n">
        <v>67.3802007270459</v>
      </c>
      <c r="M23" t="n">
        <v>77.4155497714996</v>
      </c>
      <c r="N23" t="n">
        <v>77.4155497714996</v>
      </c>
      <c r="O23" t="n">
        <v>93.1853839842125</v>
      </c>
      <c r="P23" t="n">
        <v>87.5377849548663</v>
      </c>
      <c r="Q23" t="n">
        <v>105.318897523823</v>
      </c>
      <c r="R23" t="n">
        <v>132.965108123827</v>
      </c>
      <c r="S23" t="n">
        <v>144.149089180971</v>
      </c>
      <c r="T23" t="n">
        <v>133.601594850656</v>
      </c>
      <c r="U23" t="n">
        <v>170.253359809686</v>
      </c>
      <c r="V23" t="n">
        <v>126.113599859027</v>
      </c>
      <c r="W23" t="n">
        <v>160.733019428171</v>
      </c>
      <c r="X23" t="n">
        <v>104.825882235764</v>
      </c>
      <c r="Y23" t="n">
        <v>154.358991424092</v>
      </c>
      <c r="Z23" t="n">
        <v>142.924992059344</v>
      </c>
      <c r="AA23" t="n">
        <v>128.060792885173</v>
      </c>
      <c r="AB23" t="n">
        <v>147.157577789102</v>
      </c>
      <c r="AC23" t="n">
        <v>152.648532184218</v>
      </c>
      <c r="AD23" t="n">
        <v>167.489361702128</v>
      </c>
      <c r="AE23" t="n">
        <v>240</v>
      </c>
      <c r="AF23" t="n">
        <v>195</v>
      </c>
    </row>
    <row r="24">
      <c r="A24" t="s">
        <v>59</v>
      </c>
      <c r="B24" t="s">
        <v>318</v>
      </c>
      <c r="C24" t="s">
        <v>236</v>
      </c>
      <c r="D24" t="s">
        <v>319</v>
      </c>
      <c r="E24" t="s">
        <v>237</v>
      </c>
      <c r="F24" t="n">
        <v>295.949186100823</v>
      </c>
      <c r="G24" t="n">
        <v>486.202234308495</v>
      </c>
      <c r="H24" t="n">
        <v>477.32993076272</v>
      </c>
      <c r="I24" t="n">
        <v>421.279825256491</v>
      </c>
      <c r="J24" t="n">
        <v>462.887709232441</v>
      </c>
      <c r="K24" t="n">
        <v>462.887709232441</v>
      </c>
      <c r="L24" t="n">
        <v>297.006448244706</v>
      </c>
      <c r="M24" t="n">
        <v>356.407737893647</v>
      </c>
      <c r="N24" t="n">
        <v>461.675846132277</v>
      </c>
      <c r="O24" t="n">
        <v>540.387793669584</v>
      </c>
      <c r="P24" t="n">
        <v>370.593814784332</v>
      </c>
      <c r="Q24" t="n">
        <v>145.991502793828</v>
      </c>
      <c r="R24" t="n">
        <v>471.768837731906</v>
      </c>
      <c r="S24" t="n">
        <v>407.090851913822</v>
      </c>
      <c r="T24" t="n">
        <v>375.868544687394</v>
      </c>
      <c r="U24" t="n">
        <v>340.478324570723</v>
      </c>
      <c r="V24" t="n">
        <v>315.787148361396</v>
      </c>
      <c r="W24" t="n">
        <v>463.494040336888</v>
      </c>
      <c r="X24" t="n">
        <v>409.599384483761</v>
      </c>
      <c r="Y24" t="n">
        <v>307.492947664027</v>
      </c>
      <c r="Z24" t="n">
        <v>137.440029637709</v>
      </c>
      <c r="AA24" t="n">
        <v>457.363459970864</v>
      </c>
      <c r="AB24" t="n">
        <v>551.094736952547</v>
      </c>
      <c r="AC24" t="n">
        <v>553.299115900357</v>
      </c>
      <c r="AD24" t="n">
        <v>422.673796791444</v>
      </c>
      <c r="AE24" t="n">
        <v>380</v>
      </c>
      <c r="AF24" t="n">
        <v>493</v>
      </c>
    </row>
    <row r="25">
      <c r="A25" t="s">
        <v>59</v>
      </c>
      <c r="B25" t="s">
        <v>320</v>
      </c>
      <c r="C25" t="s">
        <v>236</v>
      </c>
      <c r="D25" t="s">
        <v>321</v>
      </c>
      <c r="E25" t="s">
        <v>237</v>
      </c>
      <c r="F25" t="n">
        <v>27.0128539774261</v>
      </c>
      <c r="G25" t="n">
        <v>28.8137109092545</v>
      </c>
      <c r="H25" t="n">
        <v>50.4239940911954</v>
      </c>
      <c r="I25" t="n">
        <v>45.0214232957102</v>
      </c>
      <c r="J25" t="n">
        <v>70.9953213509276</v>
      </c>
      <c r="K25" t="n">
        <v>31.3700257132006</v>
      </c>
      <c r="L25" t="n">
        <v>32.9385269988606</v>
      </c>
      <c r="M25" t="n">
        <v>32.9385269988606</v>
      </c>
      <c r="N25" t="n">
        <v>47.9105847256154</v>
      </c>
      <c r="O25" t="n">
        <v>76.3574944064496</v>
      </c>
      <c r="P25" t="n">
        <v>74.8890810524794</v>
      </c>
      <c r="Q25" t="n">
        <v>74.8890810524794</v>
      </c>
      <c r="R25" t="n">
        <v>55.1814281439322</v>
      </c>
      <c r="S25" t="n">
        <v>71.1227296077348</v>
      </c>
      <c r="T25" t="n">
        <v>52.4675874155421</v>
      </c>
      <c r="U25" t="n">
        <v>62.0071487638225</v>
      </c>
      <c r="V25" t="n">
        <v>2.53090403117643</v>
      </c>
      <c r="W25" t="n">
        <v>51.8835326391168</v>
      </c>
      <c r="X25" t="n">
        <v>43.4373761629815</v>
      </c>
      <c r="Y25" t="n">
        <v>23.4796627908008</v>
      </c>
      <c r="Z25" t="n">
        <v>29.349578488501</v>
      </c>
      <c r="AA25" t="n">
        <v>46.9593255816016</v>
      </c>
      <c r="AB25" t="n">
        <v>32.0697833240206</v>
      </c>
      <c r="AC25" t="n">
        <v>65.2454212454212</v>
      </c>
      <c r="AD25" t="n">
        <v>74.8717948717949</v>
      </c>
      <c r="AE25" t="n">
        <v>40</v>
      </c>
      <c r="AF25" t="n">
        <v>70</v>
      </c>
    </row>
    <row r="26">
      <c r="A26" t="s">
        <v>59</v>
      </c>
      <c r="B26" t="s">
        <v>322</v>
      </c>
      <c r="C26" t="s">
        <v>236</v>
      </c>
      <c r="D26" t="s">
        <v>323</v>
      </c>
      <c r="E26" t="s">
        <v>237</v>
      </c>
      <c r="F26" t="n">
        <v>45.0668575017599</v>
      </c>
      <c r="G26" t="n">
        <v>319.07335111246</v>
      </c>
      <c r="H26" t="n">
        <v>219.362928889816</v>
      </c>
      <c r="I26" t="n">
        <v>193.555525491014</v>
      </c>
      <c r="J26" t="n">
        <v>193.555525491014</v>
      </c>
      <c r="K26" t="n">
        <v>185.212614909505</v>
      </c>
      <c r="L26" t="n">
        <v>106.295935513281</v>
      </c>
      <c r="M26" t="n">
        <v>121.267194036278</v>
      </c>
      <c r="N26" t="n">
        <v>107.624634707197</v>
      </c>
      <c r="O26" t="n">
        <v>104.549645144134</v>
      </c>
      <c r="P26" t="n">
        <v>143.382370483384</v>
      </c>
      <c r="Q26" t="n">
        <v>-25.553293749514</v>
      </c>
      <c r="R26" t="n">
        <v>207.116170390798</v>
      </c>
      <c r="S26" t="n">
        <v>151.54841735912</v>
      </c>
      <c r="T26" t="n">
        <v>56.0848473691233</v>
      </c>
      <c r="U26" t="n">
        <v>40.2347818082841</v>
      </c>
      <c r="V26" t="n">
        <v>163.534919607864</v>
      </c>
      <c r="W26" t="n">
        <v>191.424595820058</v>
      </c>
      <c r="X26" t="n">
        <v>130.786990932959</v>
      </c>
      <c r="Y26" t="n">
        <v>166.986961637617</v>
      </c>
      <c r="Z26" t="n">
        <v>-90.4512708870428</v>
      </c>
      <c r="AA26" t="n">
        <v>209.893333725061</v>
      </c>
      <c r="AB26" t="n">
        <v>249.602883348721</v>
      </c>
      <c r="AC26" t="n">
        <v>270.680460164835</v>
      </c>
      <c r="AD26" t="n">
        <v>136.945054945055</v>
      </c>
      <c r="AE26" t="n">
        <v>93</v>
      </c>
      <c r="AF26" t="n">
        <v>81</v>
      </c>
    </row>
    <row r="27">
      <c r="A27" t="s">
        <v>59</v>
      </c>
      <c r="B27" t="s">
        <v>324</v>
      </c>
      <c r="C27" t="s">
        <v>236</v>
      </c>
      <c r="D27" t="s">
        <v>325</v>
      </c>
      <c r="E27" t="s">
        <v>237</v>
      </c>
      <c r="F27" t="n">
        <v>219.132711474819</v>
      </c>
      <c r="G27" t="n">
        <v>142.093867596953</v>
      </c>
      <c r="H27" t="n">
        <v>207.942245263834</v>
      </c>
      <c r="I27" t="n">
        <v>183.060267198076</v>
      </c>
      <c r="J27" t="n">
        <v>198.315289464582</v>
      </c>
      <c r="K27" t="n">
        <v>244.695478129686</v>
      </c>
      <c r="L27" t="n">
        <v>156.419261336065</v>
      </c>
      <c r="M27" t="n">
        <v>200.275129000382</v>
      </c>
      <c r="N27" t="n">
        <v>302.637972711689</v>
      </c>
      <c r="O27" t="n">
        <v>354.816933524049</v>
      </c>
      <c r="P27" t="n">
        <v>151.233447075824</v>
      </c>
      <c r="Q27" t="n">
        <v>94.347471570239</v>
      </c>
      <c r="R27" t="n">
        <v>206.216616432094</v>
      </c>
      <c r="S27" t="n">
        <v>180.913964109137</v>
      </c>
      <c r="T27" t="n">
        <v>264.781364689532</v>
      </c>
      <c r="U27" t="n">
        <v>235.631122705364</v>
      </c>
      <c r="V27" t="n">
        <v>148.887797313829</v>
      </c>
      <c r="W27" t="n">
        <v>218.87778750409</v>
      </c>
      <c r="X27" t="n">
        <v>234.426482791266</v>
      </c>
      <c r="Y27" t="n">
        <v>116.041108981677</v>
      </c>
      <c r="Z27" t="n">
        <v>198.430296358667</v>
      </c>
      <c r="AA27" t="n">
        <v>201.891289899806</v>
      </c>
      <c r="AB27" t="n">
        <v>270.692232267897</v>
      </c>
      <c r="AC27" t="n">
        <v>218.974610655738</v>
      </c>
      <c r="AD27" t="n">
        <v>211.569672131148</v>
      </c>
      <c r="AE27" t="n">
        <v>247</v>
      </c>
      <c r="AF27" t="n">
        <v>342</v>
      </c>
    </row>
    <row r="28">
      <c r="A28" t="s">
        <v>59</v>
      </c>
      <c r="B28" t="s">
        <v>326</v>
      </c>
      <c r="C28" t="s">
        <v>236</v>
      </c>
      <c r="D28" t="s">
        <v>327</v>
      </c>
      <c r="E28" t="s">
        <v>237</v>
      </c>
      <c r="F28" t="n">
        <v>328.751151827997</v>
      </c>
      <c r="G28" t="n">
        <v>418.410556871997</v>
      </c>
      <c r="H28" t="n">
        <v>385.008033424232</v>
      </c>
      <c r="I28" t="n">
        <v>576.648803424635</v>
      </c>
      <c r="J28" t="n">
        <v>407.543582478994</v>
      </c>
      <c r="K28" t="n">
        <v>344.471361381055</v>
      </c>
      <c r="L28" t="n">
        <v>294.817831812614</v>
      </c>
      <c r="M28" t="n">
        <v>293.328852864066</v>
      </c>
      <c r="N28" t="n">
        <v>364.438877800809</v>
      </c>
      <c r="O28" t="n">
        <v>334.92965692625</v>
      </c>
      <c r="P28" t="n">
        <v>194.057955729801</v>
      </c>
      <c r="Q28" t="n">
        <v>364.718852967357</v>
      </c>
      <c r="R28" t="n">
        <v>377.791213288768</v>
      </c>
      <c r="S28" t="n">
        <v>523.00086530204</v>
      </c>
      <c r="T28" t="n">
        <v>348.284092717622</v>
      </c>
      <c r="U28" t="n">
        <v>317.998519437829</v>
      </c>
      <c r="V28" t="n">
        <v>317.998519437829</v>
      </c>
      <c r="W28" t="n">
        <v>273.547113494907</v>
      </c>
      <c r="X28" t="n">
        <v>273.547113494907</v>
      </c>
      <c r="Y28" t="n">
        <v>238.285180895954</v>
      </c>
      <c r="Z28" t="n">
        <v>282.963652313945</v>
      </c>
      <c r="AA28" t="n">
        <v>366.124725703921</v>
      </c>
      <c r="AB28" t="n">
        <v>480.538702486397</v>
      </c>
      <c r="AC28" t="n">
        <v>568.584425017017</v>
      </c>
      <c r="AD28" t="n">
        <v>513.062618595825</v>
      </c>
      <c r="AE28" t="n">
        <v>524</v>
      </c>
      <c r="AF28" t="n">
        <v>505</v>
      </c>
    </row>
    <row r="29">
      <c r="A29" t="s">
        <v>59</v>
      </c>
      <c r="B29" t="s">
        <v>328</v>
      </c>
      <c r="C29" t="s">
        <v>236</v>
      </c>
      <c r="D29" t="s">
        <v>329</v>
      </c>
      <c r="E29" t="s">
        <v>237</v>
      </c>
      <c r="F29" t="n">
        <v>37.9365991744583</v>
      </c>
      <c r="G29" t="n">
        <v>128.984437193158</v>
      </c>
      <c r="H29" t="n">
        <v>104.705013721505</v>
      </c>
      <c r="I29" t="n">
        <v>80.7724391565896</v>
      </c>
      <c r="J29" t="n">
        <v>98.7218700802761</v>
      </c>
      <c r="K29" t="n">
        <v>84.2039480096473</v>
      </c>
      <c r="L29" t="n">
        <v>77.0680202122196</v>
      </c>
      <c r="M29" t="n">
        <v>68.660599825432</v>
      </c>
      <c r="N29" t="n">
        <v>64.4568896320382</v>
      </c>
      <c r="O29" t="n">
        <v>57.4507059763818</v>
      </c>
      <c r="P29" t="n">
        <v>86.1760589645728</v>
      </c>
      <c r="Q29" t="n">
        <v>110.984318363465</v>
      </c>
      <c r="R29" t="n">
        <v>76.4558637614981</v>
      </c>
      <c r="S29" t="n">
        <v>127.034358249874</v>
      </c>
      <c r="T29" t="n">
        <v>120.519775775521</v>
      </c>
      <c r="U29" t="n">
        <v>84.3638430428648</v>
      </c>
      <c r="V29" t="n">
        <v>134.526128095379</v>
      </c>
      <c r="W29" t="n">
        <v>54.6854179249508</v>
      </c>
      <c r="X29" t="n">
        <v>102.009337283081</v>
      </c>
      <c r="Y29" t="n">
        <v>55.1683150612583</v>
      </c>
      <c r="Z29" t="n">
        <v>109.295718517587</v>
      </c>
      <c r="AA29" t="n">
        <v>71.4625851845762</v>
      </c>
      <c r="AB29" t="n">
        <v>43.7308357099646</v>
      </c>
      <c r="AC29" t="n">
        <v>90.5853025420695</v>
      </c>
      <c r="AD29" t="n">
        <v>135.369047619048</v>
      </c>
      <c r="AE29" t="n">
        <v>166</v>
      </c>
      <c r="AF29" t="n">
        <v>151</v>
      </c>
    </row>
    <row r="30">
      <c r="A30" t="s">
        <v>59</v>
      </c>
      <c r="B30" t="s">
        <v>330</v>
      </c>
      <c r="C30" t="s">
        <v>236</v>
      </c>
      <c r="D30" t="s">
        <v>331</v>
      </c>
      <c r="E30" t="s">
        <v>237</v>
      </c>
      <c r="F30" t="e">
        <v>#NUM!</v>
      </c>
      <c r="G30" t="e">
        <v>#NUM!</v>
      </c>
      <c r="H30" t="e">
        <v>#NUM!</v>
      </c>
      <c r="I30" t="e">
        <v>#NUM!</v>
      </c>
      <c r="J30" t="e">
        <v>#NUM!</v>
      </c>
      <c r="K30" t="e">
        <v>#NUM!</v>
      </c>
      <c r="L30" t="e">
        <v>#NUM!</v>
      </c>
      <c r="M30" t="e">
        <v>#NUM!</v>
      </c>
      <c r="N30" t="e">
        <v>#NUM!</v>
      </c>
      <c r="O30" t="e">
        <v>#NUM!</v>
      </c>
      <c r="P30" t="n">
        <v>0</v>
      </c>
      <c r="Q30" t="n">
        <v>2.72727272727273</v>
      </c>
      <c r="R30" t="n">
        <v>2.72727272727273</v>
      </c>
      <c r="S30" t="n">
        <v>0.909090909090909</v>
      </c>
      <c r="T30" t="n">
        <v>2.72727272727273</v>
      </c>
      <c r="U30" t="n">
        <v>10</v>
      </c>
      <c r="V30" t="n">
        <v>5</v>
      </c>
      <c r="W30" t="n">
        <v>1</v>
      </c>
      <c r="X30" t="n">
        <v>3</v>
      </c>
      <c r="Y30" t="n">
        <v>1</v>
      </c>
      <c r="Z30" t="n">
        <v>1</v>
      </c>
      <c r="AA30" t="n">
        <v>1</v>
      </c>
      <c r="AB30" t="n">
        <v>1</v>
      </c>
      <c r="AC30" t="n">
        <v>16</v>
      </c>
      <c r="AD30" t="n">
        <v>3</v>
      </c>
      <c r="AE30" t="n">
        <v>3</v>
      </c>
      <c r="AF30" t="n">
        <v>-18</v>
      </c>
    </row>
    <row r="31">
      <c r="A31" t="s">
        <v>59</v>
      </c>
      <c r="B31" t="s">
        <v>332</v>
      </c>
      <c r="C31" t="s">
        <v>236</v>
      </c>
      <c r="D31" t="s">
        <v>333</v>
      </c>
      <c r="E31" t="s">
        <v>237</v>
      </c>
      <c r="F31" t="e">
        <v>#NUM!</v>
      </c>
      <c r="G31" t="e">
        <v>#NUM!</v>
      </c>
      <c r="H31" t="e">
        <v>#NUM!</v>
      </c>
      <c r="I31" t="e">
        <v>#NUM!</v>
      </c>
      <c r="J31" t="e">
        <v>#NUM!</v>
      </c>
      <c r="K31" t="e">
        <v>#NUM!</v>
      </c>
      <c r="L31" t="e">
        <v>#NUM!</v>
      </c>
      <c r="M31" t="e">
        <v>#NUM!</v>
      </c>
      <c r="N31" t="n">
        <v>0</v>
      </c>
      <c r="O31" t="n">
        <v>0</v>
      </c>
      <c r="P31" t="n">
        <v>0</v>
      </c>
      <c r="Q31" t="e">
        <v>#NUM!</v>
      </c>
      <c r="R31" t="e">
        <v>#NUM!</v>
      </c>
      <c r="S31" t="e">
        <v>#NUM!</v>
      </c>
      <c r="T31" t="e">
        <v>#NUM!</v>
      </c>
      <c r="U31" t="e">
        <v>#NUM!</v>
      </c>
      <c r="V31" t="e">
        <v>#NUM!</v>
      </c>
      <c r="W31" t="e">
        <v>#NUM!</v>
      </c>
      <c r="X31" t="n">
        <v>0</v>
      </c>
      <c r="Y31" t="e">
        <v>#NUM!</v>
      </c>
      <c r="Z31" t="e">
        <v>#NUM!</v>
      </c>
      <c r="AA31" t="e">
        <v>#NUM!</v>
      </c>
      <c r="AB31" t="e">
        <v>#NUM!</v>
      </c>
      <c r="AC31" t="e">
        <v>#NUM!</v>
      </c>
      <c r="AD31" t="e">
        <v>#NUM!</v>
      </c>
      <c r="AE31" t="n">
        <v>0</v>
      </c>
      <c r="AF31" t="e">
        <v>#NUM!</v>
      </c>
    </row>
    <row r="32">
      <c r="A32" t="s">
        <v>59</v>
      </c>
      <c r="B32" t="s">
        <v>334</v>
      </c>
      <c r="C32" t="s">
        <v>236</v>
      </c>
      <c r="D32" t="s">
        <v>335</v>
      </c>
      <c r="E32" t="s">
        <v>237</v>
      </c>
      <c r="F32" t="n">
        <v>279.828724302673</v>
      </c>
      <c r="G32" t="n">
        <v>251.658047359451</v>
      </c>
      <c r="H32" t="n">
        <v>236.633686323066</v>
      </c>
      <c r="I32" t="n">
        <v>410.898804157882</v>
      </c>
      <c r="J32" t="n">
        <v>251.204509092155</v>
      </c>
      <c r="K32" t="n">
        <v>227.280270130997</v>
      </c>
      <c r="L32" t="n">
        <v>204.552243117898</v>
      </c>
      <c r="M32" t="n">
        <v>218.498986966845</v>
      </c>
      <c r="N32" t="n">
        <v>306.206326805649</v>
      </c>
      <c r="O32" t="n">
        <v>272.523630857028</v>
      </c>
      <c r="P32" t="n">
        <v>99.7764112973818</v>
      </c>
      <c r="Q32" t="n">
        <v>248.015650939206</v>
      </c>
      <c r="R32" t="n">
        <v>313.068936431457</v>
      </c>
      <c r="S32" t="n">
        <v>332.158505726058</v>
      </c>
      <c r="T32" t="n">
        <v>229.772729767488</v>
      </c>
      <c r="U32" t="n">
        <v>214.051437730765</v>
      </c>
      <c r="V32" t="n">
        <v>167.835786402532</v>
      </c>
      <c r="W32" t="n">
        <v>177.159996758228</v>
      </c>
      <c r="X32" t="n">
        <v>167.256642902178</v>
      </c>
      <c r="Y32" t="n">
        <v>167.256642902178</v>
      </c>
      <c r="Z32" t="n">
        <v>260.057102834999</v>
      </c>
      <c r="AA32" t="n">
        <v>307.042209649726</v>
      </c>
      <c r="AB32" t="n">
        <v>431.399807106425</v>
      </c>
      <c r="AC32" t="n">
        <v>452.80922681394</v>
      </c>
      <c r="AD32" t="n">
        <v>365.969101123596</v>
      </c>
      <c r="AE32" t="n">
        <v>355</v>
      </c>
      <c r="AF32" t="n">
        <v>371</v>
      </c>
    </row>
    <row r="33">
      <c r="A33" t="s">
        <v>59</v>
      </c>
      <c r="B33" t="s">
        <v>336</v>
      </c>
      <c r="C33" t="s">
        <v>236</v>
      </c>
      <c r="D33" t="s">
        <v>337</v>
      </c>
      <c r="E33" t="s">
        <v>237</v>
      </c>
      <c r="F33" t="e">
        <v>#NUM!</v>
      </c>
      <c r="G33" t="e">
        <v>#NUM!</v>
      </c>
      <c r="H33" t="e">
        <v>#NUM!</v>
      </c>
      <c r="I33" t="e">
        <v>#NUM!</v>
      </c>
      <c r="J33" t="e">
        <v>#NUM!</v>
      </c>
      <c r="K33" t="e">
        <v>#NUM!</v>
      </c>
      <c r="L33" t="e">
        <v>#NUM!</v>
      </c>
      <c r="M33" t="e">
        <v>#NUM!</v>
      </c>
      <c r="N33" t="e">
        <v>#NUM!</v>
      </c>
      <c r="O33" t="e">
        <v>#NUM!</v>
      </c>
      <c r="P33" t="e">
        <v>#NUM!</v>
      </c>
      <c r="Q33" t="e">
        <v>#NUM!</v>
      </c>
      <c r="R33" t="e">
        <v>#NUM!</v>
      </c>
      <c r="S33" t="e">
        <v>#NUM!</v>
      </c>
      <c r="T33" t="e">
        <v>#NUM!</v>
      </c>
      <c r="U33" t="e">
        <v>#NUM!</v>
      </c>
      <c r="V33" t="e">
        <v>#NUM!</v>
      </c>
      <c r="W33" t="e">
        <v>#NUM!</v>
      </c>
      <c r="X33" t="e">
        <v>#NUM!</v>
      </c>
      <c r="Y33" t="e">
        <v>#NUM!</v>
      </c>
      <c r="Z33" t="e">
        <v>#NUM!</v>
      </c>
      <c r="AA33" t="e">
        <v>#NUM!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59</v>
      </c>
      <c r="B34" t="s">
        <v>338</v>
      </c>
      <c r="C34" t="s">
        <v>236</v>
      </c>
      <c r="D34" t="s">
        <v>339</v>
      </c>
      <c r="E34" t="s">
        <v>237</v>
      </c>
      <c r="F34" t="n">
        <v>53.5651006923559</v>
      </c>
      <c r="G34" t="n">
        <v>60.9533904430257</v>
      </c>
      <c r="H34" t="n">
        <v>75.7299699443653</v>
      </c>
      <c r="I34" t="n">
        <v>49.870955817021</v>
      </c>
      <c r="J34" t="n">
        <v>65.9009059010635</v>
      </c>
      <c r="K34" t="n">
        <v>53.7612653403413</v>
      </c>
      <c r="L34" t="n">
        <v>26.8806326701706</v>
      </c>
      <c r="M34" t="n">
        <v>76.1617925654835</v>
      </c>
      <c r="N34" t="n">
        <v>28.3740011518468</v>
      </c>
      <c r="O34" t="n">
        <v>58.2413707853697</v>
      </c>
      <c r="P34" t="n">
        <v>58.2413707853697</v>
      </c>
      <c r="Q34" t="n">
        <v>95.682252004536</v>
      </c>
      <c r="R34" t="n">
        <v>92.9869773001828</v>
      </c>
      <c r="S34" t="n">
        <v>89.1655946714082</v>
      </c>
      <c r="T34" t="n">
        <v>95.1902970140709</v>
      </c>
      <c r="U34" t="n">
        <v>115.936900209445</v>
      </c>
      <c r="V34" t="n">
        <v>67.7384136055186</v>
      </c>
      <c r="W34" t="n">
        <v>76.6849965345494</v>
      </c>
      <c r="X34" t="n">
        <v>45.5317166923887</v>
      </c>
      <c r="Y34" t="n">
        <v>57.2065158442832</v>
      </c>
      <c r="Z34" t="n">
        <v>67.7138350809883</v>
      </c>
      <c r="AA34" t="n">
        <v>88.7284735543985</v>
      </c>
      <c r="AB34" t="n">
        <v>113.75445327487</v>
      </c>
      <c r="AC34" t="n">
        <v>110.441216771718</v>
      </c>
      <c r="AD34" t="n">
        <v>94.5121951219512</v>
      </c>
      <c r="AE34" t="n">
        <v>125</v>
      </c>
      <c r="AF34" t="n">
        <v>92</v>
      </c>
    </row>
    <row r="35">
      <c r="A35" t="s">
        <v>59</v>
      </c>
      <c r="B35" t="s">
        <v>340</v>
      </c>
      <c r="C35" t="s">
        <v>236</v>
      </c>
      <c r="D35" t="s">
        <v>341</v>
      </c>
      <c r="E35" t="s">
        <v>237</v>
      </c>
      <c r="F35" t="n">
        <v>649.760209613698</v>
      </c>
      <c r="G35" t="n">
        <v>710.734774738737</v>
      </c>
      <c r="H35" t="n">
        <v>718.356595379367</v>
      </c>
      <c r="I35" t="n">
        <v>696.139381089284</v>
      </c>
      <c r="J35" t="n">
        <v>883.490876791413</v>
      </c>
      <c r="K35" t="n">
        <v>865.642576250172</v>
      </c>
      <c r="L35" t="n">
        <v>852.116910996263</v>
      </c>
      <c r="M35" t="n">
        <v>676.153954232217</v>
      </c>
      <c r="N35" t="n">
        <v>523.577646270077</v>
      </c>
      <c r="O35" t="n">
        <v>170.868154022271</v>
      </c>
      <c r="P35" t="n">
        <v>142.138110425606</v>
      </c>
      <c r="Q35" t="n">
        <v>205.955221228939</v>
      </c>
      <c r="R35" t="n">
        <v>193.597907955203</v>
      </c>
      <c r="S35" t="n">
        <v>187.101333862746</v>
      </c>
      <c r="T35" t="n">
        <v>189.515544622265</v>
      </c>
      <c r="U35" t="n">
        <v>216.414525149297</v>
      </c>
      <c r="V35" t="n">
        <v>216.414525149297</v>
      </c>
      <c r="W35" t="n">
        <v>161.452106063761</v>
      </c>
      <c r="X35" t="n">
        <v>245.450836921258</v>
      </c>
      <c r="Y35" t="n">
        <v>471.352492140823</v>
      </c>
      <c r="Z35" t="n">
        <v>434.679758198517</v>
      </c>
      <c r="AA35" t="n">
        <v>252.11425975514</v>
      </c>
      <c r="AB35" t="n">
        <v>292.848878143525</v>
      </c>
      <c r="AC35" t="n">
        <v>344.528091933559</v>
      </c>
      <c r="AD35" t="n">
        <v>336.175895765472</v>
      </c>
      <c r="AE35" t="n">
        <v>618</v>
      </c>
      <c r="AF35" t="n">
        <v>342</v>
      </c>
    </row>
    <row r="36">
      <c r="A36" t="s">
        <v>59</v>
      </c>
      <c r="B36" t="s">
        <v>342</v>
      </c>
      <c r="C36" t="s">
        <v>236</v>
      </c>
      <c r="D36" t="s">
        <v>343</v>
      </c>
      <c r="E36" t="s">
        <v>237</v>
      </c>
      <c r="F36" t="n">
        <v>14.2610306603774</v>
      </c>
      <c r="G36" t="n">
        <v>9.5073537735849</v>
      </c>
      <c r="H36" t="n">
        <v>38.0294150943396</v>
      </c>
      <c r="I36" t="n">
        <v>38.0294150943396</v>
      </c>
      <c r="J36" t="n">
        <v>23.0481303602058</v>
      </c>
      <c r="K36" t="n">
        <v>14.2678902229846</v>
      </c>
      <c r="L36" t="n">
        <v>4.39012006861063</v>
      </c>
      <c r="M36" t="n">
        <v>12.0728301886792</v>
      </c>
      <c r="N36" t="n">
        <v>15.3654202401372</v>
      </c>
      <c r="O36" t="n">
        <v>15.3654202401372</v>
      </c>
      <c r="P36" t="n">
        <v>15.3654202401372</v>
      </c>
      <c r="Q36" t="n">
        <v>9.87777015437393</v>
      </c>
      <c r="R36" t="n">
        <v>16.4629502572899</v>
      </c>
      <c r="S36" t="n">
        <v>-5.48765008576329</v>
      </c>
      <c r="T36" t="n">
        <v>14.2678902229846</v>
      </c>
      <c r="U36" t="n">
        <v>14.2678902229846</v>
      </c>
      <c r="V36" t="n">
        <v>19.7555403087479</v>
      </c>
      <c r="W36" t="n">
        <v>-6.58518010291595</v>
      </c>
      <c r="X36" t="n">
        <v>30.7308404802744</v>
      </c>
      <c r="Y36" t="n">
        <v>-116.338181818182</v>
      </c>
      <c r="Z36" t="n">
        <v>9.78545454545455</v>
      </c>
      <c r="AA36" t="n">
        <v>-2.17454545454545</v>
      </c>
      <c r="AB36" t="n">
        <v>31.5309090909091</v>
      </c>
      <c r="AC36" t="n">
        <v>27.1818181818182</v>
      </c>
      <c r="AD36" t="n">
        <v>23</v>
      </c>
      <c r="AE36" t="n">
        <v>2</v>
      </c>
      <c r="AF36" t="n">
        <v>15</v>
      </c>
    </row>
    <row r="37">
      <c r="A37" t="s">
        <v>59</v>
      </c>
      <c r="B37" t="s">
        <v>344</v>
      </c>
      <c r="C37" t="s">
        <v>236</v>
      </c>
      <c r="D37" t="s">
        <v>345</v>
      </c>
      <c r="E37" t="s">
        <v>237</v>
      </c>
      <c r="F37" t="n">
        <v>608.182322796127</v>
      </c>
      <c r="G37" t="n">
        <v>669.371397955494</v>
      </c>
      <c r="H37" t="n">
        <v>635.995538777657</v>
      </c>
      <c r="I37" t="n">
        <v>609.04657527013</v>
      </c>
      <c r="J37" t="n">
        <v>819.801695158327</v>
      </c>
      <c r="K37" t="n">
        <v>807.643619170809</v>
      </c>
      <c r="L37" t="n">
        <v>815.851379528236</v>
      </c>
      <c r="M37" t="n">
        <v>637.186251840851</v>
      </c>
      <c r="N37" t="n">
        <v>486.068730010625</v>
      </c>
      <c r="O37" t="n">
        <v>220.249893286064</v>
      </c>
      <c r="P37" t="n">
        <v>115.998277130661</v>
      </c>
      <c r="Q37" t="n">
        <v>180.286478913918</v>
      </c>
      <c r="R37" t="n">
        <v>161.863043112496</v>
      </c>
      <c r="S37" t="n">
        <v>181.632575095701</v>
      </c>
      <c r="T37" t="n">
        <v>162.089829674012</v>
      </c>
      <c r="U37" t="n">
        <v>187.744335090043</v>
      </c>
      <c r="V37" t="n">
        <v>156.835206752048</v>
      </c>
      <c r="W37" t="n">
        <v>140.610875019077</v>
      </c>
      <c r="X37" t="n">
        <v>191.272146165657</v>
      </c>
      <c r="Y37" t="n">
        <v>142.939937188313</v>
      </c>
      <c r="Z37" t="n">
        <v>209.304908025745</v>
      </c>
      <c r="AA37" t="n">
        <v>227.007313182151</v>
      </c>
      <c r="AB37" t="n">
        <v>230.174857087018</v>
      </c>
      <c r="AC37" t="n">
        <v>199.347867298578</v>
      </c>
      <c r="AD37" t="n">
        <v>124.592417061611</v>
      </c>
      <c r="AE37" t="n">
        <v>207</v>
      </c>
      <c r="AF37" t="n">
        <v>196</v>
      </c>
    </row>
    <row r="38">
      <c r="A38" t="s">
        <v>59</v>
      </c>
      <c r="B38" t="s">
        <v>346</v>
      </c>
      <c r="C38" t="s">
        <v>236</v>
      </c>
      <c r="D38" t="s">
        <v>347</v>
      </c>
      <c r="E38" t="s">
        <v>237</v>
      </c>
      <c r="F38" t="e">
        <v>#NUM!</v>
      </c>
      <c r="G38" t="e">
        <v>#NUM!</v>
      </c>
      <c r="H38" t="e">
        <v>#NUM!</v>
      </c>
      <c r="I38" t="e">
        <v>#NUM!</v>
      </c>
      <c r="J38" t="e">
        <v>#NUM!</v>
      </c>
      <c r="K38" t="e">
        <v>#NUM!</v>
      </c>
      <c r="L38" t="e">
        <v>#NUM!</v>
      </c>
      <c r="M38" t="e">
        <v>#NUM!</v>
      </c>
      <c r="N38" t="n">
        <v>0</v>
      </c>
      <c r="O38" t="n">
        <v>-62.8096775172355</v>
      </c>
      <c r="P38" t="n">
        <v>1.23156230425952</v>
      </c>
      <c r="Q38" t="n">
        <v>4.92624921703807</v>
      </c>
      <c r="R38" t="n">
        <v>3.69468691277856</v>
      </c>
      <c r="S38" t="n">
        <v>2.46312460851904</v>
      </c>
      <c r="T38" t="n">
        <v>3.69468691277856</v>
      </c>
      <c r="U38" t="n">
        <v>3.69468691277856</v>
      </c>
      <c r="V38" t="n">
        <v>30.789057606488</v>
      </c>
      <c r="W38" t="n">
        <v>20.1313068965498</v>
      </c>
      <c r="X38" t="n">
        <v>13.4208712643665</v>
      </c>
      <c r="Y38" t="n">
        <v>448.480781417582</v>
      </c>
      <c r="Z38" t="n">
        <v>209.809078435453</v>
      </c>
      <c r="AA38" t="n">
        <v>17.6681329208803</v>
      </c>
      <c r="AB38" t="n">
        <v>20.9809078435453</v>
      </c>
      <c r="AC38" t="n">
        <v>111.530089063057</v>
      </c>
      <c r="AD38" t="n">
        <v>187.670822942643</v>
      </c>
      <c r="AE38" t="n">
        <v>409</v>
      </c>
      <c r="AF38" t="n">
        <v>131</v>
      </c>
    </row>
    <row r="39">
      <c r="A39" t="s">
        <v>59</v>
      </c>
      <c r="B39" t="s">
        <v>348</v>
      </c>
      <c r="C39" t="s">
        <v>236</v>
      </c>
      <c r="D39" t="s">
        <v>349</v>
      </c>
      <c r="E39" t="s">
        <v>237</v>
      </c>
      <c r="F39" t="e">
        <v>#NUM!</v>
      </c>
      <c r="G39" t="e">
        <v>#NUM!</v>
      </c>
      <c r="H39" t="e">
        <v>#NUM!</v>
      </c>
      <c r="I39" t="e">
        <v>#NUM!</v>
      </c>
      <c r="J39" t="e">
        <v>#NUM!</v>
      </c>
      <c r="K39" t="e">
        <v>#NUM!</v>
      </c>
      <c r="L39" t="e">
        <v>#NUM!</v>
      </c>
      <c r="M39" t="e">
        <v>#NUM!</v>
      </c>
      <c r="N39" t="e">
        <v>#NUM!</v>
      </c>
      <c r="O39" t="e">
        <v>#NUM!</v>
      </c>
      <c r="P39" t="e">
        <v>#NUM!</v>
      </c>
      <c r="Q39" t="e">
        <v>#NUM!</v>
      </c>
      <c r="R39" t="e">
        <v>#NUM!</v>
      </c>
      <c r="S39" t="e">
        <v>#NUM!</v>
      </c>
      <c r="T39" t="e">
        <v>#NUM!</v>
      </c>
      <c r="U39" t="n">
        <v>1.22926829268293</v>
      </c>
      <c r="V39" t="n">
        <v>15.980487804878</v>
      </c>
      <c r="W39" t="n">
        <v>22.1268292682927</v>
      </c>
      <c r="X39" t="n">
        <v>17.209756097561</v>
      </c>
      <c r="Y39" t="n">
        <v>38.1073170731707</v>
      </c>
      <c r="Z39" t="n">
        <v>28.2731707317073</v>
      </c>
      <c r="AA39" t="n">
        <v>151.2</v>
      </c>
      <c r="AB39" t="n">
        <v>2.4</v>
      </c>
      <c r="AC39" t="n">
        <v>-6</v>
      </c>
      <c r="AD39" t="n">
        <v>7</v>
      </c>
      <c r="AE39" t="n">
        <v>-1</v>
      </c>
      <c r="AF39" t="n">
        <v>-8</v>
      </c>
    </row>
    <row r="40">
      <c r="A40" t="s">
        <v>59</v>
      </c>
      <c r="B40" t="s">
        <v>350</v>
      </c>
      <c r="C40" t="s">
        <v>236</v>
      </c>
      <c r="D40" t="s">
        <v>351</v>
      </c>
      <c r="E40" t="s">
        <v>237</v>
      </c>
      <c r="F40" t="n">
        <v>732.333512009723</v>
      </c>
      <c r="G40" t="n">
        <v>1560.42007401587</v>
      </c>
      <c r="H40" t="n">
        <v>1259.44352701855</v>
      </c>
      <c r="I40" t="n">
        <v>2290.72699479461</v>
      </c>
      <c r="J40" t="n">
        <v>2797.82105667075</v>
      </c>
      <c r="K40" t="n">
        <v>4170.08567018068</v>
      </c>
      <c r="L40" t="n">
        <v>5254.14662583307</v>
      </c>
      <c r="M40" t="n">
        <v>4545.84114508696</v>
      </c>
      <c r="N40" t="n">
        <v>3938.81156735419</v>
      </c>
      <c r="O40" t="n">
        <v>4481.72468069899</v>
      </c>
      <c r="P40" t="n">
        <v>5385.57669335587</v>
      </c>
      <c r="Q40" t="n">
        <v>5408.42113320044</v>
      </c>
      <c r="R40" t="n">
        <v>7382.22737481226</v>
      </c>
      <c r="S40" t="n">
        <v>7977.33975435567</v>
      </c>
      <c r="T40" t="n">
        <v>5604.1482856769</v>
      </c>
      <c r="U40" t="n">
        <v>5084.44365331119</v>
      </c>
      <c r="V40" t="n">
        <v>5828.31556523532</v>
      </c>
      <c r="W40" t="n">
        <v>5819.27340899493</v>
      </c>
      <c r="X40" t="n">
        <v>5263.37709881293</v>
      </c>
      <c r="Y40" t="n">
        <v>4383.36525039337</v>
      </c>
      <c r="Z40" t="n">
        <v>5224.49750114453</v>
      </c>
      <c r="AA40" t="n">
        <v>5152.01754945706</v>
      </c>
      <c r="AB40" t="n">
        <v>5593.35358840965</v>
      </c>
      <c r="AC40" t="n">
        <v>6179.2810392503</v>
      </c>
      <c r="AD40" t="n">
        <v>6648.63449691992</v>
      </c>
      <c r="AE40" t="n">
        <v>5985</v>
      </c>
      <c r="AF40" t="n">
        <v>5232</v>
      </c>
    </row>
    <row r="41">
      <c r="A41" t="s">
        <v>59</v>
      </c>
      <c r="B41" t="s">
        <v>352</v>
      </c>
      <c r="C41" t="s">
        <v>236</v>
      </c>
      <c r="D41" t="s">
        <v>353</v>
      </c>
      <c r="E41" t="s">
        <v>237</v>
      </c>
      <c r="F41" t="n">
        <v>83.1181087985471</v>
      </c>
      <c r="G41" t="n">
        <v>80.4368794824649</v>
      </c>
      <c r="H41" t="n">
        <v>112.893865940302</v>
      </c>
      <c r="I41" t="n">
        <v>127.748321985078</v>
      </c>
      <c r="J41" t="n">
        <v>136.660995611944</v>
      </c>
      <c r="K41" t="n">
        <v>176.336768531541</v>
      </c>
      <c r="L41" t="n">
        <v>159.133181357732</v>
      </c>
      <c r="M41" t="n">
        <v>176.814645953035</v>
      </c>
      <c r="N41" t="n">
        <v>218.978138449529</v>
      </c>
      <c r="O41" t="n">
        <v>217.626421545519</v>
      </c>
      <c r="P41" t="n">
        <v>294.125406088793</v>
      </c>
      <c r="Q41" t="n">
        <v>304.138185870539</v>
      </c>
      <c r="R41" t="n">
        <v>273.128017899425</v>
      </c>
      <c r="S41" t="n">
        <v>244.795235959651</v>
      </c>
      <c r="T41" t="n">
        <v>191.953973571885</v>
      </c>
      <c r="U41" t="n">
        <v>280.296427318036</v>
      </c>
      <c r="V41" t="n">
        <v>325.900211127717</v>
      </c>
      <c r="W41" t="n">
        <v>299.65321425837</v>
      </c>
      <c r="X41" t="n">
        <v>318.645319387422</v>
      </c>
      <c r="Y41" t="n">
        <v>402.717862939152</v>
      </c>
      <c r="Z41" t="n">
        <v>449.666836597861</v>
      </c>
      <c r="AA41" t="n">
        <v>459.234216099944</v>
      </c>
      <c r="AB41" t="n">
        <v>436.701696151115</v>
      </c>
      <c r="AC41" t="n">
        <v>415.806878153454</v>
      </c>
      <c r="AD41" t="n">
        <v>405.68992248062</v>
      </c>
      <c r="AE41" t="n">
        <v>382</v>
      </c>
      <c r="AF41" t="n">
        <v>390</v>
      </c>
    </row>
    <row r="42">
      <c r="A42" t="s">
        <v>59</v>
      </c>
      <c r="B42" t="s">
        <v>354</v>
      </c>
      <c r="C42" t="s">
        <v>236</v>
      </c>
      <c r="D42" t="s">
        <v>355</v>
      </c>
      <c r="E42" t="s">
        <v>237</v>
      </c>
      <c r="F42" t="n">
        <v>7.90015209923083</v>
      </c>
      <c r="G42" t="n">
        <v>18.4336882315386</v>
      </c>
      <c r="H42" t="n">
        <v>36.8673764630772</v>
      </c>
      <c r="I42" t="n">
        <v>43.4508365457696</v>
      </c>
      <c r="J42" t="n">
        <v>44.767528562308</v>
      </c>
      <c r="K42" t="n">
        <v>55.3010646946158</v>
      </c>
      <c r="L42" t="n">
        <v>34.2339924300003</v>
      </c>
      <c r="M42" t="n">
        <v>42.1341445292311</v>
      </c>
      <c r="N42" t="n">
        <v>35.5506844465387</v>
      </c>
      <c r="O42" t="n">
        <v>31.6006083969233</v>
      </c>
      <c r="P42" t="n">
        <v>56.6177567111543</v>
      </c>
      <c r="Q42" t="n">
        <v>50.1839207212504</v>
      </c>
      <c r="R42" t="n">
        <v>99.1132434244695</v>
      </c>
      <c r="S42" t="n">
        <v>65.6774504619979</v>
      </c>
      <c r="T42" t="n">
        <v>56.6184917775844</v>
      </c>
      <c r="U42" t="n">
        <v>134.752010430651</v>
      </c>
      <c r="V42" t="n">
        <v>132.345724530103</v>
      </c>
      <c r="W42" t="n">
        <v>43.3344407753436</v>
      </c>
      <c r="X42" t="n">
        <v>-10.0002555635408</v>
      </c>
      <c r="Y42" t="n">
        <v>46.6678592965239</v>
      </c>
      <c r="Z42" t="n">
        <v>84.4466025365671</v>
      </c>
      <c r="AA42" t="n">
        <v>41.1121617612234</v>
      </c>
      <c r="AB42" t="n">
        <v>80.0020445083267</v>
      </c>
      <c r="AC42" t="n">
        <v>99.7285760309278</v>
      </c>
      <c r="AD42" t="n">
        <v>134.371134020619</v>
      </c>
      <c r="AE42" t="n">
        <v>98</v>
      </c>
      <c r="AF42" t="n">
        <v>157</v>
      </c>
    </row>
    <row r="43">
      <c r="A43" t="s">
        <v>59</v>
      </c>
      <c r="B43" t="s">
        <v>356</v>
      </c>
      <c r="C43" t="s">
        <v>236</v>
      </c>
      <c r="D43" t="s">
        <v>357</v>
      </c>
      <c r="E43" t="s">
        <v>237</v>
      </c>
      <c r="F43" t="n">
        <v>68.1635084640896</v>
      </c>
      <c r="G43" t="n">
        <v>108.771556059717</v>
      </c>
      <c r="H43" t="n">
        <v>69.6137958782192</v>
      </c>
      <c r="I43" t="n">
        <v>111.672130887977</v>
      </c>
      <c r="J43" t="n">
        <v>107.377048930747</v>
      </c>
      <c r="K43" t="n">
        <v>146.423248541927</v>
      </c>
      <c r="L43" t="n">
        <v>133.991085929877</v>
      </c>
      <c r="M43" t="n">
        <v>140.559276416636</v>
      </c>
      <c r="N43" t="n">
        <v>132.677447832525</v>
      </c>
      <c r="O43" t="n">
        <v>119.541066859008</v>
      </c>
      <c r="P43" t="n">
        <v>111.744910324725</v>
      </c>
      <c r="Q43" t="n">
        <v>100.316453586969</v>
      </c>
      <c r="R43" t="n">
        <v>161.001715633407</v>
      </c>
      <c r="S43" t="n">
        <v>150.424960591796</v>
      </c>
      <c r="T43" t="n">
        <v>137.053852983636</v>
      </c>
      <c r="U43" t="n">
        <v>268.536411130539</v>
      </c>
      <c r="V43" t="n">
        <v>214.358012393676</v>
      </c>
      <c r="W43" t="n">
        <v>80.6723702556846</v>
      </c>
      <c r="X43" t="n">
        <v>56.3601490827386</v>
      </c>
      <c r="Y43" t="n">
        <v>54.1499471579253</v>
      </c>
      <c r="Z43" t="n">
        <v>155.819235699336</v>
      </c>
      <c r="AA43" t="n">
        <v>100.564187579004</v>
      </c>
      <c r="AB43" t="n">
        <v>135.927418376017</v>
      </c>
      <c r="AC43" t="n">
        <v>214.853016142736</v>
      </c>
      <c r="AD43" t="n">
        <v>225.385026737968</v>
      </c>
      <c r="AE43" t="n">
        <v>189</v>
      </c>
      <c r="AF43" t="n">
        <v>668</v>
      </c>
    </row>
    <row r="44">
      <c r="A44" t="s">
        <v>59</v>
      </c>
      <c r="B44" t="s">
        <v>358</v>
      </c>
      <c r="C44" t="s">
        <v>236</v>
      </c>
      <c r="D44" t="s">
        <v>359</v>
      </c>
      <c r="E44" t="s">
        <v>237</v>
      </c>
      <c r="F44" t="n">
        <v>4476.91666725668</v>
      </c>
      <c r="G44" t="n">
        <v>4986.2559507029</v>
      </c>
      <c r="H44" t="n">
        <v>5217.06850531141</v>
      </c>
      <c r="I44" t="n">
        <v>5664.39441902705</v>
      </c>
      <c r="J44" t="n">
        <v>5571.00662135124</v>
      </c>
      <c r="K44" t="n">
        <v>5633.49134732862</v>
      </c>
      <c r="L44" t="n">
        <v>5370.5845259464</v>
      </c>
      <c r="M44" t="n">
        <v>5463.41695895369</v>
      </c>
      <c r="N44" t="n">
        <v>5191.15365535135</v>
      </c>
      <c r="O44" t="n">
        <v>4914.23225216796</v>
      </c>
      <c r="P44" t="n">
        <v>4616.66520573214</v>
      </c>
      <c r="Q44" t="n">
        <v>4917.63034194573</v>
      </c>
      <c r="R44" t="n">
        <v>5867.44468981881</v>
      </c>
      <c r="S44" t="n">
        <v>6031.5427372924</v>
      </c>
      <c r="T44" t="n">
        <v>5328.02093492922</v>
      </c>
      <c r="U44" t="n">
        <v>6244.01648578113</v>
      </c>
      <c r="V44" t="n">
        <v>5745.46323149007</v>
      </c>
      <c r="W44" t="n">
        <v>5176.52451783907</v>
      </c>
      <c r="X44" t="n">
        <v>5409.90153560339</v>
      </c>
      <c r="Y44" t="n">
        <v>5689.72402882425</v>
      </c>
      <c r="Z44" t="n">
        <v>5324.26867774208</v>
      </c>
      <c r="AA44" t="n">
        <v>6582.03069871593</v>
      </c>
      <c r="AB44" t="n">
        <v>7157.82103028974</v>
      </c>
      <c r="AC44" t="n">
        <v>7265.19908354942</v>
      </c>
      <c r="AD44" t="n">
        <v>6150.02729839975</v>
      </c>
      <c r="AE44" t="n">
        <v>6399</v>
      </c>
      <c r="AF44" t="n">
        <v>7076</v>
      </c>
    </row>
    <row r="45">
      <c r="A45" t="s">
        <v>59</v>
      </c>
      <c r="B45" t="s">
        <v>360</v>
      </c>
      <c r="C45" t="s">
        <v>236</v>
      </c>
      <c r="D45" t="s">
        <v>361</v>
      </c>
      <c r="E45" t="s">
        <v>237</v>
      </c>
      <c r="F45" t="n">
        <v>3775.99926259406</v>
      </c>
      <c r="G45" t="n">
        <v>4159.37610010361</v>
      </c>
      <c r="H45" t="n">
        <v>4183.94625428144</v>
      </c>
      <c r="I45" t="n">
        <v>4513.93786420816</v>
      </c>
      <c r="J45" t="n">
        <v>4408.72577865143</v>
      </c>
      <c r="K45" t="n">
        <v>4515.01924141566</v>
      </c>
      <c r="L45" t="n">
        <v>4179.34765383397</v>
      </c>
      <c r="M45" t="n">
        <v>4295.3569434321</v>
      </c>
      <c r="N45" t="n">
        <v>4092.60408071765</v>
      </c>
      <c r="O45" t="n">
        <v>3925.86284498088</v>
      </c>
      <c r="P45" t="n">
        <v>3512.53779480742</v>
      </c>
      <c r="Q45" t="n">
        <v>3797.15054102699</v>
      </c>
      <c r="R45" t="n">
        <v>4649.21997386143</v>
      </c>
      <c r="S45" t="n">
        <v>4865.20146029484</v>
      </c>
      <c r="T45" t="n">
        <v>4219.08769682835</v>
      </c>
      <c r="U45" t="n">
        <v>5178.29502914048</v>
      </c>
      <c r="V45" t="n">
        <v>4682.14211006935</v>
      </c>
      <c r="W45" t="n">
        <v>3852.33672620557</v>
      </c>
      <c r="X45" t="n">
        <v>3903.01087244677</v>
      </c>
      <c r="Y45" t="n">
        <v>4362.82957377913</v>
      </c>
      <c r="Z45" t="n">
        <v>4434.3513700706</v>
      </c>
      <c r="AA45" t="n">
        <v>5497.85245044493</v>
      </c>
      <c r="AB45" t="n">
        <v>6059.10292900078</v>
      </c>
      <c r="AC45" t="n">
        <v>6340.42603368883</v>
      </c>
      <c r="AD45" t="n">
        <v>5249.77773729277</v>
      </c>
      <c r="AE45" t="n">
        <v>5494</v>
      </c>
      <c r="AF45" t="n">
        <v>6225</v>
      </c>
    </row>
    <row r="46">
      <c r="A46" t="s">
        <v>59</v>
      </c>
      <c r="B46" t="s">
        <v>362</v>
      </c>
      <c r="C46" t="s">
        <v>236</v>
      </c>
      <c r="D46" t="s">
        <v>363</v>
      </c>
      <c r="E46" t="s">
        <v>237</v>
      </c>
      <c r="F46" t="n">
        <v>62.0283523753955</v>
      </c>
      <c r="G46" t="n">
        <v>92.2860852414421</v>
      </c>
      <c r="H46" t="n">
        <v>30.2577328660466</v>
      </c>
      <c r="I46" t="n">
        <v>66.5670123053025</v>
      </c>
      <c r="J46" t="n">
        <v>60.6499445448312</v>
      </c>
      <c r="K46" t="n">
        <v>88.8592210773108</v>
      </c>
      <c r="L46" t="n">
        <v>98.5781983826416</v>
      </c>
      <c r="M46" t="n">
        <v>97.2811168249753</v>
      </c>
      <c r="N46" t="n">
        <v>95.984035267309</v>
      </c>
      <c r="O46" t="n">
        <v>86.9044643636446</v>
      </c>
      <c r="P46" t="n">
        <v>54.9542936417164</v>
      </c>
      <c r="Q46" t="n">
        <v>49.9584487651968</v>
      </c>
      <c r="R46" t="n">
        <v>62.1434362689033</v>
      </c>
      <c r="S46" t="n">
        <v>84.0087194005545</v>
      </c>
      <c r="T46" t="n">
        <v>79.6446300810451</v>
      </c>
      <c r="U46" t="n">
        <v>133.104724245034</v>
      </c>
      <c r="V46" t="n">
        <v>82.6167253934696</v>
      </c>
      <c r="W46" t="n">
        <v>37.3472868217054</v>
      </c>
      <c r="X46" t="n">
        <v>65.906976744186</v>
      </c>
      <c r="Y46" t="n">
        <v>7.68914728682171</v>
      </c>
      <c r="Z46" t="n">
        <v>71.3992248062016</v>
      </c>
      <c r="AA46" t="n">
        <v>59.3162790697674</v>
      </c>
      <c r="AB46" t="n">
        <v>56.0209302325581</v>
      </c>
      <c r="AC46" t="n">
        <v>115.337209302326</v>
      </c>
      <c r="AD46" t="n">
        <v>91</v>
      </c>
      <c r="AE46" t="n">
        <v>91</v>
      </c>
      <c r="AF46" t="n">
        <v>511</v>
      </c>
    </row>
    <row r="47">
      <c r="A47" t="s">
        <v>59</v>
      </c>
      <c r="B47" t="s">
        <v>364</v>
      </c>
      <c r="C47" t="s">
        <v>236</v>
      </c>
      <c r="D47" t="s">
        <v>365</v>
      </c>
      <c r="E47" t="s">
        <v>237</v>
      </c>
      <c r="F47" t="n">
        <v>2038.63467417305</v>
      </c>
      <c r="G47" t="n">
        <v>2068.92907055499</v>
      </c>
      <c r="H47" t="n">
        <v>2342.0491290493</v>
      </c>
      <c r="I47" t="n">
        <v>2488.86414907926</v>
      </c>
      <c r="J47" t="n">
        <v>2526.91488659124</v>
      </c>
      <c r="K47" t="n">
        <v>2375.60261793309</v>
      </c>
      <c r="L47" t="n">
        <v>2293.9612880715</v>
      </c>
      <c r="M47" t="n">
        <v>2477.96887802376</v>
      </c>
      <c r="N47" t="n">
        <v>2589.0135238775</v>
      </c>
      <c r="O47" t="n">
        <v>2700.86606667175</v>
      </c>
      <c r="P47" t="n">
        <v>2667.70006585303</v>
      </c>
      <c r="Q47" t="n">
        <v>2502.77270474929</v>
      </c>
      <c r="R47" t="n">
        <v>2285.98689474248</v>
      </c>
      <c r="S47" t="n">
        <v>2524.94872480623</v>
      </c>
      <c r="T47" t="n">
        <v>2592.73258319029</v>
      </c>
      <c r="U47" t="n">
        <v>2539.9601500811</v>
      </c>
      <c r="V47" t="n">
        <v>2354.71920848682</v>
      </c>
      <c r="W47" t="n">
        <v>2538.42837114986</v>
      </c>
      <c r="X47" t="n">
        <v>2593.31890712332</v>
      </c>
      <c r="Y47" t="n">
        <v>2914.93129127444</v>
      </c>
      <c r="Z47" t="n">
        <v>2518.96361325388</v>
      </c>
      <c r="AA47" t="n">
        <v>2674.58327634617</v>
      </c>
      <c r="AB47" t="n">
        <v>2628.05039213928</v>
      </c>
      <c r="AC47" t="n">
        <v>2736.825613368</v>
      </c>
      <c r="AD47" t="n">
        <v>2627.19312339332</v>
      </c>
      <c r="AE47" t="n">
        <v>3045</v>
      </c>
      <c r="AF47" t="n">
        <v>2566</v>
      </c>
    </row>
    <row r="48">
      <c r="A48" t="s">
        <v>59</v>
      </c>
      <c r="B48" t="s">
        <v>366</v>
      </c>
      <c r="C48" t="s">
        <v>236</v>
      </c>
      <c r="D48" t="s">
        <v>367</v>
      </c>
      <c r="E48" t="s">
        <v>237</v>
      </c>
      <c r="F48" t="n">
        <v>3162.98024637103</v>
      </c>
      <c r="G48" t="n">
        <v>3328.14429067901</v>
      </c>
      <c r="H48" t="n">
        <v>3739.9286137357</v>
      </c>
      <c r="I48" t="n">
        <v>3815.82145488277</v>
      </c>
      <c r="J48" t="n">
        <v>3737.84145239879</v>
      </c>
      <c r="K48" t="n">
        <v>3629.23184381322</v>
      </c>
      <c r="L48" t="n">
        <v>3741.29458270467</v>
      </c>
      <c r="M48" t="n">
        <v>4130.79088737015</v>
      </c>
      <c r="N48" t="n">
        <v>4354.200107548</v>
      </c>
      <c r="O48" t="n">
        <v>4403.85062708811</v>
      </c>
      <c r="P48" t="n">
        <v>4144.027819126</v>
      </c>
      <c r="Q48" t="n">
        <v>4109.2508149373</v>
      </c>
      <c r="R48" t="n">
        <v>3949.16731570761</v>
      </c>
      <c r="S48" t="n">
        <v>4314.1642320289</v>
      </c>
      <c r="T48" t="n">
        <v>4379.16105661691</v>
      </c>
      <c r="U48" t="n">
        <v>4406.24379506869</v>
      </c>
      <c r="V48" t="n">
        <v>4271.59187008979</v>
      </c>
      <c r="W48" t="n">
        <v>4360.67978287335</v>
      </c>
      <c r="X48" t="n">
        <v>4514.24818667862</v>
      </c>
      <c r="Y48" t="n">
        <v>4873.43476114752</v>
      </c>
      <c r="Z48" t="n">
        <v>4483.94838771952</v>
      </c>
      <c r="AA48" t="n">
        <v>4904.28443088291</v>
      </c>
      <c r="AB48" t="n">
        <v>4967.69247747034</v>
      </c>
      <c r="AC48" t="n">
        <v>5034.70845735912</v>
      </c>
      <c r="AD48" t="n">
        <v>5171.64429065744</v>
      </c>
      <c r="AE48" t="n">
        <v>5764</v>
      </c>
      <c r="AF48" t="n">
        <v>5188</v>
      </c>
    </row>
    <row r="49">
      <c r="A49" t="s">
        <v>59</v>
      </c>
      <c r="B49" t="s">
        <v>368</v>
      </c>
      <c r="C49" t="s">
        <v>236</v>
      </c>
      <c r="D49" t="s">
        <v>369</v>
      </c>
      <c r="E49" t="s">
        <v>237</v>
      </c>
      <c r="F49" t="n">
        <v>605.355926470325</v>
      </c>
      <c r="G49" t="n">
        <v>666.41488158981</v>
      </c>
      <c r="H49" t="n">
        <v>784.224372530489</v>
      </c>
      <c r="I49" t="n">
        <v>780.675845957952</v>
      </c>
      <c r="J49" t="n">
        <v>647.139188096724</v>
      </c>
      <c r="K49" t="n">
        <v>630.920160826129</v>
      </c>
      <c r="L49" t="n">
        <v>728.468913871566</v>
      </c>
      <c r="M49" t="n">
        <v>842.24600589613</v>
      </c>
      <c r="N49" t="n">
        <v>951.067171259701</v>
      </c>
      <c r="O49" t="n">
        <v>928.601017607898</v>
      </c>
      <c r="P49" t="n">
        <v>751.933213943502</v>
      </c>
      <c r="Q49" t="n">
        <v>744.970869369951</v>
      </c>
      <c r="R49" t="n">
        <v>766.408879999302</v>
      </c>
      <c r="S49" t="n">
        <v>817.921607999255</v>
      </c>
      <c r="T49" t="n">
        <v>711.960875667474</v>
      </c>
      <c r="U49" t="n">
        <v>888.141024561459</v>
      </c>
      <c r="V49" t="n">
        <v>935.835099900754</v>
      </c>
      <c r="W49" t="n">
        <v>691.15584197522</v>
      </c>
      <c r="X49" t="n">
        <v>742.663123092957</v>
      </c>
      <c r="Y49" t="n">
        <v>780.088666303941</v>
      </c>
      <c r="Z49" t="n">
        <v>1037.0180183951</v>
      </c>
      <c r="AA49" t="n">
        <v>1040.49794463133</v>
      </c>
      <c r="AB49" t="n">
        <v>956.440250414388</v>
      </c>
      <c r="AC49" t="n">
        <v>984.147094285025</v>
      </c>
      <c r="AD49" t="n">
        <v>1177.55710955711</v>
      </c>
      <c r="AE49" t="n">
        <v>1311</v>
      </c>
      <c r="AF49" t="n">
        <v>1275</v>
      </c>
    </row>
    <row r="50">
      <c r="A50" t="s">
        <v>59</v>
      </c>
      <c r="B50" t="s">
        <v>370</v>
      </c>
      <c r="C50" t="s">
        <v>236</v>
      </c>
      <c r="D50" t="s">
        <v>371</v>
      </c>
      <c r="E50" t="s">
        <v>237</v>
      </c>
      <c r="F50" t="n">
        <v>506.412761775687</v>
      </c>
      <c r="G50" t="n">
        <v>578.009048785353</v>
      </c>
      <c r="H50" t="n">
        <v>597.334579291854</v>
      </c>
      <c r="I50" t="n">
        <v>528.20683866164</v>
      </c>
      <c r="J50" t="n">
        <v>547.132816594142</v>
      </c>
      <c r="K50" t="n">
        <v>604.295946686067</v>
      </c>
      <c r="L50" t="n">
        <v>697.629613844386</v>
      </c>
      <c r="M50" t="n">
        <v>785.204395156766</v>
      </c>
      <c r="N50" t="n">
        <v>786.702876826913</v>
      </c>
      <c r="O50" t="n">
        <v>746.089152784223</v>
      </c>
      <c r="P50" t="n">
        <v>696.154052007327</v>
      </c>
      <c r="Q50" t="n">
        <v>835.944022289922</v>
      </c>
      <c r="R50" t="n">
        <v>876.262865808729</v>
      </c>
      <c r="S50" t="n">
        <v>948.025772922375</v>
      </c>
      <c r="T50" t="n">
        <v>1049.38701908389</v>
      </c>
      <c r="U50" t="n">
        <v>956.403359165061</v>
      </c>
      <c r="V50" t="n">
        <v>974.473058258598</v>
      </c>
      <c r="W50" t="n">
        <v>1102.12776498249</v>
      </c>
      <c r="X50" t="n">
        <v>1153.69631111333</v>
      </c>
      <c r="Y50" t="n">
        <v>1134.95606646581</v>
      </c>
      <c r="Z50" t="n">
        <v>911.457025684847</v>
      </c>
      <c r="AA50" t="n">
        <v>1180.83031225667</v>
      </c>
      <c r="AB50" t="n">
        <v>1380.47117196578</v>
      </c>
      <c r="AC50" t="n">
        <v>1305.13245632077</v>
      </c>
      <c r="AD50" t="n">
        <v>1371.2961622013</v>
      </c>
      <c r="AE50" t="n">
        <v>1408</v>
      </c>
      <c r="AF50" t="n">
        <v>1347</v>
      </c>
    </row>
    <row r="51">
      <c r="A51" t="s">
        <v>59</v>
      </c>
      <c r="B51" t="s">
        <v>372</v>
      </c>
      <c r="C51" t="s">
        <v>236</v>
      </c>
      <c r="D51" t="s">
        <v>373</v>
      </c>
      <c r="E51" t="s">
        <v>237</v>
      </c>
      <c r="F51" t="n">
        <v>284.23110199865</v>
      </c>
      <c r="G51" t="n">
        <v>291.29274428433</v>
      </c>
      <c r="H51" t="n">
        <v>323.263899144806</v>
      </c>
      <c r="I51" t="n">
        <v>260.754305387523</v>
      </c>
      <c r="J51" t="n">
        <v>259.015943351606</v>
      </c>
      <c r="K51" t="n">
        <v>288.712038767714</v>
      </c>
      <c r="L51" t="n">
        <v>360.491274925432</v>
      </c>
      <c r="M51" t="n">
        <v>464.132516466494</v>
      </c>
      <c r="N51" t="n">
        <v>427.848541237843</v>
      </c>
      <c r="O51" t="n">
        <v>406.607833516816</v>
      </c>
      <c r="P51" t="n">
        <v>391.822094116204</v>
      </c>
      <c r="Q51" t="n">
        <v>511.19441669641</v>
      </c>
      <c r="R51" t="n">
        <v>450.498509700794</v>
      </c>
      <c r="S51" t="n">
        <v>482.046024385723</v>
      </c>
      <c r="T51" t="n">
        <v>596.591614338767</v>
      </c>
      <c r="U51" t="n">
        <v>532.58482170728</v>
      </c>
      <c r="V51" t="n">
        <v>553.217647729837</v>
      </c>
      <c r="W51" t="n">
        <v>650.472804979147</v>
      </c>
      <c r="X51" t="n">
        <v>697.191846220743</v>
      </c>
      <c r="Y51" t="n">
        <v>673.796146683134</v>
      </c>
      <c r="Z51" t="n">
        <v>522.77287242657</v>
      </c>
      <c r="AA51" t="n">
        <v>729.100081499584</v>
      </c>
      <c r="AB51" t="n">
        <v>918.16795977665</v>
      </c>
      <c r="AC51" t="n">
        <v>890.512298337594</v>
      </c>
      <c r="AD51" t="n">
        <v>940.636942675159</v>
      </c>
      <c r="AE51" t="n">
        <v>960</v>
      </c>
      <c r="AF51" t="n">
        <v>930</v>
      </c>
    </row>
    <row r="52">
      <c r="A52" t="s">
        <v>59</v>
      </c>
      <c r="B52" t="s">
        <v>374</v>
      </c>
      <c r="C52" t="s">
        <v>236</v>
      </c>
      <c r="D52" t="s">
        <v>375</v>
      </c>
      <c r="E52" t="s">
        <v>237</v>
      </c>
      <c r="F52" t="n">
        <v>222.382214784976</v>
      </c>
      <c r="G52" t="n">
        <v>286.166260886093</v>
      </c>
      <c r="H52" t="n">
        <v>274.025874060622</v>
      </c>
      <c r="I52" t="n">
        <v>266.999569597529</v>
      </c>
      <c r="J52" t="n">
        <v>287.407180012627</v>
      </c>
      <c r="K52" t="n">
        <v>314.856180350911</v>
      </c>
      <c r="L52" t="n">
        <v>336.786461569383</v>
      </c>
      <c r="M52" t="n">
        <v>322.143571935931</v>
      </c>
      <c r="N52" t="n">
        <v>359.256886675094</v>
      </c>
      <c r="O52" t="n">
        <v>339.877884489301</v>
      </c>
      <c r="P52" t="n">
        <v>304.869003683536</v>
      </c>
      <c r="Q52" t="n">
        <v>325.750442291997</v>
      </c>
      <c r="R52" t="n">
        <v>426.290702258663</v>
      </c>
      <c r="S52" t="n">
        <v>466.530532560365</v>
      </c>
      <c r="T52" t="n">
        <v>453.405632667363</v>
      </c>
      <c r="U52" t="n">
        <v>424.387672176652</v>
      </c>
      <c r="V52" t="n">
        <v>421.799942468257</v>
      </c>
      <c r="W52" t="n">
        <v>452.199938321826</v>
      </c>
      <c r="X52" t="n">
        <v>457.010575963547</v>
      </c>
      <c r="Y52" t="n">
        <v>461.709913505589</v>
      </c>
      <c r="Z52" t="n">
        <v>389.238990373066</v>
      </c>
      <c r="AA52" t="n">
        <v>452.169845104041</v>
      </c>
      <c r="AB52" t="n">
        <v>462.420546882218</v>
      </c>
      <c r="AC52" t="n">
        <v>414.622269199681</v>
      </c>
      <c r="AD52" t="n">
        <v>430.651480637813</v>
      </c>
      <c r="AE52" t="n">
        <v>448</v>
      </c>
      <c r="AF52" t="n">
        <v>417</v>
      </c>
    </row>
    <row r="53">
      <c r="A53" t="s">
        <v>59</v>
      </c>
      <c r="B53" t="s">
        <v>376</v>
      </c>
      <c r="C53" t="s">
        <v>236</v>
      </c>
      <c r="D53" t="s">
        <v>377</v>
      </c>
      <c r="E53" t="s">
        <v>237</v>
      </c>
      <c r="F53" t="n">
        <v>338.084260835425</v>
      </c>
      <c r="G53" t="n">
        <v>406.049653477598</v>
      </c>
      <c r="H53" t="n">
        <v>444.554361997025</v>
      </c>
      <c r="I53" t="n">
        <v>406.350471512906</v>
      </c>
      <c r="J53" t="n">
        <v>370.794805255527</v>
      </c>
      <c r="K53" t="n">
        <v>372.421098261033</v>
      </c>
      <c r="L53" t="n">
        <v>347.384385772897</v>
      </c>
      <c r="M53" t="n">
        <v>383.166468427616</v>
      </c>
      <c r="N53" t="n">
        <v>457.71247395828</v>
      </c>
      <c r="O53" t="n">
        <v>386.61150712981</v>
      </c>
      <c r="P53" t="n">
        <v>341.891519364794</v>
      </c>
      <c r="Q53" t="n">
        <v>374.844918821642</v>
      </c>
      <c r="R53" t="n">
        <v>418.2480146852</v>
      </c>
      <c r="S53" t="n">
        <v>374.809793575461</v>
      </c>
      <c r="T53" t="n">
        <v>363.205775198512</v>
      </c>
      <c r="U53" t="n">
        <v>354.977812653562</v>
      </c>
      <c r="V53" t="n">
        <v>350.131699170237</v>
      </c>
      <c r="W53" t="n">
        <v>416.879213727774</v>
      </c>
      <c r="X53" t="n">
        <v>393.47155734199</v>
      </c>
      <c r="Y53" t="n">
        <v>354.014799502682</v>
      </c>
      <c r="Z53" t="n">
        <v>468.388811649702</v>
      </c>
      <c r="AA53" t="n">
        <v>498.07542647257</v>
      </c>
      <c r="AB53" t="n">
        <v>550.735383456454</v>
      </c>
      <c r="AC53" t="n">
        <v>687.6171875</v>
      </c>
      <c r="AD53" t="n">
        <v>665.902960526316</v>
      </c>
      <c r="AE53" t="n">
        <v>607</v>
      </c>
      <c r="AF53" t="n">
        <v>524</v>
      </c>
    </row>
    <row r="54">
      <c r="A54" t="s">
        <v>59</v>
      </c>
      <c r="B54" t="s">
        <v>378</v>
      </c>
      <c r="C54" t="s">
        <v>236</v>
      </c>
      <c r="D54" t="s">
        <v>379</v>
      </c>
      <c r="E54" t="s">
        <v>237</v>
      </c>
      <c r="F54" t="n">
        <v>407.533839384733</v>
      </c>
      <c r="G54" t="n">
        <v>488.034350868137</v>
      </c>
      <c r="H54" t="n">
        <v>562.080942034337</v>
      </c>
      <c r="I54" t="n">
        <v>552.013820684468</v>
      </c>
      <c r="J54" t="n">
        <v>548.747466715921</v>
      </c>
      <c r="K54" t="n">
        <v>494.029058353934</v>
      </c>
      <c r="L54" t="n">
        <v>466.834798261057</v>
      </c>
      <c r="M54" t="n">
        <v>485.565824117211</v>
      </c>
      <c r="N54" t="n">
        <v>592.505916333501</v>
      </c>
      <c r="O54" t="n">
        <v>565.115131880128</v>
      </c>
      <c r="P54" t="n">
        <v>493.421421119216</v>
      </c>
      <c r="Q54" t="n">
        <v>501.466335593986</v>
      </c>
      <c r="R54" t="n">
        <v>550.452764263835</v>
      </c>
      <c r="S54" t="n">
        <v>541.946871659317</v>
      </c>
      <c r="T54" t="n">
        <v>524.723983788788</v>
      </c>
      <c r="U54" t="n">
        <v>552.585434255449</v>
      </c>
      <c r="V54" t="n">
        <v>498.17330177953</v>
      </c>
      <c r="W54" t="n">
        <v>562.794838566969</v>
      </c>
      <c r="X54" t="n">
        <v>531.403891395903</v>
      </c>
      <c r="Y54" t="n">
        <v>488.406481096234</v>
      </c>
      <c r="Z54" t="n">
        <v>586.963842752425</v>
      </c>
      <c r="AA54" t="n">
        <v>613.443414605918</v>
      </c>
      <c r="AB54" t="n">
        <v>656.241792369122</v>
      </c>
      <c r="AC54" t="n">
        <v>786.847826086957</v>
      </c>
      <c r="AD54" t="n">
        <v>762</v>
      </c>
      <c r="AE54" t="n">
        <v>715</v>
      </c>
      <c r="AF54" t="n">
        <v>675</v>
      </c>
    </row>
    <row r="55">
      <c r="A55" t="s">
        <v>59</v>
      </c>
      <c r="B55" t="s">
        <v>380</v>
      </c>
      <c r="C55" t="s">
        <v>236</v>
      </c>
      <c r="D55" t="s">
        <v>381</v>
      </c>
      <c r="E55" t="s">
        <v>237</v>
      </c>
      <c r="F55" t="n">
        <v>75.5459029505728</v>
      </c>
      <c r="G55" t="n">
        <v>89.4216810435351</v>
      </c>
      <c r="H55" t="n">
        <v>123.340249715221</v>
      </c>
      <c r="I55" t="n">
        <v>148.320553455012</v>
      </c>
      <c r="J55" t="n">
        <v>177.076579124862</v>
      </c>
      <c r="K55" t="n">
        <v>125.249287673683</v>
      </c>
      <c r="L55" t="n">
        <v>122.434696939443</v>
      </c>
      <c r="M55" t="n">
        <v>107.634898408301</v>
      </c>
      <c r="N55" t="n">
        <v>140.33410805133</v>
      </c>
      <c r="O55" t="n">
        <v>180.233021124747</v>
      </c>
      <c r="P55" t="n">
        <v>153.332570210605</v>
      </c>
      <c r="Q55" t="n">
        <v>130.13940833001</v>
      </c>
      <c r="R55" t="n">
        <v>136.396110653568</v>
      </c>
      <c r="S55" t="n">
        <v>169.319309776843</v>
      </c>
      <c r="T55" t="n">
        <v>163.637453744063</v>
      </c>
      <c r="U55" t="n">
        <v>199.111307352916</v>
      </c>
      <c r="V55" t="n">
        <v>149.333480514687</v>
      </c>
      <c r="W55" t="n">
        <v>146.944144826452</v>
      </c>
      <c r="X55" t="n">
        <v>138.908136906255</v>
      </c>
      <c r="Y55" t="n">
        <v>135.520133567078</v>
      </c>
      <c r="Z55" t="n">
        <v>118.720117009176</v>
      </c>
      <c r="AA55" t="n">
        <v>115.360113697596</v>
      </c>
      <c r="AB55" t="n">
        <v>105.472103952087</v>
      </c>
      <c r="AC55" t="n">
        <v>99.0146281999187</v>
      </c>
      <c r="AD55" t="n">
        <v>95.8878504672897</v>
      </c>
      <c r="AE55" t="n">
        <v>108</v>
      </c>
      <c r="AF55" t="n">
        <v>151</v>
      </c>
    </row>
    <row r="56">
      <c r="A56" t="s">
        <v>59</v>
      </c>
      <c r="B56" t="s">
        <v>382</v>
      </c>
      <c r="C56" t="s">
        <v>236</v>
      </c>
      <c r="D56" t="s">
        <v>383</v>
      </c>
      <c r="E56" t="s">
        <v>237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59</v>
      </c>
      <c r="B57" t="s">
        <v>384</v>
      </c>
      <c r="C57" t="s">
        <v>236</v>
      </c>
      <c r="D57" t="s">
        <v>385</v>
      </c>
      <c r="E57" t="s">
        <v>237</v>
      </c>
      <c r="F57" t="n">
        <v>8422.11257685263</v>
      </c>
      <c r="G57" t="n">
        <v>9931.45174833159</v>
      </c>
      <c r="H57" t="n">
        <v>10277.4829335285</v>
      </c>
      <c r="I57" t="n">
        <v>11807.2698397567</v>
      </c>
      <c r="J57" t="n">
        <v>12131.8445918951</v>
      </c>
      <c r="K57" t="n">
        <v>13455.4695254666</v>
      </c>
      <c r="L57" t="n">
        <v>14377.1427858625</v>
      </c>
      <c r="M57" t="n">
        <v>14146.3066494464</v>
      </c>
      <c r="N57" t="n">
        <v>13492.4410298332</v>
      </c>
      <c r="O57" t="n">
        <v>13796.3725155439</v>
      </c>
      <c r="P57" t="n">
        <v>14120.2655849516</v>
      </c>
      <c r="Q57" t="n">
        <v>14409.7247063069</v>
      </c>
      <c r="R57" t="n">
        <v>17134.4726507722</v>
      </c>
      <c r="S57" t="n">
        <v>18252.3218153232</v>
      </c>
      <c r="T57" t="n">
        <v>15298.9178942311</v>
      </c>
      <c r="U57" t="n">
        <v>15746.303906074</v>
      </c>
      <c r="V57" t="n">
        <v>15795.9767890585</v>
      </c>
      <c r="W57" t="n">
        <v>15294.0013035351</v>
      </c>
      <c r="X57" t="n">
        <v>15170.6349475129</v>
      </c>
      <c r="Y57" t="n">
        <v>14999.8754309236</v>
      </c>
      <c r="Z57" t="n">
        <v>15016.6450613524</v>
      </c>
      <c r="AA57" t="n">
        <v>16666.5164438994</v>
      </c>
      <c r="AB57" t="n">
        <v>17741.703462343</v>
      </c>
      <c r="AC57" t="n">
        <v>18485.1134908571</v>
      </c>
      <c r="AD57" t="n">
        <v>17952.3831536837</v>
      </c>
      <c r="AE57" t="n">
        <v>18148</v>
      </c>
      <c r="AF57" t="n">
        <v>17496</v>
      </c>
    </row>
    <row r="58">
      <c r="A58" t="s">
        <v>59</v>
      </c>
      <c r="B58" t="s">
        <v>386</v>
      </c>
      <c r="C58" t="s">
        <v>236</v>
      </c>
      <c r="D58" t="s">
        <v>387</v>
      </c>
      <c r="E58" t="s">
        <v>237</v>
      </c>
      <c r="F58" t="n">
        <v>8422.11257685263</v>
      </c>
      <c r="G58" t="n">
        <v>9931.45174833159</v>
      </c>
      <c r="H58" t="n">
        <v>10277.4829335285</v>
      </c>
      <c r="I58" t="n">
        <v>11807.2698397567</v>
      </c>
      <c r="J58" t="n">
        <v>12131.8445918951</v>
      </c>
      <c r="K58" t="n">
        <v>13455.4695254666</v>
      </c>
      <c r="L58" t="n">
        <v>14377.1427858625</v>
      </c>
      <c r="M58" t="n">
        <v>14146.3066494464</v>
      </c>
      <c r="N58" t="n">
        <v>13492.4410298332</v>
      </c>
      <c r="O58" t="n">
        <v>13796.3725155439</v>
      </c>
      <c r="P58" t="n">
        <v>14120.2655849516</v>
      </c>
      <c r="Q58" t="n">
        <v>14409.7247063069</v>
      </c>
      <c r="R58" t="n">
        <v>17134.4726507722</v>
      </c>
      <c r="S58" t="n">
        <v>18252.3218153232</v>
      </c>
      <c r="T58" t="n">
        <v>15298.9178942311</v>
      </c>
      <c r="U58" t="n">
        <v>15746.303906074</v>
      </c>
      <c r="V58" t="n">
        <v>15795.9767890585</v>
      </c>
      <c r="W58" t="n">
        <v>15294.0013035351</v>
      </c>
      <c r="X58" t="n">
        <v>15170.6349475129</v>
      </c>
      <c r="Y58" t="n">
        <v>14999.8754309236</v>
      </c>
      <c r="Z58" t="n">
        <v>15016.6450613524</v>
      </c>
      <c r="AA58" t="n">
        <v>16666.5164438994</v>
      </c>
      <c r="AB58" t="n">
        <v>17741.703462343</v>
      </c>
      <c r="AC58" t="n">
        <v>18485.1134908571</v>
      </c>
      <c r="AD58" t="n">
        <v>17952.3831536837</v>
      </c>
      <c r="AE58" t="n">
        <v>18148</v>
      </c>
      <c r="AF58" t="n">
        <v>17496</v>
      </c>
    </row>
    <row r="59">
      <c r="A59" t="s">
        <v>59</v>
      </c>
      <c r="B59" t="s">
        <v>388</v>
      </c>
      <c r="C59" t="s">
        <v>236</v>
      </c>
      <c r="D59" t="s">
        <v>389</v>
      </c>
      <c r="E59" t="s">
        <v>237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61</v>
      </c>
      <c r="B2" t="s">
        <v>197</v>
      </c>
      <c r="C2" t="s">
        <v>236</v>
      </c>
      <c r="D2" t="s">
        <v>199</v>
      </c>
      <c r="E2" t="s">
        <v>237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61</v>
      </c>
      <c r="B3" t="s">
        <v>276</v>
      </c>
      <c r="C3" t="s">
        <v>236</v>
      </c>
      <c r="D3" t="s">
        <v>277</v>
      </c>
      <c r="E3" t="s">
        <v>237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61</v>
      </c>
      <c r="B4" t="s">
        <v>278</v>
      </c>
      <c r="C4" t="s">
        <v>236</v>
      </c>
      <c r="D4" t="s">
        <v>279</v>
      </c>
      <c r="E4" t="s">
        <v>237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61</v>
      </c>
      <c r="B5" t="s">
        <v>280</v>
      </c>
      <c r="C5" t="s">
        <v>236</v>
      </c>
      <c r="D5" t="s">
        <v>281</v>
      </c>
      <c r="E5" t="s">
        <v>237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61</v>
      </c>
      <c r="B6" t="s">
        <v>282</v>
      </c>
      <c r="C6" t="s">
        <v>236</v>
      </c>
      <c r="D6" t="s">
        <v>283</v>
      </c>
      <c r="E6" t="s">
        <v>237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61</v>
      </c>
      <c r="B7" t="s">
        <v>284</v>
      </c>
      <c r="C7" t="s">
        <v>236</v>
      </c>
      <c r="D7" t="s">
        <v>285</v>
      </c>
      <c r="E7" t="s">
        <v>237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61</v>
      </c>
      <c r="B8" t="s">
        <v>286</v>
      </c>
      <c r="C8" t="s">
        <v>236</v>
      </c>
      <c r="D8" t="s">
        <v>287</v>
      </c>
      <c r="E8" t="s">
        <v>237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61</v>
      </c>
      <c r="B9" t="s">
        <v>288</v>
      </c>
      <c r="C9" t="s">
        <v>236</v>
      </c>
      <c r="D9" t="s">
        <v>289</v>
      </c>
      <c r="E9" t="s">
        <v>237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61</v>
      </c>
      <c r="B10" t="s">
        <v>290</v>
      </c>
      <c r="C10" t="s">
        <v>236</v>
      </c>
      <c r="D10" t="s">
        <v>291</v>
      </c>
      <c r="E10" t="s">
        <v>237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61</v>
      </c>
      <c r="B11" t="s">
        <v>292</v>
      </c>
      <c r="C11" t="s">
        <v>236</v>
      </c>
      <c r="D11" t="s">
        <v>293</v>
      </c>
      <c r="E11" t="s">
        <v>237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61</v>
      </c>
      <c r="B12" t="s">
        <v>294</v>
      </c>
      <c r="C12" t="s">
        <v>236</v>
      </c>
      <c r="D12" t="s">
        <v>295</v>
      </c>
      <c r="E12" t="s">
        <v>237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61</v>
      </c>
      <c r="B13" t="s">
        <v>296</v>
      </c>
      <c r="C13" t="s">
        <v>236</v>
      </c>
      <c r="D13" t="s">
        <v>297</v>
      </c>
      <c r="E13" t="s">
        <v>237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61</v>
      </c>
      <c r="B14" t="s">
        <v>298</v>
      </c>
      <c r="C14" t="s">
        <v>236</v>
      </c>
      <c r="D14" t="s">
        <v>299</v>
      </c>
      <c r="E14" t="s">
        <v>237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61</v>
      </c>
      <c r="B15" t="s">
        <v>300</v>
      </c>
      <c r="C15" t="s">
        <v>236</v>
      </c>
      <c r="D15" t="s">
        <v>301</v>
      </c>
      <c r="E15" t="s">
        <v>237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61</v>
      </c>
      <c r="B16" t="s">
        <v>302</v>
      </c>
      <c r="C16" t="s">
        <v>236</v>
      </c>
      <c r="D16" t="s">
        <v>303</v>
      </c>
      <c r="E16" t="s">
        <v>237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61</v>
      </c>
      <c r="B17" t="s">
        <v>304</v>
      </c>
      <c r="C17" t="s">
        <v>236</v>
      </c>
      <c r="D17" t="s">
        <v>305</v>
      </c>
      <c r="E17" t="s">
        <v>237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61</v>
      </c>
      <c r="B18" t="s">
        <v>306</v>
      </c>
      <c r="C18" t="s">
        <v>236</v>
      </c>
      <c r="D18" t="s">
        <v>307</v>
      </c>
      <c r="E18" t="s">
        <v>237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61</v>
      </c>
      <c r="B19" t="s">
        <v>308</v>
      </c>
      <c r="C19" t="s">
        <v>236</v>
      </c>
      <c r="D19" t="s">
        <v>309</v>
      </c>
      <c r="E19" t="s">
        <v>237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61</v>
      </c>
      <c r="B20" t="s">
        <v>310</v>
      </c>
      <c r="C20" t="s">
        <v>236</v>
      </c>
      <c r="D20" t="s">
        <v>311</v>
      </c>
      <c r="E20" t="s">
        <v>237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61</v>
      </c>
      <c r="B21" t="s">
        <v>312</v>
      </c>
      <c r="C21" t="s">
        <v>236</v>
      </c>
      <c r="D21" t="s">
        <v>313</v>
      </c>
      <c r="E21" t="s">
        <v>237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61</v>
      </c>
      <c r="B22" t="s">
        <v>314</v>
      </c>
      <c r="C22" t="s">
        <v>236</v>
      </c>
      <c r="D22" t="s">
        <v>315</v>
      </c>
      <c r="E22" t="s">
        <v>237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61</v>
      </c>
      <c r="B23" t="s">
        <v>316</v>
      </c>
      <c r="C23" t="s">
        <v>236</v>
      </c>
      <c r="D23" t="s">
        <v>317</v>
      </c>
      <c r="E23" t="s">
        <v>237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61</v>
      </c>
      <c r="B24" t="s">
        <v>318</v>
      </c>
      <c r="C24" t="s">
        <v>236</v>
      </c>
      <c r="D24" t="s">
        <v>319</v>
      </c>
      <c r="E24" t="s">
        <v>237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61</v>
      </c>
      <c r="B25" t="s">
        <v>320</v>
      </c>
      <c r="C25" t="s">
        <v>236</v>
      </c>
      <c r="D25" t="s">
        <v>321</v>
      </c>
      <c r="E25" t="s">
        <v>237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61</v>
      </c>
      <c r="B26" t="s">
        <v>322</v>
      </c>
      <c r="C26" t="s">
        <v>236</v>
      </c>
      <c r="D26" t="s">
        <v>323</v>
      </c>
      <c r="E26" t="s">
        <v>237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61</v>
      </c>
      <c r="B27" t="s">
        <v>324</v>
      </c>
      <c r="C27" t="s">
        <v>236</v>
      </c>
      <c r="D27" t="s">
        <v>325</v>
      </c>
      <c r="E27" t="s">
        <v>237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61</v>
      </c>
      <c r="B28" t="s">
        <v>326</v>
      </c>
      <c r="C28" t="s">
        <v>236</v>
      </c>
      <c r="D28" t="s">
        <v>327</v>
      </c>
      <c r="E28" t="s">
        <v>237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61</v>
      </c>
      <c r="B29" t="s">
        <v>328</v>
      </c>
      <c r="C29" t="s">
        <v>236</v>
      </c>
      <c r="D29" t="s">
        <v>329</v>
      </c>
      <c r="E29" t="s">
        <v>237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61</v>
      </c>
      <c r="B30" t="s">
        <v>330</v>
      </c>
      <c r="C30" t="s">
        <v>236</v>
      </c>
      <c r="D30" t="s">
        <v>331</v>
      </c>
      <c r="E30" t="s">
        <v>237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61</v>
      </c>
      <c r="B31" t="s">
        <v>332</v>
      </c>
      <c r="C31" t="s">
        <v>236</v>
      </c>
      <c r="D31" t="s">
        <v>333</v>
      </c>
      <c r="E31" t="s">
        <v>237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61</v>
      </c>
      <c r="B32" t="s">
        <v>334</v>
      </c>
      <c r="C32" t="s">
        <v>236</v>
      </c>
      <c r="D32" t="s">
        <v>335</v>
      </c>
      <c r="E32" t="s">
        <v>237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61</v>
      </c>
      <c r="B33" t="s">
        <v>336</v>
      </c>
      <c r="C33" t="s">
        <v>236</v>
      </c>
      <c r="D33" t="s">
        <v>337</v>
      </c>
      <c r="E33" t="s">
        <v>237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61</v>
      </c>
      <c r="B34" t="s">
        <v>338</v>
      </c>
      <c r="C34" t="s">
        <v>236</v>
      </c>
      <c r="D34" t="s">
        <v>339</v>
      </c>
      <c r="E34" t="s">
        <v>237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61</v>
      </c>
      <c r="B35" t="s">
        <v>340</v>
      </c>
      <c r="C35" t="s">
        <v>236</v>
      </c>
      <c r="D35" t="s">
        <v>341</v>
      </c>
      <c r="E35" t="s">
        <v>237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61</v>
      </c>
      <c r="B36" t="s">
        <v>342</v>
      </c>
      <c r="C36" t="s">
        <v>236</v>
      </c>
      <c r="D36" t="s">
        <v>343</v>
      </c>
      <c r="E36" t="s">
        <v>237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61</v>
      </c>
      <c r="B37" t="s">
        <v>344</v>
      </c>
      <c r="C37" t="s">
        <v>236</v>
      </c>
      <c r="D37" t="s">
        <v>345</v>
      </c>
      <c r="E37" t="s">
        <v>237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61</v>
      </c>
      <c r="B38" t="s">
        <v>346</v>
      </c>
      <c r="C38" t="s">
        <v>236</v>
      </c>
      <c r="D38" t="s">
        <v>347</v>
      </c>
      <c r="E38" t="s">
        <v>237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61</v>
      </c>
      <c r="B39" t="s">
        <v>348</v>
      </c>
      <c r="C39" t="s">
        <v>236</v>
      </c>
      <c r="D39" t="s">
        <v>349</v>
      </c>
      <c r="E39" t="s">
        <v>237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61</v>
      </c>
      <c r="B40" t="s">
        <v>350</v>
      </c>
      <c r="C40" t="s">
        <v>236</v>
      </c>
      <c r="D40" t="s">
        <v>351</v>
      </c>
      <c r="E40" t="s">
        <v>237</v>
      </c>
      <c r="F40" t="n">
        <v>8656.41566943068</v>
      </c>
      <c r="G40" t="n">
        <v>8933.59154061935</v>
      </c>
      <c r="H40" t="n">
        <v>10151.1867123117</v>
      </c>
      <c r="I40" t="n">
        <v>11277.4333766707</v>
      </c>
      <c r="J40" t="n">
        <v>12271.3110646786</v>
      </c>
      <c r="K40" t="n">
        <v>13017.5394402334</v>
      </c>
      <c r="L40" t="n">
        <v>11678.4032491807</v>
      </c>
      <c r="M40" t="n">
        <v>11628.4113815943</v>
      </c>
      <c r="N40" t="n">
        <v>12941.9453442039</v>
      </c>
      <c r="O40" t="n">
        <v>14396.4264822543</v>
      </c>
      <c r="P40" t="n">
        <v>15122.0558585473</v>
      </c>
      <c r="Q40" t="n">
        <v>15734.2790359058</v>
      </c>
      <c r="R40" t="n">
        <v>15824.0077722923</v>
      </c>
      <c r="S40" t="n">
        <v>14286.5519954477</v>
      </c>
      <c r="T40" t="n">
        <v>12515.2067833893</v>
      </c>
      <c r="U40" t="n">
        <v>15696.1339849374</v>
      </c>
      <c r="V40" t="n">
        <v>16623.8544387529</v>
      </c>
      <c r="W40" t="n">
        <v>16379.3298043975</v>
      </c>
      <c r="X40" t="n">
        <v>15466.0698271354</v>
      </c>
      <c r="Y40" t="n">
        <v>14633.5376155855</v>
      </c>
      <c r="Z40" t="n">
        <v>14861.5405831973</v>
      </c>
      <c r="AA40" t="n">
        <v>16449.4827951476</v>
      </c>
      <c r="AB40" t="n">
        <v>16701.8106584117</v>
      </c>
      <c r="AC40" t="n">
        <v>17602.9316055632</v>
      </c>
      <c r="AD40" t="n">
        <v>17054.8354884613</v>
      </c>
      <c r="AE40" t="n">
        <v>16466</v>
      </c>
      <c r="AF40" t="n">
        <v>16722</v>
      </c>
    </row>
    <row r="41">
      <c r="A41" t="s">
        <v>61</v>
      </c>
      <c r="B41" t="s">
        <v>352</v>
      </c>
      <c r="C41" t="s">
        <v>236</v>
      </c>
      <c r="D41" t="s">
        <v>353</v>
      </c>
      <c r="E41" t="s">
        <v>237</v>
      </c>
      <c r="F41" t="n">
        <v>6045.69586761921</v>
      </c>
      <c r="G41" t="n">
        <v>6161.99652554071</v>
      </c>
      <c r="H41" t="n">
        <v>6918.3215034615</v>
      </c>
      <c r="I41" t="n">
        <v>8027.72243681809</v>
      </c>
      <c r="J41" t="n">
        <v>9083.07595611932</v>
      </c>
      <c r="K41" t="n">
        <v>9445.18069803615</v>
      </c>
      <c r="L41" t="n">
        <v>8409.03380897124</v>
      </c>
      <c r="M41" t="n">
        <v>8530.20144310627</v>
      </c>
      <c r="N41" t="n">
        <v>9717.87271002172</v>
      </c>
      <c r="O41" t="n">
        <v>11024.9188646606</v>
      </c>
      <c r="P41" t="n">
        <v>11689.9426944124</v>
      </c>
      <c r="Q41" t="n">
        <v>12326.3250578649</v>
      </c>
      <c r="R41" t="n">
        <v>12475.3670536385</v>
      </c>
      <c r="S41" t="n">
        <v>11223.1685960021</v>
      </c>
      <c r="T41" t="n">
        <v>9951.11097479629</v>
      </c>
      <c r="U41" t="n">
        <v>12492.9017729563</v>
      </c>
      <c r="V41" t="n">
        <v>13230.5678413721</v>
      </c>
      <c r="W41" t="n">
        <v>12959.4131266398</v>
      </c>
      <c r="X41" t="n">
        <v>12225.4952251499</v>
      </c>
      <c r="Y41" t="n">
        <v>11420.9986983782</v>
      </c>
      <c r="Z41" t="n">
        <v>11366.7253574562</v>
      </c>
      <c r="AA41" t="n">
        <v>12536.3976847655</v>
      </c>
      <c r="AB41" t="n">
        <v>12676.251426311</v>
      </c>
      <c r="AC41" t="n">
        <v>13277.4527102679</v>
      </c>
      <c r="AD41" t="n">
        <v>13014.6276726468</v>
      </c>
      <c r="AE41" t="n">
        <v>12435</v>
      </c>
      <c r="AF41" t="n">
        <v>12565</v>
      </c>
    </row>
    <row r="42">
      <c r="A42" t="s">
        <v>61</v>
      </c>
      <c r="B42" t="s">
        <v>354</v>
      </c>
      <c r="C42" t="s">
        <v>236</v>
      </c>
      <c r="D42" t="s">
        <v>355</v>
      </c>
      <c r="E42" t="s">
        <v>237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61</v>
      </c>
      <c r="B43" t="s">
        <v>356</v>
      </c>
      <c r="C43" t="s">
        <v>236</v>
      </c>
      <c r="D43" t="s">
        <v>357</v>
      </c>
      <c r="E43" t="s">
        <v>237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61</v>
      </c>
      <c r="B44" t="s">
        <v>358</v>
      </c>
      <c r="C44" t="s">
        <v>236</v>
      </c>
      <c r="D44" t="s">
        <v>359</v>
      </c>
      <c r="E44" t="s">
        <v>237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</row>
    <row r="45">
      <c r="A45" t="s">
        <v>61</v>
      </c>
      <c r="B45" t="s">
        <v>360</v>
      </c>
      <c r="C45" t="s">
        <v>236</v>
      </c>
      <c r="D45" t="s">
        <v>361</v>
      </c>
      <c r="E45" t="s">
        <v>237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61</v>
      </c>
      <c r="B46" t="s">
        <v>362</v>
      </c>
      <c r="C46" t="s">
        <v>236</v>
      </c>
      <c r="D46" t="s">
        <v>363</v>
      </c>
      <c r="E46" t="s">
        <v>237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61</v>
      </c>
      <c r="B47" t="s">
        <v>364</v>
      </c>
      <c r="C47" t="s">
        <v>236</v>
      </c>
      <c r="D47" t="s">
        <v>365</v>
      </c>
      <c r="E47" t="s">
        <v>237</v>
      </c>
      <c r="F47" t="n">
        <v>-40.1817964877266</v>
      </c>
      <c r="G47" t="n">
        <v>-91.8441062576607</v>
      </c>
      <c r="H47" t="n">
        <v>55.48914753067</v>
      </c>
      <c r="I47" t="n">
        <v>-9.24819125511167</v>
      </c>
      <c r="J47" t="n">
        <v>-1.84963825102233</v>
      </c>
      <c r="K47" t="n">
        <v>-5.548914753067</v>
      </c>
      <c r="L47" t="n">
        <v>16.646744259201</v>
      </c>
      <c r="M47" t="n">
        <v>2.56103757833862</v>
      </c>
      <c r="N47" t="n">
        <v>5.12207515667723</v>
      </c>
      <c r="O47" t="n">
        <v>-2.56103757833862</v>
      </c>
      <c r="P47" t="n">
        <v>3.84155636750793</v>
      </c>
      <c r="Q47" t="n">
        <v>-33.293488518402</v>
      </c>
      <c r="R47" t="n">
        <v>-32.0603963510538</v>
      </c>
      <c r="S47" t="n">
        <v>-19.4652406417112</v>
      </c>
      <c r="T47" t="n">
        <v>-18.3838383838384</v>
      </c>
      <c r="U47" t="n">
        <v>-11.489898989899</v>
      </c>
      <c r="V47" t="n">
        <v>-13.7878787878788</v>
      </c>
      <c r="W47" t="n">
        <v>-35</v>
      </c>
      <c r="X47" t="n">
        <v>-22</v>
      </c>
      <c r="Y47" t="n">
        <v>-17</v>
      </c>
      <c r="Z47" t="n">
        <v>-11</v>
      </c>
      <c r="AA47" t="n">
        <v>-17</v>
      </c>
      <c r="AB47" t="n">
        <v>-4</v>
      </c>
      <c r="AC47" t="n">
        <v>-9</v>
      </c>
      <c r="AD47" t="n">
        <v>2</v>
      </c>
      <c r="AE47" t="n">
        <v>14</v>
      </c>
      <c r="AF47" t="n">
        <v>2</v>
      </c>
    </row>
    <row r="48">
      <c r="A48" t="s">
        <v>61</v>
      </c>
      <c r="B48" t="s">
        <v>366</v>
      </c>
      <c r="C48" t="s">
        <v>236</v>
      </c>
      <c r="D48" t="s">
        <v>367</v>
      </c>
      <c r="E48" t="s">
        <v>237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5</v>
      </c>
      <c r="AC48" t="n">
        <v>-3</v>
      </c>
      <c r="AD48" t="n">
        <v>11</v>
      </c>
      <c r="AE48" t="n">
        <v>23</v>
      </c>
      <c r="AF48" t="n">
        <v>13</v>
      </c>
    </row>
    <row r="49">
      <c r="A49" t="s">
        <v>61</v>
      </c>
      <c r="B49" t="s">
        <v>368</v>
      </c>
      <c r="C49" t="s">
        <v>236</v>
      </c>
      <c r="D49" t="s">
        <v>369</v>
      </c>
      <c r="E49" t="s">
        <v>237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5</v>
      </c>
      <c r="AA49" t="n">
        <v>2</v>
      </c>
      <c r="AB49" t="n">
        <v>1</v>
      </c>
      <c r="AC49" t="n">
        <v>-1</v>
      </c>
      <c r="AD49" t="n">
        <v>1</v>
      </c>
      <c r="AE49" t="n">
        <v>1</v>
      </c>
      <c r="AF49" t="n">
        <v>1</v>
      </c>
    </row>
    <row r="50">
      <c r="A50" t="s">
        <v>61</v>
      </c>
      <c r="B50" t="s">
        <v>370</v>
      </c>
      <c r="C50" t="s">
        <v>236</v>
      </c>
      <c r="D50" t="s">
        <v>371</v>
      </c>
      <c r="E50" t="s">
        <v>237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7.63636363636364</v>
      </c>
      <c r="P50" t="n">
        <v>3.27272727272727</v>
      </c>
      <c r="Q50" t="n">
        <v>1.09090909090909</v>
      </c>
      <c r="R50" t="n">
        <v>6.54545454545455</v>
      </c>
      <c r="S50" t="n">
        <v>12</v>
      </c>
      <c r="T50" t="n">
        <v>2</v>
      </c>
      <c r="U50" t="n">
        <v>9</v>
      </c>
      <c r="V50" t="n">
        <v>4</v>
      </c>
      <c r="W50" t="n">
        <v>9</v>
      </c>
      <c r="X50" t="n">
        <v>7</v>
      </c>
      <c r="Y50" t="n">
        <v>4</v>
      </c>
      <c r="Z50" t="n">
        <v>12</v>
      </c>
      <c r="AA50" t="n">
        <v>15</v>
      </c>
      <c r="AB50" t="n">
        <v>8</v>
      </c>
      <c r="AC50" t="n">
        <v>6</v>
      </c>
      <c r="AD50" t="n">
        <v>8</v>
      </c>
      <c r="AE50" t="n">
        <v>8</v>
      </c>
      <c r="AF50" t="n">
        <v>10</v>
      </c>
    </row>
    <row r="51">
      <c r="A51" t="s">
        <v>61</v>
      </c>
      <c r="B51" t="s">
        <v>372</v>
      </c>
      <c r="C51" t="s">
        <v>236</v>
      </c>
      <c r="D51" t="s">
        <v>373</v>
      </c>
      <c r="E51" t="s">
        <v>237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61</v>
      </c>
      <c r="B52" t="s">
        <v>374</v>
      </c>
      <c r="C52" t="s">
        <v>236</v>
      </c>
      <c r="D52" t="s">
        <v>375</v>
      </c>
      <c r="E52" t="s">
        <v>237</v>
      </c>
      <c r="F52" t="n">
        <v>13.0909090909091</v>
      </c>
      <c r="G52" t="n">
        <v>17.4545454545455</v>
      </c>
      <c r="H52" t="n">
        <v>12</v>
      </c>
      <c r="I52" t="n">
        <v>5.45454545454546</v>
      </c>
      <c r="J52" t="n">
        <v>8.72727272727273</v>
      </c>
      <c r="K52" t="n">
        <v>7.63636363636364</v>
      </c>
      <c r="L52" t="n">
        <v>5.45454545454546</v>
      </c>
      <c r="M52" t="n">
        <v>9.81818181818182</v>
      </c>
      <c r="N52" t="n">
        <v>4.36363636363636</v>
      </c>
      <c r="O52" t="n">
        <v>7.63636363636364</v>
      </c>
      <c r="P52" t="n">
        <v>5.45454545454546</v>
      </c>
      <c r="Q52" t="n">
        <v>5.45454545454546</v>
      </c>
      <c r="R52" t="n">
        <v>6.54545454545455</v>
      </c>
      <c r="S52" t="n">
        <v>12</v>
      </c>
      <c r="T52" t="n">
        <v>2</v>
      </c>
      <c r="U52" t="n">
        <v>9</v>
      </c>
      <c r="V52" t="n">
        <v>4</v>
      </c>
      <c r="W52" t="n">
        <v>8</v>
      </c>
      <c r="X52" t="n">
        <v>6</v>
      </c>
      <c r="Y52" t="n">
        <v>4</v>
      </c>
      <c r="Z52" t="n">
        <v>12</v>
      </c>
      <c r="AA52" t="n">
        <v>15</v>
      </c>
      <c r="AB52" t="n">
        <v>8</v>
      </c>
      <c r="AC52" t="n">
        <v>6</v>
      </c>
      <c r="AD52" t="n">
        <v>10</v>
      </c>
      <c r="AE52" t="n">
        <v>8</v>
      </c>
      <c r="AF52" t="n">
        <v>12</v>
      </c>
    </row>
    <row r="53">
      <c r="A53" t="s">
        <v>61</v>
      </c>
      <c r="B53" t="s">
        <v>376</v>
      </c>
      <c r="C53" t="s">
        <v>236</v>
      </c>
      <c r="D53" t="s">
        <v>377</v>
      </c>
      <c r="E53" t="s">
        <v>237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61</v>
      </c>
      <c r="B54" t="s">
        <v>378</v>
      </c>
      <c r="C54" t="s">
        <v>236</v>
      </c>
      <c r="D54" t="s">
        <v>379</v>
      </c>
      <c r="E54" t="s">
        <v>237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61</v>
      </c>
      <c r="B55" t="s">
        <v>380</v>
      </c>
      <c r="C55" t="s">
        <v>236</v>
      </c>
      <c r="D55" t="s">
        <v>381</v>
      </c>
      <c r="E55" t="s">
        <v>237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61</v>
      </c>
      <c r="B56" t="s">
        <v>382</v>
      </c>
      <c r="C56" t="s">
        <v>236</v>
      </c>
      <c r="D56" t="s">
        <v>383</v>
      </c>
      <c r="E56" t="s">
        <v>237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61</v>
      </c>
      <c r="B57" t="s">
        <v>384</v>
      </c>
      <c r="C57" t="s">
        <v>236</v>
      </c>
      <c r="D57" t="s">
        <v>385</v>
      </c>
      <c r="E57" t="s">
        <v>237</v>
      </c>
      <c r="F57" t="n">
        <v>8642.89977999513</v>
      </c>
      <c r="G57" t="n">
        <v>8871.51716937854</v>
      </c>
      <c r="H57" t="n">
        <v>10225.3954777642</v>
      </c>
      <c r="I57" t="n">
        <v>11272.8111477017</v>
      </c>
      <c r="J57" t="n">
        <v>12276.988240578</v>
      </c>
      <c r="K57" t="n">
        <v>13017.9722352553</v>
      </c>
      <c r="L57" t="n">
        <v>11689.9939674961</v>
      </c>
      <c r="M57" t="n">
        <v>11635.4669160799</v>
      </c>
      <c r="N57" t="n">
        <v>12950.2963336109</v>
      </c>
      <c r="O57" t="n">
        <v>14402.954872226</v>
      </c>
      <c r="P57" t="n">
        <v>15128.4571545111</v>
      </c>
      <c r="Q57" t="n">
        <v>15700.451317749</v>
      </c>
      <c r="R57" t="n">
        <v>15794.3089607914</v>
      </c>
      <c r="S57" t="n">
        <v>14277.6926595953</v>
      </c>
      <c r="T57" t="n">
        <v>12495.4444471699</v>
      </c>
      <c r="U57" t="n">
        <v>15692.396917631</v>
      </c>
      <c r="V57" t="n">
        <v>16610.7512964378</v>
      </c>
      <c r="W57" t="n">
        <v>16347.1492174465</v>
      </c>
      <c r="X57" t="n">
        <v>15447.2505830416</v>
      </c>
      <c r="Y57" t="n">
        <v>14617.1496586469</v>
      </c>
      <c r="Z57" t="n">
        <v>14867.5808634015</v>
      </c>
      <c r="AA57" t="n">
        <v>16449.5384793808</v>
      </c>
      <c r="AB57" t="n">
        <v>16707.5839481015</v>
      </c>
      <c r="AC57" t="n">
        <v>17599.7795840123</v>
      </c>
      <c r="AD57" t="n">
        <v>17066.6141727419</v>
      </c>
      <c r="AE57" t="n">
        <v>16489</v>
      </c>
      <c r="AF57" t="n">
        <v>16736</v>
      </c>
    </row>
    <row r="58">
      <c r="A58" t="s">
        <v>61</v>
      </c>
      <c r="B58" t="s">
        <v>386</v>
      </c>
      <c r="C58" t="s">
        <v>236</v>
      </c>
      <c r="D58" t="s">
        <v>387</v>
      </c>
      <c r="E58" t="s">
        <v>237</v>
      </c>
      <c r="F58" t="n">
        <v>8642.89977999513</v>
      </c>
      <c r="G58" t="n">
        <v>8871.51716937854</v>
      </c>
      <c r="H58" t="n">
        <v>10225.3954777642</v>
      </c>
      <c r="I58" t="n">
        <v>11272.8111477017</v>
      </c>
      <c r="J58" t="n">
        <v>12276.988240578</v>
      </c>
      <c r="K58" t="n">
        <v>13017.9722352553</v>
      </c>
      <c r="L58" t="n">
        <v>11689.9939674961</v>
      </c>
      <c r="M58" t="n">
        <v>11635.4669160799</v>
      </c>
      <c r="N58" t="n">
        <v>12950.2963336109</v>
      </c>
      <c r="O58" t="n">
        <v>14402.954872226</v>
      </c>
      <c r="P58" t="n">
        <v>15128.4571545111</v>
      </c>
      <c r="Q58" t="n">
        <v>15700.451317749</v>
      </c>
      <c r="R58" t="n">
        <v>15794.3089607914</v>
      </c>
      <c r="S58" t="n">
        <v>14277.6926595953</v>
      </c>
      <c r="T58" t="n">
        <v>12495.4444471699</v>
      </c>
      <c r="U58" t="n">
        <v>15692.396917631</v>
      </c>
      <c r="V58" t="n">
        <v>16610.7512964378</v>
      </c>
      <c r="W58" t="n">
        <v>16347.1492174465</v>
      </c>
      <c r="X58" t="n">
        <v>15447.2505830416</v>
      </c>
      <c r="Y58" t="n">
        <v>14617.1496586469</v>
      </c>
      <c r="Z58" t="n">
        <v>14867.5808634015</v>
      </c>
      <c r="AA58" t="n">
        <v>16449.5384793808</v>
      </c>
      <c r="AB58" t="n">
        <v>16707.5839481015</v>
      </c>
      <c r="AC58" t="n">
        <v>17599.7795840123</v>
      </c>
      <c r="AD58" t="n">
        <v>17066.6141727419</v>
      </c>
      <c r="AE58" t="n">
        <v>16489</v>
      </c>
      <c r="AF58" t="n">
        <v>16736</v>
      </c>
    </row>
    <row r="59">
      <c r="A59" t="s">
        <v>61</v>
      </c>
      <c r="B59" t="s">
        <v>388</v>
      </c>
      <c r="C59" t="s">
        <v>236</v>
      </c>
      <c r="D59" t="s">
        <v>389</v>
      </c>
      <c r="E59" t="s">
        <v>237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63</v>
      </c>
      <c r="B2" t="s">
        <v>197</v>
      </c>
      <c r="C2" t="s">
        <v>236</v>
      </c>
      <c r="D2" t="s">
        <v>199</v>
      </c>
      <c r="E2" t="s">
        <v>237</v>
      </c>
      <c r="F2" t="n">
        <v>105.592661806696</v>
      </c>
      <c r="G2" t="n">
        <v>85.1045333964413</v>
      </c>
      <c r="H2" t="n">
        <v>76.5940800567972</v>
      </c>
      <c r="I2" t="n">
        <v>81.5893461474579</v>
      </c>
      <c r="J2" t="n">
        <v>81.5893461474579</v>
      </c>
      <c r="K2" t="n">
        <v>62.0788503295875</v>
      </c>
      <c r="L2" t="n">
        <v>72.4253253845188</v>
      </c>
      <c r="M2" t="n">
        <v>76.7708449075899</v>
      </c>
      <c r="N2" t="n">
        <v>64.5849965095598</v>
      </c>
      <c r="O2" t="n">
        <v>71.8965055483778</v>
      </c>
      <c r="P2" t="n">
        <v>70.4867701454685</v>
      </c>
      <c r="Q2" t="n">
        <v>60.4172315532587</v>
      </c>
      <c r="R2" t="n">
        <v>59.044112654321</v>
      </c>
      <c r="S2" t="n">
        <v>59.044112654321</v>
      </c>
      <c r="T2" t="n">
        <v>47.7377932098765</v>
      </c>
      <c r="U2" t="n">
        <v>47.7377932098765</v>
      </c>
      <c r="V2" t="n">
        <v>40.2002469135802</v>
      </c>
      <c r="W2" t="n">
        <v>17.0546502057613</v>
      </c>
      <c r="X2" t="n">
        <v>20.4655802469136</v>
      </c>
      <c r="Y2" t="n">
        <v>26.9283950617284</v>
      </c>
      <c r="Z2" t="n">
        <v>26.9283950617284</v>
      </c>
      <c r="AA2" t="n">
        <v>15.7082304526749</v>
      </c>
      <c r="AB2" t="n">
        <v>30.2944444444444</v>
      </c>
      <c r="AC2" t="n">
        <v>20.1962962962963</v>
      </c>
      <c r="AD2" t="n">
        <v>28.7</v>
      </c>
      <c r="AE2" t="n">
        <v>41</v>
      </c>
      <c r="AF2" t="n">
        <v>15</v>
      </c>
    </row>
    <row r="3">
      <c r="A3" t="s">
        <v>63</v>
      </c>
      <c r="B3" t="s">
        <v>276</v>
      </c>
      <c r="C3" t="s">
        <v>236</v>
      </c>
      <c r="D3" t="s">
        <v>277</v>
      </c>
      <c r="E3" t="s">
        <v>237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63</v>
      </c>
      <c r="B4" t="s">
        <v>278</v>
      </c>
      <c r="C4" t="s">
        <v>236</v>
      </c>
      <c r="D4" t="s">
        <v>279</v>
      </c>
      <c r="E4" t="s">
        <v>237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63</v>
      </c>
      <c r="B5" t="s">
        <v>280</v>
      </c>
      <c r="C5" t="s">
        <v>236</v>
      </c>
      <c r="D5" t="s">
        <v>281</v>
      </c>
      <c r="E5" t="s">
        <v>237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63</v>
      </c>
      <c r="B6" t="s">
        <v>282</v>
      </c>
      <c r="C6" t="s">
        <v>236</v>
      </c>
      <c r="D6" t="s">
        <v>283</v>
      </c>
      <c r="E6" t="s">
        <v>237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63</v>
      </c>
      <c r="B7" t="s">
        <v>284</v>
      </c>
      <c r="C7" t="s">
        <v>236</v>
      </c>
      <c r="D7" t="s">
        <v>285</v>
      </c>
      <c r="E7" t="s">
        <v>237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63</v>
      </c>
      <c r="B8" t="s">
        <v>286</v>
      </c>
      <c r="C8" t="s">
        <v>236</v>
      </c>
      <c r="D8" t="s">
        <v>287</v>
      </c>
      <c r="E8" t="s">
        <v>237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63</v>
      </c>
      <c r="B9" t="s">
        <v>288</v>
      </c>
      <c r="C9" t="s">
        <v>236</v>
      </c>
      <c r="D9" t="s">
        <v>289</v>
      </c>
      <c r="E9" t="s">
        <v>237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63</v>
      </c>
      <c r="B10" t="s">
        <v>290</v>
      </c>
      <c r="C10" t="s">
        <v>236</v>
      </c>
      <c r="D10" t="s">
        <v>291</v>
      </c>
      <c r="E10" t="s">
        <v>237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63</v>
      </c>
      <c r="B11" t="s">
        <v>292</v>
      </c>
      <c r="C11" t="s">
        <v>236</v>
      </c>
      <c r="D11" t="s">
        <v>293</v>
      </c>
      <c r="E11" t="s">
        <v>237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63</v>
      </c>
      <c r="B12" t="s">
        <v>294</v>
      </c>
      <c r="C12" t="s">
        <v>236</v>
      </c>
      <c r="D12" t="s">
        <v>295</v>
      </c>
      <c r="E12" t="s">
        <v>237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63</v>
      </c>
      <c r="B13" t="s">
        <v>296</v>
      </c>
      <c r="C13" t="s">
        <v>236</v>
      </c>
      <c r="D13" t="s">
        <v>297</v>
      </c>
      <c r="E13" t="s">
        <v>237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63</v>
      </c>
      <c r="B14" t="s">
        <v>298</v>
      </c>
      <c r="C14" t="s">
        <v>236</v>
      </c>
      <c r="D14" t="s">
        <v>299</v>
      </c>
      <c r="E14" t="s">
        <v>237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63</v>
      </c>
      <c r="B15" t="s">
        <v>300</v>
      </c>
      <c r="C15" t="s">
        <v>236</v>
      </c>
      <c r="D15" t="s">
        <v>301</v>
      </c>
      <c r="E15" t="s">
        <v>237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63</v>
      </c>
      <c r="B16" t="s">
        <v>302</v>
      </c>
      <c r="C16" t="s">
        <v>236</v>
      </c>
      <c r="D16" t="s">
        <v>303</v>
      </c>
      <c r="E16" t="s">
        <v>237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63</v>
      </c>
      <c r="B17" t="s">
        <v>304</v>
      </c>
      <c r="C17" t="s">
        <v>236</v>
      </c>
      <c r="D17" t="s">
        <v>305</v>
      </c>
      <c r="E17" t="s">
        <v>237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63</v>
      </c>
      <c r="B18" t="s">
        <v>306</v>
      </c>
      <c r="C18" t="s">
        <v>236</v>
      </c>
      <c r="D18" t="s">
        <v>307</v>
      </c>
      <c r="E18" t="s">
        <v>237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63</v>
      </c>
      <c r="B19" t="s">
        <v>308</v>
      </c>
      <c r="C19" t="s">
        <v>236</v>
      </c>
      <c r="D19" t="s">
        <v>309</v>
      </c>
      <c r="E19" t="s">
        <v>237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63</v>
      </c>
      <c r="B20" t="s">
        <v>310</v>
      </c>
      <c r="C20" t="s">
        <v>236</v>
      </c>
      <c r="D20" t="s">
        <v>311</v>
      </c>
      <c r="E20" t="s">
        <v>237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63</v>
      </c>
      <c r="B21" t="s">
        <v>312</v>
      </c>
      <c r="C21" t="s">
        <v>236</v>
      </c>
      <c r="D21" t="s">
        <v>313</v>
      </c>
      <c r="E21" t="s">
        <v>237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63</v>
      </c>
      <c r="B22" t="s">
        <v>314</v>
      </c>
      <c r="C22" t="s">
        <v>236</v>
      </c>
      <c r="D22" t="s">
        <v>315</v>
      </c>
      <c r="E22" t="s">
        <v>237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63</v>
      </c>
      <c r="B23" t="s">
        <v>316</v>
      </c>
      <c r="C23" t="s">
        <v>236</v>
      </c>
      <c r="D23" t="s">
        <v>317</v>
      </c>
      <c r="E23" t="s">
        <v>237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63</v>
      </c>
      <c r="B24" t="s">
        <v>318</v>
      </c>
      <c r="C24" t="s">
        <v>236</v>
      </c>
      <c r="D24" t="s">
        <v>319</v>
      </c>
      <c r="E24" t="s">
        <v>237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63</v>
      </c>
      <c r="B25" t="s">
        <v>320</v>
      </c>
      <c r="C25" t="s">
        <v>236</v>
      </c>
      <c r="D25" t="s">
        <v>321</v>
      </c>
      <c r="E25" t="s">
        <v>237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63</v>
      </c>
      <c r="B26" t="s">
        <v>322</v>
      </c>
      <c r="C26" t="s">
        <v>236</v>
      </c>
      <c r="D26" t="s">
        <v>323</v>
      </c>
      <c r="E26" t="s">
        <v>237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63</v>
      </c>
      <c r="B27" t="s">
        <v>324</v>
      </c>
      <c r="C27" t="s">
        <v>236</v>
      </c>
      <c r="D27" t="s">
        <v>325</v>
      </c>
      <c r="E27" t="s">
        <v>237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63</v>
      </c>
      <c r="B28" t="s">
        <v>326</v>
      </c>
      <c r="C28" t="s">
        <v>236</v>
      </c>
      <c r="D28" t="s">
        <v>327</v>
      </c>
      <c r="E28" t="s">
        <v>237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63</v>
      </c>
      <c r="B29" t="s">
        <v>328</v>
      </c>
      <c r="C29" t="s">
        <v>236</v>
      </c>
      <c r="D29" t="s">
        <v>329</v>
      </c>
      <c r="E29" t="s">
        <v>237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63</v>
      </c>
      <c r="B30" t="s">
        <v>330</v>
      </c>
      <c r="C30" t="s">
        <v>236</v>
      </c>
      <c r="D30" t="s">
        <v>331</v>
      </c>
      <c r="E30" t="s">
        <v>237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63</v>
      </c>
      <c r="B31" t="s">
        <v>332</v>
      </c>
      <c r="C31" t="s">
        <v>236</v>
      </c>
      <c r="D31" t="s">
        <v>333</v>
      </c>
      <c r="E31" t="s">
        <v>237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63</v>
      </c>
      <c r="B32" t="s">
        <v>334</v>
      </c>
      <c r="C32" t="s">
        <v>236</v>
      </c>
      <c r="D32" t="s">
        <v>335</v>
      </c>
      <c r="E32" t="s">
        <v>237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63</v>
      </c>
      <c r="B33" t="s">
        <v>336</v>
      </c>
      <c r="C33" t="s">
        <v>236</v>
      </c>
      <c r="D33" t="s">
        <v>337</v>
      </c>
      <c r="E33" t="s">
        <v>237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63</v>
      </c>
      <c r="B34" t="s">
        <v>338</v>
      </c>
      <c r="C34" t="s">
        <v>236</v>
      </c>
      <c r="D34" t="s">
        <v>339</v>
      </c>
      <c r="E34" t="s">
        <v>237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63</v>
      </c>
      <c r="B35" t="s">
        <v>340</v>
      </c>
      <c r="C35" t="s">
        <v>236</v>
      </c>
      <c r="D35" t="s">
        <v>341</v>
      </c>
      <c r="E35" t="s">
        <v>237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63</v>
      </c>
      <c r="B36" t="s">
        <v>342</v>
      </c>
      <c r="C36" t="s">
        <v>236</v>
      </c>
      <c r="D36" t="s">
        <v>343</v>
      </c>
      <c r="E36" t="s">
        <v>237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63</v>
      </c>
      <c r="B37" t="s">
        <v>344</v>
      </c>
      <c r="C37" t="s">
        <v>236</v>
      </c>
      <c r="D37" t="s">
        <v>345</v>
      </c>
      <c r="E37" t="s">
        <v>237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63</v>
      </c>
      <c r="B38" t="s">
        <v>346</v>
      </c>
      <c r="C38" t="s">
        <v>236</v>
      </c>
      <c r="D38" t="s">
        <v>347</v>
      </c>
      <c r="E38" t="s">
        <v>237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63</v>
      </c>
      <c r="B39" t="s">
        <v>348</v>
      </c>
      <c r="C39" t="s">
        <v>236</v>
      </c>
      <c r="D39" t="s">
        <v>349</v>
      </c>
      <c r="E39" t="s">
        <v>237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63</v>
      </c>
      <c r="B40" t="s">
        <v>350</v>
      </c>
      <c r="C40" t="s">
        <v>236</v>
      </c>
      <c r="D40" t="s">
        <v>351</v>
      </c>
      <c r="E40" t="s">
        <v>237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63</v>
      </c>
      <c r="B41" t="s">
        <v>352</v>
      </c>
      <c r="C41" t="s">
        <v>236</v>
      </c>
      <c r="D41" t="s">
        <v>353</v>
      </c>
      <c r="E41" t="s">
        <v>237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63</v>
      </c>
      <c r="B42" t="s">
        <v>354</v>
      </c>
      <c r="C42" t="s">
        <v>236</v>
      </c>
      <c r="D42" t="s">
        <v>355</v>
      </c>
      <c r="E42" t="s">
        <v>237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63</v>
      </c>
      <c r="B43" t="s">
        <v>356</v>
      </c>
      <c r="C43" t="s">
        <v>236</v>
      </c>
      <c r="D43" t="s">
        <v>357</v>
      </c>
      <c r="E43" t="s">
        <v>237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63</v>
      </c>
      <c r="B44" t="s">
        <v>358</v>
      </c>
      <c r="C44" t="s">
        <v>236</v>
      </c>
      <c r="D44" t="s">
        <v>359</v>
      </c>
      <c r="E44" t="s">
        <v>237</v>
      </c>
      <c r="F44" t="n">
        <v>51.4247564262272</v>
      </c>
      <c r="G44" t="n">
        <v>42.6090838960168</v>
      </c>
      <c r="H44" t="n">
        <v>39.6363571125738</v>
      </c>
      <c r="I44" t="n">
        <v>42.7450910037561</v>
      </c>
      <c r="J44" t="n">
        <v>42.7450910037561</v>
      </c>
      <c r="K44" t="n">
        <v>33.5255615715734</v>
      </c>
      <c r="L44" t="n">
        <v>39.8116043662434</v>
      </c>
      <c r="M44" t="n">
        <v>41.8708252817387</v>
      </c>
      <c r="N44" t="n">
        <v>36.6369721215214</v>
      </c>
      <c r="O44" t="n">
        <v>39.5446683216421</v>
      </c>
      <c r="P44" t="n">
        <v>38.8744197060211</v>
      </c>
      <c r="Q44" t="n">
        <v>35.2860117331576</v>
      </c>
      <c r="R44" t="n">
        <v>35.9394563948827</v>
      </c>
      <c r="S44" t="n">
        <v>35.9394563948827</v>
      </c>
      <c r="T44" t="n">
        <v>30.5485379356503</v>
      </c>
      <c r="U44" t="n">
        <v>30.5485379356503</v>
      </c>
      <c r="V44" t="n">
        <v>25.7566104163326</v>
      </c>
      <c r="W44" t="n">
        <v>15.4539662497996</v>
      </c>
      <c r="X44" t="n">
        <v>16.6427328843995</v>
      </c>
      <c r="Y44" t="n">
        <v>19.4165216984661</v>
      </c>
      <c r="Z44" t="n">
        <v>19.4165216984661</v>
      </c>
      <c r="AA44" t="n">
        <v>25.1272633744856</v>
      </c>
      <c r="AB44" t="n">
        <v>39.3296296296296</v>
      </c>
      <c r="AC44" t="n">
        <v>29.4972222222222</v>
      </c>
      <c r="AD44" t="n">
        <v>37.925</v>
      </c>
      <c r="AE44" t="n">
        <v>41</v>
      </c>
      <c r="AF44" t="n">
        <v>15</v>
      </c>
    </row>
    <row r="45">
      <c r="A45" t="s">
        <v>63</v>
      </c>
      <c r="B45" t="s">
        <v>360</v>
      </c>
      <c r="C45" t="s">
        <v>236</v>
      </c>
      <c r="D45" t="s">
        <v>361</v>
      </c>
      <c r="E45" t="s">
        <v>237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63</v>
      </c>
      <c r="B46" t="s">
        <v>362</v>
      </c>
      <c r="C46" t="s">
        <v>236</v>
      </c>
      <c r="D46" t="s">
        <v>363</v>
      </c>
      <c r="E46" t="s">
        <v>237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63</v>
      </c>
      <c r="B47" t="s">
        <v>364</v>
      </c>
      <c r="C47" t="s">
        <v>236</v>
      </c>
      <c r="D47" t="s">
        <v>365</v>
      </c>
      <c r="E47" t="s">
        <v>237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63</v>
      </c>
      <c r="B48" t="s">
        <v>366</v>
      </c>
      <c r="C48" t="s">
        <v>236</v>
      </c>
      <c r="D48" t="s">
        <v>367</v>
      </c>
      <c r="E48" t="s">
        <v>237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63</v>
      </c>
      <c r="B49" t="s">
        <v>368</v>
      </c>
      <c r="C49" t="s">
        <v>236</v>
      </c>
      <c r="D49" t="s">
        <v>369</v>
      </c>
      <c r="E49" t="s">
        <v>237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63</v>
      </c>
      <c r="B50" t="s">
        <v>370</v>
      </c>
      <c r="C50" t="s">
        <v>236</v>
      </c>
      <c r="D50" t="s">
        <v>371</v>
      </c>
      <c r="E50" t="s">
        <v>237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63</v>
      </c>
      <c r="B51" t="s">
        <v>372</v>
      </c>
      <c r="C51" t="s">
        <v>236</v>
      </c>
      <c r="D51" t="s">
        <v>373</v>
      </c>
      <c r="E51" t="s">
        <v>237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63</v>
      </c>
      <c r="B52" t="s">
        <v>374</v>
      </c>
      <c r="C52" t="s">
        <v>236</v>
      </c>
      <c r="D52" t="s">
        <v>375</v>
      </c>
      <c r="E52" t="s">
        <v>237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63</v>
      </c>
      <c r="B53" t="s">
        <v>376</v>
      </c>
      <c r="C53" t="s">
        <v>236</v>
      </c>
      <c r="D53" t="s">
        <v>377</v>
      </c>
      <c r="E53" t="s">
        <v>237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63</v>
      </c>
      <c r="B54" t="s">
        <v>378</v>
      </c>
      <c r="C54" t="s">
        <v>236</v>
      </c>
      <c r="D54" t="s">
        <v>379</v>
      </c>
      <c r="E54" t="s">
        <v>237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63</v>
      </c>
      <c r="B55" t="s">
        <v>380</v>
      </c>
      <c r="C55" t="s">
        <v>236</v>
      </c>
      <c r="D55" t="s">
        <v>381</v>
      </c>
      <c r="E55" t="s">
        <v>237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63</v>
      </c>
      <c r="B56" t="s">
        <v>382</v>
      </c>
      <c r="C56" t="s">
        <v>236</v>
      </c>
      <c r="D56" t="s">
        <v>383</v>
      </c>
      <c r="E56" t="s">
        <v>237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63</v>
      </c>
      <c r="B57" t="s">
        <v>384</v>
      </c>
      <c r="C57" t="s">
        <v>236</v>
      </c>
      <c r="D57" t="s">
        <v>385</v>
      </c>
      <c r="E57" t="s">
        <v>237</v>
      </c>
      <c r="F57" t="n">
        <v>51.4247564262272</v>
      </c>
      <c r="G57" t="n">
        <v>42.6090838960168</v>
      </c>
      <c r="H57" t="n">
        <v>39.6363571125738</v>
      </c>
      <c r="I57" t="n">
        <v>42.7450910037561</v>
      </c>
      <c r="J57" t="n">
        <v>42.7450910037561</v>
      </c>
      <c r="K57" t="n">
        <v>33.5255615715734</v>
      </c>
      <c r="L57" t="n">
        <v>39.8116043662434</v>
      </c>
      <c r="M57" t="n">
        <v>41.8708252817387</v>
      </c>
      <c r="N57" t="n">
        <v>36.6369721215214</v>
      </c>
      <c r="O57" t="n">
        <v>39.5446683216421</v>
      </c>
      <c r="P57" t="n">
        <v>38.8744197060211</v>
      </c>
      <c r="Q57" t="n">
        <v>35.2860117331576</v>
      </c>
      <c r="R57" t="n">
        <v>35.9394563948827</v>
      </c>
      <c r="S57" t="n">
        <v>35.9394563948827</v>
      </c>
      <c r="T57" t="n">
        <v>30.5485379356503</v>
      </c>
      <c r="U57" t="n">
        <v>30.5485379356503</v>
      </c>
      <c r="V57" t="n">
        <v>25.7566104163326</v>
      </c>
      <c r="W57" t="n">
        <v>15.4539662497996</v>
      </c>
      <c r="X57" t="n">
        <v>16.6427328843995</v>
      </c>
      <c r="Y57" t="n">
        <v>19.4165216984661</v>
      </c>
      <c r="Z57" t="n">
        <v>19.4165216984661</v>
      </c>
      <c r="AA57" t="n">
        <v>25.1272633744856</v>
      </c>
      <c r="AB57" t="n">
        <v>39.3296296296296</v>
      </c>
      <c r="AC57" t="n">
        <v>29.4972222222222</v>
      </c>
      <c r="AD57" t="n">
        <v>37.925</v>
      </c>
      <c r="AE57" t="n">
        <v>41</v>
      </c>
      <c r="AF57" t="n">
        <v>15</v>
      </c>
    </row>
    <row r="58">
      <c r="A58" t="s">
        <v>63</v>
      </c>
      <c r="B58" t="s">
        <v>386</v>
      </c>
      <c r="C58" t="s">
        <v>236</v>
      </c>
      <c r="D58" t="s">
        <v>387</v>
      </c>
      <c r="E58" t="s">
        <v>237</v>
      </c>
      <c r="F58" t="n">
        <v>51.4247564262272</v>
      </c>
      <c r="G58" t="n">
        <v>42.6090838960168</v>
      </c>
      <c r="H58" t="n">
        <v>39.6363571125738</v>
      </c>
      <c r="I58" t="n">
        <v>42.7450910037561</v>
      </c>
      <c r="J58" t="n">
        <v>42.7450910037561</v>
      </c>
      <c r="K58" t="n">
        <v>33.5255615715734</v>
      </c>
      <c r="L58" t="n">
        <v>39.8116043662434</v>
      </c>
      <c r="M58" t="n">
        <v>41.8708252817387</v>
      </c>
      <c r="N58" t="n">
        <v>36.6369721215214</v>
      </c>
      <c r="O58" t="n">
        <v>39.5446683216421</v>
      </c>
      <c r="P58" t="n">
        <v>38.8744197060211</v>
      </c>
      <c r="Q58" t="n">
        <v>35.2860117331576</v>
      </c>
      <c r="R58" t="n">
        <v>35.9394563948827</v>
      </c>
      <c r="S58" t="n">
        <v>35.9394563948827</v>
      </c>
      <c r="T58" t="n">
        <v>30.5485379356503</v>
      </c>
      <c r="U58" t="n">
        <v>30.5485379356503</v>
      </c>
      <c r="V58" t="n">
        <v>25.7566104163326</v>
      </c>
      <c r="W58" t="n">
        <v>15.4539662497996</v>
      </c>
      <c r="X58" t="n">
        <v>16.6427328843995</v>
      </c>
      <c r="Y58" t="n">
        <v>19.4165216984661</v>
      </c>
      <c r="Z58" t="n">
        <v>19.4165216984661</v>
      </c>
      <c r="AA58" t="n">
        <v>25.1272633744856</v>
      </c>
      <c r="AB58" t="n">
        <v>39.3296296296296</v>
      </c>
      <c r="AC58" t="n">
        <v>29.4972222222222</v>
      </c>
      <c r="AD58" t="n">
        <v>37.925</v>
      </c>
      <c r="AE58" t="n">
        <v>41</v>
      </c>
      <c r="AF58" t="n">
        <v>15</v>
      </c>
    </row>
    <row r="59">
      <c r="A59" t="s">
        <v>63</v>
      </c>
      <c r="B59" t="s">
        <v>388</v>
      </c>
      <c r="C59" t="s">
        <v>236</v>
      </c>
      <c r="D59" t="s">
        <v>389</v>
      </c>
      <c r="E59" t="s">
        <v>237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65</v>
      </c>
      <c r="B2" t="s">
        <v>197</v>
      </c>
      <c r="C2" t="s">
        <v>236</v>
      </c>
      <c r="D2" t="s">
        <v>199</v>
      </c>
      <c r="E2" t="s">
        <v>237</v>
      </c>
      <c r="F2" t="e">
        <v>#NUM!</v>
      </c>
      <c r="G2" t="e">
        <v>#NUM!</v>
      </c>
      <c r="H2" t="n">
        <v>0</v>
      </c>
      <c r="I2" t="e">
        <v>#NUM!</v>
      </c>
      <c r="J2" t="e">
        <v>#NUM!</v>
      </c>
      <c r="K2" t="e">
        <v>#NUM!</v>
      </c>
      <c r="L2" t="n">
        <v>0</v>
      </c>
      <c r="M2" t="e">
        <v>#NUM!</v>
      </c>
      <c r="N2" t="n">
        <v>0</v>
      </c>
      <c r="O2" t="e">
        <v>#NUM!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3</v>
      </c>
      <c r="V2" t="n">
        <v>6</v>
      </c>
      <c r="W2" t="n">
        <v>2</v>
      </c>
      <c r="X2" t="n">
        <v>1</v>
      </c>
      <c r="Y2" t="n">
        <v>2</v>
      </c>
      <c r="Z2" t="n">
        <v>2</v>
      </c>
      <c r="AA2" t="n">
        <v>2</v>
      </c>
      <c r="AB2" t="n">
        <v>4</v>
      </c>
      <c r="AC2" t="n">
        <v>14</v>
      </c>
      <c r="AD2" t="n">
        <v>16</v>
      </c>
      <c r="AE2" t="n">
        <v>14</v>
      </c>
      <c r="AF2" t="n">
        <v>13</v>
      </c>
    </row>
    <row r="3">
      <c r="A3" t="s">
        <v>65</v>
      </c>
      <c r="B3" t="s">
        <v>276</v>
      </c>
      <c r="C3" t="s">
        <v>236</v>
      </c>
      <c r="D3" t="s">
        <v>277</v>
      </c>
      <c r="E3" t="s">
        <v>237</v>
      </c>
      <c r="F3" t="n">
        <v>6</v>
      </c>
      <c r="G3" t="n">
        <v>6</v>
      </c>
      <c r="H3" t="n">
        <v>5</v>
      </c>
      <c r="I3" t="n">
        <v>8</v>
      </c>
      <c r="J3" t="n">
        <v>10</v>
      </c>
      <c r="K3" t="n">
        <v>11</v>
      </c>
      <c r="L3" t="n">
        <v>4</v>
      </c>
      <c r="M3" t="n">
        <v>4</v>
      </c>
      <c r="N3" t="n">
        <v>6</v>
      </c>
      <c r="O3" t="n">
        <v>5</v>
      </c>
      <c r="P3" t="n">
        <v>4</v>
      </c>
      <c r="Q3" t="n">
        <v>3</v>
      </c>
      <c r="R3" t="n">
        <v>6</v>
      </c>
      <c r="S3" t="n">
        <v>10</v>
      </c>
      <c r="T3" t="n">
        <v>15</v>
      </c>
      <c r="U3" t="n">
        <v>11</v>
      </c>
      <c r="V3" t="n">
        <v>9</v>
      </c>
      <c r="W3" t="n">
        <v>9</v>
      </c>
      <c r="X3" t="n">
        <v>8</v>
      </c>
      <c r="Y3" t="n">
        <v>6</v>
      </c>
      <c r="Z3" t="n">
        <v>7</v>
      </c>
      <c r="AA3" t="n">
        <v>14</v>
      </c>
      <c r="AB3" t="n">
        <v>25</v>
      </c>
      <c r="AC3" t="n">
        <v>18</v>
      </c>
      <c r="AD3" t="n">
        <v>9</v>
      </c>
      <c r="AE3" t="n">
        <v>16</v>
      </c>
      <c r="AF3" t="n">
        <v>18</v>
      </c>
    </row>
    <row r="4">
      <c r="A4" t="s">
        <v>65</v>
      </c>
      <c r="B4" t="s">
        <v>278</v>
      </c>
      <c r="C4" t="s">
        <v>236</v>
      </c>
      <c r="D4" t="s">
        <v>279</v>
      </c>
      <c r="E4" t="s">
        <v>237</v>
      </c>
      <c r="F4" t="n">
        <v>2340.39179106144</v>
      </c>
      <c r="G4" t="n">
        <v>2681.00238208199</v>
      </c>
      <c r="H4" t="n">
        <v>3033.60586997486</v>
      </c>
      <c r="I4" t="n">
        <v>3549.45775106935</v>
      </c>
      <c r="J4" t="n">
        <v>4339.50453304697</v>
      </c>
      <c r="K4" t="n">
        <v>4902.48770712097</v>
      </c>
      <c r="L4" t="n">
        <v>4802.0709874433</v>
      </c>
      <c r="M4" t="n">
        <v>4680.99604422296</v>
      </c>
      <c r="N4" t="n">
        <v>4963.94933410785</v>
      </c>
      <c r="O4" t="n">
        <v>5228.73583457762</v>
      </c>
      <c r="P4" t="n">
        <v>5182.69472068348</v>
      </c>
      <c r="Q4" t="n">
        <v>5261.88699994689</v>
      </c>
      <c r="R4" t="n">
        <v>5498.72898530242</v>
      </c>
      <c r="S4" t="n">
        <v>6070.33106708694</v>
      </c>
      <c r="T4" t="n">
        <v>5355.94650013672</v>
      </c>
      <c r="U4" t="n">
        <v>5228.95237271635</v>
      </c>
      <c r="V4" t="n">
        <v>4804.75526849968</v>
      </c>
      <c r="W4" t="n">
        <v>3935.4123891797</v>
      </c>
      <c r="X4" t="n">
        <v>3693.12865750983</v>
      </c>
      <c r="Y4" t="n">
        <v>3535.05700290824</v>
      </c>
      <c r="Z4" t="n">
        <v>3205.93477653169</v>
      </c>
      <c r="AA4" t="n">
        <v>2902.30563187197</v>
      </c>
      <c r="AB4" t="n">
        <v>2612.923076174</v>
      </c>
      <c r="AC4" t="n">
        <v>3185.58959751905</v>
      </c>
      <c r="AD4" t="n">
        <v>3708.59684487292</v>
      </c>
      <c r="AE4" t="n">
        <v>3477</v>
      </c>
      <c r="AF4" t="n">
        <v>3728</v>
      </c>
    </row>
    <row r="5">
      <c r="A5" t="s">
        <v>65</v>
      </c>
      <c r="B5" t="s">
        <v>280</v>
      </c>
      <c r="C5" t="s">
        <v>236</v>
      </c>
      <c r="D5" t="s">
        <v>281</v>
      </c>
      <c r="E5" t="s">
        <v>237</v>
      </c>
      <c r="F5" t="n">
        <v>60.3515399286593</v>
      </c>
      <c r="G5" t="n">
        <v>55.4248836079524</v>
      </c>
      <c r="H5" t="n">
        <v>48.0348991268921</v>
      </c>
      <c r="I5" t="n">
        <v>51.7298913674223</v>
      </c>
      <c r="J5" t="n">
        <v>56.6565476881292</v>
      </c>
      <c r="K5" t="n">
        <v>57.8882117683059</v>
      </c>
      <c r="L5" t="n">
        <v>56.6565476881292</v>
      </c>
      <c r="M5" t="n">
        <v>59.1198758484826</v>
      </c>
      <c r="N5" t="n">
        <v>51.8807073772398</v>
      </c>
      <c r="O5" t="n">
        <v>56.7068196914017</v>
      </c>
      <c r="P5" t="n">
        <v>63.9459881626444</v>
      </c>
      <c r="Q5" t="n">
        <v>63.9459881626444</v>
      </c>
      <c r="R5" t="n">
        <v>57.0946322880754</v>
      </c>
      <c r="S5" t="n">
        <v>63.8116478513784</v>
      </c>
      <c r="T5" t="n">
        <v>60.5669877911388</v>
      </c>
      <c r="U5" t="n">
        <v>66.8325382522911</v>
      </c>
      <c r="V5" t="n">
        <v>64.744021431907</v>
      </c>
      <c r="W5" t="n">
        <v>61.7091454272863</v>
      </c>
      <c r="X5" t="n">
        <v>67.5862068965517</v>
      </c>
      <c r="Y5" t="n">
        <v>65.6551724137931</v>
      </c>
      <c r="Z5" t="n">
        <v>57.9310344827586</v>
      </c>
      <c r="AA5" t="n">
        <v>52.1379310344828</v>
      </c>
      <c r="AB5" t="n">
        <v>59.8620689655172</v>
      </c>
      <c r="AC5" t="n">
        <v>56.9655172413793</v>
      </c>
      <c r="AD5" t="n">
        <v>56</v>
      </c>
      <c r="AE5" t="n">
        <v>14</v>
      </c>
      <c r="AF5" t="n">
        <v>59</v>
      </c>
    </row>
    <row r="6">
      <c r="A6" t="s">
        <v>65</v>
      </c>
      <c r="B6" t="s">
        <v>282</v>
      </c>
      <c r="C6" t="s">
        <v>236</v>
      </c>
      <c r="D6" t="s">
        <v>283</v>
      </c>
      <c r="E6" t="s">
        <v>237</v>
      </c>
      <c r="F6" t="n">
        <v>8.67708333333334</v>
      </c>
      <c r="G6" t="n">
        <v>8.67708333333334</v>
      </c>
      <c r="H6" t="n">
        <v>9.91666666666667</v>
      </c>
      <c r="I6" t="n">
        <v>12.3958333333333</v>
      </c>
      <c r="J6" t="n">
        <v>16.1145833333333</v>
      </c>
      <c r="K6" t="n">
        <v>16.1145833333333</v>
      </c>
      <c r="L6" t="n">
        <v>18.4166666666667</v>
      </c>
      <c r="M6" t="n">
        <v>11.9166666666667</v>
      </c>
      <c r="N6" t="n">
        <v>11.9166666666667</v>
      </c>
      <c r="O6" t="n">
        <v>11.9166666666667</v>
      </c>
      <c r="P6" t="n">
        <v>7.58333333333333</v>
      </c>
      <c r="Q6" t="n">
        <v>13</v>
      </c>
      <c r="R6" t="n">
        <v>10.8333333333333</v>
      </c>
      <c r="S6" t="n">
        <v>13</v>
      </c>
      <c r="T6" t="n">
        <v>17</v>
      </c>
      <c r="U6" t="n">
        <v>8</v>
      </c>
      <c r="V6" t="n">
        <v>7</v>
      </c>
      <c r="W6" t="n">
        <v>5</v>
      </c>
      <c r="X6" t="n">
        <v>7</v>
      </c>
      <c r="Y6" t="n">
        <v>7</v>
      </c>
      <c r="Z6" t="n">
        <v>11</v>
      </c>
      <c r="AA6" t="n">
        <v>7</v>
      </c>
      <c r="AB6" t="n">
        <v>6</v>
      </c>
      <c r="AC6" t="n">
        <v>5</v>
      </c>
      <c r="AD6" t="n">
        <v>3</v>
      </c>
      <c r="AE6" t="n">
        <v>4</v>
      </c>
      <c r="AF6" t="n">
        <v>7</v>
      </c>
    </row>
    <row r="7">
      <c r="A7" t="s">
        <v>65</v>
      </c>
      <c r="B7" t="s">
        <v>284</v>
      </c>
      <c r="C7" t="s">
        <v>236</v>
      </c>
      <c r="D7" t="s">
        <v>285</v>
      </c>
      <c r="E7" t="s">
        <v>237</v>
      </c>
      <c r="F7" t="n">
        <v>135.641660725467</v>
      </c>
      <c r="G7" t="n">
        <v>139.690665523242</v>
      </c>
      <c r="H7" t="n">
        <v>145.59308801014</v>
      </c>
      <c r="I7" t="n">
        <v>147.508786536589</v>
      </c>
      <c r="J7" t="n">
        <v>153.040366031711</v>
      </c>
      <c r="K7" t="n">
        <v>169.437548106537</v>
      </c>
      <c r="L7" t="n">
        <v>171.166502679053</v>
      </c>
      <c r="M7" t="n">
        <v>177.74982970517</v>
      </c>
      <c r="N7" t="n">
        <v>176.162777654231</v>
      </c>
      <c r="O7" t="n">
        <v>171.526915084383</v>
      </c>
      <c r="P7" t="n">
        <v>162.577684732154</v>
      </c>
      <c r="Q7" t="n">
        <v>151.067760149347</v>
      </c>
      <c r="R7" t="n">
        <v>152.466535706285</v>
      </c>
      <c r="S7" t="n">
        <v>145.659993933683</v>
      </c>
      <c r="T7" t="n">
        <v>118.827889788005</v>
      </c>
      <c r="U7" t="n">
        <v>128.628128121036</v>
      </c>
      <c r="V7" t="n">
        <v>91.3620349270911</v>
      </c>
      <c r="W7" t="n">
        <v>110.102965168546</v>
      </c>
      <c r="X7" t="n">
        <v>102.157390362568</v>
      </c>
      <c r="Y7" t="n">
        <v>92.1637326097082</v>
      </c>
      <c r="Z7" t="n">
        <v>104.232792832408</v>
      </c>
      <c r="AA7" t="n">
        <v>98.8040015390535</v>
      </c>
      <c r="AB7" t="n">
        <v>110.490496344748</v>
      </c>
      <c r="AC7" t="n">
        <v>120.052173913043</v>
      </c>
      <c r="AD7" t="n">
        <v>120.052173913043</v>
      </c>
      <c r="AE7" t="n">
        <v>117</v>
      </c>
      <c r="AF7" t="n">
        <v>106</v>
      </c>
    </row>
    <row r="8">
      <c r="A8" t="s">
        <v>65</v>
      </c>
      <c r="B8" t="s">
        <v>286</v>
      </c>
      <c r="C8" t="s">
        <v>236</v>
      </c>
      <c r="D8" t="s">
        <v>287</v>
      </c>
      <c r="E8" t="s">
        <v>237</v>
      </c>
      <c r="F8" t="n">
        <v>65.0453500713555</v>
      </c>
      <c r="G8" t="n">
        <v>65.0453500713555</v>
      </c>
      <c r="H8" t="n">
        <v>65.0453500713555</v>
      </c>
      <c r="I8" t="n">
        <v>74.900706142773</v>
      </c>
      <c r="J8" t="n">
        <v>40.3311494614932</v>
      </c>
      <c r="K8" t="n">
        <v>51.8543350219198</v>
      </c>
      <c r="L8" t="n">
        <v>48.2781739859253</v>
      </c>
      <c r="M8" t="n">
        <v>31.6305277838821</v>
      </c>
      <c r="N8" t="n">
        <v>23.7228958379116</v>
      </c>
      <c r="O8" t="n">
        <v>18.9783166703293</v>
      </c>
      <c r="P8" t="n">
        <v>15.8152638919411</v>
      </c>
      <c r="Q8" t="n">
        <v>17.2530151548448</v>
      </c>
      <c r="R8" t="n">
        <v>33.0682790467858</v>
      </c>
      <c r="S8" t="n">
        <v>57.8694883318752</v>
      </c>
      <c r="T8" t="n">
        <v>52.7255338134863</v>
      </c>
      <c r="U8" t="n">
        <v>47.8208329936271</v>
      </c>
      <c r="V8" t="n">
        <v>47.8208329936271</v>
      </c>
      <c r="W8" t="n">
        <v>48.9871947739595</v>
      </c>
      <c r="X8" t="n">
        <v>42.1517722473605</v>
      </c>
      <c r="Y8" t="n">
        <v>34.3869720965309</v>
      </c>
      <c r="Z8" t="n">
        <v>35.4962292609351</v>
      </c>
      <c r="AA8" t="n">
        <v>37.7147435897436</v>
      </c>
      <c r="AB8" t="n">
        <v>37.7147435897436</v>
      </c>
      <c r="AC8" t="n">
        <v>40.9474358974359</v>
      </c>
      <c r="AD8" t="n">
        <v>42.025</v>
      </c>
      <c r="AE8" t="n">
        <v>41</v>
      </c>
      <c r="AF8" t="n">
        <v>47</v>
      </c>
    </row>
    <row r="9">
      <c r="A9" t="s">
        <v>65</v>
      </c>
      <c r="B9" t="s">
        <v>288</v>
      </c>
      <c r="C9" t="s">
        <v>236</v>
      </c>
      <c r="D9" t="s">
        <v>289</v>
      </c>
      <c r="E9" t="s">
        <v>237</v>
      </c>
      <c r="F9" t="n">
        <v>146.80857626547</v>
      </c>
      <c r="G9" t="n">
        <v>144.797499878272</v>
      </c>
      <c r="H9" t="n">
        <v>152.624391763584</v>
      </c>
      <c r="I9" t="n">
        <v>152.624391763584</v>
      </c>
      <c r="J9" t="n">
        <v>180.8881680161</v>
      </c>
      <c r="K9" t="n">
        <v>177.158515067314</v>
      </c>
      <c r="L9" t="n">
        <v>168.300589313948</v>
      </c>
      <c r="M9" t="n">
        <v>169.966931782403</v>
      </c>
      <c r="N9" t="n">
        <v>152.328853955928</v>
      </c>
      <c r="O9" t="n">
        <v>172.744061187134</v>
      </c>
      <c r="P9" t="n">
        <v>165.167567275418</v>
      </c>
      <c r="Q9" t="n">
        <v>179.529964429802</v>
      </c>
      <c r="R9" t="n">
        <v>189.271900484132</v>
      </c>
      <c r="S9" t="n">
        <v>187.919958337817</v>
      </c>
      <c r="T9" t="n">
        <v>139.994062922803</v>
      </c>
      <c r="U9" t="n">
        <v>148.369776089125</v>
      </c>
      <c r="V9" t="n">
        <v>149.538042042583</v>
      </c>
      <c r="W9" t="n">
        <v>118.950715261145</v>
      </c>
      <c r="X9" t="n">
        <v>157.49955816985</v>
      </c>
      <c r="Y9" t="n">
        <v>94.9312405407314</v>
      </c>
      <c r="Z9" t="n">
        <v>128.372927549398</v>
      </c>
      <c r="AA9" t="n">
        <v>118.744957983193</v>
      </c>
      <c r="AB9" t="n">
        <v>127.151680672269</v>
      </c>
      <c r="AC9" t="n">
        <v>126.100840336134</v>
      </c>
      <c r="AD9" t="n">
        <v>125.05</v>
      </c>
      <c r="AE9" t="n">
        <v>122</v>
      </c>
      <c r="AF9" t="n">
        <v>119</v>
      </c>
    </row>
    <row r="10">
      <c r="A10" t="s">
        <v>65</v>
      </c>
      <c r="B10" t="s">
        <v>290</v>
      </c>
      <c r="C10" t="s">
        <v>236</v>
      </c>
      <c r="D10" t="s">
        <v>291</v>
      </c>
      <c r="E10" t="s">
        <v>237</v>
      </c>
      <c r="F10" t="n">
        <v>323.657954395836</v>
      </c>
      <c r="G10" t="n">
        <v>315.196308529278</v>
      </c>
      <c r="H10" t="n">
        <v>317.243037805443</v>
      </c>
      <c r="I10" t="n">
        <v>331.29810910062</v>
      </c>
      <c r="J10" t="n">
        <v>358.58148279126</v>
      </c>
      <c r="K10" t="n">
        <v>396.932443517598</v>
      </c>
      <c r="L10" t="n">
        <v>411.498771720078</v>
      </c>
      <c r="M10" t="n">
        <v>447.655567561591</v>
      </c>
      <c r="N10" t="n">
        <v>378.27721391736</v>
      </c>
      <c r="O10" t="n">
        <v>362.180311197472</v>
      </c>
      <c r="P10" t="n">
        <v>348.250299228338</v>
      </c>
      <c r="Q10" t="n">
        <v>365.957941561983</v>
      </c>
      <c r="R10" t="n">
        <v>431.716009186401</v>
      </c>
      <c r="S10" t="n">
        <v>421.998928593781</v>
      </c>
      <c r="T10" t="n">
        <v>349.508315093009</v>
      </c>
      <c r="U10" t="n">
        <v>343.354999686442</v>
      </c>
      <c r="V10" t="n">
        <v>339.753373815605</v>
      </c>
      <c r="W10" t="n">
        <v>367.678308649765</v>
      </c>
      <c r="X10" t="n">
        <v>399.258040681033</v>
      </c>
      <c r="Y10" t="n">
        <v>360.655743930104</v>
      </c>
      <c r="Z10" t="n">
        <v>378.142083029746</v>
      </c>
      <c r="AA10" t="n">
        <v>382.4637068358</v>
      </c>
      <c r="AB10" t="n">
        <v>407.890656874745</v>
      </c>
      <c r="AC10" t="n">
        <v>370.905752753978</v>
      </c>
      <c r="AD10" t="n">
        <v>301.162790697674</v>
      </c>
      <c r="AE10" t="n">
        <v>350</v>
      </c>
      <c r="AF10" t="n">
        <v>390</v>
      </c>
    </row>
    <row r="11">
      <c r="A11" t="s">
        <v>65</v>
      </c>
      <c r="B11" t="s">
        <v>292</v>
      </c>
      <c r="C11" t="s">
        <v>236</v>
      </c>
      <c r="D11" t="s">
        <v>293</v>
      </c>
      <c r="E11" t="s">
        <v>237</v>
      </c>
      <c r="F11" t="n">
        <v>175.463465485775</v>
      </c>
      <c r="G11" t="n">
        <v>168.883585530058</v>
      </c>
      <c r="H11" t="n">
        <v>162.550451072681</v>
      </c>
      <c r="I11" t="n">
        <v>176.953655598109</v>
      </c>
      <c r="J11" t="n">
        <v>174.965412276782</v>
      </c>
      <c r="K11" t="n">
        <v>217.734735277773</v>
      </c>
      <c r="L11" t="n">
        <v>241.722460350748</v>
      </c>
      <c r="M11" t="n">
        <v>276.754700981291</v>
      </c>
      <c r="N11" t="n">
        <v>224.758363221169</v>
      </c>
      <c r="O11" t="n">
        <v>187.298636017641</v>
      </c>
      <c r="P11" t="n">
        <v>181.055348150386</v>
      </c>
      <c r="Q11" t="n">
        <v>184.047998533037</v>
      </c>
      <c r="R11" t="n">
        <v>240.566675247907</v>
      </c>
      <c r="S11" t="n">
        <v>232.125739274296</v>
      </c>
      <c r="T11" t="n">
        <v>208.51973189047</v>
      </c>
      <c r="U11" t="n">
        <v>193.536278101933</v>
      </c>
      <c r="V11" t="n">
        <v>188.667440916979</v>
      </c>
      <c r="W11" t="n">
        <v>248.805187709266</v>
      </c>
      <c r="X11" t="n">
        <v>240.816030305757</v>
      </c>
      <c r="Y11" t="n">
        <v>266.458477977203</v>
      </c>
      <c r="Z11" t="n">
        <v>249.94245661498</v>
      </c>
      <c r="AA11" t="n">
        <v>264.069638945392</v>
      </c>
      <c r="AB11" t="n">
        <v>281.106389845095</v>
      </c>
      <c r="AC11" t="n">
        <v>245.039909638554</v>
      </c>
      <c r="AD11" t="n">
        <v>176.089285714286</v>
      </c>
      <c r="AE11" t="n">
        <v>228</v>
      </c>
      <c r="AF11" t="n">
        <v>271</v>
      </c>
    </row>
    <row r="12">
      <c r="A12" t="s">
        <v>65</v>
      </c>
      <c r="B12" t="s">
        <v>294</v>
      </c>
      <c r="C12" t="s">
        <v>236</v>
      </c>
      <c r="D12" t="s">
        <v>295</v>
      </c>
      <c r="E12" t="s">
        <v>237</v>
      </c>
      <c r="F12" t="n">
        <v>42.5981267189717</v>
      </c>
      <c r="G12" t="n">
        <v>42.5981267189717</v>
      </c>
      <c r="H12" t="n">
        <v>39.660324876284</v>
      </c>
      <c r="I12" t="n">
        <v>42.5981267189717</v>
      </c>
      <c r="J12" t="n">
        <v>64.6316405391295</v>
      </c>
      <c r="K12" t="n">
        <v>67.5694423818173</v>
      </c>
      <c r="L12" t="n">
        <v>64.7540489492415</v>
      </c>
      <c r="M12" t="n">
        <v>75.5463904407818</v>
      </c>
      <c r="N12" t="n">
        <v>70.2448893572182</v>
      </c>
      <c r="O12" t="n">
        <v>70.2448893572182</v>
      </c>
      <c r="P12" t="n">
        <v>57.7011591148578</v>
      </c>
      <c r="Q12" t="n">
        <v>66.1159114857745</v>
      </c>
      <c r="R12" t="n">
        <v>72.1264488935722</v>
      </c>
      <c r="S12" t="n">
        <v>72.1264488935722</v>
      </c>
      <c r="T12" t="n">
        <v>67.6185458377239</v>
      </c>
      <c r="U12" t="n">
        <v>67.6185458377239</v>
      </c>
      <c r="V12" t="n">
        <v>70.8904109589041</v>
      </c>
      <c r="W12" t="n">
        <v>78.4090909090909</v>
      </c>
      <c r="X12" t="n">
        <v>71.0909090909091</v>
      </c>
      <c r="Y12" t="n">
        <v>73.1818181818182</v>
      </c>
      <c r="Z12" t="n">
        <v>83.6363636363636</v>
      </c>
      <c r="AA12" t="n">
        <v>76.3181818181818</v>
      </c>
      <c r="AB12" t="n">
        <v>94.0909090909091</v>
      </c>
      <c r="AC12" t="n">
        <v>85.7272727272727</v>
      </c>
      <c r="AD12" t="n">
        <v>92</v>
      </c>
      <c r="AE12" t="n">
        <v>92</v>
      </c>
      <c r="AF12" t="n">
        <v>94</v>
      </c>
    </row>
    <row r="13">
      <c r="A13" t="s">
        <v>65</v>
      </c>
      <c r="B13" t="s">
        <v>296</v>
      </c>
      <c r="C13" t="s">
        <v>236</v>
      </c>
      <c r="D13" t="s">
        <v>297</v>
      </c>
      <c r="E13" t="s">
        <v>237</v>
      </c>
      <c r="F13" t="n">
        <v>74.201105897435</v>
      </c>
      <c r="G13" t="n">
        <v>72.7170837794863</v>
      </c>
      <c r="H13" t="n">
        <v>75.6257671306657</v>
      </c>
      <c r="I13" t="n">
        <v>78.4795696638984</v>
      </c>
      <c r="J13" t="n">
        <v>88.2895158718857</v>
      </c>
      <c r="K13" t="n">
        <v>85.4866740981751</v>
      </c>
      <c r="L13" t="n">
        <v>90.9143994377417</v>
      </c>
      <c r="M13" t="n">
        <v>79.0559995110798</v>
      </c>
      <c r="N13" t="n">
        <v>85.5359994710044</v>
      </c>
      <c r="O13" t="n">
        <v>94.4725964306615</v>
      </c>
      <c r="P13" t="n">
        <v>103.29003876419</v>
      </c>
      <c r="Q13" t="n">
        <v>102.060395445569</v>
      </c>
      <c r="R13" t="n">
        <v>108.135418983995</v>
      </c>
      <c r="S13" t="n">
        <v>105.73240967324</v>
      </c>
      <c r="T13" t="n">
        <v>110.28004019682</v>
      </c>
      <c r="U13" t="n">
        <v>110.28004019682</v>
      </c>
      <c r="V13" t="n">
        <v>100.453105921856</v>
      </c>
      <c r="W13" t="n">
        <v>91.8119785307286</v>
      </c>
      <c r="X13" t="n">
        <v>83.2713293650794</v>
      </c>
      <c r="Y13" t="n">
        <v>70.6225198412698</v>
      </c>
      <c r="Z13" t="n">
        <v>70.6225198412698</v>
      </c>
      <c r="AA13" t="n">
        <v>68.5143849206349</v>
      </c>
      <c r="AB13" t="n">
        <v>76.9469246031746</v>
      </c>
      <c r="AC13" t="n">
        <v>81.1631944444444</v>
      </c>
      <c r="AD13" t="n">
        <v>75.8928571428571</v>
      </c>
      <c r="AE13" t="n">
        <v>85</v>
      </c>
      <c r="AF13" t="n">
        <v>76</v>
      </c>
    </row>
    <row r="14">
      <c r="A14" t="s">
        <v>65</v>
      </c>
      <c r="B14" t="s">
        <v>298</v>
      </c>
      <c r="C14" t="s">
        <v>236</v>
      </c>
      <c r="D14" t="s">
        <v>299</v>
      </c>
      <c r="E14" t="s">
        <v>237</v>
      </c>
      <c r="F14" t="n">
        <v>942.41002987188</v>
      </c>
      <c r="G14" t="n">
        <v>1284.30762210447</v>
      </c>
      <c r="H14" t="n">
        <v>1622.28331213196</v>
      </c>
      <c r="I14" t="n">
        <v>2055.71778483897</v>
      </c>
      <c r="J14" t="n">
        <v>2741.61975366823</v>
      </c>
      <c r="K14" t="n">
        <v>3241.87253837176</v>
      </c>
      <c r="L14" t="n">
        <v>3060.84489805243</v>
      </c>
      <c r="M14" t="n">
        <v>2911.91998887415</v>
      </c>
      <c r="N14" t="n">
        <v>3355.91239224104</v>
      </c>
      <c r="O14" t="n">
        <v>3662.62679658781</v>
      </c>
      <c r="P14" t="n">
        <v>3681.41752833602</v>
      </c>
      <c r="Q14" t="n">
        <v>3685.90159353496</v>
      </c>
      <c r="R14" t="n">
        <v>3783.16642487283</v>
      </c>
      <c r="S14" t="n">
        <v>4287.86978664516</v>
      </c>
      <c r="T14" t="n">
        <v>3782.02695729155</v>
      </c>
      <c r="U14" t="n">
        <v>3612.04821763799</v>
      </c>
      <c r="V14" t="n">
        <v>3192.69466148967</v>
      </c>
      <c r="W14" t="n">
        <v>2148.52068683396</v>
      </c>
      <c r="X14" t="n">
        <v>1992.03619236493</v>
      </c>
      <c r="Y14" t="n">
        <v>1876.23308224422</v>
      </c>
      <c r="Z14" t="n">
        <v>1478.110939353</v>
      </c>
      <c r="AA14" t="n">
        <v>1189.43435354691</v>
      </c>
      <c r="AB14" t="n">
        <v>1148.01655016447</v>
      </c>
      <c r="AC14" t="n">
        <v>1347.99362664474</v>
      </c>
      <c r="AD14" t="n">
        <v>1929.9375</v>
      </c>
      <c r="AE14" t="n">
        <v>1692</v>
      </c>
      <c r="AF14" t="n">
        <v>1889</v>
      </c>
    </row>
    <row r="15">
      <c r="A15" t="s">
        <v>65</v>
      </c>
      <c r="B15" t="s">
        <v>300</v>
      </c>
      <c r="C15" t="s">
        <v>236</v>
      </c>
      <c r="D15" t="s">
        <v>301</v>
      </c>
      <c r="E15" t="s">
        <v>237</v>
      </c>
      <c r="F15" t="n">
        <v>1085.63984800389</v>
      </c>
      <c r="G15" t="n">
        <v>1418.5113845662</v>
      </c>
      <c r="H15" t="n">
        <v>1747.95855524208</v>
      </c>
      <c r="I15" t="n">
        <v>2199.30935589144</v>
      </c>
      <c r="J15" t="n">
        <v>2881.64903914913</v>
      </c>
      <c r="K15" t="n">
        <v>3383.31263705768</v>
      </c>
      <c r="L15" t="n">
        <v>3199.33696348195</v>
      </c>
      <c r="M15" t="n">
        <v>3059.62792577531</v>
      </c>
      <c r="N15" t="n">
        <v>3520.82798449404</v>
      </c>
      <c r="O15" t="n">
        <v>3841.49516569854</v>
      </c>
      <c r="P15" t="n">
        <v>3852.4351437945</v>
      </c>
      <c r="Q15" t="n">
        <v>3846.46700259575</v>
      </c>
      <c r="R15" t="n">
        <v>3972.55691564241</v>
      </c>
      <c r="S15" t="n">
        <v>4564.93112709156</v>
      </c>
      <c r="T15" t="n">
        <v>4051.8998765698</v>
      </c>
      <c r="U15" t="n">
        <v>3934.56204896735</v>
      </c>
      <c r="V15" t="n">
        <v>3497.38848797098</v>
      </c>
      <c r="W15" t="n">
        <v>2487.18898200835</v>
      </c>
      <c r="X15" t="n">
        <v>2243.03373331578</v>
      </c>
      <c r="Y15" t="n">
        <v>2214.12006099739</v>
      </c>
      <c r="Z15" t="n">
        <v>1797.66770212989</v>
      </c>
      <c r="AA15" t="n">
        <v>1469.14338744632</v>
      </c>
      <c r="AB15" t="n">
        <v>1101.85754058474</v>
      </c>
      <c r="AC15" t="n">
        <v>1581.93750548442</v>
      </c>
      <c r="AD15" t="n">
        <v>2173.04918032787</v>
      </c>
      <c r="AE15" t="n">
        <v>1922</v>
      </c>
      <c r="AF15" t="n">
        <v>2103</v>
      </c>
    </row>
    <row r="16">
      <c r="A16" t="s">
        <v>65</v>
      </c>
      <c r="B16" t="s">
        <v>302</v>
      </c>
      <c r="C16" t="s">
        <v>236</v>
      </c>
      <c r="D16" t="s">
        <v>303</v>
      </c>
      <c r="E16" t="s">
        <v>237</v>
      </c>
      <c r="F16" t="n">
        <v>133.840738013103</v>
      </c>
      <c r="G16" t="n">
        <v>128.021575490794</v>
      </c>
      <c r="H16" t="n">
        <v>122.373564807377</v>
      </c>
      <c r="I16" t="n">
        <v>140.915014020616</v>
      </c>
      <c r="J16" t="n">
        <v>140.915014020616</v>
      </c>
      <c r="K16" t="n">
        <v>144.482482729998</v>
      </c>
      <c r="L16" t="n">
        <v>141.042423617379</v>
      </c>
      <c r="M16" t="n">
        <v>149.339036771343</v>
      </c>
      <c r="N16" t="n">
        <v>167.002793808813</v>
      </c>
      <c r="O16" t="n">
        <v>181.182276302014</v>
      </c>
      <c r="P16" t="n">
        <v>173.569575617056</v>
      </c>
      <c r="Q16" t="n">
        <v>163.359600580758</v>
      </c>
      <c r="R16" t="n">
        <v>191.769965899151</v>
      </c>
      <c r="S16" t="n">
        <v>278.687288572867</v>
      </c>
      <c r="T16" t="n">
        <v>270.945975001399</v>
      </c>
      <c r="U16" t="n">
        <v>322.672024774393</v>
      </c>
      <c r="V16" t="n">
        <v>304.612023387767</v>
      </c>
      <c r="W16" t="n">
        <v>337.290707889136</v>
      </c>
      <c r="X16" t="n">
        <v>250.429890138422</v>
      </c>
      <c r="Y16" t="n">
        <v>336.10327360683</v>
      </c>
      <c r="Z16" t="n">
        <v>317.612154994156</v>
      </c>
      <c r="AA16" t="n">
        <v>277.910635619887</v>
      </c>
      <c r="AB16" t="n">
        <v>-45.2657474683906</v>
      </c>
      <c r="AC16" t="n">
        <v>233.697579953087</v>
      </c>
      <c r="AD16" t="n">
        <v>243.171806167401</v>
      </c>
      <c r="AE16" t="n">
        <v>230</v>
      </c>
      <c r="AF16" t="n">
        <v>214</v>
      </c>
    </row>
    <row r="17">
      <c r="A17" t="s">
        <v>65</v>
      </c>
      <c r="B17" t="s">
        <v>304</v>
      </c>
      <c r="C17" t="s">
        <v>236</v>
      </c>
      <c r="D17" t="s">
        <v>305</v>
      </c>
      <c r="E17" t="s">
        <v>237</v>
      </c>
      <c r="F17" t="n">
        <v>277.599687504504</v>
      </c>
      <c r="G17" t="n">
        <v>294.949667973535</v>
      </c>
      <c r="H17" t="n">
        <v>311.80393471488</v>
      </c>
      <c r="I17" t="n">
        <v>332.453201914541</v>
      </c>
      <c r="J17" t="n">
        <v>366.094299727322</v>
      </c>
      <c r="K17" t="n">
        <v>340.779268363199</v>
      </c>
      <c r="L17" t="n">
        <v>383.376676908599</v>
      </c>
      <c r="M17" t="n">
        <v>367.549199421546</v>
      </c>
      <c r="N17" t="n">
        <v>311.911017857734</v>
      </c>
      <c r="O17" t="n">
        <v>293.853011560708</v>
      </c>
      <c r="P17" t="n">
        <v>304.852856913247</v>
      </c>
      <c r="Q17" t="n">
        <v>313.863286181619</v>
      </c>
      <c r="R17" t="n">
        <v>343.0598709427</v>
      </c>
      <c r="S17" t="n">
        <v>549.178147311565</v>
      </c>
      <c r="T17" t="n">
        <v>432.526941796698</v>
      </c>
      <c r="U17" t="n">
        <v>438.759318479648</v>
      </c>
      <c r="V17" t="n">
        <v>476.541370904284</v>
      </c>
      <c r="W17" t="n">
        <v>556.950336714436</v>
      </c>
      <c r="X17" t="n">
        <v>567.243053409364</v>
      </c>
      <c r="Y17" t="n">
        <v>547.18337765029</v>
      </c>
      <c r="Z17" t="n">
        <v>572.454899108035</v>
      </c>
      <c r="AA17" t="n">
        <v>611.48591495631</v>
      </c>
      <c r="AB17" t="n">
        <v>611.48591495631</v>
      </c>
      <c r="AC17" t="n">
        <v>709.873787085958</v>
      </c>
      <c r="AD17" t="n">
        <v>710.931721194879</v>
      </c>
      <c r="AE17" t="n">
        <v>715</v>
      </c>
      <c r="AF17" t="n">
        <v>677</v>
      </c>
    </row>
    <row r="18">
      <c r="A18" t="s">
        <v>65</v>
      </c>
      <c r="B18" t="s">
        <v>306</v>
      </c>
      <c r="C18" t="s">
        <v>236</v>
      </c>
      <c r="D18" t="s">
        <v>307</v>
      </c>
      <c r="E18" t="s">
        <v>237</v>
      </c>
      <c r="F18" t="n">
        <v>31.4328132484771</v>
      </c>
      <c r="G18" t="n">
        <v>34.4264145102368</v>
      </c>
      <c r="H18" t="n">
        <v>34.4264145102368</v>
      </c>
      <c r="I18" t="n">
        <v>35.9232151411167</v>
      </c>
      <c r="J18" t="n">
        <v>38.9168164028764</v>
      </c>
      <c r="K18" t="n">
        <v>44.9040189263958</v>
      </c>
      <c r="L18" t="n">
        <v>41.9104176646361</v>
      </c>
      <c r="M18" t="n">
        <v>41.9104176646361</v>
      </c>
      <c r="N18" t="n">
        <v>39.0200440325922</v>
      </c>
      <c r="O18" t="n">
        <v>43.355604480658</v>
      </c>
      <c r="P18" t="n">
        <v>46.2459781127019</v>
      </c>
      <c r="Q18" t="n">
        <v>61.6613041502692</v>
      </c>
      <c r="R18" t="n">
        <v>42.4777873035188</v>
      </c>
      <c r="S18" t="n">
        <v>52.069545726894</v>
      </c>
      <c r="T18" t="n">
        <v>69.849390609248</v>
      </c>
      <c r="U18" t="n">
        <v>57.8063922283432</v>
      </c>
      <c r="V18" t="n">
        <v>80.6880891520624</v>
      </c>
      <c r="W18" t="n">
        <v>91.2126225197227</v>
      </c>
      <c r="X18" t="n">
        <v>79.8110447047574</v>
      </c>
      <c r="Y18" t="n">
        <v>44.3394692804208</v>
      </c>
      <c r="Z18" t="n">
        <v>66.5092039206311</v>
      </c>
      <c r="AA18" t="n">
        <v>66.5092039206311</v>
      </c>
      <c r="AB18" t="n">
        <v>80.2333253645709</v>
      </c>
      <c r="AC18" t="n">
        <v>89.7346402103753</v>
      </c>
      <c r="AD18" t="n">
        <v>93.9574468085106</v>
      </c>
      <c r="AE18" t="n">
        <v>96</v>
      </c>
      <c r="AF18" t="n">
        <v>112</v>
      </c>
    </row>
    <row r="19">
      <c r="A19" t="s">
        <v>65</v>
      </c>
      <c r="B19" t="s">
        <v>308</v>
      </c>
      <c r="C19" t="s">
        <v>236</v>
      </c>
      <c r="D19" t="s">
        <v>309</v>
      </c>
      <c r="E19" t="s">
        <v>237</v>
      </c>
      <c r="F19" t="n">
        <v>147.980374700424</v>
      </c>
      <c r="G19" t="n">
        <v>160.025288920226</v>
      </c>
      <c r="H19" t="n">
        <v>176.694589849416</v>
      </c>
      <c r="I19" t="n">
        <v>188.041948830571</v>
      </c>
      <c r="J19" t="n">
        <v>219.123262686864</v>
      </c>
      <c r="K19" t="n">
        <v>239.043559294761</v>
      </c>
      <c r="L19" t="n">
        <v>257.992134116906</v>
      </c>
      <c r="M19" t="n">
        <v>269.088569992902</v>
      </c>
      <c r="N19" t="n">
        <v>249.205178121505</v>
      </c>
      <c r="O19" t="n">
        <v>225.963244410692</v>
      </c>
      <c r="P19" t="n">
        <v>191.199668347508</v>
      </c>
      <c r="Q19" t="n">
        <v>220.889057842463</v>
      </c>
      <c r="R19" t="n">
        <v>235.923391622316</v>
      </c>
      <c r="S19" t="n">
        <v>40.4440099923971</v>
      </c>
      <c r="T19" t="n">
        <v>33.8855218855219</v>
      </c>
      <c r="U19" t="n">
        <v>33.8855218855219</v>
      </c>
      <c r="V19" t="n">
        <v>33.8855218855219</v>
      </c>
      <c r="W19" t="n">
        <v>34.9444444444444</v>
      </c>
      <c r="X19" t="n">
        <v>27.75</v>
      </c>
      <c r="Y19" t="n">
        <v>23.6388888888889</v>
      </c>
      <c r="Z19" t="n">
        <v>24.6666666666667</v>
      </c>
      <c r="AA19" t="n">
        <v>28.7777777777778</v>
      </c>
      <c r="AB19" t="n">
        <v>21.5833333333333</v>
      </c>
      <c r="AC19" t="n">
        <v>39.0555555555556</v>
      </c>
      <c r="AD19" t="n">
        <v>37</v>
      </c>
      <c r="AE19" t="n">
        <v>41</v>
      </c>
      <c r="AF19" t="n">
        <v>57</v>
      </c>
    </row>
    <row r="20">
      <c r="A20" t="s">
        <v>65</v>
      </c>
      <c r="B20" t="s">
        <v>310</v>
      </c>
      <c r="C20" t="s">
        <v>236</v>
      </c>
      <c r="D20" t="s">
        <v>311</v>
      </c>
      <c r="E20" t="s">
        <v>237</v>
      </c>
      <c r="F20" t="n">
        <v>30.5877145125793</v>
      </c>
      <c r="G20" t="n">
        <v>48.0664085197674</v>
      </c>
      <c r="H20" t="n">
        <v>68.9648470066228</v>
      </c>
      <c r="I20" t="n">
        <v>70.9932248597588</v>
      </c>
      <c r="J20" t="n">
        <v>55.2169526687013</v>
      </c>
      <c r="K20" t="n">
        <v>39.9846898635423</v>
      </c>
      <c r="L20" t="n">
        <v>54.5245770866486</v>
      </c>
      <c r="M20" t="n">
        <v>23.8545024754088</v>
      </c>
      <c r="N20" t="n">
        <v>14.3127014852453</v>
      </c>
      <c r="O20" t="n">
        <v>11.1321011551908</v>
      </c>
      <c r="P20" t="n">
        <v>19.083601980327</v>
      </c>
      <c r="Q20" t="n">
        <v>36.6992345775519</v>
      </c>
      <c r="R20" t="n">
        <v>18.349617288776</v>
      </c>
      <c r="S20" t="n">
        <v>19.7611263109895</v>
      </c>
      <c r="T20" t="n">
        <v>23.7133515731874</v>
      </c>
      <c r="U20" t="n">
        <v>31.2017783857729</v>
      </c>
      <c r="V20" t="n">
        <v>30.0017099863201</v>
      </c>
      <c r="W20" t="n">
        <v>39.2330053667263</v>
      </c>
      <c r="X20" t="n">
        <v>31.386404293381</v>
      </c>
      <c r="Y20" t="n">
        <v>24.8926654740608</v>
      </c>
      <c r="Z20" t="n">
        <v>25.9749552772809</v>
      </c>
      <c r="AA20" t="n">
        <v>46.5384615384615</v>
      </c>
      <c r="AB20" t="n">
        <v>77.2115384615385</v>
      </c>
      <c r="AC20" t="n">
        <v>64.5192307692308</v>
      </c>
      <c r="AD20" t="n">
        <v>76.1538461538461</v>
      </c>
      <c r="AE20" t="n">
        <v>66</v>
      </c>
      <c r="AF20" t="n">
        <v>63</v>
      </c>
    </row>
    <row r="21">
      <c r="A21" t="s">
        <v>65</v>
      </c>
      <c r="B21" t="s">
        <v>312</v>
      </c>
      <c r="C21" t="s">
        <v>236</v>
      </c>
      <c r="D21" t="s">
        <v>313</v>
      </c>
      <c r="E21" t="s">
        <v>237</v>
      </c>
      <c r="F21" t="n">
        <v>29.9437940014949</v>
      </c>
      <c r="G21" t="n">
        <v>45.9138174689588</v>
      </c>
      <c r="H21" t="n">
        <v>65.0445747476917</v>
      </c>
      <c r="I21" t="n">
        <v>66.9029911690543</v>
      </c>
      <c r="J21" t="n">
        <v>56.0538574659644</v>
      </c>
      <c r="K21" t="n">
        <v>40.2887100536619</v>
      </c>
      <c r="L21" t="n">
        <v>55.3969763237851</v>
      </c>
      <c r="M21" t="n">
        <v>30.0726442900548</v>
      </c>
      <c r="N21" t="n">
        <v>22.5544832175411</v>
      </c>
      <c r="O21" t="n">
        <v>22.5544832175411</v>
      </c>
      <c r="P21" t="n">
        <v>30.0726442900548</v>
      </c>
      <c r="Q21" t="n">
        <v>55.8491965386732</v>
      </c>
      <c r="R21" t="n">
        <v>41.8868974040049</v>
      </c>
      <c r="S21" t="n">
        <v>36.3019777501376</v>
      </c>
      <c r="T21" t="n">
        <v>38.8949761608617</v>
      </c>
      <c r="U21" t="n">
        <v>52.2651242161579</v>
      </c>
      <c r="V21" t="n">
        <v>48.7015930196017</v>
      </c>
      <c r="W21" t="n">
        <v>67.2545808365928</v>
      </c>
      <c r="X21" t="n">
        <v>57.1663937111038</v>
      </c>
      <c r="Y21" t="n">
        <v>45.3016704880446</v>
      </c>
      <c r="Z21" t="n">
        <v>58.2450049132001</v>
      </c>
      <c r="AA21" t="n">
        <v>77.6600065509335</v>
      </c>
      <c r="AB21" t="n">
        <v>95.5008188666885</v>
      </c>
      <c r="AC21" t="n">
        <v>80.8083851948903</v>
      </c>
      <c r="AD21" t="n">
        <v>90.2535211267606</v>
      </c>
      <c r="AE21" t="n">
        <v>72</v>
      </c>
      <c r="AF21" t="n">
        <v>71</v>
      </c>
    </row>
    <row r="22">
      <c r="A22" t="s">
        <v>65</v>
      </c>
      <c r="B22" t="s">
        <v>314</v>
      </c>
      <c r="C22" t="s">
        <v>236</v>
      </c>
      <c r="D22" t="s">
        <v>315</v>
      </c>
      <c r="E22" t="s">
        <v>237</v>
      </c>
      <c r="F22" t="n">
        <v>1.31965267366317</v>
      </c>
      <c r="G22" t="n">
        <v>1.31965267366317</v>
      </c>
      <c r="H22" t="n">
        <v>1.31965267366317</v>
      </c>
      <c r="I22" t="n">
        <v>1.31965267366317</v>
      </c>
      <c r="J22" t="n">
        <v>3.95895802098951</v>
      </c>
      <c r="K22" t="n">
        <v>2.63930534732634</v>
      </c>
      <c r="L22" t="n">
        <v>3.95895802098951</v>
      </c>
      <c r="M22" t="n">
        <v>6.59826336831584</v>
      </c>
      <c r="N22" t="n">
        <v>7.91791604197901</v>
      </c>
      <c r="O22" t="n">
        <v>10.5572213893053</v>
      </c>
      <c r="P22" t="n">
        <v>10.5572213893053</v>
      </c>
      <c r="Q22" t="n">
        <v>18.4751374312844</v>
      </c>
      <c r="R22" t="n">
        <v>22.4340954522739</v>
      </c>
      <c r="S22" t="n">
        <v>15.835832083958</v>
      </c>
      <c r="T22" t="n">
        <v>14.6176911544228</v>
      </c>
      <c r="U22" t="n">
        <v>20.23988005997</v>
      </c>
      <c r="V22" t="n">
        <v>17.9910044977511</v>
      </c>
      <c r="W22" t="n">
        <v>26.9865067466267</v>
      </c>
      <c r="X22" t="n">
        <v>24.8275862068966</v>
      </c>
      <c r="Y22" t="n">
        <v>19.6551724137931</v>
      </c>
      <c r="Z22" t="n">
        <v>31.0344827586207</v>
      </c>
      <c r="AA22" t="n">
        <v>30</v>
      </c>
      <c r="AB22" t="n">
        <v>18</v>
      </c>
      <c r="AC22" t="n">
        <v>16</v>
      </c>
      <c r="AD22" t="n">
        <v>14</v>
      </c>
      <c r="AE22" t="n">
        <v>6</v>
      </c>
      <c r="AF22" t="n">
        <v>8</v>
      </c>
    </row>
    <row r="23">
      <c r="A23" t="s">
        <v>65</v>
      </c>
      <c r="B23" t="s">
        <v>316</v>
      </c>
      <c r="C23" t="s">
        <v>236</v>
      </c>
      <c r="D23" t="s">
        <v>317</v>
      </c>
      <c r="E23" t="s">
        <v>237</v>
      </c>
      <c r="F23" t="n">
        <v>19.5850012335182</v>
      </c>
      <c r="G23" t="n">
        <v>17.8045465759256</v>
      </c>
      <c r="H23" t="n">
        <v>17.8045465759256</v>
      </c>
      <c r="I23" t="n">
        <v>19.5850012335182</v>
      </c>
      <c r="J23" t="n">
        <v>35.6090931518512</v>
      </c>
      <c r="K23" t="n">
        <v>55.1940943853694</v>
      </c>
      <c r="L23" t="n">
        <v>41.8137078677041</v>
      </c>
      <c r="M23" t="n">
        <v>49.8548055345703</v>
      </c>
      <c r="N23" t="n">
        <v>54.5286935534362</v>
      </c>
      <c r="O23" t="n">
        <v>30.2937186407979</v>
      </c>
      <c r="P23" t="n">
        <v>27.4086025797695</v>
      </c>
      <c r="Q23" t="n">
        <v>27.4086025797695</v>
      </c>
      <c r="R23" t="n">
        <v>31.3241172340223</v>
      </c>
      <c r="S23" t="n">
        <v>37.5889406808268</v>
      </c>
      <c r="T23" t="n">
        <v>48.1608302473093</v>
      </c>
      <c r="U23" t="n">
        <v>60.4810426361559</v>
      </c>
      <c r="V23" t="n">
        <v>51.6838000708969</v>
      </c>
      <c r="W23" t="n">
        <v>52.7605459057072</v>
      </c>
      <c r="X23" t="n">
        <v>65.4230769230769</v>
      </c>
      <c r="Y23" t="n">
        <v>18.6923076923077</v>
      </c>
      <c r="Z23" t="n">
        <v>32.1923076923077</v>
      </c>
      <c r="AA23" t="n">
        <v>21.8076923076923</v>
      </c>
      <c r="AB23" t="n">
        <v>31.1538461538462</v>
      </c>
      <c r="AC23" t="n">
        <v>28.0384615384615</v>
      </c>
      <c r="AD23" t="n">
        <v>27</v>
      </c>
      <c r="AE23" t="n">
        <v>32</v>
      </c>
      <c r="AF23" t="n">
        <v>36</v>
      </c>
    </row>
    <row r="24">
      <c r="A24" t="s">
        <v>65</v>
      </c>
      <c r="B24" t="s">
        <v>318</v>
      </c>
      <c r="C24" t="s">
        <v>236</v>
      </c>
      <c r="D24" t="s">
        <v>319</v>
      </c>
      <c r="E24" t="s">
        <v>237</v>
      </c>
      <c r="F24" t="n">
        <v>83.0110729983828</v>
      </c>
      <c r="G24" t="n">
        <v>99.2523698893707</v>
      </c>
      <c r="H24" t="n">
        <v>114.923796714008</v>
      </c>
      <c r="I24" t="n">
        <v>140.274634224451</v>
      </c>
      <c r="J24" t="n">
        <v>151.692337010162</v>
      </c>
      <c r="K24" t="n">
        <v>188.417850181044</v>
      </c>
      <c r="L24" t="n">
        <v>183.895821776699</v>
      </c>
      <c r="M24" t="n">
        <v>8.55329403612552</v>
      </c>
      <c r="N24" t="n">
        <v>8.55329403612552</v>
      </c>
      <c r="O24" t="n">
        <v>4.27664701806276</v>
      </c>
      <c r="P24" t="n">
        <v>7.1277450301046</v>
      </c>
      <c r="Q24" t="n">
        <v>1.42554900602092</v>
      </c>
      <c r="R24" t="n">
        <v>84.1073913552343</v>
      </c>
      <c r="S24" t="n">
        <v>52.3947683852279</v>
      </c>
      <c r="T24" t="n">
        <v>62.618137826248</v>
      </c>
      <c r="U24" t="n">
        <v>68.7571709464684</v>
      </c>
      <c r="V24" t="n">
        <v>75.9947678882019</v>
      </c>
      <c r="W24" t="n">
        <v>114.576726969904</v>
      </c>
      <c r="X24" t="n">
        <v>83.9473049086428</v>
      </c>
      <c r="Y24" t="n">
        <v>75.1107464972068</v>
      </c>
      <c r="Z24" t="n">
        <v>79.4649926709579</v>
      </c>
      <c r="AA24" t="n">
        <v>73.0218851570964</v>
      </c>
      <c r="AB24" t="n">
        <v>52.9144095341278</v>
      </c>
      <c r="AC24" t="n">
        <v>80.4299024918743</v>
      </c>
      <c r="AD24" t="n">
        <v>75.1384615384615</v>
      </c>
      <c r="AE24" t="n">
        <v>66</v>
      </c>
      <c r="AF24" t="n">
        <v>114</v>
      </c>
    </row>
    <row r="25">
      <c r="A25" t="s">
        <v>65</v>
      </c>
      <c r="B25" t="s">
        <v>320</v>
      </c>
      <c r="C25" t="s">
        <v>236</v>
      </c>
      <c r="D25" t="s">
        <v>321</v>
      </c>
      <c r="E25" t="s">
        <v>237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e">
        <v>#NUM!</v>
      </c>
      <c r="T25" t="n">
        <v>0</v>
      </c>
      <c r="U25" t="n">
        <v>0</v>
      </c>
      <c r="V25" t="n">
        <v>0</v>
      </c>
      <c r="W25" t="n">
        <v>1</v>
      </c>
      <c r="X25" t="n">
        <v>2</v>
      </c>
      <c r="Y25" t="n">
        <v>4</v>
      </c>
      <c r="Z25" t="n">
        <v>6</v>
      </c>
      <c r="AA25" t="n">
        <v>5</v>
      </c>
      <c r="AB25" t="n">
        <v>1</v>
      </c>
      <c r="AC25" t="n">
        <v>1</v>
      </c>
      <c r="AD25" t="n">
        <v>4</v>
      </c>
      <c r="AE25" t="n">
        <v>2</v>
      </c>
      <c r="AF25" t="n">
        <v>3</v>
      </c>
    </row>
    <row r="26">
      <c r="A26" t="s">
        <v>65</v>
      </c>
      <c r="B26" t="s">
        <v>322</v>
      </c>
      <c r="C26" t="s">
        <v>236</v>
      </c>
      <c r="D26" t="s">
        <v>323</v>
      </c>
      <c r="E26" t="s">
        <v>237</v>
      </c>
      <c r="F26" t="n">
        <v>85.1377019503833</v>
      </c>
      <c r="G26" t="n">
        <v>101.795078418937</v>
      </c>
      <c r="H26" t="n">
        <v>117.867985537716</v>
      </c>
      <c r="I26" t="n">
        <v>142.134923736658</v>
      </c>
      <c r="J26" t="n">
        <v>153.840152750265</v>
      </c>
      <c r="K26" t="n">
        <v>189.845294883305</v>
      </c>
      <c r="L26" t="n">
        <v>183.671464155393</v>
      </c>
      <c r="M26" t="n">
        <v>8.74626019787586</v>
      </c>
      <c r="N26" t="n">
        <v>8.74626019787586</v>
      </c>
      <c r="O26" t="n">
        <v>4.37313009893793</v>
      </c>
      <c r="P26" t="n">
        <v>7.28855016489655</v>
      </c>
      <c r="Q26" t="n">
        <v>1.45771003297931</v>
      </c>
      <c r="R26" t="n">
        <v>86.0048919457793</v>
      </c>
      <c r="S26" t="n">
        <v>47.9371528878114</v>
      </c>
      <c r="T26" t="n">
        <v>63.4843376081827</v>
      </c>
      <c r="U26" t="n">
        <v>64.7291285416764</v>
      </c>
      <c r="V26" t="n">
        <v>70.8356501022119</v>
      </c>
      <c r="W26" t="n">
        <v>112.156445995169</v>
      </c>
      <c r="X26" t="n">
        <v>81.2562006699693</v>
      </c>
      <c r="Y26" t="n">
        <v>69.0121156375082</v>
      </c>
      <c r="Z26" t="n">
        <v>73.3938372652865</v>
      </c>
      <c r="AA26" t="n">
        <v>64.7592681752528</v>
      </c>
      <c r="AB26" t="n">
        <v>52.0197400096293</v>
      </c>
      <c r="AC26" t="n">
        <v>79.6220510351468</v>
      </c>
      <c r="AD26" t="n">
        <v>71.1290322580645</v>
      </c>
      <c r="AE26" t="n">
        <v>63</v>
      </c>
      <c r="AF26" t="n">
        <v>110</v>
      </c>
    </row>
    <row r="27">
      <c r="A27" t="s">
        <v>65</v>
      </c>
      <c r="B27" t="s">
        <v>324</v>
      </c>
      <c r="C27" t="s">
        <v>236</v>
      </c>
      <c r="D27" t="s">
        <v>325</v>
      </c>
      <c r="E27" t="s">
        <v>237</v>
      </c>
      <c r="F27" t="n">
        <v>0</v>
      </c>
      <c r="G27" t="n">
        <v>0</v>
      </c>
      <c r="H27" t="n">
        <v>0</v>
      </c>
      <c r="I27" t="e">
        <v>#NUM!</v>
      </c>
      <c r="J27" t="e">
        <v>#NUM!</v>
      </c>
      <c r="K27" t="e">
        <v>#NUM!</v>
      </c>
      <c r="L27" t="e">
        <v>#NUM!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e">
        <v>#NUM!</v>
      </c>
      <c r="V27" t="e">
        <v>#NUM!</v>
      </c>
      <c r="W27" t="e">
        <v>#NUM!</v>
      </c>
      <c r="X27" t="e">
        <v>#NUM!</v>
      </c>
      <c r="Y27" t="e">
        <v>#NUM!</v>
      </c>
      <c r="Z27" t="n">
        <v>0</v>
      </c>
      <c r="AA27" t="e">
        <v>#NUM!</v>
      </c>
      <c r="AB27" t="n">
        <v>0</v>
      </c>
      <c r="AC27" t="n">
        <v>0</v>
      </c>
      <c r="AD27" t="n">
        <v>0</v>
      </c>
      <c r="AE27" t="n">
        <v>1</v>
      </c>
      <c r="AF27" t="n">
        <v>1</v>
      </c>
    </row>
    <row r="28">
      <c r="A28" t="s">
        <v>65</v>
      </c>
      <c r="B28" t="s">
        <v>326</v>
      </c>
      <c r="C28" t="s">
        <v>236</v>
      </c>
      <c r="D28" t="s">
        <v>327</v>
      </c>
      <c r="E28" t="s">
        <v>237</v>
      </c>
      <c r="F28" t="n">
        <v>13.6851676480784</v>
      </c>
      <c r="G28" t="n">
        <v>15.2057418311983</v>
      </c>
      <c r="H28" t="n">
        <v>16.7263160143181</v>
      </c>
      <c r="I28" t="n">
        <v>13.6851676480784</v>
      </c>
      <c r="J28" t="n">
        <v>24.3291869299172</v>
      </c>
      <c r="K28" t="n">
        <v>25.8497611130371</v>
      </c>
      <c r="L28" t="n">
        <v>41.6468373487819</v>
      </c>
      <c r="M28" t="n">
        <v>26.3763303208952</v>
      </c>
      <c r="N28" t="n">
        <v>30.3327798690295</v>
      </c>
      <c r="O28" t="n">
        <v>29.0139633529847</v>
      </c>
      <c r="P28" t="n">
        <v>30.2754400205058</v>
      </c>
      <c r="Q28" t="n">
        <v>33.9084928229665</v>
      </c>
      <c r="R28" t="n">
        <v>25.7236842105263</v>
      </c>
      <c r="S28" t="n">
        <v>21.25</v>
      </c>
      <c r="T28" t="n">
        <v>17</v>
      </c>
      <c r="U28" t="n">
        <v>10</v>
      </c>
      <c r="V28" t="n">
        <v>15</v>
      </c>
      <c r="W28" t="n">
        <v>12</v>
      </c>
      <c r="X28" t="n">
        <v>13</v>
      </c>
      <c r="Y28" t="n">
        <v>15</v>
      </c>
      <c r="Z28" t="n">
        <v>14</v>
      </c>
      <c r="AA28" t="n">
        <v>14</v>
      </c>
      <c r="AB28" t="n">
        <v>12</v>
      </c>
      <c r="AC28" t="n">
        <v>10</v>
      </c>
      <c r="AD28" t="n">
        <v>12</v>
      </c>
      <c r="AE28" t="n">
        <v>15</v>
      </c>
      <c r="AF28" t="n">
        <v>30</v>
      </c>
    </row>
    <row r="29">
      <c r="A29" t="s">
        <v>65</v>
      </c>
      <c r="B29" t="s">
        <v>328</v>
      </c>
      <c r="C29" t="s">
        <v>236</v>
      </c>
      <c r="D29" t="s">
        <v>329</v>
      </c>
      <c r="E29" t="s">
        <v>237</v>
      </c>
      <c r="F29" t="e">
        <v>#NUM!</v>
      </c>
      <c r="G29" t="e">
        <v>#NUM!</v>
      </c>
      <c r="H29" t="e">
        <v>#NUM!</v>
      </c>
      <c r="I29" t="e">
        <v>#NUM!</v>
      </c>
      <c r="J29" t="e">
        <v>#NUM!</v>
      </c>
      <c r="K29" t="e">
        <v>#NUM!</v>
      </c>
      <c r="L29" t="e">
        <v>#NUM!</v>
      </c>
      <c r="M29" t="e">
        <v>#NUM!</v>
      </c>
      <c r="N29" t="e">
        <v>#NUM!</v>
      </c>
      <c r="O29" t="e">
        <v>#NUM!</v>
      </c>
      <c r="P29" t="e">
        <v>#NUM!</v>
      </c>
      <c r="Q29" t="e">
        <v>#NUM!</v>
      </c>
      <c r="R29" t="e">
        <v>#NUM!</v>
      </c>
      <c r="S29" t="n">
        <v>0</v>
      </c>
      <c r="T29" t="n">
        <v>0</v>
      </c>
      <c r="U29" t="e">
        <v>#NUM!</v>
      </c>
      <c r="V29" t="e">
        <v>#NUM!</v>
      </c>
      <c r="W29" t="e">
        <v>#NUM!</v>
      </c>
      <c r="X29" t="e">
        <v>#NUM!</v>
      </c>
      <c r="Y29" t="e">
        <v>#NUM!</v>
      </c>
      <c r="Z29" t="e">
        <v>#NUM!</v>
      </c>
      <c r="AA29" t="e">
        <v>#NUM!</v>
      </c>
      <c r="AB29" t="n">
        <v>0</v>
      </c>
      <c r="AC29" t="n">
        <v>2</v>
      </c>
      <c r="AD29" t="n">
        <v>3</v>
      </c>
      <c r="AE29" t="n">
        <v>1</v>
      </c>
      <c r="AF29" t="n">
        <v>1</v>
      </c>
    </row>
    <row r="30">
      <c r="A30" t="s">
        <v>65</v>
      </c>
      <c r="B30" t="s">
        <v>330</v>
      </c>
      <c r="C30" t="s">
        <v>236</v>
      </c>
      <c r="D30" t="s">
        <v>331</v>
      </c>
      <c r="E30" t="s">
        <v>237</v>
      </c>
      <c r="F30" t="n">
        <v>0</v>
      </c>
      <c r="G30" t="e">
        <v>#NUM!</v>
      </c>
      <c r="H30" t="e">
        <v>#NUM!</v>
      </c>
      <c r="I30" t="e">
        <v>#NUM!</v>
      </c>
      <c r="J30" t="e">
        <v>#NUM!</v>
      </c>
      <c r="K30" t="e">
        <v>#NUM!</v>
      </c>
      <c r="L30" t="e">
        <v>#NUM!</v>
      </c>
      <c r="M30" t="e">
        <v>#NUM!</v>
      </c>
      <c r="N30" t="e">
        <v>#NUM!</v>
      </c>
      <c r="O30" t="e">
        <v>#NUM!</v>
      </c>
      <c r="P30" t="e">
        <v>#NUM!</v>
      </c>
      <c r="Q30" t="n">
        <v>0</v>
      </c>
      <c r="R30" t="e">
        <v>#NUM!</v>
      </c>
      <c r="S30" t="e">
        <v>#NUM!</v>
      </c>
      <c r="T30" t="n">
        <v>0</v>
      </c>
      <c r="U30" t="n">
        <v>0</v>
      </c>
      <c r="V30" t="e">
        <v>#NUM!</v>
      </c>
      <c r="W30" t="n">
        <v>0</v>
      </c>
      <c r="X30" t="n">
        <v>0</v>
      </c>
      <c r="Y30" t="e">
        <v>#NUM!</v>
      </c>
      <c r="Z30" t="n">
        <v>0</v>
      </c>
      <c r="AA30" t="e">
        <v>#NUM!</v>
      </c>
      <c r="AB30" t="n">
        <v>0</v>
      </c>
      <c r="AC30" t="n">
        <v>0</v>
      </c>
      <c r="AD30" t="n">
        <v>1</v>
      </c>
      <c r="AE30" t="n">
        <v>1</v>
      </c>
      <c r="AF30" t="n">
        <v>2</v>
      </c>
    </row>
    <row r="31">
      <c r="A31" t="s">
        <v>65</v>
      </c>
      <c r="B31" t="s">
        <v>332</v>
      </c>
      <c r="C31" t="s">
        <v>236</v>
      </c>
      <c r="D31" t="s">
        <v>333</v>
      </c>
      <c r="E31" t="s">
        <v>237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65</v>
      </c>
      <c r="B32" t="s">
        <v>334</v>
      </c>
      <c r="C32" t="s">
        <v>236</v>
      </c>
      <c r="D32" t="s">
        <v>335</v>
      </c>
      <c r="E32" t="s">
        <v>237</v>
      </c>
      <c r="F32" t="n">
        <v>0</v>
      </c>
      <c r="G32" t="n">
        <v>0</v>
      </c>
      <c r="H32" t="n">
        <v>0</v>
      </c>
      <c r="I32" t="n">
        <v>0</v>
      </c>
      <c r="J32" t="e">
        <v>#NUM!</v>
      </c>
      <c r="K32" t="n">
        <v>0</v>
      </c>
      <c r="L32" t="n">
        <v>0</v>
      </c>
      <c r="M32" t="e">
        <v>#NUM!</v>
      </c>
      <c r="N32" t="e">
        <v>#NUM!</v>
      </c>
      <c r="O32" t="e">
        <v>#NUM!</v>
      </c>
      <c r="P32" t="e">
        <v>#NUM!</v>
      </c>
      <c r="Q32" t="e">
        <v>#NUM!</v>
      </c>
      <c r="R32" t="n">
        <v>0</v>
      </c>
      <c r="S32" t="e">
        <v>#NUM!</v>
      </c>
      <c r="T32" t="e">
        <v>#NUM!</v>
      </c>
      <c r="U32" t="e">
        <v>#NUM!</v>
      </c>
      <c r="V32" t="e">
        <v>#NUM!</v>
      </c>
      <c r="W32" t="e">
        <v>#NUM!</v>
      </c>
      <c r="X32" t="e">
        <v>#NUM!</v>
      </c>
      <c r="Y32" t="e">
        <v>#NUM!</v>
      </c>
      <c r="Z32" t="e">
        <v>#NUM!</v>
      </c>
      <c r="AA32" t="n">
        <v>0</v>
      </c>
      <c r="AB32" t="n">
        <v>3</v>
      </c>
      <c r="AC32" t="n">
        <v>2</v>
      </c>
      <c r="AD32" t="n">
        <v>3</v>
      </c>
      <c r="AE32" t="n">
        <v>6</v>
      </c>
      <c r="AF32" t="n">
        <v>8</v>
      </c>
    </row>
    <row r="33">
      <c r="A33" t="s">
        <v>65</v>
      </c>
      <c r="B33" t="s">
        <v>336</v>
      </c>
      <c r="C33" t="s">
        <v>236</v>
      </c>
      <c r="D33" t="s">
        <v>337</v>
      </c>
      <c r="E33" t="s">
        <v>237</v>
      </c>
      <c r="F33" t="n">
        <v>8.639630911188</v>
      </c>
      <c r="G33" t="n">
        <v>8.639630911188</v>
      </c>
      <c r="H33" t="n">
        <v>10.3675570934256</v>
      </c>
      <c r="I33" t="n">
        <v>8.639630911188</v>
      </c>
      <c r="J33" t="n">
        <v>8.639630911188</v>
      </c>
      <c r="K33" t="n">
        <v>17.279261822376</v>
      </c>
      <c r="L33" t="n">
        <v>26.7043137254902</v>
      </c>
      <c r="M33" t="n">
        <v>22.2535947712418</v>
      </c>
      <c r="N33" t="n">
        <v>23.6444444444444</v>
      </c>
      <c r="O33" t="n">
        <v>20.8627450980392</v>
      </c>
      <c r="P33" t="n">
        <v>23.4705882352941</v>
      </c>
      <c r="Q33" t="n">
        <v>29.6470588235294</v>
      </c>
      <c r="R33" t="n">
        <v>23.7176470588235</v>
      </c>
      <c r="S33" t="n">
        <v>19.2</v>
      </c>
      <c r="T33" t="n">
        <v>16</v>
      </c>
      <c r="U33" t="n">
        <v>8</v>
      </c>
      <c r="V33" t="n">
        <v>11</v>
      </c>
      <c r="W33" t="n">
        <v>10</v>
      </c>
      <c r="X33" t="n">
        <v>10</v>
      </c>
      <c r="Y33" t="n">
        <v>11</v>
      </c>
      <c r="Z33" t="n">
        <v>11</v>
      </c>
      <c r="AA33" t="n">
        <v>12</v>
      </c>
      <c r="AB33" t="n">
        <v>9</v>
      </c>
      <c r="AC33" t="n">
        <v>6</v>
      </c>
      <c r="AD33" t="n">
        <v>5</v>
      </c>
      <c r="AE33" t="n">
        <v>7</v>
      </c>
      <c r="AF33" t="n">
        <v>19</v>
      </c>
    </row>
    <row r="34">
      <c r="A34" t="s">
        <v>65</v>
      </c>
      <c r="B34" t="s">
        <v>338</v>
      </c>
      <c r="C34" t="s">
        <v>236</v>
      </c>
      <c r="D34" t="s">
        <v>339</v>
      </c>
      <c r="E34" t="s">
        <v>237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e">
        <v>#NUM!</v>
      </c>
      <c r="V34" t="e">
        <v>#NUM!</v>
      </c>
      <c r="W34" t="e">
        <v>#NUM!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e">
        <v>#NUM!</v>
      </c>
      <c r="AD34" t="n">
        <v>0</v>
      </c>
      <c r="AE34" t="n">
        <v>2</v>
      </c>
      <c r="AF34" t="n">
        <v>4</v>
      </c>
    </row>
    <row r="35">
      <c r="A35" t="s">
        <v>65</v>
      </c>
      <c r="B35" t="s">
        <v>340</v>
      </c>
      <c r="C35" t="s">
        <v>236</v>
      </c>
      <c r="D35" t="s">
        <v>341</v>
      </c>
      <c r="E35" t="s">
        <v>237</v>
      </c>
      <c r="F35" t="n">
        <v>95.199212110234</v>
      </c>
      <c r="G35" t="n">
        <v>108.180922852539</v>
      </c>
      <c r="H35" t="n">
        <v>126.904544115478</v>
      </c>
      <c r="I35" t="n">
        <v>167.841493830148</v>
      </c>
      <c r="J35" t="n">
        <v>268.546390128237</v>
      </c>
      <c r="K35" t="n">
        <v>268.546390128237</v>
      </c>
      <c r="L35" t="n">
        <v>232.009466301266</v>
      </c>
      <c r="M35" t="n">
        <v>434.584895832969</v>
      </c>
      <c r="N35" t="n">
        <v>403.189028833629</v>
      </c>
      <c r="O35" t="n">
        <v>318.053496848839</v>
      </c>
      <c r="P35" t="n">
        <v>365.915916277547</v>
      </c>
      <c r="Q35" t="n">
        <v>231.648382482157</v>
      </c>
      <c r="R35" t="n">
        <v>486.175617555144</v>
      </c>
      <c r="S35" t="n">
        <v>371.211012834127</v>
      </c>
      <c r="T35" t="n">
        <v>289.725668553465</v>
      </c>
      <c r="U35" t="n">
        <v>320.679265621143</v>
      </c>
      <c r="V35" t="n">
        <v>324.309596930062</v>
      </c>
      <c r="W35" t="n">
        <v>387.532406439893</v>
      </c>
      <c r="X35" t="n">
        <v>487.248347278228</v>
      </c>
      <c r="Y35" t="n">
        <v>411.012211309526</v>
      </c>
      <c r="Z35" t="n">
        <v>311.80236720033</v>
      </c>
      <c r="AA35" t="n">
        <v>305.328961652918</v>
      </c>
      <c r="AB35" t="n">
        <v>404.640111809923</v>
      </c>
      <c r="AC35" t="n">
        <v>305.587584439786</v>
      </c>
      <c r="AD35" t="n">
        <v>279.243827160494</v>
      </c>
      <c r="AE35" t="n">
        <v>329</v>
      </c>
      <c r="AF35" t="n">
        <v>461</v>
      </c>
    </row>
    <row r="36">
      <c r="A36" t="s">
        <v>65</v>
      </c>
      <c r="B36" t="s">
        <v>342</v>
      </c>
      <c r="C36" t="s">
        <v>236</v>
      </c>
      <c r="D36" t="s">
        <v>343</v>
      </c>
      <c r="E36" t="s">
        <v>237</v>
      </c>
      <c r="F36" t="n">
        <v>5.34250454912043</v>
      </c>
      <c r="G36" t="n">
        <v>5.34250454912043</v>
      </c>
      <c r="H36" t="n">
        <v>6.67813068640054</v>
      </c>
      <c r="I36" t="n">
        <v>6.67813068640054</v>
      </c>
      <c r="J36" t="n">
        <v>6.67813068640054</v>
      </c>
      <c r="K36" t="n">
        <v>4.00687841184032</v>
      </c>
      <c r="L36" t="n">
        <v>6.67813068640054</v>
      </c>
      <c r="M36" t="n">
        <v>8.01375682368065</v>
      </c>
      <c r="N36" t="n">
        <v>9.34938296096075</v>
      </c>
      <c r="O36" t="n">
        <v>6.67813068640054</v>
      </c>
      <c r="P36" t="n">
        <v>5.34250454912043</v>
      </c>
      <c r="Q36" t="n">
        <v>6.67813068640054</v>
      </c>
      <c r="R36" t="n">
        <v>9.34938296096075</v>
      </c>
      <c r="S36" t="n">
        <v>17.3631397846414</v>
      </c>
      <c r="T36" t="n">
        <v>12.4022427033153</v>
      </c>
      <c r="U36" t="n">
        <v>66.9721105979026</v>
      </c>
      <c r="V36" t="n">
        <v>71.8428095504773</v>
      </c>
      <c r="W36" t="n">
        <v>67.131805645528</v>
      </c>
      <c r="X36" t="n">
        <v>77.3722505745068</v>
      </c>
      <c r="Y36" t="n">
        <v>89.5307470933579</v>
      </c>
      <c r="Z36" t="n">
        <v>81.8878784390469</v>
      </c>
      <c r="AA36" t="n">
        <v>54.9510763209393</v>
      </c>
      <c r="AB36" t="n">
        <v>113.07240704501</v>
      </c>
      <c r="AC36" t="n">
        <v>134.207436399217</v>
      </c>
      <c r="AD36" t="n">
        <v>154.285714285714</v>
      </c>
      <c r="AE36" t="n">
        <v>135</v>
      </c>
      <c r="AF36" t="n">
        <v>205</v>
      </c>
    </row>
    <row r="37">
      <c r="A37" t="s">
        <v>65</v>
      </c>
      <c r="B37" t="s">
        <v>344</v>
      </c>
      <c r="C37" t="s">
        <v>236</v>
      </c>
      <c r="D37" t="s">
        <v>345</v>
      </c>
      <c r="E37" t="s">
        <v>237</v>
      </c>
      <c r="F37" t="n">
        <v>73.8079470933571</v>
      </c>
      <c r="G37" t="n">
        <v>89.0037009066954</v>
      </c>
      <c r="H37" t="n">
        <v>105.56252898236</v>
      </c>
      <c r="I37" t="n">
        <v>136.013258496502</v>
      </c>
      <c r="J37" t="n">
        <v>180.703329145352</v>
      </c>
      <c r="K37" t="n">
        <v>167.3883469978</v>
      </c>
      <c r="L37" t="n">
        <v>124.191354224174</v>
      </c>
      <c r="M37" t="n">
        <v>170.125142772841</v>
      </c>
      <c r="N37" t="n">
        <v>103.695325118684</v>
      </c>
      <c r="O37" t="n">
        <v>124.120161884486</v>
      </c>
      <c r="P37" t="n">
        <v>115.038198819767</v>
      </c>
      <c r="Q37" t="n">
        <v>93.468536541061</v>
      </c>
      <c r="R37" t="n">
        <v>78.1229559149166</v>
      </c>
      <c r="S37" t="n">
        <v>78.1229559149166</v>
      </c>
      <c r="T37" t="n">
        <v>55.4420977460699</v>
      </c>
      <c r="U37" t="n">
        <v>53.0315717571103</v>
      </c>
      <c r="V37" t="n">
        <v>49.4961336399696</v>
      </c>
      <c r="W37" t="n">
        <v>32.2300405097477</v>
      </c>
      <c r="X37" t="n">
        <v>46.6779897037725</v>
      </c>
      <c r="Y37" t="n">
        <v>44.5069204152249</v>
      </c>
      <c r="Z37" t="n">
        <v>38.1487889273357</v>
      </c>
      <c r="AA37" t="n">
        <v>36.0294117647059</v>
      </c>
      <c r="AB37" t="n">
        <v>32.9411764705882</v>
      </c>
      <c r="AC37" t="n">
        <v>28.8235294117647</v>
      </c>
      <c r="AD37" t="n">
        <v>35</v>
      </c>
      <c r="AE37" t="n">
        <v>28</v>
      </c>
      <c r="AF37" t="n">
        <v>47</v>
      </c>
    </row>
    <row r="38">
      <c r="A38" t="s">
        <v>65</v>
      </c>
      <c r="B38" t="s">
        <v>346</v>
      </c>
      <c r="C38" t="s">
        <v>236</v>
      </c>
      <c r="D38" t="s">
        <v>347</v>
      </c>
      <c r="E38" t="s">
        <v>237</v>
      </c>
      <c r="F38" t="n">
        <v>12.0970242428869</v>
      </c>
      <c r="G38" t="n">
        <v>10.0808535357391</v>
      </c>
      <c r="H38" t="n">
        <v>10.0808535357391</v>
      </c>
      <c r="I38" t="n">
        <v>20.1617070714782</v>
      </c>
      <c r="J38" t="n">
        <v>76.6144868716173</v>
      </c>
      <c r="K38" t="n">
        <v>94.2947530727598</v>
      </c>
      <c r="L38" t="n">
        <v>97.9925865265935</v>
      </c>
      <c r="M38" t="n">
        <v>253.730804399215</v>
      </c>
      <c r="N38" t="n">
        <v>288.785718164896</v>
      </c>
      <c r="O38" t="n">
        <v>184.95265095954</v>
      </c>
      <c r="P38" t="n">
        <v>244.013161349982</v>
      </c>
      <c r="Q38" t="n">
        <v>129.446006325905</v>
      </c>
      <c r="R38" t="n">
        <v>398.406041691952</v>
      </c>
      <c r="S38" t="n">
        <v>274.426539207394</v>
      </c>
      <c r="T38" t="n">
        <v>221.101951020175</v>
      </c>
      <c r="U38" t="n">
        <v>199.985472551956</v>
      </c>
      <c r="V38" t="n">
        <v>202.409538885919</v>
      </c>
      <c r="W38" t="n">
        <v>287.819344311769</v>
      </c>
      <c r="X38" t="n">
        <v>362.607047951835</v>
      </c>
      <c r="Y38" t="n">
        <v>276.377323134021</v>
      </c>
      <c r="Z38" t="n">
        <v>191.170085171754</v>
      </c>
      <c r="AA38" t="n">
        <v>213.851281717555</v>
      </c>
      <c r="AB38" t="n">
        <v>258.315409599423</v>
      </c>
      <c r="AC38" t="n">
        <v>142.337062432335</v>
      </c>
      <c r="AD38" t="n">
        <v>89.6196319018405</v>
      </c>
      <c r="AE38" t="n">
        <v>166</v>
      </c>
      <c r="AF38" t="n">
        <v>209</v>
      </c>
    </row>
    <row r="39">
      <c r="A39" t="s">
        <v>65</v>
      </c>
      <c r="B39" t="s">
        <v>348</v>
      </c>
      <c r="C39" t="s">
        <v>236</v>
      </c>
      <c r="D39" t="s">
        <v>349</v>
      </c>
      <c r="E39" t="s">
        <v>237</v>
      </c>
      <c r="F39" t="n">
        <v>0</v>
      </c>
      <c r="G39" t="e">
        <v>#NUM!</v>
      </c>
      <c r="H39" t="e">
        <v>#NUM!</v>
      </c>
      <c r="I39" t="e">
        <v>#NUM!</v>
      </c>
      <c r="J39" t="e">
        <v>#NUM!</v>
      </c>
      <c r="K39" t="e">
        <v>#NUM!</v>
      </c>
      <c r="L39" t="e">
        <v>#NUM!</v>
      </c>
      <c r="M39" t="e">
        <v>#NUM!</v>
      </c>
      <c r="N39" t="n">
        <v>0</v>
      </c>
      <c r="O39" t="n">
        <v>0</v>
      </c>
      <c r="P39" t="n">
        <v>0</v>
      </c>
      <c r="Q39" t="n">
        <v>1.46214594010033</v>
      </c>
      <c r="R39" t="n">
        <v>49.7129619634111</v>
      </c>
      <c r="S39" t="n">
        <v>104.949586367201</v>
      </c>
      <c r="T39" t="n">
        <v>88.1058255922183</v>
      </c>
      <c r="U39" t="n">
        <v>90.5876798342526</v>
      </c>
      <c r="V39" t="n">
        <v>90.5876798342526</v>
      </c>
      <c r="W39" t="n">
        <v>104.524245962599</v>
      </c>
      <c r="X39" t="n">
        <v>75.3024137580016</v>
      </c>
      <c r="Y39" t="n">
        <v>85.1244677264365</v>
      </c>
      <c r="Z39" t="n">
        <v>96.0378610246976</v>
      </c>
      <c r="AA39" t="n">
        <v>85.2470901230462</v>
      </c>
      <c r="AB39" t="n">
        <v>114.715220042124</v>
      </c>
      <c r="AC39" t="n">
        <v>109.453053985146</v>
      </c>
      <c r="AD39" t="n">
        <v>102.086021505376</v>
      </c>
      <c r="AE39" t="n">
        <v>94</v>
      </c>
      <c r="AF39" t="n">
        <v>91</v>
      </c>
    </row>
    <row r="40">
      <c r="A40" t="s">
        <v>65</v>
      </c>
      <c r="B40" t="s">
        <v>350</v>
      </c>
      <c r="C40" t="s">
        <v>236</v>
      </c>
      <c r="D40" t="s">
        <v>351</v>
      </c>
      <c r="E40" t="s">
        <v>237</v>
      </c>
      <c r="F40" t="e">
        <v>#NUM!</v>
      </c>
      <c r="G40" t="e">
        <v>#NUM!</v>
      </c>
      <c r="H40" t="e">
        <v>#NUM!</v>
      </c>
      <c r="I40" t="e">
        <v>#NUM!</v>
      </c>
      <c r="J40" t="e">
        <v>#NUM!</v>
      </c>
      <c r="K40" t="e">
        <v>#NUM!</v>
      </c>
      <c r="L40" t="e">
        <v>#NUM!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</v>
      </c>
      <c r="V40" t="n">
        <v>3</v>
      </c>
      <c r="W40" t="n">
        <v>3</v>
      </c>
      <c r="X40" t="n">
        <v>2</v>
      </c>
      <c r="Y40" t="n">
        <v>3</v>
      </c>
      <c r="Z40" t="n">
        <v>5</v>
      </c>
      <c r="AA40" t="n">
        <v>4</v>
      </c>
      <c r="AB40" t="n">
        <v>4</v>
      </c>
      <c r="AC40" t="n">
        <v>4</v>
      </c>
      <c r="AD40" t="n">
        <v>4</v>
      </c>
      <c r="AE40" t="n">
        <v>4</v>
      </c>
      <c r="AF40" t="n">
        <v>3</v>
      </c>
    </row>
    <row r="41">
      <c r="A41" t="s">
        <v>65</v>
      </c>
      <c r="B41" t="s">
        <v>352</v>
      </c>
      <c r="C41" t="s">
        <v>236</v>
      </c>
      <c r="D41" t="s">
        <v>353</v>
      </c>
      <c r="E41" t="s">
        <v>237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/>
      <c r="AD41"/>
      <c r="AE41"/>
      <c r="AF41"/>
    </row>
    <row r="42">
      <c r="A42" t="s">
        <v>65</v>
      </c>
      <c r="B42" t="s">
        <v>354</v>
      </c>
      <c r="C42" t="s">
        <v>236</v>
      </c>
      <c r="D42" t="s">
        <v>355</v>
      </c>
      <c r="E42" t="s">
        <v>237</v>
      </c>
      <c r="F42" t="n">
        <v>854.786653254509</v>
      </c>
      <c r="G42" t="n">
        <v>889.498801610022</v>
      </c>
      <c r="H42" t="n">
        <v>933.347334083755</v>
      </c>
      <c r="I42" t="n">
        <v>949.650344286092</v>
      </c>
      <c r="J42" t="n">
        <v>1032.22863509358</v>
      </c>
      <c r="K42" t="n">
        <v>1059.24022554462</v>
      </c>
      <c r="L42" t="n">
        <v>1066.54533054838</v>
      </c>
      <c r="M42" t="n">
        <v>1218.90894919815</v>
      </c>
      <c r="N42" t="n">
        <v>1046.43747883542</v>
      </c>
      <c r="O42" t="n">
        <v>1083.63695644471</v>
      </c>
      <c r="P42" t="n">
        <v>1054.18187465294</v>
      </c>
      <c r="Q42" t="n">
        <v>1104.52202035266</v>
      </c>
      <c r="R42" t="n">
        <v>999.534901230597</v>
      </c>
      <c r="S42" t="n">
        <v>968.908483644144</v>
      </c>
      <c r="T42" t="n">
        <v>991.017804747434</v>
      </c>
      <c r="U42" t="n">
        <v>984.80062905893</v>
      </c>
      <c r="V42" t="n">
        <v>909.513774556275</v>
      </c>
      <c r="W42" t="n">
        <v>945.941328834368</v>
      </c>
      <c r="X42" t="n">
        <v>909.558970033046</v>
      </c>
      <c r="Y42" t="n">
        <v>816.498125352442</v>
      </c>
      <c r="Z42" t="n">
        <v>816.498125352442</v>
      </c>
      <c r="AA42" t="n">
        <v>761.343947348503</v>
      </c>
      <c r="AB42" t="n">
        <v>709.458198502777</v>
      </c>
      <c r="AC42" t="n">
        <v>831.924197053852</v>
      </c>
      <c r="AD42" t="n">
        <v>865.707920792079</v>
      </c>
      <c r="AE42" t="n">
        <v>821</v>
      </c>
      <c r="AF42" t="n">
        <v>908</v>
      </c>
    </row>
    <row r="43">
      <c r="A43" t="s">
        <v>65</v>
      </c>
      <c r="B43" t="s">
        <v>356</v>
      </c>
      <c r="C43" t="s">
        <v>236</v>
      </c>
      <c r="D43" t="s">
        <v>357</v>
      </c>
      <c r="E43" t="s">
        <v>237</v>
      </c>
      <c r="F43" t="n">
        <v>852.601671170998</v>
      </c>
      <c r="G43" t="n">
        <v>889.295920310003</v>
      </c>
      <c r="H43" t="n">
        <v>935.007392849302</v>
      </c>
      <c r="I43" t="n">
        <v>951.233117670982</v>
      </c>
      <c r="J43" t="n">
        <v>1033.43844882773</v>
      </c>
      <c r="K43" t="n">
        <v>1056.4891205488</v>
      </c>
      <c r="L43" t="n">
        <v>1063.76271174018</v>
      </c>
      <c r="M43" t="n">
        <v>1224.10295840443</v>
      </c>
      <c r="N43" t="n">
        <v>1050.64707361028</v>
      </c>
      <c r="O43" t="n">
        <v>1092.54404280332</v>
      </c>
      <c r="P43" t="n">
        <v>1066.27353540918</v>
      </c>
      <c r="Q43" t="n">
        <v>1116.48586256142</v>
      </c>
      <c r="R43" t="n">
        <v>1008.85547735305</v>
      </c>
      <c r="S43" t="n">
        <v>967.167234487226</v>
      </c>
      <c r="T43" t="n">
        <v>989.236822388276</v>
      </c>
      <c r="U43" t="n">
        <v>986.754421328331</v>
      </c>
      <c r="V43" t="n">
        <v>912.808451179648</v>
      </c>
      <c r="W43" t="n">
        <v>950.353271793721</v>
      </c>
      <c r="X43" t="n">
        <v>911.748718339734</v>
      </c>
      <c r="Y43" t="n">
        <v>824.335916460075</v>
      </c>
      <c r="Z43" t="n">
        <v>823.241180847247</v>
      </c>
      <c r="AA43" t="n">
        <v>776.785313686575</v>
      </c>
      <c r="AB43" t="n">
        <v>716.462748454784</v>
      </c>
      <c r="AC43" t="n">
        <v>840.973211367397</v>
      </c>
      <c r="AD43" t="n">
        <v>868.407720144753</v>
      </c>
      <c r="AE43" t="n">
        <v>842</v>
      </c>
      <c r="AF43" t="n">
        <v>919</v>
      </c>
    </row>
    <row r="44">
      <c r="A44" t="s">
        <v>65</v>
      </c>
      <c r="B44" t="s">
        <v>358</v>
      </c>
      <c r="C44" t="s">
        <v>236</v>
      </c>
      <c r="D44" t="s">
        <v>359</v>
      </c>
      <c r="E44" t="s">
        <v>237</v>
      </c>
      <c r="F44" t="n">
        <v>3469.74269937145</v>
      </c>
      <c r="G44" t="n">
        <v>3907.38676947925</v>
      </c>
      <c r="H44" t="n">
        <v>4371.73112350662</v>
      </c>
      <c r="I44" t="n">
        <v>4967.06445852795</v>
      </c>
      <c r="J44" t="n">
        <v>5972.37221297702</v>
      </c>
      <c r="K44" t="n">
        <v>6620.02433724232</v>
      </c>
      <c r="L44" t="n">
        <v>6568.08150559188</v>
      </c>
      <c r="M44" t="n">
        <v>6464.23159065121</v>
      </c>
      <c r="N44" t="n">
        <v>6550.74782153618</v>
      </c>
      <c r="O44" t="n">
        <v>6741.82456888289</v>
      </c>
      <c r="P44" t="n">
        <v>6720.38305503365</v>
      </c>
      <c r="Q44" t="n">
        <v>6740.87649061859</v>
      </c>
      <c r="R44" t="n">
        <v>7234.87525350025</v>
      </c>
      <c r="S44" t="n">
        <v>7672.47408108269</v>
      </c>
      <c r="T44" t="n">
        <v>6917.08600791158</v>
      </c>
      <c r="U44" t="n">
        <v>6849.38005837694</v>
      </c>
      <c r="V44" t="n">
        <v>6357.21624181401</v>
      </c>
      <c r="W44" t="n">
        <v>5658.3774587627</v>
      </c>
      <c r="X44" t="n">
        <v>5416.44084014627</v>
      </c>
      <c r="Y44" t="n">
        <v>5040.19184310209</v>
      </c>
      <c r="Z44" t="n">
        <v>4657.01936380193</v>
      </c>
      <c r="AA44" t="n">
        <v>4291.23401525493</v>
      </c>
      <c r="AB44" t="n">
        <v>4103.92244418215</v>
      </c>
      <c r="AC44" t="n">
        <v>4709.64409061069</v>
      </c>
      <c r="AD44" t="n">
        <v>5221.44722391702</v>
      </c>
      <c r="AE44" t="n">
        <v>4992</v>
      </c>
      <c r="AF44" t="n">
        <v>5530</v>
      </c>
    </row>
    <row r="45">
      <c r="A45" t="s">
        <v>65</v>
      </c>
      <c r="B45" t="s">
        <v>360</v>
      </c>
      <c r="C45" t="s">
        <v>236</v>
      </c>
      <c r="D45" t="s">
        <v>361</v>
      </c>
      <c r="E45" t="s">
        <v>237</v>
      </c>
      <c r="F45" t="n">
        <v>3464.78683968947</v>
      </c>
      <c r="G45" t="n">
        <v>3906.78806289048</v>
      </c>
      <c r="H45" t="n">
        <v>4373.33077029693</v>
      </c>
      <c r="I45" t="n">
        <v>4962.92643020532</v>
      </c>
      <c r="J45" t="n">
        <v>5968.56194815875</v>
      </c>
      <c r="K45" t="n">
        <v>6618.30413492034</v>
      </c>
      <c r="L45" t="n">
        <v>6569.92995743175</v>
      </c>
      <c r="M45" t="n">
        <v>6464.34787931854</v>
      </c>
      <c r="N45" t="n">
        <v>6552.52034344665</v>
      </c>
      <c r="O45" t="n">
        <v>6742.0560558604</v>
      </c>
      <c r="P45" t="n">
        <v>6722.14087096465</v>
      </c>
      <c r="Q45" t="n">
        <v>6742.63966691183</v>
      </c>
      <c r="R45" t="n">
        <v>7236.76764250178</v>
      </c>
      <c r="S45" t="n">
        <v>7674.48093055235</v>
      </c>
      <c r="T45" t="n">
        <v>6917.60587910171</v>
      </c>
      <c r="U45" t="n">
        <v>6847.42013059534</v>
      </c>
      <c r="V45" t="n">
        <v>6351.52681124127</v>
      </c>
      <c r="W45" t="n">
        <v>5657.21146075651</v>
      </c>
      <c r="X45" t="n">
        <v>5416.35876414625</v>
      </c>
      <c r="Y45" t="n">
        <v>5038.93523168129</v>
      </c>
      <c r="Z45" t="n">
        <v>4655.69227039849</v>
      </c>
      <c r="AA45" t="n">
        <v>4289.84162606258</v>
      </c>
      <c r="AB45" t="n">
        <v>4100.38155918245</v>
      </c>
      <c r="AC45" t="n">
        <v>4695.64930677032</v>
      </c>
      <c r="AD45" t="n">
        <v>5205.4264735876</v>
      </c>
      <c r="AE45" t="n">
        <v>4978</v>
      </c>
      <c r="AF45" t="n">
        <v>5517</v>
      </c>
    </row>
    <row r="46">
      <c r="A46" t="s">
        <v>65</v>
      </c>
      <c r="B46" t="s">
        <v>362</v>
      </c>
      <c r="C46" t="s">
        <v>236</v>
      </c>
      <c r="D46" t="s">
        <v>363</v>
      </c>
      <c r="E46" t="s">
        <v>237</v>
      </c>
      <c r="F46" t="e">
        <v>#NUM!</v>
      </c>
      <c r="G46" t="e">
        <v>#NUM!</v>
      </c>
      <c r="H46" t="e">
        <v>#NUM!</v>
      </c>
      <c r="I46" t="e">
        <v>#NUM!</v>
      </c>
      <c r="J46" t="e">
        <v>#NUM!</v>
      </c>
      <c r="K46" t="e">
        <v>#NUM!</v>
      </c>
      <c r="L46" t="e">
        <v>#NUM!</v>
      </c>
      <c r="M46" t="e">
        <v>#NUM!</v>
      </c>
      <c r="N46" t="e">
        <v>#NUM!</v>
      </c>
      <c r="O46" t="e">
        <v>#NUM!</v>
      </c>
      <c r="P46" t="e">
        <v>#NUM!</v>
      </c>
      <c r="Q46" t="e">
        <v>#NUM!</v>
      </c>
      <c r="R46" t="e">
        <v>#NUM!</v>
      </c>
      <c r="S46" t="n">
        <v>0</v>
      </c>
      <c r="T46" t="n">
        <v>0</v>
      </c>
      <c r="U46" t="n">
        <v>3</v>
      </c>
      <c r="V46" t="n">
        <v>4</v>
      </c>
      <c r="W46" t="n">
        <v>5</v>
      </c>
      <c r="X46" t="n">
        <v>3</v>
      </c>
      <c r="Y46" t="n">
        <v>8</v>
      </c>
      <c r="Z46" t="n">
        <v>7</v>
      </c>
      <c r="AA46" t="n">
        <v>15</v>
      </c>
      <c r="AB46" t="n">
        <v>7</v>
      </c>
      <c r="AC46" t="n">
        <v>9</v>
      </c>
      <c r="AD46" t="n">
        <v>3</v>
      </c>
      <c r="AE46" t="n">
        <v>21</v>
      </c>
      <c r="AF46" t="n">
        <v>11</v>
      </c>
    </row>
    <row r="47">
      <c r="A47" t="s">
        <v>65</v>
      </c>
      <c r="B47" t="s">
        <v>364</v>
      </c>
      <c r="C47" t="s">
        <v>236</v>
      </c>
      <c r="D47" t="s">
        <v>365</v>
      </c>
      <c r="E47" t="s">
        <v>237</v>
      </c>
      <c r="F47" t="n">
        <v>55.4214361755586</v>
      </c>
      <c r="G47" t="n">
        <v>57.3325201816123</v>
      </c>
      <c r="H47" t="n">
        <v>59.181956316503</v>
      </c>
      <c r="I47" t="n">
        <v>69.9423120104127</v>
      </c>
      <c r="J47" t="n">
        <v>83.9307744124952</v>
      </c>
      <c r="K47" t="n">
        <v>78.7921555709139</v>
      </c>
      <c r="L47" t="n">
        <v>65.928130171581</v>
      </c>
      <c r="M47" t="n">
        <v>79.7270411377258</v>
      </c>
      <c r="N47" t="n">
        <v>72.3449076990475</v>
      </c>
      <c r="O47" t="n">
        <v>73.7918058530285</v>
      </c>
      <c r="P47" t="n">
        <v>69.6149111821023</v>
      </c>
      <c r="Q47" t="n">
        <v>87.0186389776279</v>
      </c>
      <c r="R47" t="n">
        <v>57.1465688808303</v>
      </c>
      <c r="S47" t="n">
        <v>53.3367976221083</v>
      </c>
      <c r="T47" t="n">
        <v>71.115730162811</v>
      </c>
      <c r="U47" t="n">
        <v>61.9395069159967</v>
      </c>
      <c r="V47" t="n">
        <v>52.9301240918517</v>
      </c>
      <c r="W47" t="n">
        <v>81.6006079749381</v>
      </c>
      <c r="X47" t="n">
        <v>66.368494486283</v>
      </c>
      <c r="Y47" t="n">
        <v>58.8752773668639</v>
      </c>
      <c r="Z47" t="n">
        <v>57.8048177783755</v>
      </c>
      <c r="AA47" t="n">
        <v>94.2004437869822</v>
      </c>
      <c r="AB47" t="n">
        <v>111.135355029586</v>
      </c>
      <c r="AC47" t="n">
        <v>115.369082840237</v>
      </c>
      <c r="AD47" t="n">
        <v>110.076923076923</v>
      </c>
      <c r="AE47" t="n">
        <v>106</v>
      </c>
      <c r="AF47" t="n">
        <v>98</v>
      </c>
    </row>
    <row r="48">
      <c r="A48" t="s">
        <v>65</v>
      </c>
      <c r="B48" t="s">
        <v>366</v>
      </c>
      <c r="C48" t="s">
        <v>236</v>
      </c>
      <c r="D48" t="s">
        <v>367</v>
      </c>
      <c r="E48" t="s">
        <v>237</v>
      </c>
      <c r="F48" t="n">
        <v>970.78929051644</v>
      </c>
      <c r="G48" t="n">
        <v>1255.93143638562</v>
      </c>
      <c r="H48" t="n">
        <v>1536.89105654534</v>
      </c>
      <c r="I48" t="n">
        <v>1287.22300208658</v>
      </c>
      <c r="J48" t="n">
        <v>1470.54878952004</v>
      </c>
      <c r="K48" t="n">
        <v>1319.62404533246</v>
      </c>
      <c r="L48" t="n">
        <v>1412.96777114654</v>
      </c>
      <c r="M48" t="n">
        <v>1522.32522763577</v>
      </c>
      <c r="N48" t="n">
        <v>1528.97293605339</v>
      </c>
      <c r="O48" t="n">
        <v>1564.56807318903</v>
      </c>
      <c r="P48" t="n">
        <v>1522.61838304394</v>
      </c>
      <c r="Q48" t="n">
        <v>1553.78308679045</v>
      </c>
      <c r="R48" t="n">
        <v>1594.14108904475</v>
      </c>
      <c r="S48" t="n">
        <v>1500.53245366701</v>
      </c>
      <c r="T48" t="n">
        <v>1577.44940828591</v>
      </c>
      <c r="U48" t="n">
        <v>1695.72698822842</v>
      </c>
      <c r="V48" t="n">
        <v>1654.42704725438</v>
      </c>
      <c r="W48" t="n">
        <v>1682.64755125872</v>
      </c>
      <c r="X48" t="n">
        <v>1586.95195592647</v>
      </c>
      <c r="Y48" t="n">
        <v>1611.4007955836</v>
      </c>
      <c r="Z48" t="n">
        <v>1438.94685904193</v>
      </c>
      <c r="AA48" t="n">
        <v>1591.8417400705</v>
      </c>
      <c r="AB48" t="n">
        <v>1681.10389371932</v>
      </c>
      <c r="AC48" t="n">
        <v>1749.91482135896</v>
      </c>
      <c r="AD48" t="n">
        <v>1759.44248826291</v>
      </c>
      <c r="AE48" t="n">
        <v>1733</v>
      </c>
      <c r="AF48" t="n">
        <v>1687</v>
      </c>
    </row>
    <row r="49">
      <c r="A49" t="s">
        <v>65</v>
      </c>
      <c r="B49" t="s">
        <v>368</v>
      </c>
      <c r="C49" t="s">
        <v>236</v>
      </c>
      <c r="D49" t="s">
        <v>369</v>
      </c>
      <c r="E49" t="s">
        <v>237</v>
      </c>
      <c r="F49" t="n">
        <v>915.2993383318</v>
      </c>
      <c r="G49" t="n">
        <v>1199.81407241566</v>
      </c>
      <c r="H49" t="n">
        <v>1482.24818149758</v>
      </c>
      <c r="I49" t="n">
        <v>1210.67543775466</v>
      </c>
      <c r="J49" t="n">
        <v>1380.20988949955</v>
      </c>
      <c r="K49" t="n">
        <v>1233.37905019109</v>
      </c>
      <c r="L49" t="n">
        <v>1342.64235944225</v>
      </c>
      <c r="M49" t="n">
        <v>1435.66202617485</v>
      </c>
      <c r="N49" t="n">
        <v>1452.45339490204</v>
      </c>
      <c r="O49" t="n">
        <v>1486.76331761626</v>
      </c>
      <c r="P49" t="n">
        <v>1449.12373995509</v>
      </c>
      <c r="Q49" t="n">
        <v>1459.60294055394</v>
      </c>
      <c r="R49" t="n">
        <v>1530.83854223436</v>
      </c>
      <c r="S49" t="n">
        <v>1442.11468928058</v>
      </c>
      <c r="T49" t="n">
        <v>1498.59094760395</v>
      </c>
      <c r="U49" t="n">
        <v>1622.63819159458</v>
      </c>
      <c r="V49" t="n">
        <v>1592.09153889137</v>
      </c>
      <c r="W49" t="n">
        <v>1586.18177074404</v>
      </c>
      <c r="X49" t="n">
        <v>1507.2729443696</v>
      </c>
      <c r="Y49" t="n">
        <v>1539.60350308759</v>
      </c>
      <c r="Z49" t="n">
        <v>1372.20741405375</v>
      </c>
      <c r="AA49" t="n">
        <v>1485.19994854432</v>
      </c>
      <c r="AB49" t="n">
        <v>1556.48103489995</v>
      </c>
      <c r="AC49" t="n">
        <v>1612.63726012099</v>
      </c>
      <c r="AD49" t="n">
        <v>1626.41142857143</v>
      </c>
      <c r="AE49" t="n">
        <v>1602</v>
      </c>
      <c r="AF49" t="n">
        <v>1558</v>
      </c>
    </row>
    <row r="50">
      <c r="A50" t="s">
        <v>65</v>
      </c>
      <c r="B50" t="s">
        <v>370</v>
      </c>
      <c r="C50" t="s">
        <v>236</v>
      </c>
      <c r="D50" t="s">
        <v>371</v>
      </c>
      <c r="E50" t="s">
        <v>237</v>
      </c>
      <c r="F50" t="n">
        <v>2</v>
      </c>
      <c r="G50" t="n">
        <v>3</v>
      </c>
      <c r="H50" t="n">
        <v>3</v>
      </c>
      <c r="I50" t="n">
        <v>6</v>
      </c>
      <c r="J50" t="n">
        <v>6</v>
      </c>
      <c r="K50" t="n">
        <v>6</v>
      </c>
      <c r="L50" t="n">
        <v>6</v>
      </c>
      <c r="M50" t="n">
        <v>7</v>
      </c>
      <c r="N50" t="n">
        <v>6</v>
      </c>
      <c r="O50" t="n">
        <v>6</v>
      </c>
      <c r="P50" t="n">
        <v>6</v>
      </c>
      <c r="Q50" t="n">
        <v>7</v>
      </c>
      <c r="R50" t="n">
        <v>9</v>
      </c>
      <c r="S50" t="n">
        <v>8</v>
      </c>
      <c r="T50" t="n">
        <v>9</v>
      </c>
      <c r="U50" t="n">
        <v>13</v>
      </c>
      <c r="V50" t="n">
        <v>12</v>
      </c>
      <c r="W50" t="n">
        <v>15</v>
      </c>
      <c r="X50" t="n">
        <v>14</v>
      </c>
      <c r="Y50" t="n">
        <v>14</v>
      </c>
      <c r="Z50" t="n">
        <v>10</v>
      </c>
      <c r="AA50" t="n">
        <v>13</v>
      </c>
      <c r="AB50" t="n">
        <v>14</v>
      </c>
      <c r="AC50" t="n">
        <v>22</v>
      </c>
      <c r="AD50" t="n">
        <v>23</v>
      </c>
      <c r="AE50" t="n">
        <v>25</v>
      </c>
      <c r="AF50" t="n">
        <v>31</v>
      </c>
    </row>
    <row r="51">
      <c r="A51" t="s">
        <v>65</v>
      </c>
      <c r="B51" t="s">
        <v>372</v>
      </c>
      <c r="C51" t="s">
        <v>236</v>
      </c>
      <c r="D51" t="s">
        <v>373</v>
      </c>
      <c r="E51" t="s">
        <v>237</v>
      </c>
      <c r="F51" t="n">
        <v>2</v>
      </c>
      <c r="G51" t="n">
        <v>2</v>
      </c>
      <c r="H51" t="n">
        <v>2</v>
      </c>
      <c r="I51" t="n">
        <v>5</v>
      </c>
      <c r="J51" t="n">
        <v>5</v>
      </c>
      <c r="K51" t="n">
        <v>5</v>
      </c>
      <c r="L51" t="n">
        <v>5</v>
      </c>
      <c r="M51" t="n">
        <v>5</v>
      </c>
      <c r="N51" t="n">
        <v>4</v>
      </c>
      <c r="O51" t="n">
        <v>4</v>
      </c>
      <c r="P51" t="n">
        <v>4</v>
      </c>
      <c r="Q51" t="n">
        <v>5</v>
      </c>
      <c r="R51" t="n">
        <v>7</v>
      </c>
      <c r="S51" t="n">
        <v>6</v>
      </c>
      <c r="T51" t="n">
        <v>7</v>
      </c>
      <c r="U51" t="n">
        <v>8</v>
      </c>
      <c r="V51" t="n">
        <v>7</v>
      </c>
      <c r="W51" t="n">
        <v>9</v>
      </c>
      <c r="X51" t="n">
        <v>7</v>
      </c>
      <c r="Y51" t="n">
        <v>7</v>
      </c>
      <c r="Z51" t="n">
        <v>2</v>
      </c>
      <c r="AA51" t="n">
        <v>4</v>
      </c>
      <c r="AB51" t="n">
        <v>6</v>
      </c>
      <c r="AC51" t="n">
        <v>14</v>
      </c>
      <c r="AD51" t="n">
        <v>12</v>
      </c>
      <c r="AE51" t="n">
        <v>13</v>
      </c>
      <c r="AF51" t="n">
        <v>19</v>
      </c>
    </row>
    <row r="52">
      <c r="A52" t="s">
        <v>65</v>
      </c>
      <c r="B52" t="s">
        <v>374</v>
      </c>
      <c r="C52" t="s">
        <v>236</v>
      </c>
      <c r="D52" t="s">
        <v>375</v>
      </c>
      <c r="E52" t="s">
        <v>237</v>
      </c>
      <c r="F52" t="n">
        <v>0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2</v>
      </c>
      <c r="N52" t="n">
        <v>2</v>
      </c>
      <c r="O52" t="n">
        <v>2</v>
      </c>
      <c r="P52" t="n">
        <v>2</v>
      </c>
      <c r="Q52" t="n">
        <v>2</v>
      </c>
      <c r="R52" t="n">
        <v>2</v>
      </c>
      <c r="S52" t="n">
        <v>2</v>
      </c>
      <c r="T52" t="n">
        <v>2</v>
      </c>
      <c r="U52" t="n">
        <v>5</v>
      </c>
      <c r="V52" t="n">
        <v>5</v>
      </c>
      <c r="W52" t="n">
        <v>6</v>
      </c>
      <c r="X52" t="n">
        <v>7</v>
      </c>
      <c r="Y52" t="n">
        <v>7</v>
      </c>
      <c r="Z52" t="n">
        <v>8</v>
      </c>
      <c r="AA52" t="n">
        <v>9</v>
      </c>
      <c r="AB52" t="n">
        <v>8</v>
      </c>
      <c r="AC52" t="n">
        <v>8</v>
      </c>
      <c r="AD52" t="n">
        <v>11</v>
      </c>
      <c r="AE52" t="n">
        <v>12</v>
      </c>
      <c r="AF52" t="n">
        <v>12</v>
      </c>
    </row>
    <row r="53">
      <c r="A53" t="s">
        <v>65</v>
      </c>
      <c r="B53" t="s">
        <v>376</v>
      </c>
      <c r="C53" t="s">
        <v>236</v>
      </c>
      <c r="D53" t="s">
        <v>377</v>
      </c>
      <c r="E53" t="s">
        <v>237</v>
      </c>
      <c r="F53" t="n">
        <v>2.08333333333333</v>
      </c>
      <c r="G53" t="n">
        <v>2.08333333333333</v>
      </c>
      <c r="H53" t="n">
        <v>2.08333333333333</v>
      </c>
      <c r="I53" t="n">
        <v>4.16666666666667</v>
      </c>
      <c r="J53" t="n">
        <v>4.16666666666667</v>
      </c>
      <c r="K53" t="n">
        <v>3.125</v>
      </c>
      <c r="L53" t="n">
        <v>4.16666666666667</v>
      </c>
      <c r="M53" t="n">
        <v>2.08333333333333</v>
      </c>
      <c r="N53" t="n">
        <v>3.125</v>
      </c>
      <c r="O53" t="n">
        <v>2.08333333333333</v>
      </c>
      <c r="P53" t="n">
        <v>3.125</v>
      </c>
      <c r="Q53" t="n">
        <v>4.16666666666667</v>
      </c>
      <c r="R53" t="n">
        <v>5.20833333333333</v>
      </c>
      <c r="S53" t="n">
        <v>5.20833333333333</v>
      </c>
      <c r="T53" t="n">
        <v>9.375</v>
      </c>
      <c r="U53" t="n">
        <v>12.5</v>
      </c>
      <c r="V53" t="n">
        <v>12.5</v>
      </c>
      <c r="W53" t="n">
        <v>15.625</v>
      </c>
      <c r="X53" t="n">
        <v>14.5833333333333</v>
      </c>
      <c r="Y53" t="n">
        <v>18.75</v>
      </c>
      <c r="Z53" t="n">
        <v>18.75</v>
      </c>
      <c r="AA53" t="n">
        <v>10.4166666666667</v>
      </c>
      <c r="AB53" t="n">
        <v>23.9583333333333</v>
      </c>
      <c r="AC53" t="n">
        <v>25</v>
      </c>
      <c r="AD53" t="n">
        <v>25</v>
      </c>
      <c r="AE53" t="n">
        <v>23</v>
      </c>
      <c r="AF53" t="n">
        <v>30</v>
      </c>
    </row>
    <row r="54">
      <c r="A54" t="s">
        <v>65</v>
      </c>
      <c r="B54" t="s">
        <v>378</v>
      </c>
      <c r="C54" t="s">
        <v>236</v>
      </c>
      <c r="D54" t="s">
        <v>379</v>
      </c>
      <c r="E54" t="s">
        <v>237</v>
      </c>
      <c r="F54" t="n">
        <v>8.24242424242424</v>
      </c>
      <c r="G54" t="n">
        <v>8.24242424242424</v>
      </c>
      <c r="H54" t="n">
        <v>6.18181818181818</v>
      </c>
      <c r="I54" t="n">
        <v>9.27272727272727</v>
      </c>
      <c r="J54" t="n">
        <v>9.27272727272727</v>
      </c>
      <c r="K54" t="n">
        <v>11.3333333333333</v>
      </c>
      <c r="L54" t="n">
        <v>13.3939393939394</v>
      </c>
      <c r="M54" t="n">
        <v>10.3030303030303</v>
      </c>
      <c r="N54" t="n">
        <v>13.3939393939394</v>
      </c>
      <c r="O54" t="n">
        <v>14.4242424242424</v>
      </c>
      <c r="P54" t="n">
        <v>12.3636363636364</v>
      </c>
      <c r="Q54" t="n">
        <v>12.3636363636364</v>
      </c>
      <c r="R54" t="n">
        <v>10.3030303030303</v>
      </c>
      <c r="S54" t="n">
        <v>9.27272727272727</v>
      </c>
      <c r="T54" t="n">
        <v>14.4242424242424</v>
      </c>
      <c r="U54" t="n">
        <v>18.5454545454545</v>
      </c>
      <c r="V54" t="n">
        <v>18.5454545454545</v>
      </c>
      <c r="W54" t="n">
        <v>22.6666666666667</v>
      </c>
      <c r="X54" t="n">
        <v>20.6060606060606</v>
      </c>
      <c r="Y54" t="n">
        <v>24.7272727272727</v>
      </c>
      <c r="Z54" t="n">
        <v>27.8181818181818</v>
      </c>
      <c r="AA54" t="n">
        <v>19.5757575757576</v>
      </c>
      <c r="AB54" t="n">
        <v>32.969696969697</v>
      </c>
      <c r="AC54" t="n">
        <v>35.030303030303</v>
      </c>
      <c r="AD54" t="n">
        <v>34</v>
      </c>
      <c r="AE54" t="n">
        <v>33</v>
      </c>
      <c r="AF54" t="n">
        <v>45</v>
      </c>
    </row>
    <row r="55">
      <c r="A55" t="s">
        <v>65</v>
      </c>
      <c r="B55" t="s">
        <v>380</v>
      </c>
      <c r="C55" t="s">
        <v>236</v>
      </c>
      <c r="D55" t="s">
        <v>381</v>
      </c>
      <c r="E55" t="s">
        <v>237</v>
      </c>
      <c r="F55" t="n">
        <v>6</v>
      </c>
      <c r="G55" t="n">
        <v>6</v>
      </c>
      <c r="H55" t="n">
        <v>4</v>
      </c>
      <c r="I55" t="n">
        <v>5</v>
      </c>
      <c r="J55" t="n">
        <v>5</v>
      </c>
      <c r="K55" t="n">
        <v>8</v>
      </c>
      <c r="L55" t="n">
        <v>9</v>
      </c>
      <c r="M55" t="n">
        <v>8</v>
      </c>
      <c r="N55" t="n">
        <v>10</v>
      </c>
      <c r="O55" t="n">
        <v>12</v>
      </c>
      <c r="P55" t="n">
        <v>9</v>
      </c>
      <c r="Q55" t="n">
        <v>8</v>
      </c>
      <c r="R55" t="n">
        <v>5</v>
      </c>
      <c r="S55" t="n">
        <v>4</v>
      </c>
      <c r="T55" t="n">
        <v>5</v>
      </c>
      <c r="U55" t="n">
        <v>6</v>
      </c>
      <c r="V55" t="n">
        <v>6</v>
      </c>
      <c r="W55" t="n">
        <v>7</v>
      </c>
      <c r="X55" t="n">
        <v>6</v>
      </c>
      <c r="Y55" t="n">
        <v>6</v>
      </c>
      <c r="Z55" t="n">
        <v>9</v>
      </c>
      <c r="AA55" t="n">
        <v>9</v>
      </c>
      <c r="AB55" t="n">
        <v>9</v>
      </c>
      <c r="AC55" t="n">
        <v>10</v>
      </c>
      <c r="AD55" t="n">
        <v>9</v>
      </c>
      <c r="AE55" t="n">
        <v>10</v>
      </c>
      <c r="AF55" t="n">
        <v>15</v>
      </c>
    </row>
    <row r="56">
      <c r="A56" t="s">
        <v>65</v>
      </c>
      <c r="B56" t="s">
        <v>382</v>
      </c>
      <c r="C56" t="s">
        <v>236</v>
      </c>
      <c r="D56" t="s">
        <v>383</v>
      </c>
      <c r="E56" t="s">
        <v>237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65</v>
      </c>
      <c r="B57" t="s">
        <v>384</v>
      </c>
      <c r="C57" t="s">
        <v>236</v>
      </c>
      <c r="D57" t="s">
        <v>385</v>
      </c>
      <c r="E57" t="s">
        <v>237</v>
      </c>
      <c r="F57" t="n">
        <v>4443.02806580796</v>
      </c>
      <c r="G57" t="n">
        <v>5162.77750544716</v>
      </c>
      <c r="H57" t="n">
        <v>5903.81674407007</v>
      </c>
      <c r="I57" t="n">
        <v>6255.21063888114</v>
      </c>
      <c r="J57" t="n">
        <v>7447.23042760409</v>
      </c>
      <c r="K57" t="n">
        <v>7950.03706793914</v>
      </c>
      <c r="L57" t="n">
        <v>7989.61634277387</v>
      </c>
      <c r="M57" t="n">
        <v>7989.61634277387</v>
      </c>
      <c r="N57" t="n">
        <v>8083.0142368547</v>
      </c>
      <c r="O57" t="n">
        <v>8309.89465227936</v>
      </c>
      <c r="P57" t="n">
        <v>8246.90598880303</v>
      </c>
      <c r="Q57" t="n">
        <v>8298.2931544801</v>
      </c>
      <c r="R57" t="n">
        <v>8833.62085668723</v>
      </c>
      <c r="S57" t="n">
        <v>9179.65739917733</v>
      </c>
      <c r="T57" t="n">
        <v>8498.58187484023</v>
      </c>
      <c r="U57" t="n">
        <v>8552.88591237914</v>
      </c>
      <c r="V57" t="n">
        <v>8017.42604984441</v>
      </c>
      <c r="W57" t="n">
        <v>7345.3135001053</v>
      </c>
      <c r="X57" t="n">
        <v>7006.6475422747</v>
      </c>
      <c r="Y57" t="n">
        <v>6655.15457517525</v>
      </c>
      <c r="Z57" t="n">
        <v>6101.92503434419</v>
      </c>
      <c r="AA57" t="n">
        <v>5886.93157084658</v>
      </c>
      <c r="AB57" t="n">
        <v>5788.40995197152</v>
      </c>
      <c r="AC57" t="n">
        <v>6463.24920745588</v>
      </c>
      <c r="AD57" t="n">
        <v>6984.9559245283</v>
      </c>
      <c r="AE57" t="n">
        <v>6729</v>
      </c>
      <c r="AF57" t="n">
        <v>7220</v>
      </c>
    </row>
    <row r="58">
      <c r="A58" t="s">
        <v>65</v>
      </c>
      <c r="B58" t="s">
        <v>386</v>
      </c>
      <c r="C58" t="s">
        <v>236</v>
      </c>
      <c r="D58" t="s">
        <v>387</v>
      </c>
      <c r="E58" t="s">
        <v>237</v>
      </c>
      <c r="F58" t="n">
        <v>4443.02806580796</v>
      </c>
      <c r="G58" t="n">
        <v>5162.77750544716</v>
      </c>
      <c r="H58" t="n">
        <v>5903.81674407007</v>
      </c>
      <c r="I58" t="n">
        <v>6255.21063888114</v>
      </c>
      <c r="J58" t="n">
        <v>7447.23042760409</v>
      </c>
      <c r="K58" t="n">
        <v>7950.03706793914</v>
      </c>
      <c r="L58" t="n">
        <v>7989.61634277387</v>
      </c>
      <c r="M58" t="n">
        <v>7989.61634277387</v>
      </c>
      <c r="N58" t="n">
        <v>8083.0142368547</v>
      </c>
      <c r="O58" t="n">
        <v>8309.89465227936</v>
      </c>
      <c r="P58" t="n">
        <v>8246.90598880303</v>
      </c>
      <c r="Q58" t="n">
        <v>8298.2931544801</v>
      </c>
      <c r="R58" t="n">
        <v>8833.62085668723</v>
      </c>
      <c r="S58" t="n">
        <v>9179.65739917733</v>
      </c>
      <c r="T58" t="n">
        <v>8498.58187484023</v>
      </c>
      <c r="U58" t="n">
        <v>8552.88591237914</v>
      </c>
      <c r="V58" t="n">
        <v>8017.42604984441</v>
      </c>
      <c r="W58" t="n">
        <v>7345.3135001053</v>
      </c>
      <c r="X58" t="n">
        <v>7006.6475422747</v>
      </c>
      <c r="Y58" t="n">
        <v>6655.15457517525</v>
      </c>
      <c r="Z58" t="n">
        <v>6101.92503434419</v>
      </c>
      <c r="AA58" t="n">
        <v>5886.93157084658</v>
      </c>
      <c r="AB58" t="n">
        <v>5788.40995197152</v>
      </c>
      <c r="AC58" t="n">
        <v>6463.24920745588</v>
      </c>
      <c r="AD58" t="n">
        <v>6984.9559245283</v>
      </c>
      <c r="AE58" t="n">
        <v>6729</v>
      </c>
      <c r="AF58" t="n">
        <v>7220</v>
      </c>
    </row>
    <row r="59">
      <c r="A59" t="s">
        <v>65</v>
      </c>
      <c r="B59" t="s">
        <v>388</v>
      </c>
      <c r="C59" t="s">
        <v>236</v>
      </c>
      <c r="D59" t="s">
        <v>389</v>
      </c>
      <c r="E59" t="s">
        <v>237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67</v>
      </c>
      <c r="B2" t="s">
        <v>197</v>
      </c>
      <c r="C2" t="s">
        <v>236</v>
      </c>
      <c r="D2" t="s">
        <v>199</v>
      </c>
      <c r="E2" t="s">
        <v>237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67</v>
      </c>
      <c r="B3" t="s">
        <v>276</v>
      </c>
      <c r="C3" t="s">
        <v>236</v>
      </c>
      <c r="D3" t="s">
        <v>277</v>
      </c>
      <c r="E3" t="s">
        <v>237</v>
      </c>
      <c r="F3" t="n">
        <v>55.299</v>
      </c>
      <c r="G3" t="n">
        <v>40.044</v>
      </c>
      <c r="H3" t="n">
        <v>36.404</v>
      </c>
      <c r="I3" t="n">
        <v>39.871</v>
      </c>
      <c r="J3" t="n">
        <v>48.177</v>
      </c>
      <c r="K3" t="n">
        <v>54.601</v>
      </c>
      <c r="L3" t="n">
        <v>71.761</v>
      </c>
      <c r="M3" t="n">
        <v>65.903</v>
      </c>
      <c r="N3" t="n">
        <v>61.605</v>
      </c>
      <c r="O3" t="n">
        <v>47.604</v>
      </c>
      <c r="P3" t="n">
        <v>54.404</v>
      </c>
      <c r="Q3" t="n">
        <v>54.404</v>
      </c>
      <c r="R3" t="n">
        <v>73.834</v>
      </c>
      <c r="S3" t="n">
        <v>76.337</v>
      </c>
      <c r="T3" t="n">
        <v>62.458</v>
      </c>
      <c r="U3" t="n">
        <v>73.611</v>
      </c>
      <c r="V3" t="n">
        <v>97.782</v>
      </c>
      <c r="W3" t="n">
        <v>103.275</v>
      </c>
      <c r="X3" t="n">
        <v>62.395</v>
      </c>
      <c r="Y3" t="n">
        <v>46.532</v>
      </c>
      <c r="Z3" t="n">
        <v>41.244</v>
      </c>
      <c r="AA3" t="n">
        <v>47.59</v>
      </c>
      <c r="AB3" t="n">
        <v>69.798</v>
      </c>
      <c r="AC3" t="n">
        <v>78.132</v>
      </c>
      <c r="AD3" t="n">
        <v>69</v>
      </c>
      <c r="AE3" t="n">
        <v>75</v>
      </c>
      <c r="AF3" t="n">
        <v>75</v>
      </c>
    </row>
    <row r="4">
      <c r="A4" t="s">
        <v>67</v>
      </c>
      <c r="B4" t="s">
        <v>278</v>
      </c>
      <c r="C4" t="s">
        <v>236</v>
      </c>
      <c r="D4" t="s">
        <v>279</v>
      </c>
      <c r="E4" t="s">
        <v>237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67</v>
      </c>
      <c r="B5" t="s">
        <v>280</v>
      </c>
      <c r="C5" t="s">
        <v>236</v>
      </c>
      <c r="D5" t="s">
        <v>281</v>
      </c>
      <c r="E5" t="s">
        <v>237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67</v>
      </c>
      <c r="B6" t="s">
        <v>282</v>
      </c>
      <c r="C6" t="s">
        <v>236</v>
      </c>
      <c r="D6" t="s">
        <v>283</v>
      </c>
      <c r="E6" t="s">
        <v>237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67</v>
      </c>
      <c r="B7" t="s">
        <v>284</v>
      </c>
      <c r="C7" t="s">
        <v>236</v>
      </c>
      <c r="D7" t="s">
        <v>285</v>
      </c>
      <c r="E7" t="s">
        <v>237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67</v>
      </c>
      <c r="B8" t="s">
        <v>286</v>
      </c>
      <c r="C8" t="s">
        <v>236</v>
      </c>
      <c r="D8" t="s">
        <v>287</v>
      </c>
      <c r="E8" t="s">
        <v>237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67</v>
      </c>
      <c r="B9" t="s">
        <v>288</v>
      </c>
      <c r="C9" t="s">
        <v>236</v>
      </c>
      <c r="D9" t="s">
        <v>289</v>
      </c>
      <c r="E9" t="s">
        <v>237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67</v>
      </c>
      <c r="B10" t="s">
        <v>290</v>
      </c>
      <c r="C10" t="s">
        <v>236</v>
      </c>
      <c r="D10" t="s">
        <v>291</v>
      </c>
      <c r="E10" t="s">
        <v>237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67</v>
      </c>
      <c r="B11" t="s">
        <v>292</v>
      </c>
      <c r="C11" t="s">
        <v>236</v>
      </c>
      <c r="D11" t="s">
        <v>293</v>
      </c>
      <c r="E11" t="s">
        <v>237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67</v>
      </c>
      <c r="B12" t="s">
        <v>294</v>
      </c>
      <c r="C12" t="s">
        <v>236</v>
      </c>
      <c r="D12" t="s">
        <v>295</v>
      </c>
      <c r="E12" t="s">
        <v>237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67</v>
      </c>
      <c r="B13" t="s">
        <v>296</v>
      </c>
      <c r="C13" t="s">
        <v>236</v>
      </c>
      <c r="D13" t="s">
        <v>297</v>
      </c>
      <c r="E13" t="s">
        <v>237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67</v>
      </c>
      <c r="B14" t="s">
        <v>298</v>
      </c>
      <c r="C14" t="s">
        <v>236</v>
      </c>
      <c r="D14" t="s">
        <v>299</v>
      </c>
      <c r="E14" t="s">
        <v>237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67</v>
      </c>
      <c r="B15" t="s">
        <v>300</v>
      </c>
      <c r="C15" t="s">
        <v>236</v>
      </c>
      <c r="D15" t="s">
        <v>301</v>
      </c>
      <c r="E15" t="s">
        <v>237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67</v>
      </c>
      <c r="B16" t="s">
        <v>302</v>
      </c>
      <c r="C16" t="s">
        <v>236</v>
      </c>
      <c r="D16" t="s">
        <v>303</v>
      </c>
      <c r="E16" t="s">
        <v>237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67</v>
      </c>
      <c r="B17" t="s">
        <v>304</v>
      </c>
      <c r="C17" t="s">
        <v>236</v>
      </c>
      <c r="D17" t="s">
        <v>305</v>
      </c>
      <c r="E17" t="s">
        <v>237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67</v>
      </c>
      <c r="B18" t="s">
        <v>306</v>
      </c>
      <c r="C18" t="s">
        <v>236</v>
      </c>
      <c r="D18" t="s">
        <v>307</v>
      </c>
      <c r="E18" t="s">
        <v>237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67</v>
      </c>
      <c r="B19" t="s">
        <v>308</v>
      </c>
      <c r="C19" t="s">
        <v>236</v>
      </c>
      <c r="D19" t="s">
        <v>309</v>
      </c>
      <c r="E19" t="s">
        <v>237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67</v>
      </c>
      <c r="B20" t="s">
        <v>310</v>
      </c>
      <c r="C20" t="s">
        <v>236</v>
      </c>
      <c r="D20" t="s">
        <v>311</v>
      </c>
      <c r="E20" t="s">
        <v>237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67</v>
      </c>
      <c r="B21" t="s">
        <v>312</v>
      </c>
      <c r="C21" t="s">
        <v>236</v>
      </c>
      <c r="D21" t="s">
        <v>313</v>
      </c>
      <c r="E21" t="s">
        <v>237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67</v>
      </c>
      <c r="B22" t="s">
        <v>314</v>
      </c>
      <c r="C22" t="s">
        <v>236</v>
      </c>
      <c r="D22" t="s">
        <v>315</v>
      </c>
      <c r="E22" t="s">
        <v>237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67</v>
      </c>
      <c r="B23" t="s">
        <v>316</v>
      </c>
      <c r="C23" t="s">
        <v>236</v>
      </c>
      <c r="D23" t="s">
        <v>317</v>
      </c>
      <c r="E23" t="s">
        <v>237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67</v>
      </c>
      <c r="B24" t="s">
        <v>318</v>
      </c>
      <c r="C24" t="s">
        <v>236</v>
      </c>
      <c r="D24" t="s">
        <v>319</v>
      </c>
      <c r="E24" t="s">
        <v>237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67</v>
      </c>
      <c r="B25" t="s">
        <v>320</v>
      </c>
      <c r="C25" t="s">
        <v>236</v>
      </c>
      <c r="D25" t="s">
        <v>321</v>
      </c>
      <c r="E25" t="s">
        <v>237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67</v>
      </c>
      <c r="B26" t="s">
        <v>322</v>
      </c>
      <c r="C26" t="s">
        <v>236</v>
      </c>
      <c r="D26" t="s">
        <v>323</v>
      </c>
      <c r="E26" t="s">
        <v>237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67</v>
      </c>
      <c r="B27" t="s">
        <v>324</v>
      </c>
      <c r="C27" t="s">
        <v>236</v>
      </c>
      <c r="D27" t="s">
        <v>325</v>
      </c>
      <c r="E27" t="s">
        <v>237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67</v>
      </c>
      <c r="B28" t="s">
        <v>326</v>
      </c>
      <c r="C28" t="s">
        <v>236</v>
      </c>
      <c r="D28" t="s">
        <v>327</v>
      </c>
      <c r="E28" t="s">
        <v>237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67</v>
      </c>
      <c r="B29" t="s">
        <v>328</v>
      </c>
      <c r="C29" t="s">
        <v>236</v>
      </c>
      <c r="D29" t="s">
        <v>329</v>
      </c>
      <c r="E29" t="s">
        <v>237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67</v>
      </c>
      <c r="B30" t="s">
        <v>330</v>
      </c>
      <c r="C30" t="s">
        <v>236</v>
      </c>
      <c r="D30" t="s">
        <v>331</v>
      </c>
      <c r="E30" t="s">
        <v>237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67</v>
      </c>
      <c r="B31" t="s">
        <v>332</v>
      </c>
      <c r="C31" t="s">
        <v>236</v>
      </c>
      <c r="D31" t="s">
        <v>333</v>
      </c>
      <c r="E31" t="s">
        <v>237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67</v>
      </c>
      <c r="B32" t="s">
        <v>334</v>
      </c>
      <c r="C32" t="s">
        <v>236</v>
      </c>
      <c r="D32" t="s">
        <v>335</v>
      </c>
      <c r="E32" t="s">
        <v>237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67</v>
      </c>
      <c r="B33" t="s">
        <v>336</v>
      </c>
      <c r="C33" t="s">
        <v>236</v>
      </c>
      <c r="D33" t="s">
        <v>337</v>
      </c>
      <c r="E33" t="s">
        <v>237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67</v>
      </c>
      <c r="B34" t="s">
        <v>338</v>
      </c>
      <c r="C34" t="s">
        <v>236</v>
      </c>
      <c r="D34" t="s">
        <v>339</v>
      </c>
      <c r="E34" t="s">
        <v>237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67</v>
      </c>
      <c r="B35" t="s">
        <v>340</v>
      </c>
      <c r="C35" t="s">
        <v>236</v>
      </c>
      <c r="D35" t="s">
        <v>341</v>
      </c>
      <c r="E35" t="s">
        <v>237</v>
      </c>
      <c r="F35" t="n">
        <v>314.776</v>
      </c>
      <c r="G35" t="n">
        <v>347.153</v>
      </c>
      <c r="H35" t="n">
        <v>358.002</v>
      </c>
      <c r="I35" t="n">
        <v>354.404</v>
      </c>
      <c r="J35" t="n">
        <v>342.122</v>
      </c>
      <c r="K35" t="n">
        <v>338.631</v>
      </c>
      <c r="L35" t="n">
        <v>375.512</v>
      </c>
      <c r="M35" t="n">
        <v>321.182</v>
      </c>
      <c r="N35" t="n">
        <v>307.082</v>
      </c>
      <c r="O35" t="n">
        <v>303.964</v>
      </c>
      <c r="P35" t="n">
        <v>322.021</v>
      </c>
      <c r="Q35" t="n">
        <v>343.977</v>
      </c>
      <c r="R35" t="n">
        <v>348.277</v>
      </c>
      <c r="S35" t="n">
        <v>314.573</v>
      </c>
      <c r="T35" t="n">
        <v>310.47</v>
      </c>
      <c r="U35" t="n">
        <v>361.345</v>
      </c>
      <c r="V35" t="n">
        <v>360.086</v>
      </c>
      <c r="W35" t="n">
        <v>385.292</v>
      </c>
      <c r="X35" t="n">
        <v>365.444</v>
      </c>
      <c r="Y35" t="n">
        <v>342.675</v>
      </c>
      <c r="Z35" t="n">
        <v>330.436</v>
      </c>
      <c r="AA35" t="n">
        <v>404.839</v>
      </c>
      <c r="AB35" t="n">
        <v>405.91</v>
      </c>
      <c r="AC35" t="n">
        <v>406.962</v>
      </c>
      <c r="AD35" t="n">
        <v>402.83</v>
      </c>
      <c r="AE35" t="n">
        <v>417</v>
      </c>
      <c r="AF35" t="n">
        <v>442</v>
      </c>
    </row>
    <row r="36">
      <c r="A36" t="s">
        <v>67</v>
      </c>
      <c r="B36" t="s">
        <v>342</v>
      </c>
      <c r="C36" t="s">
        <v>236</v>
      </c>
      <c r="D36" t="s">
        <v>343</v>
      </c>
      <c r="E36" t="s">
        <v>237</v>
      </c>
      <c r="F36" t="n">
        <v>314.776</v>
      </c>
      <c r="G36" t="n">
        <v>347.153</v>
      </c>
      <c r="H36" t="n">
        <v>358.002</v>
      </c>
      <c r="I36" t="n">
        <v>354.404</v>
      </c>
      <c r="J36" t="n">
        <v>342.122</v>
      </c>
      <c r="K36" t="n">
        <v>338.631</v>
      </c>
      <c r="L36" t="n">
        <v>375.512</v>
      </c>
      <c r="M36" t="n">
        <v>321.182</v>
      </c>
      <c r="N36" t="n">
        <v>307.082</v>
      </c>
      <c r="O36" t="n">
        <v>303.964</v>
      </c>
      <c r="P36" t="n">
        <v>322.021</v>
      </c>
      <c r="Q36" t="n">
        <v>343.977</v>
      </c>
      <c r="R36" t="n">
        <v>348.277</v>
      </c>
      <c r="S36" t="n">
        <v>314.573</v>
      </c>
      <c r="T36" t="n">
        <v>310.47</v>
      </c>
      <c r="U36" t="n">
        <v>361.345</v>
      </c>
      <c r="V36" t="n">
        <v>360.086</v>
      </c>
      <c r="W36" t="n">
        <v>385.292</v>
      </c>
      <c r="X36" t="n">
        <v>365.444</v>
      </c>
      <c r="Y36" t="n">
        <v>342.675</v>
      </c>
      <c r="Z36" t="n">
        <v>330.436</v>
      </c>
      <c r="AA36" t="n">
        <v>404.839</v>
      </c>
      <c r="AB36" t="n">
        <v>405.91</v>
      </c>
      <c r="AC36" t="n">
        <v>406.962</v>
      </c>
      <c r="AD36" t="n">
        <v>402.83</v>
      </c>
      <c r="AE36" t="n">
        <v>417</v>
      </c>
      <c r="AF36" t="n">
        <v>442</v>
      </c>
    </row>
    <row r="37">
      <c r="A37" t="s">
        <v>67</v>
      </c>
      <c r="B37" t="s">
        <v>344</v>
      </c>
      <c r="C37" t="s">
        <v>236</v>
      </c>
      <c r="D37" t="s">
        <v>345</v>
      </c>
      <c r="E37" t="s">
        <v>237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67</v>
      </c>
      <c r="B38" t="s">
        <v>346</v>
      </c>
      <c r="C38" t="s">
        <v>236</v>
      </c>
      <c r="D38" t="s">
        <v>347</v>
      </c>
      <c r="E38" t="s">
        <v>237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67</v>
      </c>
      <c r="B39" t="s">
        <v>348</v>
      </c>
      <c r="C39" t="s">
        <v>236</v>
      </c>
      <c r="D39" t="s">
        <v>349</v>
      </c>
      <c r="E39" t="s">
        <v>237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67</v>
      </c>
      <c r="B40" t="s">
        <v>350</v>
      </c>
      <c r="C40" t="s">
        <v>236</v>
      </c>
      <c r="D40" t="s">
        <v>351</v>
      </c>
      <c r="E40" t="s">
        <v>237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67</v>
      </c>
      <c r="B41" t="s">
        <v>352</v>
      </c>
      <c r="C41" t="s">
        <v>236</v>
      </c>
      <c r="D41" t="s">
        <v>353</v>
      </c>
      <c r="E41" t="s">
        <v>237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67</v>
      </c>
      <c r="B42" t="s">
        <v>354</v>
      </c>
      <c r="C42" t="s">
        <v>236</v>
      </c>
      <c r="D42" t="s">
        <v>355</v>
      </c>
      <c r="E42" t="s">
        <v>237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67</v>
      </c>
      <c r="B43" t="s">
        <v>356</v>
      </c>
      <c r="C43" t="s">
        <v>236</v>
      </c>
      <c r="D43" t="s">
        <v>357</v>
      </c>
      <c r="E43" t="s">
        <v>237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67</v>
      </c>
      <c r="B44" t="s">
        <v>358</v>
      </c>
      <c r="C44" t="s">
        <v>236</v>
      </c>
      <c r="D44" t="s">
        <v>359</v>
      </c>
      <c r="E44" t="s">
        <v>237</v>
      </c>
      <c r="F44" t="n">
        <v>409.904</v>
      </c>
      <c r="G44" t="n">
        <v>431.766</v>
      </c>
      <c r="H44" t="n">
        <v>440.875</v>
      </c>
      <c r="I44" t="n">
        <v>440.875</v>
      </c>
      <c r="J44" t="n">
        <v>435.605</v>
      </c>
      <c r="K44" t="n">
        <v>442.575</v>
      </c>
      <c r="L44" t="n">
        <v>496.221</v>
      </c>
      <c r="M44" t="n">
        <v>435.589</v>
      </c>
      <c r="N44" t="n">
        <v>416.787</v>
      </c>
      <c r="O44" t="n">
        <v>399.68</v>
      </c>
      <c r="P44" t="n">
        <v>428.228</v>
      </c>
      <c r="Q44" t="n">
        <v>454.536</v>
      </c>
      <c r="R44" t="n">
        <v>480.264</v>
      </c>
      <c r="S44" t="n">
        <v>448.154</v>
      </c>
      <c r="T44" t="n">
        <v>442.77</v>
      </c>
      <c r="U44" t="n">
        <v>516.136</v>
      </c>
      <c r="V44" t="n">
        <v>552.291</v>
      </c>
      <c r="W44" t="n">
        <v>581.106</v>
      </c>
      <c r="X44" t="n">
        <v>510.952</v>
      </c>
      <c r="Y44" t="n">
        <v>468.753</v>
      </c>
      <c r="Z44" t="n">
        <v>430.716</v>
      </c>
      <c r="AA44" t="n">
        <v>533.162</v>
      </c>
      <c r="AB44" t="n">
        <v>559.013</v>
      </c>
      <c r="AC44" t="n">
        <v>584.327</v>
      </c>
      <c r="AD44" t="n">
        <v>564.711</v>
      </c>
      <c r="AE44" t="n">
        <v>589</v>
      </c>
      <c r="AF44" t="n">
        <v>615</v>
      </c>
    </row>
    <row r="45">
      <c r="A45" t="s">
        <v>67</v>
      </c>
      <c r="B45" t="s">
        <v>360</v>
      </c>
      <c r="C45" t="s">
        <v>236</v>
      </c>
      <c r="D45" t="s">
        <v>361</v>
      </c>
      <c r="E45" t="s">
        <v>237</v>
      </c>
      <c r="F45" t="n">
        <v>409.904</v>
      </c>
      <c r="G45" t="n">
        <v>431.766</v>
      </c>
      <c r="H45" t="n">
        <v>440.875</v>
      </c>
      <c r="I45" t="n">
        <v>440.875</v>
      </c>
      <c r="J45" t="n">
        <v>435.605</v>
      </c>
      <c r="K45" t="n">
        <v>442.575</v>
      </c>
      <c r="L45" t="n">
        <v>496.221</v>
      </c>
      <c r="M45" t="n">
        <v>435.589</v>
      </c>
      <c r="N45" t="n">
        <v>416.787</v>
      </c>
      <c r="O45" t="n">
        <v>399.68</v>
      </c>
      <c r="P45" t="n">
        <v>428.228</v>
      </c>
      <c r="Q45" t="n">
        <v>454.536</v>
      </c>
      <c r="R45" t="n">
        <v>480.264</v>
      </c>
      <c r="S45" t="n">
        <v>448.154</v>
      </c>
      <c r="T45" t="n">
        <v>442.77</v>
      </c>
      <c r="U45" t="n">
        <v>516.136</v>
      </c>
      <c r="V45" t="n">
        <v>552.291</v>
      </c>
      <c r="W45" t="n">
        <v>581.106</v>
      </c>
      <c r="X45" t="n">
        <v>510.952</v>
      </c>
      <c r="Y45" t="n">
        <v>468.753</v>
      </c>
      <c r="Z45" t="n">
        <v>430.716</v>
      </c>
      <c r="AA45" t="n">
        <v>533.162</v>
      </c>
      <c r="AB45" t="n">
        <v>559.013</v>
      </c>
      <c r="AC45" t="n">
        <v>584.327</v>
      </c>
      <c r="AD45" t="n">
        <v>564.711</v>
      </c>
      <c r="AE45" t="n">
        <v>589</v>
      </c>
      <c r="AF45" t="n">
        <v>615</v>
      </c>
    </row>
    <row r="46">
      <c r="A46" t="s">
        <v>67</v>
      </c>
      <c r="B46" t="s">
        <v>362</v>
      </c>
      <c r="C46" t="s">
        <v>236</v>
      </c>
      <c r="D46" t="s">
        <v>363</v>
      </c>
      <c r="E46" t="s">
        <v>237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67</v>
      </c>
      <c r="B47" t="s">
        <v>364</v>
      </c>
      <c r="C47" t="s">
        <v>236</v>
      </c>
      <c r="D47" t="s">
        <v>365</v>
      </c>
      <c r="E47" t="s">
        <v>237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67</v>
      </c>
      <c r="B48" t="s">
        <v>366</v>
      </c>
      <c r="C48" t="s">
        <v>236</v>
      </c>
      <c r="D48" t="s">
        <v>367</v>
      </c>
      <c r="E48" t="s">
        <v>237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67</v>
      </c>
      <c r="B49" t="s">
        <v>368</v>
      </c>
      <c r="C49" t="s">
        <v>236</v>
      </c>
      <c r="D49" t="s">
        <v>369</v>
      </c>
      <c r="E49" t="s">
        <v>237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67</v>
      </c>
      <c r="B50" t="s">
        <v>370</v>
      </c>
      <c r="C50" t="s">
        <v>236</v>
      </c>
      <c r="D50" t="s">
        <v>371</v>
      </c>
      <c r="E50" t="s">
        <v>237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67</v>
      </c>
      <c r="B51" t="s">
        <v>372</v>
      </c>
      <c r="C51" t="s">
        <v>236</v>
      </c>
      <c r="D51" t="s">
        <v>373</v>
      </c>
      <c r="E51" t="s">
        <v>237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67</v>
      </c>
      <c r="B52" t="s">
        <v>374</v>
      </c>
      <c r="C52" t="s">
        <v>236</v>
      </c>
      <c r="D52" t="s">
        <v>375</v>
      </c>
      <c r="E52" t="s">
        <v>237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67</v>
      </c>
      <c r="B53" t="s">
        <v>376</v>
      </c>
      <c r="C53" t="s">
        <v>236</v>
      </c>
      <c r="D53" t="s">
        <v>377</v>
      </c>
      <c r="E53" t="s">
        <v>237</v>
      </c>
      <c r="F53" t="n">
        <v>39.45</v>
      </c>
      <c r="G53" t="n">
        <v>43.208</v>
      </c>
      <c r="H53" t="n">
        <v>45.086</v>
      </c>
      <c r="I53" t="n">
        <v>45.086</v>
      </c>
      <c r="J53" t="n">
        <v>45.086</v>
      </c>
      <c r="K53" t="n">
        <v>48.693</v>
      </c>
      <c r="L53" t="n">
        <v>46.954</v>
      </c>
      <c r="M53" t="n">
        <v>46.954</v>
      </c>
      <c r="N53" t="n">
        <v>46.954</v>
      </c>
      <c r="O53" t="n">
        <v>48.631</v>
      </c>
      <c r="P53" t="n">
        <v>50.252</v>
      </c>
      <c r="Q53" t="n">
        <v>54.963</v>
      </c>
      <c r="R53" t="n">
        <v>54.963</v>
      </c>
      <c r="S53" t="n">
        <v>53.478</v>
      </c>
      <c r="T53" t="n">
        <v>69.376</v>
      </c>
      <c r="U53" t="n">
        <v>80.477</v>
      </c>
      <c r="V53" t="n">
        <v>91.207</v>
      </c>
      <c r="W53" t="n">
        <v>88.638</v>
      </c>
      <c r="X53" t="n">
        <v>83.644</v>
      </c>
      <c r="Y53" t="n">
        <v>81.22</v>
      </c>
      <c r="Z53" t="n">
        <v>58.526</v>
      </c>
      <c r="AA53" t="n">
        <v>80.766</v>
      </c>
      <c r="AB53" t="n">
        <v>83.009</v>
      </c>
      <c r="AC53" t="n">
        <v>99.18</v>
      </c>
      <c r="AD53" t="n">
        <v>92.916</v>
      </c>
      <c r="AE53" t="n">
        <v>97</v>
      </c>
      <c r="AF53" t="n">
        <v>98</v>
      </c>
    </row>
    <row r="54">
      <c r="A54" t="s">
        <v>67</v>
      </c>
      <c r="B54" t="s">
        <v>378</v>
      </c>
      <c r="C54" t="s">
        <v>236</v>
      </c>
      <c r="D54" t="s">
        <v>379</v>
      </c>
      <c r="E54" t="s">
        <v>237</v>
      </c>
      <c r="F54" t="n">
        <v>39.45</v>
      </c>
      <c r="G54" t="n">
        <v>43.208</v>
      </c>
      <c r="H54" t="n">
        <v>45.086</v>
      </c>
      <c r="I54" t="n">
        <v>45.086</v>
      </c>
      <c r="J54" t="n">
        <v>45.086</v>
      </c>
      <c r="K54" t="n">
        <v>48.693</v>
      </c>
      <c r="L54" t="n">
        <v>46.954</v>
      </c>
      <c r="M54" t="n">
        <v>46.954</v>
      </c>
      <c r="N54" t="n">
        <v>46.954</v>
      </c>
      <c r="O54" t="n">
        <v>48.631</v>
      </c>
      <c r="P54" t="n">
        <v>50.252</v>
      </c>
      <c r="Q54" t="n">
        <v>54.963</v>
      </c>
      <c r="R54" t="n">
        <v>54.963</v>
      </c>
      <c r="S54" t="n">
        <v>53.478</v>
      </c>
      <c r="T54" t="n">
        <v>69.376</v>
      </c>
      <c r="U54" t="n">
        <v>80.477</v>
      </c>
      <c r="V54" t="n">
        <v>91.207</v>
      </c>
      <c r="W54" t="n">
        <v>88.638</v>
      </c>
      <c r="X54" t="n">
        <v>83.644</v>
      </c>
      <c r="Y54" t="n">
        <v>81.22</v>
      </c>
      <c r="Z54" t="n">
        <v>58.526</v>
      </c>
      <c r="AA54" t="n">
        <v>80.766</v>
      </c>
      <c r="AB54" t="n">
        <v>83.009</v>
      </c>
      <c r="AC54" t="n">
        <v>99.18</v>
      </c>
      <c r="AD54" t="n">
        <v>92.916</v>
      </c>
      <c r="AE54" t="n">
        <v>97</v>
      </c>
      <c r="AF54" t="n">
        <v>98</v>
      </c>
    </row>
    <row r="55">
      <c r="A55" t="s">
        <v>67</v>
      </c>
      <c r="B55" t="s">
        <v>380</v>
      </c>
      <c r="C55" t="s">
        <v>236</v>
      </c>
      <c r="D55" t="s">
        <v>381</v>
      </c>
      <c r="E55" t="s">
        <v>237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67</v>
      </c>
      <c r="B56" t="s">
        <v>382</v>
      </c>
      <c r="C56" t="s">
        <v>236</v>
      </c>
      <c r="D56" t="s">
        <v>383</v>
      </c>
      <c r="E56" t="s">
        <v>237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67</v>
      </c>
      <c r="B57" t="s">
        <v>384</v>
      </c>
      <c r="C57" t="s">
        <v>236</v>
      </c>
      <c r="D57" t="s">
        <v>385</v>
      </c>
      <c r="E57" t="s">
        <v>237</v>
      </c>
      <c r="F57" t="n">
        <v>412.704</v>
      </c>
      <c r="G57" t="n">
        <v>434.715</v>
      </c>
      <c r="H57" t="n">
        <v>443.886</v>
      </c>
      <c r="I57" t="n">
        <v>443.886</v>
      </c>
      <c r="J57" t="n">
        <v>438.58</v>
      </c>
      <c r="K57" t="n">
        <v>445.598</v>
      </c>
      <c r="L57" t="n">
        <v>499.61</v>
      </c>
      <c r="M57" t="n">
        <v>438.564</v>
      </c>
      <c r="N57" t="n">
        <v>419.633</v>
      </c>
      <c r="O57" t="n">
        <v>402.409</v>
      </c>
      <c r="P57" t="n">
        <v>431.153</v>
      </c>
      <c r="Q57" t="n">
        <v>457.64</v>
      </c>
      <c r="R57" t="n">
        <v>483.544</v>
      </c>
      <c r="S57" t="n">
        <v>451.214</v>
      </c>
      <c r="T57" t="n">
        <v>445.794</v>
      </c>
      <c r="U57" t="n">
        <v>519.661</v>
      </c>
      <c r="V57" t="n">
        <v>554.723</v>
      </c>
      <c r="W57" t="n">
        <v>583.665</v>
      </c>
      <c r="X57" t="n">
        <v>512.172</v>
      </c>
      <c r="Y57" t="n">
        <v>469.872</v>
      </c>
      <c r="Z57" t="n">
        <v>430.716</v>
      </c>
      <c r="AA57" t="n">
        <v>533.162</v>
      </c>
      <c r="AB57" t="n">
        <v>559.013</v>
      </c>
      <c r="AC57" t="n">
        <v>584.327</v>
      </c>
      <c r="AD57" t="n">
        <v>564.711</v>
      </c>
      <c r="AE57" t="n">
        <v>589</v>
      </c>
      <c r="AF57" t="n">
        <v>615</v>
      </c>
    </row>
    <row r="58">
      <c r="A58" t="s">
        <v>67</v>
      </c>
      <c r="B58" t="s">
        <v>386</v>
      </c>
      <c r="C58" t="s">
        <v>236</v>
      </c>
      <c r="D58" t="s">
        <v>387</v>
      </c>
      <c r="E58" t="s">
        <v>237</v>
      </c>
      <c r="F58" t="n">
        <v>412.704</v>
      </c>
      <c r="G58" t="n">
        <v>434.715</v>
      </c>
      <c r="H58" t="n">
        <v>443.886</v>
      </c>
      <c r="I58" t="n">
        <v>443.886</v>
      </c>
      <c r="J58" t="n">
        <v>438.58</v>
      </c>
      <c r="K58" t="n">
        <v>445.598</v>
      </c>
      <c r="L58" t="n">
        <v>499.61</v>
      </c>
      <c r="M58" t="n">
        <v>438.564</v>
      </c>
      <c r="N58" t="n">
        <v>419.633</v>
      </c>
      <c r="O58" t="n">
        <v>402.409</v>
      </c>
      <c r="P58" t="n">
        <v>431.153</v>
      </c>
      <c r="Q58" t="n">
        <v>457.64</v>
      </c>
      <c r="R58" t="n">
        <v>483.544</v>
      </c>
      <c r="S58" t="n">
        <v>451.214</v>
      </c>
      <c r="T58" t="n">
        <v>445.794</v>
      </c>
      <c r="U58" t="n">
        <v>519.661</v>
      </c>
      <c r="V58" t="n">
        <v>554.723</v>
      </c>
      <c r="W58" t="n">
        <v>583.665</v>
      </c>
      <c r="X58" t="n">
        <v>512.172</v>
      </c>
      <c r="Y58" t="n">
        <v>469.872</v>
      </c>
      <c r="Z58" t="n">
        <v>430.716</v>
      </c>
      <c r="AA58" t="n">
        <v>533.162</v>
      </c>
      <c r="AB58" t="n">
        <v>559.013</v>
      </c>
      <c r="AC58" t="n">
        <v>584.327</v>
      </c>
      <c r="AD58" t="n">
        <v>564.711</v>
      </c>
      <c r="AE58" t="n">
        <v>589</v>
      </c>
      <c r="AF58" t="n">
        <v>615</v>
      </c>
    </row>
    <row r="59">
      <c r="A59" t="s">
        <v>67</v>
      </c>
      <c r="B59" t="s">
        <v>388</v>
      </c>
      <c r="C59" t="s">
        <v>236</v>
      </c>
      <c r="D59" t="s">
        <v>389</v>
      </c>
      <c r="E59" t="s">
        <v>237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69</v>
      </c>
      <c r="B2" t="s">
        <v>197</v>
      </c>
      <c r="C2" t="s">
        <v>236</v>
      </c>
      <c r="D2" t="s">
        <v>199</v>
      </c>
      <c r="E2" t="s">
        <v>237</v>
      </c>
      <c r="F2" t="n">
        <v>1326.98221336366</v>
      </c>
      <c r="G2" t="n">
        <v>1326.98221336366</v>
      </c>
      <c r="H2" t="n">
        <v>1682.93237789254</v>
      </c>
      <c r="I2" t="n">
        <v>1826.82098019349</v>
      </c>
      <c r="J2" t="n">
        <v>1946.6835425303</v>
      </c>
      <c r="K2" t="n">
        <v>1883.79293972879</v>
      </c>
      <c r="L2" t="n">
        <v>1972.8136426733</v>
      </c>
      <c r="M2" t="n">
        <v>2036.45279243695</v>
      </c>
      <c r="N2" t="n">
        <v>1994.69367844303</v>
      </c>
      <c r="O2" t="n">
        <v>1896.4124493178</v>
      </c>
      <c r="P2" t="n">
        <v>1955.76160166181</v>
      </c>
      <c r="Q2" t="n">
        <v>1957.10761790521</v>
      </c>
      <c r="R2" t="n">
        <v>2146.67382004031</v>
      </c>
      <c r="S2" t="n">
        <v>2060.55725400381</v>
      </c>
      <c r="T2" t="n">
        <v>1979.60679045366</v>
      </c>
      <c r="U2" t="n">
        <v>1866.55512684331</v>
      </c>
      <c r="V2" t="n">
        <v>1933.47855055673</v>
      </c>
      <c r="W2" t="n">
        <v>2118.35774570558</v>
      </c>
      <c r="X2" t="n">
        <v>2302.61252531584</v>
      </c>
      <c r="Y2" t="n">
        <v>2042.13089292213</v>
      </c>
      <c r="Z2" t="n">
        <v>1518.30451983463</v>
      </c>
      <c r="AA2" t="n">
        <v>1646.42199967263</v>
      </c>
      <c r="AB2" t="n">
        <v>1752.17594826553</v>
      </c>
      <c r="AC2" t="n">
        <v>1658.56503965298</v>
      </c>
      <c r="AD2" t="n">
        <v>1659.61943573668</v>
      </c>
      <c r="AE2" t="n">
        <v>1633</v>
      </c>
      <c r="AF2" t="n">
        <v>1536</v>
      </c>
    </row>
    <row r="3">
      <c r="A3" t="s">
        <v>69</v>
      </c>
      <c r="B3" t="s">
        <v>276</v>
      </c>
      <c r="C3" t="s">
        <v>236</v>
      </c>
      <c r="D3" t="s">
        <v>277</v>
      </c>
      <c r="E3" t="s">
        <v>237</v>
      </c>
      <c r="F3" t="n">
        <v>129.46785339801</v>
      </c>
      <c r="G3" t="n">
        <v>119.508787752009</v>
      </c>
      <c r="H3" t="n">
        <v>87.1711157720536</v>
      </c>
      <c r="I3" t="n">
        <v>125.913833892966</v>
      </c>
      <c r="J3" t="n">
        <v>158.760920995479</v>
      </c>
      <c r="K3" t="n">
        <v>173.687161430952</v>
      </c>
      <c r="L3" t="n">
        <v>194.900860537022</v>
      </c>
      <c r="M3" t="n">
        <v>168.914079132086</v>
      </c>
      <c r="N3" t="n">
        <v>235.963942604364</v>
      </c>
      <c r="O3" t="n">
        <v>153.889527785455</v>
      </c>
      <c r="P3" t="n">
        <v>181.869441928265</v>
      </c>
      <c r="Q3" t="n">
        <v>215.734786287321</v>
      </c>
      <c r="R3" t="n">
        <v>463.70580500838</v>
      </c>
      <c r="S3" t="n">
        <v>849.728936497315</v>
      </c>
      <c r="T3" t="n">
        <v>426.584567310393</v>
      </c>
      <c r="U3" t="n">
        <v>379.819948968879</v>
      </c>
      <c r="V3" t="n">
        <v>562.271223549096</v>
      </c>
      <c r="W3" t="n">
        <v>514.204299865972</v>
      </c>
      <c r="X3" t="n">
        <v>375.053876223595</v>
      </c>
      <c r="Y3" t="n">
        <v>336.36637036672</v>
      </c>
      <c r="Z3" t="n">
        <v>419.114646782814</v>
      </c>
      <c r="AA3" t="n">
        <v>301.676352440072</v>
      </c>
      <c r="AB3" t="n">
        <v>373.863193916803</v>
      </c>
      <c r="AC3" t="n">
        <v>403.602311614731</v>
      </c>
      <c r="AD3" t="n">
        <v>363.448</v>
      </c>
      <c r="AE3" t="n">
        <v>502</v>
      </c>
      <c r="AF3" t="n">
        <v>518</v>
      </c>
    </row>
    <row r="4">
      <c r="A4" t="s">
        <v>69</v>
      </c>
      <c r="B4" t="s">
        <v>278</v>
      </c>
      <c r="C4" t="s">
        <v>236</v>
      </c>
      <c r="D4" t="s">
        <v>279</v>
      </c>
      <c r="E4" t="s">
        <v>237</v>
      </c>
      <c r="F4" t="n">
        <v>6940.97993962286</v>
      </c>
      <c r="G4" t="n">
        <v>7615.14220957526</v>
      </c>
      <c r="H4" t="n">
        <v>7970.03430307048</v>
      </c>
      <c r="I4" t="n">
        <v>8809.92248321159</v>
      </c>
      <c r="J4" t="n">
        <v>8806.98633174243</v>
      </c>
      <c r="K4" t="n">
        <v>9319.80189286412</v>
      </c>
      <c r="L4" t="n">
        <v>10365.4660000733</v>
      </c>
      <c r="M4" t="n">
        <v>9185.13631455399</v>
      </c>
      <c r="N4" t="n">
        <v>9287.95500464228</v>
      </c>
      <c r="O4" t="n">
        <v>9154.72614187077</v>
      </c>
      <c r="P4" t="n">
        <v>9294.25963655744</v>
      </c>
      <c r="Q4" t="n">
        <v>9539.96846234649</v>
      </c>
      <c r="R4" t="n">
        <v>10736.7523605394</v>
      </c>
      <c r="S4" t="n">
        <v>10639.6772841371</v>
      </c>
      <c r="T4" t="n">
        <v>9129.75215848628</v>
      </c>
      <c r="U4" t="n">
        <v>8357.89636102831</v>
      </c>
      <c r="V4" t="n">
        <v>8113.36502946082</v>
      </c>
      <c r="W4" t="n">
        <v>7522.01189320275</v>
      </c>
      <c r="X4" t="n">
        <v>6828.6021774086</v>
      </c>
      <c r="Y4" t="n">
        <v>6729.21420077174</v>
      </c>
      <c r="Z4" t="n">
        <v>6952.30577771795</v>
      </c>
      <c r="AA4" t="n">
        <v>7016.02993700042</v>
      </c>
      <c r="AB4" t="n">
        <v>7765.68216914209</v>
      </c>
      <c r="AC4" t="n">
        <v>7704.03318529125</v>
      </c>
      <c r="AD4" t="n">
        <v>8100.22875297855</v>
      </c>
      <c r="AE4" t="n">
        <v>7641</v>
      </c>
      <c r="AF4" t="n">
        <v>9057</v>
      </c>
    </row>
    <row r="5">
      <c r="A5" t="s">
        <v>69</v>
      </c>
      <c r="B5" t="s">
        <v>280</v>
      </c>
      <c r="C5" t="s">
        <v>236</v>
      </c>
      <c r="D5" t="s">
        <v>281</v>
      </c>
      <c r="E5" t="s">
        <v>237</v>
      </c>
      <c r="F5" t="n">
        <v>437.97515556529</v>
      </c>
      <c r="G5" t="n">
        <v>455.7790236777</v>
      </c>
      <c r="H5" t="n">
        <v>420.17128745288</v>
      </c>
      <c r="I5" t="n">
        <v>461.364550928653</v>
      </c>
      <c r="J5" t="n">
        <v>448.318252573344</v>
      </c>
      <c r="K5" t="n">
        <v>465.010953467032</v>
      </c>
      <c r="L5" t="n">
        <v>527.171800717124</v>
      </c>
      <c r="M5" t="n">
        <v>573.166655813249</v>
      </c>
      <c r="N5" t="n">
        <v>543.560940120415</v>
      </c>
      <c r="O5" t="n">
        <v>436.980363626216</v>
      </c>
      <c r="P5" t="n">
        <v>530.534425215569</v>
      </c>
      <c r="Q5" t="n">
        <v>496.720143168862</v>
      </c>
      <c r="R5" t="n">
        <v>558.229880523885</v>
      </c>
      <c r="S5" t="n">
        <v>551.422199054082</v>
      </c>
      <c r="T5" t="n">
        <v>470.265302822332</v>
      </c>
      <c r="U5" t="n">
        <v>413.432292291671</v>
      </c>
      <c r="V5" t="n">
        <v>447.320185102463</v>
      </c>
      <c r="W5" t="n">
        <v>494.813439323219</v>
      </c>
      <c r="X5" t="n">
        <v>503.437638701401</v>
      </c>
      <c r="Y5" t="n">
        <v>576.275424726285</v>
      </c>
      <c r="Z5" t="n">
        <v>506.780243636844</v>
      </c>
      <c r="AA5" t="n">
        <v>599.689954970266</v>
      </c>
      <c r="AB5" t="n">
        <v>661.546086689227</v>
      </c>
      <c r="AC5" t="n">
        <v>494.604205878936</v>
      </c>
      <c r="AD5" t="n">
        <v>461.97052631579</v>
      </c>
      <c r="AE5" t="n">
        <v>476</v>
      </c>
      <c r="AF5" t="n">
        <v>549</v>
      </c>
    </row>
    <row r="6">
      <c r="A6" t="s">
        <v>69</v>
      </c>
      <c r="B6" t="s">
        <v>282</v>
      </c>
      <c r="C6" t="s">
        <v>236</v>
      </c>
      <c r="D6" t="s">
        <v>283</v>
      </c>
      <c r="E6" t="s">
        <v>237</v>
      </c>
      <c r="F6" t="n">
        <v>69.8674023327793</v>
      </c>
      <c r="G6" t="n">
        <v>47.636865226895</v>
      </c>
      <c r="H6" t="n">
        <v>68.8088053277372</v>
      </c>
      <c r="I6" t="n">
        <v>69.8513629842181</v>
      </c>
      <c r="J6" t="n">
        <v>55.034407199687</v>
      </c>
      <c r="K6" t="n">
        <v>58.2094691535151</v>
      </c>
      <c r="L6" t="n">
        <v>70.6829268292683</v>
      </c>
      <c r="M6" t="n">
        <v>58.390243902439</v>
      </c>
      <c r="N6" t="n">
        <v>49.1707317073171</v>
      </c>
      <c r="O6" t="n">
        <v>43.0243902439024</v>
      </c>
      <c r="P6" t="n">
        <v>46.0975609756098</v>
      </c>
      <c r="Q6" t="n">
        <v>54.2926829268293</v>
      </c>
      <c r="R6" t="n">
        <v>53.2682926829268</v>
      </c>
      <c r="S6" t="n">
        <v>42</v>
      </c>
      <c r="T6" t="n">
        <v>24</v>
      </c>
      <c r="U6" t="n">
        <v>21</v>
      </c>
      <c r="V6" t="n">
        <v>27</v>
      </c>
      <c r="W6" t="n">
        <v>34</v>
      </c>
      <c r="X6" t="n">
        <v>18</v>
      </c>
      <c r="Y6" t="n">
        <v>26</v>
      </c>
      <c r="Z6" t="n">
        <v>37</v>
      </c>
      <c r="AA6" t="n">
        <v>46</v>
      </c>
      <c r="AB6" t="n">
        <v>40</v>
      </c>
      <c r="AC6" t="n">
        <v>51</v>
      </c>
      <c r="AD6" t="n">
        <v>44</v>
      </c>
      <c r="AE6" t="n">
        <v>45</v>
      </c>
      <c r="AF6" t="n">
        <v>45</v>
      </c>
    </row>
    <row r="7">
      <c r="A7" t="s">
        <v>69</v>
      </c>
      <c r="B7" t="s">
        <v>284</v>
      </c>
      <c r="C7" t="s">
        <v>236</v>
      </c>
      <c r="D7" t="s">
        <v>285</v>
      </c>
      <c r="E7" t="s">
        <v>237</v>
      </c>
      <c r="F7" t="n">
        <v>1449.11692317103</v>
      </c>
      <c r="G7" t="n">
        <v>2151.48855522419</v>
      </c>
      <c r="H7" t="n">
        <v>1642.81788104684</v>
      </c>
      <c r="I7" t="n">
        <v>1867.06376073725</v>
      </c>
      <c r="J7" t="n">
        <v>1494.64083695864</v>
      </c>
      <c r="K7" t="n">
        <v>1534.26677464106</v>
      </c>
      <c r="L7" t="n">
        <v>2300.18055403262</v>
      </c>
      <c r="M7" t="n">
        <v>1315.25316266884</v>
      </c>
      <c r="N7" t="n">
        <v>1545.15021962107</v>
      </c>
      <c r="O7" t="n">
        <v>1252.39770159538</v>
      </c>
      <c r="P7" t="n">
        <v>1347.34915881806</v>
      </c>
      <c r="Q7" t="n">
        <v>1355.6223554073</v>
      </c>
      <c r="R7" t="n">
        <v>1331.01728240509</v>
      </c>
      <c r="S7" t="n">
        <v>1379.37604180043</v>
      </c>
      <c r="T7" t="n">
        <v>641.30860018454</v>
      </c>
      <c r="U7" t="n">
        <v>669.288905602713</v>
      </c>
      <c r="V7" t="n">
        <v>734.530513207684</v>
      </c>
      <c r="W7" t="n">
        <v>774.474770723509</v>
      </c>
      <c r="X7" t="n">
        <v>787.50940922096</v>
      </c>
      <c r="Y7" t="n">
        <v>601.078610303345</v>
      </c>
      <c r="Z7" t="n">
        <v>734.296387409583</v>
      </c>
      <c r="AA7" t="n">
        <v>1295.0702855754</v>
      </c>
      <c r="AB7" t="n">
        <v>1484.59276639132</v>
      </c>
      <c r="AC7" t="n">
        <v>974.06824967869</v>
      </c>
      <c r="AD7" t="n">
        <v>969.953917050691</v>
      </c>
      <c r="AE7" t="n">
        <v>877</v>
      </c>
      <c r="AF7" t="n">
        <v>1290</v>
      </c>
    </row>
    <row r="8">
      <c r="A8" t="s">
        <v>69</v>
      </c>
      <c r="B8" t="s">
        <v>286</v>
      </c>
      <c r="C8" t="s">
        <v>236</v>
      </c>
      <c r="D8" t="s">
        <v>287</v>
      </c>
      <c r="E8" t="s">
        <v>237</v>
      </c>
      <c r="F8" t="n">
        <v>112.680763860985</v>
      </c>
      <c r="G8" t="n">
        <v>111.254425077935</v>
      </c>
      <c r="H8" t="n">
        <v>251.713136738827</v>
      </c>
      <c r="I8" t="n">
        <v>114.912518945986</v>
      </c>
      <c r="J8" t="n">
        <v>164.933262487181</v>
      </c>
      <c r="K8" t="n">
        <v>118.001033324162</v>
      </c>
      <c r="L8" t="n">
        <v>202.287485698563</v>
      </c>
      <c r="M8" t="n">
        <v>80.658934170946</v>
      </c>
      <c r="N8" t="n">
        <v>160.057572495471</v>
      </c>
      <c r="O8" t="n">
        <v>123.508992949261</v>
      </c>
      <c r="P8" t="n">
        <v>303.832122655182</v>
      </c>
      <c r="Q8" t="n">
        <v>324.410393910712</v>
      </c>
      <c r="R8" t="n">
        <v>995.892201895018</v>
      </c>
      <c r="S8" t="n">
        <v>200.350078263586</v>
      </c>
      <c r="T8" t="n">
        <v>264.097830438363</v>
      </c>
      <c r="U8" t="n">
        <v>242.281053141281</v>
      </c>
      <c r="V8" t="n">
        <v>135.771024948737</v>
      </c>
      <c r="W8" t="n">
        <v>201.945137948962</v>
      </c>
      <c r="X8" t="n">
        <v>201.945137948962</v>
      </c>
      <c r="Y8" t="n">
        <v>211.822889261683</v>
      </c>
      <c r="Z8" t="n">
        <v>398.402636279746</v>
      </c>
      <c r="AA8" t="n">
        <v>106.676115725178</v>
      </c>
      <c r="AB8" t="n">
        <v>533.380578625889</v>
      </c>
      <c r="AC8" t="n">
        <v>287.533818938606</v>
      </c>
      <c r="AD8" t="n">
        <v>194.477419354839</v>
      </c>
      <c r="AE8" t="n">
        <v>157</v>
      </c>
      <c r="AF8" t="n">
        <v>663</v>
      </c>
    </row>
    <row r="9">
      <c r="A9" t="s">
        <v>69</v>
      </c>
      <c r="B9" t="s">
        <v>288</v>
      </c>
      <c r="C9" t="s">
        <v>236</v>
      </c>
      <c r="D9" t="s">
        <v>289</v>
      </c>
      <c r="E9" t="s">
        <v>237</v>
      </c>
      <c r="F9" t="n">
        <v>568.879764456471</v>
      </c>
      <c r="G9" t="n">
        <v>338.935373683178</v>
      </c>
      <c r="H9" t="n">
        <v>486.241901476252</v>
      </c>
      <c r="I9" t="n">
        <v>455.287509870336</v>
      </c>
      <c r="J9" t="n">
        <v>462.960894868151</v>
      </c>
      <c r="K9" t="n">
        <v>353.278699389746</v>
      </c>
      <c r="L9" t="n">
        <v>404.280201766435</v>
      </c>
      <c r="M9" t="n">
        <v>542.682433001791</v>
      </c>
      <c r="N9" t="n">
        <v>384.701546950158</v>
      </c>
      <c r="O9" t="n">
        <v>437.598009655805</v>
      </c>
      <c r="P9" t="n">
        <v>341.539909975263</v>
      </c>
      <c r="Q9" t="n">
        <v>406.374604750228</v>
      </c>
      <c r="R9" t="n">
        <v>552.486822188512</v>
      </c>
      <c r="S9" t="n">
        <v>504.642602535074</v>
      </c>
      <c r="T9" t="n">
        <v>551.021134934358</v>
      </c>
      <c r="U9" t="n">
        <v>311.113324694548</v>
      </c>
      <c r="V9" t="n">
        <v>353.036396816509</v>
      </c>
      <c r="W9" t="n">
        <v>369.280402804998</v>
      </c>
      <c r="X9" t="n">
        <v>446.522435483408</v>
      </c>
      <c r="Y9" t="n">
        <v>312.983015525753</v>
      </c>
      <c r="Z9" t="n">
        <v>446.969055617045</v>
      </c>
      <c r="AA9" t="n">
        <v>492.599307234563</v>
      </c>
      <c r="AB9" t="n">
        <v>713.597738572501</v>
      </c>
      <c r="AC9" t="n">
        <v>553.423282144716</v>
      </c>
      <c r="AD9" t="n">
        <v>485.137168141593</v>
      </c>
      <c r="AE9" t="n">
        <v>454</v>
      </c>
      <c r="AF9" t="n">
        <v>577</v>
      </c>
    </row>
    <row r="10">
      <c r="A10" t="s">
        <v>69</v>
      </c>
      <c r="B10" t="s">
        <v>290</v>
      </c>
      <c r="C10" t="s">
        <v>236</v>
      </c>
      <c r="D10" t="s">
        <v>291</v>
      </c>
      <c r="E10" t="s">
        <v>237</v>
      </c>
      <c r="F10" t="n">
        <v>809.40732315387</v>
      </c>
      <c r="G10" t="n">
        <v>532.110369851155</v>
      </c>
      <c r="H10" t="n">
        <v>699.219411622593</v>
      </c>
      <c r="I10" t="n">
        <v>694.876433910651</v>
      </c>
      <c r="J10" t="n">
        <v>690.587073207499</v>
      </c>
      <c r="K10" t="n">
        <v>606.750370904531</v>
      </c>
      <c r="L10" t="n">
        <v>655.014604953755</v>
      </c>
      <c r="M10" t="n">
        <v>900.97927293639</v>
      </c>
      <c r="N10" t="n">
        <v>644.121146879963</v>
      </c>
      <c r="O10" t="n">
        <v>668.895037144577</v>
      </c>
      <c r="P10" t="n">
        <v>544.836110561357</v>
      </c>
      <c r="Q10" t="n">
        <v>629.422538685038</v>
      </c>
      <c r="R10" t="n">
        <v>833.526546375138</v>
      </c>
      <c r="S10" t="n">
        <v>777.715453022508</v>
      </c>
      <c r="T10" t="n">
        <v>826.687040769053</v>
      </c>
      <c r="U10" t="n">
        <v>553.800056437521</v>
      </c>
      <c r="V10" t="n">
        <v>584.693861238788</v>
      </c>
      <c r="W10" t="n">
        <v>687.743354024168</v>
      </c>
      <c r="X10" t="n">
        <v>821.592139696593</v>
      </c>
      <c r="Y10" t="n">
        <v>644.848067923532</v>
      </c>
      <c r="Z10" t="n">
        <v>755.881510082551</v>
      </c>
      <c r="AA10" t="n">
        <v>808.74035694147</v>
      </c>
      <c r="AB10" t="n">
        <v>1051.78150047829</v>
      </c>
      <c r="AC10" t="n">
        <v>868.319117837871</v>
      </c>
      <c r="AD10" t="n">
        <v>738.950953678474</v>
      </c>
      <c r="AE10" t="n">
        <v>743</v>
      </c>
      <c r="AF10" t="n">
        <v>990</v>
      </c>
    </row>
    <row r="11">
      <c r="A11" t="s">
        <v>69</v>
      </c>
      <c r="B11" t="s">
        <v>292</v>
      </c>
      <c r="C11" t="s">
        <v>236</v>
      </c>
      <c r="D11" t="s">
        <v>293</v>
      </c>
      <c r="E11" t="s">
        <v>237</v>
      </c>
      <c r="F11" t="n">
        <v>212.608745292419</v>
      </c>
      <c r="G11" t="n">
        <v>189.829236868232</v>
      </c>
      <c r="H11" t="n">
        <v>191.672239167923</v>
      </c>
      <c r="I11" t="n">
        <v>229.645041267229</v>
      </c>
      <c r="J11" t="n">
        <v>213.746538410267</v>
      </c>
      <c r="K11" t="n">
        <v>260.666510256423</v>
      </c>
      <c r="L11" t="n">
        <v>250.640875246561</v>
      </c>
      <c r="M11" t="n">
        <v>362.391583955218</v>
      </c>
      <c r="N11" t="n">
        <v>263.275937061483</v>
      </c>
      <c r="O11" t="n">
        <v>225.448934610121</v>
      </c>
      <c r="P11" t="n">
        <v>202.025668676602</v>
      </c>
      <c r="Q11" t="n">
        <v>218.97887164247</v>
      </c>
      <c r="R11" t="n">
        <v>272.690670347227</v>
      </c>
      <c r="S11" t="n">
        <v>267.290855092827</v>
      </c>
      <c r="T11" t="n">
        <v>267.290855092827</v>
      </c>
      <c r="U11" t="n">
        <v>243.994863135195</v>
      </c>
      <c r="V11" t="n">
        <v>230.708014152585</v>
      </c>
      <c r="W11" t="n">
        <v>321.343305426815</v>
      </c>
      <c r="X11" t="n">
        <v>378.117741014592</v>
      </c>
      <c r="Y11" t="n">
        <v>336.848253057247</v>
      </c>
      <c r="Z11" t="n">
        <v>310.342161013398</v>
      </c>
      <c r="AA11" t="n">
        <v>316.89868554185</v>
      </c>
      <c r="AB11" t="n">
        <v>336.234876524065</v>
      </c>
      <c r="AC11" t="n">
        <v>314.818642350557</v>
      </c>
      <c r="AD11" t="n">
        <v>253.131205673759</v>
      </c>
      <c r="AE11" t="n">
        <v>289</v>
      </c>
      <c r="AF11" t="n">
        <v>413</v>
      </c>
    </row>
    <row r="12">
      <c r="A12" t="s">
        <v>69</v>
      </c>
      <c r="B12" t="s">
        <v>294</v>
      </c>
      <c r="C12" t="s">
        <v>236</v>
      </c>
      <c r="D12" t="s">
        <v>295</v>
      </c>
      <c r="E12" t="s">
        <v>237</v>
      </c>
      <c r="F12" t="n">
        <v>264.432150088434</v>
      </c>
      <c r="G12" t="n">
        <v>233.739132667455</v>
      </c>
      <c r="H12" t="n">
        <v>290.403164829262</v>
      </c>
      <c r="I12" t="n">
        <v>401.646312646923</v>
      </c>
      <c r="J12" t="n">
        <v>412.154501059197</v>
      </c>
      <c r="K12" t="n">
        <v>380.718988266547</v>
      </c>
      <c r="L12" t="n">
        <v>354.103375105055</v>
      </c>
      <c r="M12" t="n">
        <v>336.969340825779</v>
      </c>
      <c r="N12" t="n">
        <v>356.322309724556</v>
      </c>
      <c r="O12" t="n">
        <v>347.215030242779</v>
      </c>
      <c r="P12" t="n">
        <v>372.096889087538</v>
      </c>
      <c r="Q12" t="n">
        <v>406.632827895064</v>
      </c>
      <c r="R12" t="n">
        <v>354.698743897597</v>
      </c>
      <c r="S12" t="n">
        <v>374.526623991251</v>
      </c>
      <c r="T12" t="n">
        <v>328.381509860524</v>
      </c>
      <c r="U12" t="n">
        <v>256.715186861647</v>
      </c>
      <c r="V12" t="n">
        <v>311.725584046286</v>
      </c>
      <c r="W12" t="n">
        <v>273.424829692476</v>
      </c>
      <c r="X12" t="n">
        <v>257.710759020495</v>
      </c>
      <c r="Y12" t="n">
        <v>268.144392988936</v>
      </c>
      <c r="Z12" t="n">
        <v>351.613464736464</v>
      </c>
      <c r="AA12" t="n">
        <v>369.245998366317</v>
      </c>
      <c r="AB12" t="n">
        <v>372.348905915613</v>
      </c>
      <c r="AC12" t="n">
        <v>444.750082065871</v>
      </c>
      <c r="AD12" t="n">
        <v>448.858627858628</v>
      </c>
      <c r="AE12" t="n">
        <v>483</v>
      </c>
      <c r="AF12" t="n">
        <v>440</v>
      </c>
    </row>
    <row r="13">
      <c r="A13" t="s">
        <v>69</v>
      </c>
      <c r="B13" t="s">
        <v>296</v>
      </c>
      <c r="C13" t="s">
        <v>236</v>
      </c>
      <c r="D13" t="s">
        <v>297</v>
      </c>
      <c r="E13" t="s">
        <v>237</v>
      </c>
      <c r="F13" t="n">
        <v>651.703875362564</v>
      </c>
      <c r="G13" t="n">
        <v>667.135843267324</v>
      </c>
      <c r="H13" t="n">
        <v>819.725424440169</v>
      </c>
      <c r="I13" t="n">
        <v>747.017303817436</v>
      </c>
      <c r="J13" t="n">
        <v>550.925261565359</v>
      </c>
      <c r="K13" t="n">
        <v>683.98771880784</v>
      </c>
      <c r="L13" t="n">
        <v>678.191212716248</v>
      </c>
      <c r="M13" t="n">
        <v>1003.53969989769</v>
      </c>
      <c r="N13" t="n">
        <v>713.525933413496</v>
      </c>
      <c r="O13" t="n">
        <v>950.596948567089</v>
      </c>
      <c r="P13" t="n">
        <v>608.886585873491</v>
      </c>
      <c r="Q13" t="n">
        <v>583.894972274206</v>
      </c>
      <c r="R13" t="n">
        <v>743.343214702932</v>
      </c>
      <c r="S13" t="n">
        <v>879.401570965522</v>
      </c>
      <c r="T13" t="n">
        <v>861.19228143274</v>
      </c>
      <c r="U13" t="n">
        <v>674.58274597907</v>
      </c>
      <c r="V13" t="n">
        <v>650.645938863684</v>
      </c>
      <c r="W13" t="n">
        <v>962.011157131783</v>
      </c>
      <c r="X13" t="n">
        <v>443.114548306872</v>
      </c>
      <c r="Y13" t="n">
        <v>559.888264566565</v>
      </c>
      <c r="Z13" t="n">
        <v>597.35290680522</v>
      </c>
      <c r="AA13" t="n">
        <v>532.130665680907</v>
      </c>
      <c r="AB13" t="n">
        <v>613.600283101045</v>
      </c>
      <c r="AC13" t="n">
        <v>715.182938664596</v>
      </c>
      <c r="AD13" t="n">
        <v>782.422360248447</v>
      </c>
      <c r="AE13" t="n">
        <v>646</v>
      </c>
      <c r="AF13" t="n">
        <v>647</v>
      </c>
    </row>
    <row r="14">
      <c r="A14" t="s">
        <v>69</v>
      </c>
      <c r="B14" t="s">
        <v>298</v>
      </c>
      <c r="C14" t="s">
        <v>236</v>
      </c>
      <c r="D14" t="s">
        <v>299</v>
      </c>
      <c r="E14" t="s">
        <v>237</v>
      </c>
      <c r="F14" t="n">
        <v>1479.28558307547</v>
      </c>
      <c r="G14" t="n">
        <v>1652.63936234212</v>
      </c>
      <c r="H14" t="n">
        <v>1971.5368556431</v>
      </c>
      <c r="I14" t="n">
        <v>2614.62902663572</v>
      </c>
      <c r="J14" t="n">
        <v>3520.72397981707</v>
      </c>
      <c r="K14" t="n">
        <v>4022.42273057876</v>
      </c>
      <c r="L14" t="n">
        <v>3914.21127418656</v>
      </c>
      <c r="M14" t="n">
        <v>3384.95665975901</v>
      </c>
      <c r="N14" t="n">
        <v>3773.96002010203</v>
      </c>
      <c r="O14" t="n">
        <v>4066.03839232989</v>
      </c>
      <c r="P14" t="n">
        <v>4237.73859382616</v>
      </c>
      <c r="Q14" t="n">
        <v>4277.58301310995</v>
      </c>
      <c r="R14" t="n">
        <v>4251.24663033319</v>
      </c>
      <c r="S14" t="n">
        <v>4748.77596956343</v>
      </c>
      <c r="T14" t="n">
        <v>4145.83722282771</v>
      </c>
      <c r="U14" t="n">
        <v>4162.8532653723</v>
      </c>
      <c r="V14" t="n">
        <v>3758.72747586451</v>
      </c>
      <c r="W14" t="n">
        <v>2445.60456839983</v>
      </c>
      <c r="X14" t="n">
        <v>2327.1050392434</v>
      </c>
      <c r="Y14" t="n">
        <v>2295.13628219079</v>
      </c>
      <c r="Z14" t="n">
        <v>1913.88440807272</v>
      </c>
      <c r="AA14" t="n">
        <v>1552.00193136341</v>
      </c>
      <c r="AB14" t="n">
        <v>1571.0448998464</v>
      </c>
      <c r="AC14" t="n">
        <v>1839.55458447162</v>
      </c>
      <c r="AD14" t="n">
        <v>2527.68037135279</v>
      </c>
      <c r="AE14" t="n">
        <v>2299</v>
      </c>
      <c r="AF14" t="n">
        <v>2449</v>
      </c>
    </row>
    <row r="15">
      <c r="A15" t="s">
        <v>69</v>
      </c>
      <c r="B15" t="s">
        <v>300</v>
      </c>
      <c r="C15" t="s">
        <v>236</v>
      </c>
      <c r="D15" t="s">
        <v>301</v>
      </c>
      <c r="E15" t="s">
        <v>237</v>
      </c>
      <c r="F15" t="n">
        <v>1757.27299139187</v>
      </c>
      <c r="G15" t="n">
        <v>1925.26149432836</v>
      </c>
      <c r="H15" t="n">
        <v>2249.51606179419</v>
      </c>
      <c r="I15" t="n">
        <v>2916.77605118491</v>
      </c>
      <c r="J15" t="n">
        <v>3772.05802508134</v>
      </c>
      <c r="K15" t="n">
        <v>4260.35032606274</v>
      </c>
      <c r="L15" t="n">
        <v>4165.04421594281</v>
      </c>
      <c r="M15" t="n">
        <v>3602.20040297757</v>
      </c>
      <c r="N15" t="n">
        <v>4039.25494237165</v>
      </c>
      <c r="O15" t="n">
        <v>4313.82665295583</v>
      </c>
      <c r="P15" t="n">
        <v>4488.79099232247</v>
      </c>
      <c r="Q15" t="n">
        <v>4529.81681607834</v>
      </c>
      <c r="R15" t="n">
        <v>4579.44353713093</v>
      </c>
      <c r="S15" t="n">
        <v>5176.3540157552</v>
      </c>
      <c r="T15" t="n">
        <v>4545.55289270436</v>
      </c>
      <c r="U15" t="n">
        <v>4603.73596973097</v>
      </c>
      <c r="V15" t="n">
        <v>4160.01671476724</v>
      </c>
      <c r="W15" t="n">
        <v>2876.18933418213</v>
      </c>
      <c r="X15" t="n">
        <v>2655.63647444046</v>
      </c>
      <c r="Y15" t="n">
        <v>2705.12038390209</v>
      </c>
      <c r="Z15" t="n">
        <v>2359.36946666701</v>
      </c>
      <c r="AA15" t="n">
        <v>1961.66254062291</v>
      </c>
      <c r="AB15" t="n">
        <v>1625.55872170153</v>
      </c>
      <c r="AC15" t="n">
        <v>2202.13230066104</v>
      </c>
      <c r="AD15" t="n">
        <v>2927.42945021146</v>
      </c>
      <c r="AE15" t="n">
        <v>2642</v>
      </c>
      <c r="AF15" t="n">
        <v>2786</v>
      </c>
    </row>
    <row r="16">
      <c r="A16" t="s">
        <v>69</v>
      </c>
      <c r="B16" t="s">
        <v>302</v>
      </c>
      <c r="C16" t="s">
        <v>236</v>
      </c>
      <c r="D16" t="s">
        <v>303</v>
      </c>
      <c r="E16" t="s">
        <v>237</v>
      </c>
      <c r="F16" t="n">
        <v>251.186375158168</v>
      </c>
      <c r="G16" t="n">
        <v>249.645354451676</v>
      </c>
      <c r="H16" t="n">
        <v>258.778721077957</v>
      </c>
      <c r="I16" t="n">
        <v>287.531912308841</v>
      </c>
      <c r="J16" t="n">
        <v>254.413053299446</v>
      </c>
      <c r="K16" t="n">
        <v>248.426863810047</v>
      </c>
      <c r="L16" t="n">
        <v>258.716733908688</v>
      </c>
      <c r="M16" t="n">
        <v>224.028456736574</v>
      </c>
      <c r="N16" t="n">
        <v>270.81921035877</v>
      </c>
      <c r="O16" t="n">
        <v>256.787126920491</v>
      </c>
      <c r="P16" t="n">
        <v>260.906706496756</v>
      </c>
      <c r="Q16" t="n">
        <v>262.244689606996</v>
      </c>
      <c r="R16" t="n">
        <v>334.361979248919</v>
      </c>
      <c r="S16" t="n">
        <v>431.724088148988</v>
      </c>
      <c r="T16" t="n">
        <v>402.454658443972</v>
      </c>
      <c r="U16" t="n">
        <v>442.818842476701</v>
      </c>
      <c r="V16" t="n">
        <v>402.988576222183</v>
      </c>
      <c r="W16" t="n">
        <v>429.171449818539</v>
      </c>
      <c r="X16" t="n">
        <v>328.774015542223</v>
      </c>
      <c r="Y16" t="n">
        <v>408.804532483422</v>
      </c>
      <c r="Z16" t="n">
        <v>443.139821300927</v>
      </c>
      <c r="AA16" t="n">
        <v>407.094955453483</v>
      </c>
      <c r="AB16" t="n">
        <v>55.4653795347933</v>
      </c>
      <c r="AC16" t="n">
        <v>362.094741868651</v>
      </c>
      <c r="AD16" t="n">
        <v>399.660766961652</v>
      </c>
      <c r="AE16" t="n">
        <v>343</v>
      </c>
      <c r="AF16" t="n">
        <v>337</v>
      </c>
    </row>
    <row r="17">
      <c r="A17" t="s">
        <v>69</v>
      </c>
      <c r="B17" t="s">
        <v>304</v>
      </c>
      <c r="C17" t="s">
        <v>236</v>
      </c>
      <c r="D17" t="s">
        <v>305</v>
      </c>
      <c r="E17" t="s">
        <v>237</v>
      </c>
      <c r="F17" t="n">
        <v>578.01445653124</v>
      </c>
      <c r="G17" t="n">
        <v>597.335274019749</v>
      </c>
      <c r="H17" t="n">
        <v>640.343413749171</v>
      </c>
      <c r="I17" t="n">
        <v>630.903461703729</v>
      </c>
      <c r="J17" t="n">
        <v>593.791493368215</v>
      </c>
      <c r="K17" t="n">
        <v>610.713012609279</v>
      </c>
      <c r="L17" t="n">
        <v>643.88754662756</v>
      </c>
      <c r="M17" t="n">
        <v>572.018549395783</v>
      </c>
      <c r="N17" t="n">
        <v>649.434593674911</v>
      </c>
      <c r="O17" t="n">
        <v>498.799873916617</v>
      </c>
      <c r="P17" t="n">
        <v>555.450275109363</v>
      </c>
      <c r="Q17" t="n">
        <v>614.770207402595</v>
      </c>
      <c r="R17" t="n">
        <v>677.042189617945</v>
      </c>
      <c r="S17" t="n">
        <v>936.747304337805</v>
      </c>
      <c r="T17" t="n">
        <v>920.766051114194</v>
      </c>
      <c r="U17" t="n">
        <v>725.088259286797</v>
      </c>
      <c r="V17" t="n">
        <v>807.106439435631</v>
      </c>
      <c r="W17" t="n">
        <v>896.270278512451</v>
      </c>
      <c r="X17" t="n">
        <v>856.960178577695</v>
      </c>
      <c r="Y17" t="n">
        <v>939.465972407383</v>
      </c>
      <c r="Z17" t="n">
        <v>964.474904543228</v>
      </c>
      <c r="AA17" t="n">
        <v>946.236780653089</v>
      </c>
      <c r="AB17" t="n">
        <v>980.106553562372</v>
      </c>
      <c r="AC17" t="n">
        <v>1168.1441452962</v>
      </c>
      <c r="AD17" t="n">
        <v>1151.41155234657</v>
      </c>
      <c r="AE17" t="n">
        <v>1127</v>
      </c>
      <c r="AF17" t="n">
        <v>1074</v>
      </c>
    </row>
    <row r="18">
      <c r="A18" t="s">
        <v>69</v>
      </c>
      <c r="B18" t="s">
        <v>306</v>
      </c>
      <c r="C18" t="s">
        <v>236</v>
      </c>
      <c r="D18" t="s">
        <v>307</v>
      </c>
      <c r="E18" t="s">
        <v>237</v>
      </c>
      <c r="F18" t="n">
        <v>121.109036079272</v>
      </c>
      <c r="G18" t="n">
        <v>110.910380409439</v>
      </c>
      <c r="H18" t="n">
        <v>103.261388657064</v>
      </c>
      <c r="I18" t="n">
        <v>152.979835047502</v>
      </c>
      <c r="J18" t="n">
        <v>118.843838797233</v>
      </c>
      <c r="K18" t="n">
        <v>108.729469537894</v>
      </c>
      <c r="L18" t="n">
        <v>139.072577315911</v>
      </c>
      <c r="M18" t="n">
        <v>113.786654167563</v>
      </c>
      <c r="N18" t="n">
        <v>107.534640202313</v>
      </c>
      <c r="O18" t="n">
        <v>120.038668132814</v>
      </c>
      <c r="P18" t="n">
        <v>137.544307235516</v>
      </c>
      <c r="Q18" t="n">
        <v>170.70230987265</v>
      </c>
      <c r="R18" t="n">
        <v>131.961360114318</v>
      </c>
      <c r="S18" t="n">
        <v>149.956091038998</v>
      </c>
      <c r="T18" t="n">
        <v>161.580594220315</v>
      </c>
      <c r="U18" t="n">
        <v>127.443848962502</v>
      </c>
      <c r="V18" t="n">
        <v>161.580594220315</v>
      </c>
      <c r="W18" t="n">
        <v>188.324968436091</v>
      </c>
      <c r="X18" t="n">
        <v>197.03363749672</v>
      </c>
      <c r="Y18" t="n">
        <v>102.800158693941</v>
      </c>
      <c r="Z18" t="n">
        <v>123.14602343545</v>
      </c>
      <c r="AA18" t="n">
        <v>150.747718343396</v>
      </c>
      <c r="AB18" t="n">
        <v>252.293056394155</v>
      </c>
      <c r="AC18" t="n">
        <v>298.164521193093</v>
      </c>
      <c r="AD18" t="n">
        <v>187.771428571429</v>
      </c>
      <c r="AE18" t="n">
        <v>212</v>
      </c>
      <c r="AF18" t="n">
        <v>256</v>
      </c>
    </row>
    <row r="19">
      <c r="A19" t="s">
        <v>69</v>
      </c>
      <c r="B19" t="s">
        <v>308</v>
      </c>
      <c r="C19" t="s">
        <v>236</v>
      </c>
      <c r="D19" t="s">
        <v>309</v>
      </c>
      <c r="E19" t="s">
        <v>237</v>
      </c>
      <c r="F19" t="n">
        <v>278.280954982908</v>
      </c>
      <c r="G19" t="n">
        <v>279.631833405155</v>
      </c>
      <c r="H19" t="n">
        <v>362.18980326763</v>
      </c>
      <c r="I19" t="n">
        <v>384.498595497882</v>
      </c>
      <c r="J19" t="n">
        <v>403.787822696773</v>
      </c>
      <c r="K19" t="n">
        <v>437.116341395554</v>
      </c>
      <c r="L19" t="n">
        <v>413.387168576938</v>
      </c>
      <c r="M19" t="n">
        <v>413.387168576938</v>
      </c>
      <c r="N19" t="n">
        <v>361.418495955837</v>
      </c>
      <c r="O19" t="n">
        <v>324.230740744947</v>
      </c>
      <c r="P19" t="n">
        <v>320.829718988881</v>
      </c>
      <c r="Q19" t="n">
        <v>331.854795242795</v>
      </c>
      <c r="R19" t="n">
        <v>369.936493057542</v>
      </c>
      <c r="S19" t="n">
        <v>178.590031131227</v>
      </c>
      <c r="T19" t="n">
        <v>119.060020754151</v>
      </c>
      <c r="U19" t="n">
        <v>127.342456980527</v>
      </c>
      <c r="V19" t="n">
        <v>130.448370565418</v>
      </c>
      <c r="W19" t="n">
        <v>125.312607944732</v>
      </c>
      <c r="X19" t="n">
        <v>98.0267981503148</v>
      </c>
      <c r="Y19" t="n">
        <v>106.111482533846</v>
      </c>
      <c r="Z19" t="n">
        <v>129.354950136498</v>
      </c>
      <c r="AA19" t="n">
        <v>187.968911917098</v>
      </c>
      <c r="AB19" t="n">
        <v>146.756476683938</v>
      </c>
      <c r="AC19" t="n">
        <v>192.99481865285</v>
      </c>
      <c r="AD19" t="n">
        <v>194</v>
      </c>
      <c r="AE19" t="n">
        <v>233</v>
      </c>
      <c r="AF19" t="n">
        <v>317</v>
      </c>
    </row>
    <row r="20">
      <c r="A20" t="s">
        <v>69</v>
      </c>
      <c r="B20" t="s">
        <v>310</v>
      </c>
      <c r="C20" t="s">
        <v>236</v>
      </c>
      <c r="D20" t="s">
        <v>311</v>
      </c>
      <c r="E20" t="s">
        <v>237</v>
      </c>
      <c r="F20" t="n">
        <v>999.389363077481</v>
      </c>
      <c r="G20" t="n">
        <v>988.643240893853</v>
      </c>
      <c r="H20" t="n">
        <v>1217.38212737395</v>
      </c>
      <c r="I20" t="n">
        <v>992.332577772564</v>
      </c>
      <c r="J20" t="n">
        <v>867.53923844662</v>
      </c>
      <c r="K20" t="n">
        <v>1047.90392547762</v>
      </c>
      <c r="L20" t="n">
        <v>1172.3787011559</v>
      </c>
      <c r="M20" t="n">
        <v>1141.30360305297</v>
      </c>
      <c r="N20" t="n">
        <v>1014.64845598174</v>
      </c>
      <c r="O20" t="n">
        <v>1461.26125641387</v>
      </c>
      <c r="P20" t="n">
        <v>1334.37302406421</v>
      </c>
      <c r="Q20" t="n">
        <v>1294.62010378424</v>
      </c>
      <c r="R20" t="n">
        <v>1367.68282251266</v>
      </c>
      <c r="S20" t="n">
        <v>1771.82693583171</v>
      </c>
      <c r="T20" t="n">
        <v>1995.50105661417</v>
      </c>
      <c r="U20" t="n">
        <v>2740.5821342899</v>
      </c>
      <c r="V20" t="n">
        <v>2310.55016241235</v>
      </c>
      <c r="W20" t="n">
        <v>1917.09902525289</v>
      </c>
      <c r="X20" t="n">
        <v>2210.46675725627</v>
      </c>
      <c r="Y20" t="n">
        <v>2632.57127992618</v>
      </c>
      <c r="Z20" t="n">
        <v>2732.03337812275</v>
      </c>
      <c r="AA20" t="n">
        <v>3348.36834851401</v>
      </c>
      <c r="AB20" t="n">
        <v>3729.34578386958</v>
      </c>
      <c r="AC20" t="n">
        <v>3081.44215214879</v>
      </c>
      <c r="AD20" t="n">
        <v>2205.53535353535</v>
      </c>
      <c r="AE20" t="n">
        <v>2470</v>
      </c>
      <c r="AF20" t="n">
        <v>2702</v>
      </c>
    </row>
    <row r="21">
      <c r="A21" t="s">
        <v>69</v>
      </c>
      <c r="B21" t="s">
        <v>312</v>
      </c>
      <c r="C21" t="s">
        <v>236</v>
      </c>
      <c r="D21" t="s">
        <v>313</v>
      </c>
      <c r="E21" t="s">
        <v>237</v>
      </c>
      <c r="F21" t="n">
        <v>1444.93130998457</v>
      </c>
      <c r="G21" t="n">
        <v>1459.14374909917</v>
      </c>
      <c r="H21" t="n">
        <v>1729.18009227662</v>
      </c>
      <c r="I21" t="n">
        <v>1498.10580191858</v>
      </c>
      <c r="J21" t="n">
        <v>1401.10614567925</v>
      </c>
      <c r="K21" t="n">
        <v>1586.50196972791</v>
      </c>
      <c r="L21" t="n">
        <v>1629.06307714892</v>
      </c>
      <c r="M21" t="n">
        <v>1699.08420941234</v>
      </c>
      <c r="N21" t="n">
        <v>1603.90139834994</v>
      </c>
      <c r="O21" t="n">
        <v>1991.19517432945</v>
      </c>
      <c r="P21" t="n">
        <v>1910.39702076313</v>
      </c>
      <c r="Q21" t="n">
        <v>1966.15565514259</v>
      </c>
      <c r="R21" t="n">
        <v>2059.59925073205</v>
      </c>
      <c r="S21" t="n">
        <v>2471.76443729904</v>
      </c>
      <c r="T21" t="n">
        <v>2692.25046691726</v>
      </c>
      <c r="U21" t="n">
        <v>3511.93521279982</v>
      </c>
      <c r="V21" t="n">
        <v>2964.1703918498</v>
      </c>
      <c r="W21" t="n">
        <v>2552.91114900153</v>
      </c>
      <c r="X21" t="n">
        <v>2815.78940042655</v>
      </c>
      <c r="Y21" t="n">
        <v>3233.60939034709</v>
      </c>
      <c r="Z21" t="n">
        <v>3291.50278763521</v>
      </c>
      <c r="AA21" t="n">
        <v>4042.3801337168</v>
      </c>
      <c r="AB21" t="n">
        <v>4367.20483530427</v>
      </c>
      <c r="AC21" t="n">
        <v>3849.02675802564</v>
      </c>
      <c r="AD21" t="n">
        <v>2842.95053514608</v>
      </c>
      <c r="AE21" t="n">
        <v>3440</v>
      </c>
      <c r="AF21" t="n">
        <v>3739</v>
      </c>
    </row>
    <row r="22">
      <c r="A22" t="s">
        <v>69</v>
      </c>
      <c r="B22" t="s">
        <v>314</v>
      </c>
      <c r="C22" t="s">
        <v>236</v>
      </c>
      <c r="D22" t="s">
        <v>315</v>
      </c>
      <c r="E22" t="s">
        <v>237</v>
      </c>
      <c r="F22" t="n">
        <v>438.243366192041</v>
      </c>
      <c r="G22" t="n">
        <v>464.80357020368</v>
      </c>
      <c r="H22" t="n">
        <v>501.323850719684</v>
      </c>
      <c r="I22" t="n">
        <v>501.323850719684</v>
      </c>
      <c r="J22" t="n">
        <v>533.35732360912</v>
      </c>
      <c r="K22" t="n">
        <v>534.926021619735</v>
      </c>
      <c r="L22" t="n">
        <v>449.517665226668</v>
      </c>
      <c r="M22" t="n">
        <v>552.471711133421</v>
      </c>
      <c r="N22" t="n">
        <v>585.476514655678</v>
      </c>
      <c r="O22" t="n">
        <v>523.551114067096</v>
      </c>
      <c r="P22" t="n">
        <v>570.028236464698</v>
      </c>
      <c r="Q22" t="n">
        <v>665.032942542147</v>
      </c>
      <c r="R22" t="n">
        <v>685.262081478791</v>
      </c>
      <c r="S22" t="n">
        <v>694.896697738598</v>
      </c>
      <c r="T22" t="n">
        <v>693.770447012928</v>
      </c>
      <c r="U22" t="n">
        <v>772.117682436646</v>
      </c>
      <c r="V22" t="n">
        <v>654.202500390521</v>
      </c>
      <c r="W22" t="n">
        <v>634.60908107766</v>
      </c>
      <c r="X22" t="n">
        <v>606.287684070888</v>
      </c>
      <c r="Y22" t="n">
        <v>604.207794931709</v>
      </c>
      <c r="Z22" t="n">
        <v>563.858301777023</v>
      </c>
      <c r="AA22" t="n">
        <v>699.35105451457</v>
      </c>
      <c r="AB22" t="n">
        <v>644.991929201031</v>
      </c>
      <c r="AC22" t="n">
        <v>771.319966289768</v>
      </c>
      <c r="AD22" t="n">
        <v>639.093686354379</v>
      </c>
      <c r="AE22" t="n">
        <v>970</v>
      </c>
      <c r="AF22" t="n">
        <v>1037</v>
      </c>
    </row>
    <row r="23">
      <c r="A23" t="s">
        <v>69</v>
      </c>
      <c r="B23" t="s">
        <v>316</v>
      </c>
      <c r="C23" t="s">
        <v>236</v>
      </c>
      <c r="D23" t="s">
        <v>317</v>
      </c>
      <c r="E23" t="s">
        <v>237</v>
      </c>
      <c r="F23" t="n">
        <v>361.127158659339</v>
      </c>
      <c r="G23" t="n">
        <v>382.292120339007</v>
      </c>
      <c r="H23" t="n">
        <v>460.310920408193</v>
      </c>
      <c r="I23" t="n">
        <v>453.917713180301</v>
      </c>
      <c r="J23" t="n">
        <v>612.469252432012</v>
      </c>
      <c r="K23" t="n">
        <v>689.187739166711</v>
      </c>
      <c r="L23" t="n">
        <v>616.90403415465</v>
      </c>
      <c r="M23" t="n">
        <v>637.753673479957</v>
      </c>
      <c r="N23" t="n">
        <v>737.937200731598</v>
      </c>
      <c r="O23" t="n">
        <v>741.602451728609</v>
      </c>
      <c r="P23" t="n">
        <v>822.790955430924</v>
      </c>
      <c r="Q23" t="n">
        <v>887.558756587294</v>
      </c>
      <c r="R23" t="n">
        <v>976.314632246024</v>
      </c>
      <c r="S23" t="n">
        <v>1082.73755424441</v>
      </c>
      <c r="T23" t="n">
        <v>807.254798002867</v>
      </c>
      <c r="U23" t="n">
        <v>853.287408181056</v>
      </c>
      <c r="V23" t="n">
        <v>901.88523407746</v>
      </c>
      <c r="W23" t="n">
        <v>957.35173063819</v>
      </c>
      <c r="X23" t="n">
        <v>852.658249384634</v>
      </c>
      <c r="Y23" t="n">
        <v>861.206201759417</v>
      </c>
      <c r="Z23" t="n">
        <v>868.648724490671</v>
      </c>
      <c r="AA23" t="n">
        <v>991.096797702007</v>
      </c>
      <c r="AB23" t="n">
        <v>1132.0852778809</v>
      </c>
      <c r="AC23" t="n">
        <v>1226.51218923485</v>
      </c>
      <c r="AD23" t="n">
        <v>1344.44605358436</v>
      </c>
      <c r="AE23" t="n">
        <v>1396</v>
      </c>
      <c r="AF23" t="n">
        <v>1457</v>
      </c>
    </row>
    <row r="24">
      <c r="A24" t="s">
        <v>69</v>
      </c>
      <c r="B24" t="s">
        <v>318</v>
      </c>
      <c r="C24" t="s">
        <v>236</v>
      </c>
      <c r="D24" t="s">
        <v>319</v>
      </c>
      <c r="E24" t="s">
        <v>237</v>
      </c>
      <c r="F24" t="n">
        <v>933.540796247809</v>
      </c>
      <c r="G24" t="n">
        <v>1159.01463262969</v>
      </c>
      <c r="H24" t="n">
        <v>1415.99072764714</v>
      </c>
      <c r="I24" t="n">
        <v>1497.98283779582</v>
      </c>
      <c r="J24" t="n">
        <v>1589.74882699643</v>
      </c>
      <c r="K24" t="n">
        <v>1620.51815913185</v>
      </c>
      <c r="L24" t="n">
        <v>1536.99914631505</v>
      </c>
      <c r="M24" t="n">
        <v>1393.51346651665</v>
      </c>
      <c r="N24" t="n">
        <v>1648.7670287445</v>
      </c>
      <c r="O24" t="n">
        <v>1550.33317628215</v>
      </c>
      <c r="P24" t="n">
        <v>1449.40952637515</v>
      </c>
      <c r="Q24" t="n">
        <v>1100.87821406272</v>
      </c>
      <c r="R24" t="n">
        <v>1689.27863882038</v>
      </c>
      <c r="S24" t="n">
        <v>1748.49046739759</v>
      </c>
      <c r="T24" t="n">
        <v>1566.35604371034</v>
      </c>
      <c r="U24" t="n">
        <v>1504.75136318568</v>
      </c>
      <c r="V24" t="n">
        <v>1632.17449632688</v>
      </c>
      <c r="W24" t="n">
        <v>2059.54052043476</v>
      </c>
      <c r="X24" t="n">
        <v>1728.77919488314</v>
      </c>
      <c r="Y24" t="n">
        <v>1764.70470711937</v>
      </c>
      <c r="Z24" t="n">
        <v>1399.85471552476</v>
      </c>
      <c r="AA24" t="n">
        <v>1934.24792251595</v>
      </c>
      <c r="AB24" t="n">
        <v>1981.86343483172</v>
      </c>
      <c r="AC24" t="n">
        <v>2133.50997733863</v>
      </c>
      <c r="AD24" t="n">
        <v>1887.65227021041</v>
      </c>
      <c r="AE24" t="n">
        <v>1825</v>
      </c>
      <c r="AF24" t="n">
        <v>2029</v>
      </c>
    </row>
    <row r="25">
      <c r="A25" t="s">
        <v>69</v>
      </c>
      <c r="B25" t="s">
        <v>320</v>
      </c>
      <c r="C25" t="s">
        <v>236</v>
      </c>
      <c r="D25" t="s">
        <v>321</v>
      </c>
      <c r="E25" t="s">
        <v>237</v>
      </c>
      <c r="F25" t="n">
        <v>105.718220477648</v>
      </c>
      <c r="G25" t="n">
        <v>111.071041767656</v>
      </c>
      <c r="H25" t="n">
        <v>163.261049345229</v>
      </c>
      <c r="I25" t="n">
        <v>183.17093341172</v>
      </c>
      <c r="J25" t="n">
        <v>199.098840664913</v>
      </c>
      <c r="K25" t="n">
        <v>175.36520402936</v>
      </c>
      <c r="L25" t="n">
        <v>174.085166043745</v>
      </c>
      <c r="M25" t="n">
        <v>162.813464645229</v>
      </c>
      <c r="N25" t="n">
        <v>177.727675147082</v>
      </c>
      <c r="O25" t="n">
        <v>197.613289149553</v>
      </c>
      <c r="P25" t="n">
        <v>171.837642738741</v>
      </c>
      <c r="Q25" t="n">
        <v>206.685836021423</v>
      </c>
      <c r="R25" t="n">
        <v>161.805483056771</v>
      </c>
      <c r="S25" t="n">
        <v>216.888200693119</v>
      </c>
      <c r="T25" t="n">
        <v>186.388297470649</v>
      </c>
      <c r="U25" t="n">
        <v>230.712343820377</v>
      </c>
      <c r="V25" t="n">
        <v>219.176726629358</v>
      </c>
      <c r="W25" t="n">
        <v>220.306503570746</v>
      </c>
      <c r="X25" t="n">
        <v>162.21573397249</v>
      </c>
      <c r="Y25" t="n">
        <v>181.681622049189</v>
      </c>
      <c r="Z25" t="n">
        <v>161.134295746006</v>
      </c>
      <c r="AA25" t="n">
        <v>244.36922997242</v>
      </c>
      <c r="AB25" t="n">
        <v>180.620735197006</v>
      </c>
      <c r="AC25" t="n">
        <v>247.828450619148</v>
      </c>
      <c r="AD25" t="n">
        <v>266.415584415584</v>
      </c>
      <c r="AE25" t="n">
        <v>234</v>
      </c>
      <c r="AF25" t="n">
        <v>263</v>
      </c>
    </row>
    <row r="26">
      <c r="A26" t="s">
        <v>69</v>
      </c>
      <c r="B26" t="s">
        <v>322</v>
      </c>
      <c r="C26" t="s">
        <v>236</v>
      </c>
      <c r="D26" t="s">
        <v>323</v>
      </c>
      <c r="E26" t="s">
        <v>237</v>
      </c>
      <c r="F26" t="n">
        <v>421.918973408623</v>
      </c>
      <c r="G26" t="n">
        <v>700.519438389555</v>
      </c>
      <c r="H26" t="n">
        <v>798.884596721295</v>
      </c>
      <c r="I26" t="n">
        <v>821.295550754731</v>
      </c>
      <c r="J26" t="n">
        <v>827.834528069657</v>
      </c>
      <c r="K26" t="n">
        <v>871.951101665845</v>
      </c>
      <c r="L26" t="n">
        <v>841.797173077978</v>
      </c>
      <c r="M26" t="n">
        <v>700.884982533629</v>
      </c>
      <c r="N26" t="n">
        <v>766.169523964705</v>
      </c>
      <c r="O26" t="n">
        <v>680.3485870271</v>
      </c>
      <c r="P26" t="n">
        <v>733.250918387255</v>
      </c>
      <c r="Q26" t="n">
        <v>438.728466168374</v>
      </c>
      <c r="R26" t="n">
        <v>922.052957743973</v>
      </c>
      <c r="S26" t="n">
        <v>925.599315273757</v>
      </c>
      <c r="T26" t="n">
        <v>714.761924310273</v>
      </c>
      <c r="U26" t="n">
        <v>636.242036017707</v>
      </c>
      <c r="V26" t="n">
        <v>848.709723227999</v>
      </c>
      <c r="W26" t="n">
        <v>1056.62656305494</v>
      </c>
      <c r="X26" t="n">
        <v>865.81612943437</v>
      </c>
      <c r="Y26" t="n">
        <v>946.407819469771</v>
      </c>
      <c r="Z26" t="n">
        <v>599.211350841432</v>
      </c>
      <c r="AA26" t="n">
        <v>981.68668116575</v>
      </c>
      <c r="AB26" t="n">
        <v>1096.74458250668</v>
      </c>
      <c r="AC26" t="n">
        <v>1168.81636935712</v>
      </c>
      <c r="AD26" t="n">
        <v>918.796670630202</v>
      </c>
      <c r="AE26" t="n">
        <v>851</v>
      </c>
      <c r="AF26" t="n">
        <v>837</v>
      </c>
    </row>
    <row r="27">
      <c r="A27" t="s">
        <v>69</v>
      </c>
      <c r="B27" t="s">
        <v>324</v>
      </c>
      <c r="C27" t="s">
        <v>236</v>
      </c>
      <c r="D27" t="s">
        <v>325</v>
      </c>
      <c r="E27" t="s">
        <v>237</v>
      </c>
      <c r="F27" t="n">
        <v>404.804229286921</v>
      </c>
      <c r="G27" t="n">
        <v>351.947626099775</v>
      </c>
      <c r="H27" t="n">
        <v>458.559498239488</v>
      </c>
      <c r="I27" t="n">
        <v>498.156557976046</v>
      </c>
      <c r="J27" t="n">
        <v>566.605550675044</v>
      </c>
      <c r="K27" t="n">
        <v>576.656203458637</v>
      </c>
      <c r="L27" t="n">
        <v>525.015349417565</v>
      </c>
      <c r="M27" t="n">
        <v>532.207340505477</v>
      </c>
      <c r="N27" t="n">
        <v>705.989329241959</v>
      </c>
      <c r="O27" t="n">
        <v>673.180875043107</v>
      </c>
      <c r="P27" t="n">
        <v>547.184454580494</v>
      </c>
      <c r="Q27" t="n">
        <v>455.002192253758</v>
      </c>
      <c r="R27" t="n">
        <v>610.568494489619</v>
      </c>
      <c r="S27" t="n">
        <v>610.568494489619</v>
      </c>
      <c r="T27" t="n">
        <v>665.463643535475</v>
      </c>
      <c r="U27" t="n">
        <v>637.26603152126</v>
      </c>
      <c r="V27" t="n">
        <v>564.402583271098</v>
      </c>
      <c r="W27" t="n">
        <v>783.322373145947</v>
      </c>
      <c r="X27" t="n">
        <v>701.565171999544</v>
      </c>
      <c r="Y27" t="n">
        <v>637.191384833178</v>
      </c>
      <c r="Z27" t="n">
        <v>640.447899576789</v>
      </c>
      <c r="AA27" t="n">
        <v>708.762342198313</v>
      </c>
      <c r="AB27" t="n">
        <v>704.518256316886</v>
      </c>
      <c r="AC27" t="n">
        <v>717.080246028332</v>
      </c>
      <c r="AD27" t="n">
        <v>702.697547683924</v>
      </c>
      <c r="AE27" t="n">
        <v>740</v>
      </c>
      <c r="AF27" t="n">
        <v>929</v>
      </c>
    </row>
    <row r="28">
      <c r="A28" t="s">
        <v>69</v>
      </c>
      <c r="B28" t="s">
        <v>326</v>
      </c>
      <c r="C28" t="s">
        <v>236</v>
      </c>
      <c r="D28" t="s">
        <v>327</v>
      </c>
      <c r="E28" t="s">
        <v>237</v>
      </c>
      <c r="F28" t="n">
        <v>1431.37197841057</v>
      </c>
      <c r="G28" t="n">
        <v>1392.13640133739</v>
      </c>
      <c r="H28" t="n">
        <v>1775.18830642817</v>
      </c>
      <c r="I28" t="n">
        <v>2136.57085210352</v>
      </c>
      <c r="J28" t="n">
        <v>1967.21678963495</v>
      </c>
      <c r="K28" t="n">
        <v>1544.62947926892</v>
      </c>
      <c r="L28" t="n">
        <v>1735.97722242204</v>
      </c>
      <c r="M28" t="n">
        <v>1364.58697344394</v>
      </c>
      <c r="N28" t="n">
        <v>1368.18114457681</v>
      </c>
      <c r="O28" t="n">
        <v>1913.06376634713</v>
      </c>
      <c r="P28" t="n">
        <v>1646.53785462694</v>
      </c>
      <c r="Q28" t="n">
        <v>1859.86881503316</v>
      </c>
      <c r="R28" t="n">
        <v>1948.60078612074</v>
      </c>
      <c r="S28" t="n">
        <v>1699.40139606622</v>
      </c>
      <c r="T28" t="n">
        <v>1920.17639422273</v>
      </c>
      <c r="U28" t="n">
        <v>1443.24029159648</v>
      </c>
      <c r="V28" t="n">
        <v>1684.34631678083</v>
      </c>
      <c r="W28" t="n">
        <v>1549.90970442564</v>
      </c>
      <c r="X28" t="n">
        <v>1586.58119360481</v>
      </c>
      <c r="Y28" t="n">
        <v>1330.2623504662</v>
      </c>
      <c r="Z28" t="n">
        <v>1491.60340662716</v>
      </c>
      <c r="AA28" t="n">
        <v>2096.81600118716</v>
      </c>
      <c r="AB28" t="n">
        <v>1974.76253246134</v>
      </c>
      <c r="AC28" t="n">
        <v>2122.84383405651</v>
      </c>
      <c r="AD28" t="n">
        <v>2332.67169614984</v>
      </c>
      <c r="AE28" t="n">
        <v>1935</v>
      </c>
      <c r="AF28" t="n">
        <v>1662</v>
      </c>
    </row>
    <row r="29">
      <c r="A29" t="s">
        <v>69</v>
      </c>
      <c r="B29" t="s">
        <v>328</v>
      </c>
      <c r="C29" t="s">
        <v>236</v>
      </c>
      <c r="D29" t="s">
        <v>329</v>
      </c>
      <c r="E29" t="s">
        <v>237</v>
      </c>
      <c r="F29" t="n">
        <v>807.593282511567</v>
      </c>
      <c r="G29" t="n">
        <v>787.861509465909</v>
      </c>
      <c r="H29" t="n">
        <v>820.860944417361</v>
      </c>
      <c r="I29" t="n">
        <v>915.880217726123</v>
      </c>
      <c r="J29" t="n">
        <v>878.312288003269</v>
      </c>
      <c r="K29" t="n">
        <v>765.999366117794</v>
      </c>
      <c r="L29" t="n">
        <v>773.113911313934</v>
      </c>
      <c r="M29" t="n">
        <v>728.708252195755</v>
      </c>
      <c r="N29" t="n">
        <v>785.022645719384</v>
      </c>
      <c r="O29" t="n">
        <v>844.375285124701</v>
      </c>
      <c r="P29" t="n">
        <v>859.991208495568</v>
      </c>
      <c r="Q29" t="n">
        <v>709.076622230539</v>
      </c>
      <c r="R29" t="n">
        <v>645.314693409808</v>
      </c>
      <c r="S29" t="n">
        <v>820.019178935306</v>
      </c>
      <c r="T29" t="n">
        <v>714.944066178735</v>
      </c>
      <c r="U29" t="n">
        <v>652.305462193287</v>
      </c>
      <c r="V29" t="n">
        <v>782.9825498181</v>
      </c>
      <c r="W29" t="n">
        <v>557.305576731151</v>
      </c>
      <c r="X29" t="n">
        <v>593.764820068703</v>
      </c>
      <c r="Y29" t="n">
        <v>659.152775387104</v>
      </c>
      <c r="Z29" t="n">
        <v>728.316659608962</v>
      </c>
      <c r="AA29" t="n">
        <v>881.044974819401</v>
      </c>
      <c r="AB29" t="n">
        <v>862.474940221334</v>
      </c>
      <c r="AC29" t="n">
        <v>891.121794700809</v>
      </c>
      <c r="AD29" t="n">
        <v>992.616304347826</v>
      </c>
      <c r="AE29" t="n">
        <v>929</v>
      </c>
      <c r="AF29" t="n">
        <v>961</v>
      </c>
    </row>
    <row r="30">
      <c r="A30" t="s">
        <v>69</v>
      </c>
      <c r="B30" t="s">
        <v>330</v>
      </c>
      <c r="C30" t="s">
        <v>236</v>
      </c>
      <c r="D30" t="s">
        <v>331</v>
      </c>
      <c r="E30" t="s">
        <v>237</v>
      </c>
      <c r="F30" t="n">
        <v>-4.26689910709996</v>
      </c>
      <c r="G30" t="n">
        <v>-14.2229970236665</v>
      </c>
      <c r="H30" t="n">
        <v>315.750533925397</v>
      </c>
      <c r="I30" t="n">
        <v>268.723858659912</v>
      </c>
      <c r="J30" t="n">
        <v>144.797807336166</v>
      </c>
      <c r="K30" t="n">
        <v>34.2942175269867</v>
      </c>
      <c r="L30" t="n">
        <v>216.408338187537</v>
      </c>
      <c r="M30" t="n">
        <v>100.314281764015</v>
      </c>
      <c r="N30" t="n">
        <v>-42.3549189670284</v>
      </c>
      <c r="O30" t="n">
        <v>374.506651918988</v>
      </c>
      <c r="P30" t="n">
        <v>124.096878742387</v>
      </c>
      <c r="Q30" t="n">
        <v>263.568592019228</v>
      </c>
      <c r="R30" t="n">
        <v>413.549046055274</v>
      </c>
      <c r="S30" t="n">
        <v>18.6976962312225</v>
      </c>
      <c r="T30" t="n">
        <v>117.685499808283</v>
      </c>
      <c r="U30" t="n">
        <v>66.4705137806042</v>
      </c>
      <c r="V30" t="n">
        <v>266.98989701876</v>
      </c>
      <c r="W30" t="n">
        <v>377.055119871392</v>
      </c>
      <c r="X30" t="n">
        <v>265.100378396973</v>
      </c>
      <c r="Y30" t="n">
        <v>26.3076711386309</v>
      </c>
      <c r="Z30" t="n">
        <v>105.230684554524</v>
      </c>
      <c r="AA30" t="n">
        <v>111.301685586515</v>
      </c>
      <c r="AB30" t="n">
        <v>-49.5798417612659</v>
      </c>
      <c r="AC30" t="n">
        <v>192.248366013072</v>
      </c>
      <c r="AD30" t="n">
        <v>154</v>
      </c>
      <c r="AE30" t="n">
        <v>107</v>
      </c>
      <c r="AF30" t="n">
        <v>39</v>
      </c>
    </row>
    <row r="31">
      <c r="A31" t="s">
        <v>69</v>
      </c>
      <c r="B31" t="s">
        <v>332</v>
      </c>
      <c r="C31" t="s">
        <v>236</v>
      </c>
      <c r="D31" t="s">
        <v>333</v>
      </c>
      <c r="E31" t="s">
        <v>237</v>
      </c>
      <c r="F31" t="n">
        <v>149.125211442013</v>
      </c>
      <c r="G31" t="n">
        <v>196.494396253005</v>
      </c>
      <c r="H31" t="n">
        <v>136.691753915134</v>
      </c>
      <c r="I31" t="n">
        <v>235.043137829681</v>
      </c>
      <c r="J31" t="n">
        <v>465.223314187024</v>
      </c>
      <c r="K31" t="n">
        <v>247.593424838518</v>
      </c>
      <c r="L31" t="n">
        <v>330.618764904129</v>
      </c>
      <c r="M31" t="n">
        <v>105.003384561826</v>
      </c>
      <c r="N31" t="n">
        <v>85.402752776952</v>
      </c>
      <c r="O31" t="n">
        <v>190.406137338778</v>
      </c>
      <c r="P31" t="n">
        <v>363.004506437239</v>
      </c>
      <c r="Q31" t="n">
        <v>440.005462348169</v>
      </c>
      <c r="R31" t="n">
        <v>401.504984392704</v>
      </c>
      <c r="S31" t="n">
        <v>323.396506200267</v>
      </c>
      <c r="T31" t="n">
        <v>554.981292419949</v>
      </c>
      <c r="U31" t="n">
        <v>182.737742626081</v>
      </c>
      <c r="V31" t="n">
        <v>131.678667480558</v>
      </c>
      <c r="W31" t="n">
        <v>160.940593587349</v>
      </c>
      <c r="X31" t="n">
        <v>378.46186460775</v>
      </c>
      <c r="Y31" t="n">
        <v>137.503445618733</v>
      </c>
      <c r="Z31" t="n">
        <v>183.337927491644</v>
      </c>
      <c r="AA31" t="n">
        <v>396.714272481919</v>
      </c>
      <c r="AB31" t="n">
        <v>413.287192481163</v>
      </c>
      <c r="AC31" t="n">
        <v>283.546402942773</v>
      </c>
      <c r="AD31" t="n">
        <v>432.670807453416</v>
      </c>
      <c r="AE31" t="n">
        <v>162</v>
      </c>
      <c r="AF31" t="n">
        <v>-236</v>
      </c>
    </row>
    <row r="32">
      <c r="A32" t="s">
        <v>69</v>
      </c>
      <c r="B32" t="s">
        <v>334</v>
      </c>
      <c r="C32" t="s">
        <v>236</v>
      </c>
      <c r="D32" t="s">
        <v>335</v>
      </c>
      <c r="E32" t="s">
        <v>237</v>
      </c>
      <c r="F32" t="n">
        <v>393.577207284048</v>
      </c>
      <c r="G32" t="n">
        <v>332.804256159306</v>
      </c>
      <c r="H32" t="n">
        <v>366.084681775236</v>
      </c>
      <c r="I32" t="n">
        <v>558.31447606648</v>
      </c>
      <c r="J32" t="n">
        <v>368.487554203877</v>
      </c>
      <c r="K32" t="n">
        <v>352.049447696641</v>
      </c>
      <c r="L32" t="n">
        <v>306.880839312921</v>
      </c>
      <c r="M32" t="n">
        <v>323.643238098921</v>
      </c>
      <c r="N32" t="n">
        <v>448.220198795727</v>
      </c>
      <c r="O32" t="n">
        <v>409.580526485751</v>
      </c>
      <c r="P32" t="n">
        <v>254.397842537733</v>
      </c>
      <c r="Q32" t="n">
        <v>386.634344846951</v>
      </c>
      <c r="R32" t="n">
        <v>451.687107630724</v>
      </c>
      <c r="S32" t="n">
        <v>452.872638096946</v>
      </c>
      <c r="T32" t="n">
        <v>472.119725216067</v>
      </c>
      <c r="U32" t="n">
        <v>448.055370290005</v>
      </c>
      <c r="V32" t="n">
        <v>411.197344970519</v>
      </c>
      <c r="W32" t="n">
        <v>344.91143416926</v>
      </c>
      <c r="X32" t="n">
        <v>307.068486846614</v>
      </c>
      <c r="Y32" t="n">
        <v>415.130916015632</v>
      </c>
      <c r="Z32" t="n">
        <v>486.63161363272</v>
      </c>
      <c r="AA32" t="n">
        <v>681.924563840588</v>
      </c>
      <c r="AB32" t="n">
        <v>697.957273021793</v>
      </c>
      <c r="AC32" t="n">
        <v>693.75271113612</v>
      </c>
      <c r="AD32" t="n">
        <v>709.12389380531</v>
      </c>
      <c r="AE32" t="n">
        <v>681</v>
      </c>
      <c r="AF32" t="n">
        <v>825</v>
      </c>
    </row>
    <row r="33">
      <c r="A33" t="s">
        <v>69</v>
      </c>
      <c r="B33" t="s">
        <v>336</v>
      </c>
      <c r="C33" t="s">
        <v>236</v>
      </c>
      <c r="D33" t="s">
        <v>337</v>
      </c>
      <c r="E33" t="s">
        <v>237</v>
      </c>
      <c r="F33" t="n">
        <v>70.6969008873419</v>
      </c>
      <c r="G33" t="n">
        <v>81.6671096457225</v>
      </c>
      <c r="H33" t="n">
        <v>111.364240425985</v>
      </c>
      <c r="I33" t="n">
        <v>148.902748434744</v>
      </c>
      <c r="J33" t="n">
        <v>140.143763232701</v>
      </c>
      <c r="K33" t="n">
        <v>148.981658211339</v>
      </c>
      <c r="L33" t="n">
        <v>111.736243658504</v>
      </c>
      <c r="M33" t="n">
        <v>88.9084089325735</v>
      </c>
      <c r="N33" t="n">
        <v>86.5375180277048</v>
      </c>
      <c r="O33" t="n">
        <v>67.5703907887558</v>
      </c>
      <c r="P33" t="n">
        <v>48.1009561547075</v>
      </c>
      <c r="Q33" t="n">
        <v>80.5411358869522</v>
      </c>
      <c r="R33" t="n">
        <v>51.1545052254966</v>
      </c>
      <c r="S33" t="n">
        <v>92.7175407212127</v>
      </c>
      <c r="T33" t="n">
        <v>109.019525902964</v>
      </c>
      <c r="U33" t="n">
        <v>87.6231703519153</v>
      </c>
      <c r="V33" t="n">
        <v>68.2645629485852</v>
      </c>
      <c r="W33" t="n">
        <v>96.7930370166506</v>
      </c>
      <c r="X33" t="n">
        <v>64.1994633273703</v>
      </c>
      <c r="Y33" t="n">
        <v>83.6538461538461</v>
      </c>
      <c r="Z33" t="n">
        <v>-10.5769230769231</v>
      </c>
      <c r="AA33" t="n">
        <v>25</v>
      </c>
      <c r="AB33" t="n">
        <v>54</v>
      </c>
      <c r="AC33" t="n">
        <v>58</v>
      </c>
      <c r="AD33" t="n">
        <v>44</v>
      </c>
      <c r="AE33" t="n">
        <v>56</v>
      </c>
      <c r="AF33" t="n">
        <v>73</v>
      </c>
    </row>
    <row r="34">
      <c r="A34" t="s">
        <v>69</v>
      </c>
      <c r="B34" t="s">
        <v>338</v>
      </c>
      <c r="C34" t="s">
        <v>236</v>
      </c>
      <c r="D34" t="s">
        <v>339</v>
      </c>
      <c r="E34" t="s">
        <v>237</v>
      </c>
      <c r="F34" t="n">
        <v>106.907888273051</v>
      </c>
      <c r="G34" t="n">
        <v>128.529708373219</v>
      </c>
      <c r="H34" t="n">
        <v>160.96243852347</v>
      </c>
      <c r="I34" t="n">
        <v>187.193354430999</v>
      </c>
      <c r="J34" t="n">
        <v>178.793652629608</v>
      </c>
      <c r="K34" t="n">
        <v>169.129130865845</v>
      </c>
      <c r="L34" t="n">
        <v>140.135565574558</v>
      </c>
      <c r="M34" t="n">
        <v>175.463859416883</v>
      </c>
      <c r="N34" t="n">
        <v>163.687761469441</v>
      </c>
      <c r="O34" t="n">
        <v>175.463859416883</v>
      </c>
      <c r="P34" t="n">
        <v>188.417567159069</v>
      </c>
      <c r="Q34" t="n">
        <v>239.278750932069</v>
      </c>
      <c r="R34" t="n">
        <v>231.264630087454</v>
      </c>
      <c r="S34" t="n">
        <v>240.245780770462</v>
      </c>
      <c r="T34" t="n">
        <v>223.790590306732</v>
      </c>
      <c r="U34" t="n">
        <v>235.977206610564</v>
      </c>
      <c r="V34" t="n">
        <v>216.50335946309</v>
      </c>
      <c r="W34" t="n">
        <v>245.821522723717</v>
      </c>
      <c r="X34" t="n">
        <v>181.361656765054</v>
      </c>
      <c r="Y34" t="n">
        <v>198.634195504582</v>
      </c>
      <c r="Z34" t="n">
        <v>211.588599559229</v>
      </c>
      <c r="AA34" t="n">
        <v>271.131120038208</v>
      </c>
      <c r="AB34" t="n">
        <v>273.241089843953</v>
      </c>
      <c r="AC34" t="n">
        <v>325.188065099458</v>
      </c>
      <c r="AD34" t="n">
        <v>314.962025316456</v>
      </c>
      <c r="AE34" t="n">
        <v>319</v>
      </c>
      <c r="AF34" t="n">
        <v>319</v>
      </c>
    </row>
    <row r="35">
      <c r="A35" t="s">
        <v>69</v>
      </c>
      <c r="B35" t="s">
        <v>340</v>
      </c>
      <c r="C35" t="s">
        <v>236</v>
      </c>
      <c r="D35" t="s">
        <v>341</v>
      </c>
      <c r="E35" t="s">
        <v>237</v>
      </c>
      <c r="F35" t="n">
        <v>1253.80334459995</v>
      </c>
      <c r="G35" t="n">
        <v>1385.0153225232</v>
      </c>
      <c r="H35" t="n">
        <v>1542.59928810806</v>
      </c>
      <c r="I35" t="n">
        <v>1674.11970550054</v>
      </c>
      <c r="J35" t="n">
        <v>1942.32815310309</v>
      </c>
      <c r="K35" t="n">
        <v>2127.49173190085</v>
      </c>
      <c r="L35" t="n">
        <v>2165.83605962697</v>
      </c>
      <c r="M35" t="n">
        <v>2056.26593856658</v>
      </c>
      <c r="N35" t="n">
        <v>1804.08238006314</v>
      </c>
      <c r="O35" t="n">
        <v>1539.59686637533</v>
      </c>
      <c r="P35" t="n">
        <v>1718.75864291242</v>
      </c>
      <c r="Q35" t="n">
        <v>1621.02063409215</v>
      </c>
      <c r="R35" t="n">
        <v>1892.16890815101</v>
      </c>
      <c r="S35" t="n">
        <v>1823.76329198624</v>
      </c>
      <c r="T35" t="n">
        <v>1654.77030037806</v>
      </c>
      <c r="U35" t="n">
        <v>1909.87131530674</v>
      </c>
      <c r="V35" t="n">
        <v>1917.74939380241</v>
      </c>
      <c r="W35" t="n">
        <v>1999.59106343411</v>
      </c>
      <c r="X35" t="n">
        <v>2162.68984511716</v>
      </c>
      <c r="Y35" t="n">
        <v>2402.03467661151</v>
      </c>
      <c r="Z35" t="n">
        <v>2445.7274103032</v>
      </c>
      <c r="AA35" t="n">
        <v>2392.58252959257</v>
      </c>
      <c r="AB35" t="n">
        <v>2502.39214260124</v>
      </c>
      <c r="AC35" t="n">
        <v>3044.12566223181</v>
      </c>
      <c r="AD35" t="n">
        <v>2468.20999640417</v>
      </c>
      <c r="AE35" t="n">
        <v>2812</v>
      </c>
      <c r="AF35" t="n">
        <v>2936</v>
      </c>
    </row>
    <row r="36">
      <c r="A36" t="s">
        <v>69</v>
      </c>
      <c r="B36" t="s">
        <v>342</v>
      </c>
      <c r="C36" t="s">
        <v>236</v>
      </c>
      <c r="D36" t="s">
        <v>343</v>
      </c>
      <c r="E36" t="s">
        <v>237</v>
      </c>
      <c r="F36" t="n">
        <v>415.970601275092</v>
      </c>
      <c r="G36" t="n">
        <v>452.01137539279</v>
      </c>
      <c r="H36" t="n">
        <v>562.738994197064</v>
      </c>
      <c r="I36" t="n">
        <v>546.098862648226</v>
      </c>
      <c r="J36" t="n">
        <v>448.848380258816</v>
      </c>
      <c r="K36" t="n">
        <v>499.548861749845</v>
      </c>
      <c r="L36" t="n">
        <v>528.762245477906</v>
      </c>
      <c r="M36" t="n">
        <v>443.934077754178</v>
      </c>
      <c r="N36" t="n">
        <v>446.726115979047</v>
      </c>
      <c r="O36" t="n">
        <v>441.142039529309</v>
      </c>
      <c r="P36" t="n">
        <v>477.678343416706</v>
      </c>
      <c r="Q36" t="n">
        <v>468.364281010252</v>
      </c>
      <c r="R36" t="n">
        <v>519.387205477849</v>
      </c>
      <c r="S36" t="n">
        <v>462.538854629527</v>
      </c>
      <c r="T36" t="n">
        <v>514.353316486933</v>
      </c>
      <c r="U36" t="n">
        <v>646.650924333332</v>
      </c>
      <c r="V36" t="n">
        <v>636.963270036204</v>
      </c>
      <c r="W36" t="n">
        <v>659.169328991594</v>
      </c>
      <c r="X36" t="n">
        <v>636.360701690847</v>
      </c>
      <c r="Y36" t="n">
        <v>473.363048275297</v>
      </c>
      <c r="Z36" t="n">
        <v>625.320239292078</v>
      </c>
      <c r="AA36" t="n">
        <v>678.33181667151</v>
      </c>
      <c r="AB36" t="n">
        <v>767.782166122698</v>
      </c>
      <c r="AC36" t="n">
        <v>777.247973650238</v>
      </c>
      <c r="AD36" t="n">
        <v>756.493688639551</v>
      </c>
      <c r="AE36" t="n">
        <v>724</v>
      </c>
      <c r="AF36" t="n">
        <v>884</v>
      </c>
    </row>
    <row r="37">
      <c r="A37" t="s">
        <v>69</v>
      </c>
      <c r="B37" t="s">
        <v>344</v>
      </c>
      <c r="C37" t="s">
        <v>236</v>
      </c>
      <c r="D37" t="s">
        <v>345</v>
      </c>
      <c r="E37" t="s">
        <v>237</v>
      </c>
      <c r="F37" t="n">
        <v>670.048009131717</v>
      </c>
      <c r="G37" t="n">
        <v>752.276123021845</v>
      </c>
      <c r="H37" t="n">
        <v>788.313302567802</v>
      </c>
      <c r="I37" t="n">
        <v>847.745173173909</v>
      </c>
      <c r="J37" t="n">
        <v>1069.99188073572</v>
      </c>
      <c r="K37" t="n">
        <v>1140.32539875822</v>
      </c>
      <c r="L37" t="n">
        <v>1094.17205093088</v>
      </c>
      <c r="M37" t="n">
        <v>1015.62178236052</v>
      </c>
      <c r="N37" t="n">
        <v>768.339957090131</v>
      </c>
      <c r="O37" t="n">
        <v>650.38819897156</v>
      </c>
      <c r="P37" t="n">
        <v>616.388141352473</v>
      </c>
      <c r="Q37" t="n">
        <v>552.969144859529</v>
      </c>
      <c r="R37" t="n">
        <v>571.510516580657</v>
      </c>
      <c r="S37" t="n">
        <v>622.978630644206</v>
      </c>
      <c r="T37" t="n">
        <v>577.804800766127</v>
      </c>
      <c r="U37" t="n">
        <v>643.057801945544</v>
      </c>
      <c r="V37" t="n">
        <v>624.051167405282</v>
      </c>
      <c r="W37" t="n">
        <v>580.14807020089</v>
      </c>
      <c r="X37" t="n">
        <v>624.536623614837</v>
      </c>
      <c r="Y37" t="n">
        <v>585.567179119987</v>
      </c>
      <c r="Z37" t="n">
        <v>628.638670403769</v>
      </c>
      <c r="AA37" t="n">
        <v>721.236837893686</v>
      </c>
      <c r="AB37" t="n">
        <v>699.56877838615</v>
      </c>
      <c r="AC37" t="n">
        <v>722.921582309055</v>
      </c>
      <c r="AD37" t="n">
        <v>603.438709677419</v>
      </c>
      <c r="AE37" t="n">
        <v>773</v>
      </c>
      <c r="AF37" t="n">
        <v>912</v>
      </c>
    </row>
    <row r="38">
      <c r="A38" t="s">
        <v>69</v>
      </c>
      <c r="B38" t="s">
        <v>346</v>
      </c>
      <c r="C38" t="s">
        <v>236</v>
      </c>
      <c r="D38" t="s">
        <v>347</v>
      </c>
      <c r="E38" t="s">
        <v>237</v>
      </c>
      <c r="F38" t="n">
        <v>163.726328710711</v>
      </c>
      <c r="G38" t="n">
        <v>174.497797704837</v>
      </c>
      <c r="H38" t="n">
        <v>199.739617498618</v>
      </c>
      <c r="I38" t="n">
        <v>271.867812706452</v>
      </c>
      <c r="J38" t="n">
        <v>370.520267950144</v>
      </c>
      <c r="K38" t="n">
        <v>432.076350804481</v>
      </c>
      <c r="L38" t="n">
        <v>493.632433658818</v>
      </c>
      <c r="M38" t="n">
        <v>542.283707168461</v>
      </c>
      <c r="N38" t="n">
        <v>558.860065029506</v>
      </c>
      <c r="O38" t="n">
        <v>431.630220437682</v>
      </c>
      <c r="P38" t="n">
        <v>611.281717592826</v>
      </c>
      <c r="Q38" t="n">
        <v>590.48196160668</v>
      </c>
      <c r="R38" t="n">
        <v>790.742316802744</v>
      </c>
      <c r="S38" t="n">
        <v>719.269194910961</v>
      </c>
      <c r="T38" t="n">
        <v>556.353059854087</v>
      </c>
      <c r="U38" t="n">
        <v>619.65071337042</v>
      </c>
      <c r="V38" t="n">
        <v>656.561315430391</v>
      </c>
      <c r="W38" t="n">
        <v>764.139774208681</v>
      </c>
      <c r="X38" t="n">
        <v>902.974897705824</v>
      </c>
      <c r="Y38" t="n">
        <v>1342.58109790471</v>
      </c>
      <c r="Z38" t="n">
        <v>1192.21201493938</v>
      </c>
      <c r="AA38" t="n">
        <v>989.578857723967</v>
      </c>
      <c r="AB38" t="n">
        <v>1033.20545252685</v>
      </c>
      <c r="AC38" t="n">
        <v>1546.12942082096</v>
      </c>
      <c r="AD38" t="n">
        <v>1109.5630317092</v>
      </c>
      <c r="AE38" t="n">
        <v>1315</v>
      </c>
      <c r="AF38" t="n">
        <v>1140</v>
      </c>
    </row>
    <row r="39">
      <c r="A39" t="s">
        <v>69</v>
      </c>
      <c r="B39" t="s">
        <v>348</v>
      </c>
      <c r="C39" t="s">
        <v>236</v>
      </c>
      <c r="D39" t="s">
        <v>349</v>
      </c>
      <c r="E39" t="s">
        <v>237</v>
      </c>
      <c r="F39" t="n">
        <v>20.4683142627823</v>
      </c>
      <c r="G39" t="n">
        <v>77.7795941985729</v>
      </c>
      <c r="H39" t="n">
        <v>-25.9265313995243</v>
      </c>
      <c r="I39" t="n">
        <v>165.530931243117</v>
      </c>
      <c r="J39" t="n">
        <v>203.246839627624</v>
      </c>
      <c r="K39" t="n">
        <v>327.392206535308</v>
      </c>
      <c r="L39" t="n">
        <v>327.392206535308</v>
      </c>
      <c r="M39" t="n">
        <v>396.803981772476</v>
      </c>
      <c r="N39" t="n">
        <v>328.882579487097</v>
      </c>
      <c r="O39" t="n">
        <v>277.611911202036</v>
      </c>
      <c r="P39" t="n">
        <v>416.417866803055</v>
      </c>
      <c r="Q39" t="n">
        <v>467.259583098776</v>
      </c>
      <c r="R39" t="n">
        <v>697.916985442702</v>
      </c>
      <c r="S39" t="n">
        <v>752.954063153787</v>
      </c>
      <c r="T39" t="n">
        <v>701.616286120575</v>
      </c>
      <c r="U39" t="n">
        <v>498.067963242807</v>
      </c>
      <c r="V39" t="n">
        <v>525.05132919727</v>
      </c>
      <c r="W39" t="n">
        <v>475.414123705932</v>
      </c>
      <c r="X39" t="n">
        <v>455.876556978291</v>
      </c>
      <c r="Y39" t="n">
        <v>563.959966027134</v>
      </c>
      <c r="Z39" t="n">
        <v>550.178989413689</v>
      </c>
      <c r="AA39" t="n">
        <v>650.115899536635</v>
      </c>
      <c r="AB39" t="n">
        <v>710.350280004885</v>
      </c>
      <c r="AC39" t="n">
        <v>592.988059830165</v>
      </c>
      <c r="AD39" t="n">
        <v>718.742424242424</v>
      </c>
      <c r="AE39" t="n">
        <v>533</v>
      </c>
      <c r="AF39" t="n">
        <v>482</v>
      </c>
    </row>
    <row r="40">
      <c r="A40" t="s">
        <v>69</v>
      </c>
      <c r="B40" t="s">
        <v>350</v>
      </c>
      <c r="C40" t="s">
        <v>236</v>
      </c>
      <c r="D40" t="s">
        <v>351</v>
      </c>
      <c r="E40" t="s">
        <v>237</v>
      </c>
      <c r="F40" t="n">
        <v>9398.11049742708</v>
      </c>
      <c r="G40" t="n">
        <v>10585.0591691583</v>
      </c>
      <c r="H40" t="n">
        <v>11464.0952247285</v>
      </c>
      <c r="I40" t="n">
        <v>13602.2252131226</v>
      </c>
      <c r="J40" t="n">
        <v>15109.0953529365</v>
      </c>
      <c r="K40" t="n">
        <v>17300.5037201796</v>
      </c>
      <c r="L40" t="n">
        <v>16989.7542032116</v>
      </c>
      <c r="M40" t="n">
        <v>16279.5181029261</v>
      </c>
      <c r="N40" t="n">
        <v>17041.4660474182</v>
      </c>
      <c r="O40" t="n">
        <v>18997.5996229986</v>
      </c>
      <c r="P40" t="n">
        <v>20699.7749256133</v>
      </c>
      <c r="Q40" t="n">
        <v>21340.4311720157</v>
      </c>
      <c r="R40" t="n">
        <v>23368.0680885079</v>
      </c>
      <c r="S40" t="n">
        <v>22575.7330180806</v>
      </c>
      <c r="T40" t="n">
        <v>18404.7309328077</v>
      </c>
      <c r="U40" t="n">
        <v>20943.7924711897</v>
      </c>
      <c r="V40" t="n">
        <v>22571.2350445849</v>
      </c>
      <c r="W40" t="n">
        <v>22343.0109541493</v>
      </c>
      <c r="X40" t="n">
        <v>20905.6634145636</v>
      </c>
      <c r="Y40" t="n">
        <v>19212.0220085207</v>
      </c>
      <c r="Z40" t="n">
        <v>20290.4343475115</v>
      </c>
      <c r="AA40" t="n">
        <v>21826.5370231738</v>
      </c>
      <c r="AB40" t="n">
        <v>22542.1047001426</v>
      </c>
      <c r="AC40" t="n">
        <v>24182.0564462563</v>
      </c>
      <c r="AD40" t="n">
        <v>24039.0305121197</v>
      </c>
      <c r="AE40" t="n">
        <v>22767</v>
      </c>
      <c r="AF40" t="n">
        <v>22298</v>
      </c>
    </row>
    <row r="41">
      <c r="A41" t="s">
        <v>69</v>
      </c>
      <c r="B41" t="s">
        <v>352</v>
      </c>
      <c r="C41" t="s">
        <v>236</v>
      </c>
      <c r="D41" t="s">
        <v>353</v>
      </c>
      <c r="E41" t="s">
        <v>237</v>
      </c>
      <c r="F41" t="n">
        <v>6108.14651399071</v>
      </c>
      <c r="G41" t="n">
        <v>6219.51793738319</v>
      </c>
      <c r="H41" t="n">
        <v>7013.91119418291</v>
      </c>
      <c r="I41" t="n">
        <v>8134.57586034409</v>
      </c>
      <c r="J41" t="n">
        <v>9194.69477891797</v>
      </c>
      <c r="K41" t="n">
        <v>9600.46687958071</v>
      </c>
      <c r="L41" t="n">
        <v>8549.63043611875</v>
      </c>
      <c r="M41" t="n">
        <v>8689.88720637083</v>
      </c>
      <c r="N41" t="n">
        <v>9919.64630624513</v>
      </c>
      <c r="O41" t="n">
        <v>11218.794032342</v>
      </c>
      <c r="P41" t="n">
        <v>11967.614019252</v>
      </c>
      <c r="Q41" t="n">
        <v>12612.2763403939</v>
      </c>
      <c r="R41" t="n">
        <v>12724.8491780898</v>
      </c>
      <c r="S41" t="n">
        <v>11446.5655948326</v>
      </c>
      <c r="T41" t="n">
        <v>10120.6707255885</v>
      </c>
      <c r="U41" t="n">
        <v>12751.3371982277</v>
      </c>
      <c r="V41" t="n">
        <v>13538.4729476253</v>
      </c>
      <c r="W41" t="n">
        <v>13238.3496580745</v>
      </c>
      <c r="X41" t="n">
        <v>12529.777464285</v>
      </c>
      <c r="Y41" t="n">
        <v>11824.9405252842</v>
      </c>
      <c r="Z41" t="n">
        <v>11823.7657845207</v>
      </c>
      <c r="AA41" t="n">
        <v>13000.0560848021</v>
      </c>
      <c r="AB41" t="n">
        <v>13115.5968859782</v>
      </c>
      <c r="AC41" t="n">
        <v>13693.5423168815</v>
      </c>
      <c r="AD41" t="n">
        <v>13420.5001588058</v>
      </c>
      <c r="AE41" t="n">
        <v>12817</v>
      </c>
      <c r="AF41" t="n">
        <v>12955</v>
      </c>
    </row>
    <row r="42">
      <c r="A42" t="s">
        <v>69</v>
      </c>
      <c r="B42" t="s">
        <v>354</v>
      </c>
      <c r="C42" t="s">
        <v>236</v>
      </c>
      <c r="D42" t="s">
        <v>355</v>
      </c>
      <c r="E42" t="s">
        <v>237</v>
      </c>
      <c r="F42" t="n">
        <v>1019.98446726591</v>
      </c>
      <c r="G42" t="n">
        <v>1076.92941289324</v>
      </c>
      <c r="H42" t="n">
        <v>1193.13304255193</v>
      </c>
      <c r="I42" t="n">
        <v>1254.15465172686</v>
      </c>
      <c r="J42" t="n">
        <v>1361.29349132162</v>
      </c>
      <c r="K42" t="n">
        <v>1406.5658666064</v>
      </c>
      <c r="L42" t="n">
        <v>1370.46150211597</v>
      </c>
      <c r="M42" t="n">
        <v>1531.26618153972</v>
      </c>
      <c r="N42" t="n">
        <v>1398.84757890427</v>
      </c>
      <c r="O42" t="n">
        <v>1437.74304286586</v>
      </c>
      <c r="P42" t="n">
        <v>1440.43796890685</v>
      </c>
      <c r="Q42" t="n">
        <v>1440.43796890685</v>
      </c>
      <c r="R42" t="n">
        <v>1586.53221130487</v>
      </c>
      <c r="S42" t="n">
        <v>1526.28415264772</v>
      </c>
      <c r="T42" t="n">
        <v>1309.7899465984</v>
      </c>
      <c r="U42" t="n">
        <v>1494.07027746443</v>
      </c>
      <c r="V42" t="n">
        <v>1583.18213754557</v>
      </c>
      <c r="W42" t="n">
        <v>1446.99442678897</v>
      </c>
      <c r="X42" t="n">
        <v>1327.51782274217</v>
      </c>
      <c r="Y42" t="n">
        <v>1315.60697767678</v>
      </c>
      <c r="Z42" t="n">
        <v>1329.56852111335</v>
      </c>
      <c r="AA42" t="n">
        <v>1245.60695982802</v>
      </c>
      <c r="AB42" t="n">
        <v>1246.65545053494</v>
      </c>
      <c r="AC42" t="n">
        <v>1410.57915717982</v>
      </c>
      <c r="AD42" t="n">
        <v>1625.91093117409</v>
      </c>
      <c r="AE42" t="n">
        <v>1506</v>
      </c>
      <c r="AF42" t="n">
        <v>1775</v>
      </c>
    </row>
    <row r="43">
      <c r="A43" t="s">
        <v>69</v>
      </c>
      <c r="B43" t="s">
        <v>356</v>
      </c>
      <c r="C43" t="s">
        <v>236</v>
      </c>
      <c r="D43" t="s">
        <v>357</v>
      </c>
      <c r="E43" t="s">
        <v>237</v>
      </c>
      <c r="F43" t="n">
        <v>1167.96761260856</v>
      </c>
      <c r="G43" t="n">
        <v>1352.77261460358</v>
      </c>
      <c r="H43" t="n">
        <v>1367.2407709095</v>
      </c>
      <c r="I43" t="n">
        <v>1508.9237523509</v>
      </c>
      <c r="J43" t="n">
        <v>1606.54358845493</v>
      </c>
      <c r="K43" t="n">
        <v>1758.49526062178</v>
      </c>
      <c r="L43" t="n">
        <v>1659.61330827679</v>
      </c>
      <c r="M43" t="n">
        <v>1909.97488044296</v>
      </c>
      <c r="N43" t="n">
        <v>1872.05347315422</v>
      </c>
      <c r="O43" t="n">
        <v>1873.30400987643</v>
      </c>
      <c r="P43" t="n">
        <v>1891.6577395617</v>
      </c>
      <c r="Q43" t="n">
        <v>2047.20201922206</v>
      </c>
      <c r="R43" t="n">
        <v>2180.68951383954</v>
      </c>
      <c r="S43" t="n">
        <v>2272.81489971832</v>
      </c>
      <c r="T43" t="n">
        <v>1834.64077032846</v>
      </c>
      <c r="U43" t="n">
        <v>2052.06307298192</v>
      </c>
      <c r="V43" t="n">
        <v>2202.15938945549</v>
      </c>
      <c r="W43" t="n">
        <v>2081.84090652283</v>
      </c>
      <c r="X43" t="n">
        <v>1930.51290708711</v>
      </c>
      <c r="Y43" t="n">
        <v>1956.08261446575</v>
      </c>
      <c r="Z43" t="n">
        <v>1909.45876016646</v>
      </c>
      <c r="AA43" t="n">
        <v>1941.96464790131</v>
      </c>
      <c r="AB43" t="n">
        <v>2027.3486163345</v>
      </c>
      <c r="AC43" t="n">
        <v>2247.41922906513</v>
      </c>
      <c r="AD43" t="n">
        <v>2497.13247673903</v>
      </c>
      <c r="AE43" t="n">
        <v>2292</v>
      </c>
      <c r="AF43" t="n">
        <v>3011</v>
      </c>
    </row>
    <row r="44">
      <c r="A44" t="s">
        <v>69</v>
      </c>
      <c r="B44" t="s">
        <v>358</v>
      </c>
      <c r="C44" t="s">
        <v>236</v>
      </c>
      <c r="D44" t="s">
        <v>359</v>
      </c>
      <c r="E44" t="s">
        <v>237</v>
      </c>
      <c r="F44" t="n">
        <v>15446.6086600837</v>
      </c>
      <c r="G44" t="n">
        <v>16869.1534798195</v>
      </c>
      <c r="H44" t="n">
        <v>18742.2396557678</v>
      </c>
      <c r="I44" t="n">
        <v>20543.1103972185</v>
      </c>
      <c r="J44" t="n">
        <v>21017.5793555131</v>
      </c>
      <c r="K44" t="n">
        <v>21885.8447462987</v>
      </c>
      <c r="L44" t="n">
        <v>22946.7797788281</v>
      </c>
      <c r="M44" t="n">
        <v>21646.1097729314</v>
      </c>
      <c r="N44" t="n">
        <v>21810.9677172852</v>
      </c>
      <c r="O44" t="n">
        <v>22012.8608194757</v>
      </c>
      <c r="P44" t="n">
        <v>22166.4389182162</v>
      </c>
      <c r="Q44" t="n">
        <v>22624.0087748585</v>
      </c>
      <c r="R44" t="n">
        <v>25842.1214242413</v>
      </c>
      <c r="S44" t="n">
        <v>26459.0420948466</v>
      </c>
      <c r="T44" t="n">
        <v>23756.8173437073</v>
      </c>
      <c r="U44" t="n">
        <v>23454.8920048944</v>
      </c>
      <c r="V44" t="n">
        <v>23478.9753577255</v>
      </c>
      <c r="W44" t="n">
        <v>22942.2554380753</v>
      </c>
      <c r="X44" t="n">
        <v>22045.1027142544</v>
      </c>
      <c r="Y44" t="n">
        <v>22218.3557425173</v>
      </c>
      <c r="Z44" t="n">
        <v>21987.2266325008</v>
      </c>
      <c r="AA44" t="n">
        <v>24328.9108117677</v>
      </c>
      <c r="AB44" t="n">
        <v>25967.0328290914</v>
      </c>
      <c r="AC44" t="n">
        <v>26567.1728211955</v>
      </c>
      <c r="AD44" t="n">
        <v>25762.6064567241</v>
      </c>
      <c r="AE44" t="n">
        <v>25480</v>
      </c>
      <c r="AF44" t="n">
        <v>27900</v>
      </c>
    </row>
    <row r="45">
      <c r="A45" t="s">
        <v>69</v>
      </c>
      <c r="B45" t="s">
        <v>360</v>
      </c>
      <c r="C45" t="s">
        <v>236</v>
      </c>
      <c r="D45" t="s">
        <v>361</v>
      </c>
      <c r="E45" t="s">
        <v>237</v>
      </c>
      <c r="F45" t="n">
        <v>14133.6720974418</v>
      </c>
      <c r="G45" t="n">
        <v>15563.1133453147</v>
      </c>
      <c r="H45" t="n">
        <v>17082.5425647722</v>
      </c>
      <c r="I45" t="n">
        <v>18741.6687202003</v>
      </c>
      <c r="J45" t="n">
        <v>19099.6212217678</v>
      </c>
      <c r="K45" t="n">
        <v>20024.2876209663</v>
      </c>
      <c r="L45" t="n">
        <v>20997.1384158211</v>
      </c>
      <c r="M45" t="n">
        <v>19643.7995226247</v>
      </c>
      <c r="N45" t="n">
        <v>19846.9977671397</v>
      </c>
      <c r="O45" t="n">
        <v>20140.0859463983</v>
      </c>
      <c r="P45" t="n">
        <v>20238.0757491199</v>
      </c>
      <c r="Q45" t="n">
        <v>20691.9952495623</v>
      </c>
      <c r="R45" t="n">
        <v>23718.5380497292</v>
      </c>
      <c r="S45" t="n">
        <v>24416.8125777753</v>
      </c>
      <c r="T45" t="n">
        <v>21801.01474606</v>
      </c>
      <c r="U45" t="n">
        <v>21607.5891112383</v>
      </c>
      <c r="V45" t="n">
        <v>21568.7553005933</v>
      </c>
      <c r="W45" t="n">
        <v>20861.4366816218</v>
      </c>
      <c r="X45" t="n">
        <v>19792.0095550411</v>
      </c>
      <c r="Y45" t="n">
        <v>20212.6595087158</v>
      </c>
      <c r="Z45" t="n">
        <v>20475.9923268314</v>
      </c>
      <c r="AA45" t="n">
        <v>22688.2996346269</v>
      </c>
      <c r="AB45" t="n">
        <v>24220.7808123972</v>
      </c>
      <c r="AC45" t="n">
        <v>24907.4443768356</v>
      </c>
      <c r="AD45" t="n">
        <v>24103.1157716702</v>
      </c>
      <c r="AE45" t="n">
        <v>23847</v>
      </c>
      <c r="AF45" t="n">
        <v>26364</v>
      </c>
    </row>
    <row r="46">
      <c r="A46" t="s">
        <v>69</v>
      </c>
      <c r="B46" t="s">
        <v>362</v>
      </c>
      <c r="C46" t="s">
        <v>236</v>
      </c>
      <c r="D46" t="s">
        <v>363</v>
      </c>
      <c r="E46" t="s">
        <v>237</v>
      </c>
      <c r="F46" t="n">
        <v>206.321340252837</v>
      </c>
      <c r="G46" t="n">
        <v>310.051958832993</v>
      </c>
      <c r="H46" t="n">
        <v>241.773368620673</v>
      </c>
      <c r="I46" t="n">
        <v>309.295660757978</v>
      </c>
      <c r="J46" t="n">
        <v>311.458567476566</v>
      </c>
      <c r="K46" t="n">
        <v>398.153220279321</v>
      </c>
      <c r="L46" t="n">
        <v>345.902141502507</v>
      </c>
      <c r="M46" t="n">
        <v>430.342958398707</v>
      </c>
      <c r="N46" t="n">
        <v>495.300386081531</v>
      </c>
      <c r="O46" t="n">
        <v>468.008323991324</v>
      </c>
      <c r="P46" t="n">
        <v>481.120626172116</v>
      </c>
      <c r="Q46" t="n">
        <v>611.696161458911</v>
      </c>
      <c r="R46" t="n">
        <v>610.691734264397</v>
      </c>
      <c r="S46" t="n">
        <v>738.674985504626</v>
      </c>
      <c r="T46" t="n">
        <v>530.668979971043</v>
      </c>
      <c r="U46" t="n">
        <v>567.836457167459</v>
      </c>
      <c r="V46" t="n">
        <v>627.66395819989</v>
      </c>
      <c r="W46" t="n">
        <v>639.171130766888</v>
      </c>
      <c r="X46" t="n">
        <v>606.074890986078</v>
      </c>
      <c r="Y46" t="n">
        <v>642.273903246338</v>
      </c>
      <c r="Z46" t="n">
        <v>583.321226136771</v>
      </c>
      <c r="AA46" t="n">
        <v>695.891989075446</v>
      </c>
      <c r="AB46" t="n">
        <v>779.152330456703</v>
      </c>
      <c r="AC46" t="n">
        <v>835.612644257914</v>
      </c>
      <c r="AD46" t="n">
        <v>871.192258064516</v>
      </c>
      <c r="AE46" t="n">
        <v>786</v>
      </c>
      <c r="AF46" t="n">
        <v>1236</v>
      </c>
    </row>
    <row r="47">
      <c r="A47" t="s">
        <v>69</v>
      </c>
      <c r="B47" t="s">
        <v>364</v>
      </c>
      <c r="C47" t="s">
        <v>236</v>
      </c>
      <c r="D47" t="s">
        <v>365</v>
      </c>
      <c r="E47" t="s">
        <v>237</v>
      </c>
      <c r="F47" t="n">
        <v>2879.63774687575</v>
      </c>
      <c r="G47" t="n">
        <v>2976.73828207072</v>
      </c>
      <c r="H47" t="n">
        <v>3365.9924517485</v>
      </c>
      <c r="I47" t="n">
        <v>3725.20903750822</v>
      </c>
      <c r="J47" t="n">
        <v>3681.12372345486</v>
      </c>
      <c r="K47" t="n">
        <v>3465.09873928993</v>
      </c>
      <c r="L47" t="n">
        <v>3145.63148795224</v>
      </c>
      <c r="M47" t="n">
        <v>3449.7367192897</v>
      </c>
      <c r="N47" t="n">
        <v>3724.82647781542</v>
      </c>
      <c r="O47" t="n">
        <v>3910.99833459546</v>
      </c>
      <c r="P47" t="n">
        <v>4007.01523700081</v>
      </c>
      <c r="Q47" t="n">
        <v>3433.8349886966</v>
      </c>
      <c r="R47" t="n">
        <v>3218.66980618758</v>
      </c>
      <c r="S47" t="n">
        <v>3679.33222561228</v>
      </c>
      <c r="T47" t="n">
        <v>3618.36753086448</v>
      </c>
      <c r="U47" t="n">
        <v>3636.6018239334</v>
      </c>
      <c r="V47" t="n">
        <v>3393.4832318483</v>
      </c>
      <c r="W47" t="n">
        <v>3795.71399191722</v>
      </c>
      <c r="X47" t="n">
        <v>3811.43340381086</v>
      </c>
      <c r="Y47" t="n">
        <v>4031.56228532163</v>
      </c>
      <c r="Z47" t="n">
        <v>3497.50585240717</v>
      </c>
      <c r="AA47" t="n">
        <v>3757.65091580936</v>
      </c>
      <c r="AB47" t="n">
        <v>3882.03490996271</v>
      </c>
      <c r="AC47" t="n">
        <v>4141.04198597025</v>
      </c>
      <c r="AD47" t="n">
        <v>4131.00552938767</v>
      </c>
      <c r="AE47" t="n">
        <v>4820</v>
      </c>
      <c r="AF47" t="n">
        <v>3939</v>
      </c>
    </row>
    <row r="48">
      <c r="A48" t="s">
        <v>69</v>
      </c>
      <c r="B48" t="s">
        <v>366</v>
      </c>
      <c r="C48" t="s">
        <v>236</v>
      </c>
      <c r="D48" t="s">
        <v>367</v>
      </c>
      <c r="E48" t="s">
        <v>237</v>
      </c>
      <c r="F48" t="n">
        <v>5237.33261199454</v>
      </c>
      <c r="G48" t="n">
        <v>5692.61343899376</v>
      </c>
      <c r="H48" t="n">
        <v>6496.070618058</v>
      </c>
      <c r="I48" t="n">
        <v>6640.39288245339</v>
      </c>
      <c r="J48" t="n">
        <v>6663.60562848854</v>
      </c>
      <c r="K48" t="n">
        <v>6428.11568949726</v>
      </c>
      <c r="L48" t="n">
        <v>6379.62933115363</v>
      </c>
      <c r="M48" t="n">
        <v>7058.73738537373</v>
      </c>
      <c r="N48" t="n">
        <v>7451.83898310641</v>
      </c>
      <c r="O48" t="n">
        <v>7616.58327928334</v>
      </c>
      <c r="P48" t="n">
        <v>7473.99729641053</v>
      </c>
      <c r="Q48" t="n">
        <v>7071.26310625307</v>
      </c>
      <c r="R48" t="n">
        <v>7026.02563436148</v>
      </c>
      <c r="S48" t="n">
        <v>7503.4746107439</v>
      </c>
      <c r="T48" t="n">
        <v>7502.30529882077</v>
      </c>
      <c r="U48" t="n">
        <v>7706.80739029953</v>
      </c>
      <c r="V48" t="n">
        <v>7537.45285585681</v>
      </c>
      <c r="W48" t="n">
        <v>7918.70707701218</v>
      </c>
      <c r="X48" t="n">
        <v>7939.589163683</v>
      </c>
      <c r="Y48" t="n">
        <v>8198.62959316695</v>
      </c>
      <c r="Z48" t="n">
        <v>7533.78903723111</v>
      </c>
      <c r="AA48" t="n">
        <v>8203.69698287126</v>
      </c>
      <c r="AB48" t="n">
        <v>8532.2715824453</v>
      </c>
      <c r="AC48" t="n">
        <v>8837.52004943467</v>
      </c>
      <c r="AD48" t="n">
        <v>9168.87559856345</v>
      </c>
      <c r="AE48" t="n">
        <v>10037</v>
      </c>
      <c r="AF48" t="n">
        <v>9078</v>
      </c>
    </row>
    <row r="49">
      <c r="A49" t="s">
        <v>69</v>
      </c>
      <c r="B49" t="s">
        <v>368</v>
      </c>
      <c r="C49" t="s">
        <v>236</v>
      </c>
      <c r="D49" t="s">
        <v>369</v>
      </c>
      <c r="E49" t="s">
        <v>237</v>
      </c>
      <c r="F49" t="n">
        <v>1750.92078170288</v>
      </c>
      <c r="G49" t="n">
        <v>2026.22279140459</v>
      </c>
      <c r="H49" t="n">
        <v>2419.90957262224</v>
      </c>
      <c r="I49" t="n">
        <v>2198.29303864502</v>
      </c>
      <c r="J49" t="n">
        <v>2232.99379695039</v>
      </c>
      <c r="K49" t="n">
        <v>2114.39776828079</v>
      </c>
      <c r="L49" t="n">
        <v>2329.58705541499</v>
      </c>
      <c r="M49" t="n">
        <v>2587.56667596129</v>
      </c>
      <c r="N49" t="n">
        <v>2692.96342958663</v>
      </c>
      <c r="O49" t="n">
        <v>2683.89621265199</v>
      </c>
      <c r="P49" t="n">
        <v>2421.0858067085</v>
      </c>
      <c r="Q49" t="n">
        <v>2435.16188698006</v>
      </c>
      <c r="R49" t="n">
        <v>2521.39864857632</v>
      </c>
      <c r="S49" t="n">
        <v>2488.49939689865</v>
      </c>
      <c r="T49" t="n">
        <v>2458.65232767048</v>
      </c>
      <c r="U49" t="n">
        <v>2706.58365483053</v>
      </c>
      <c r="V49" t="n">
        <v>2771.37540447191</v>
      </c>
      <c r="W49" t="n">
        <v>2532.29967215481</v>
      </c>
      <c r="X49" t="n">
        <v>2487.49037668564</v>
      </c>
      <c r="Y49" t="n">
        <v>2562.63097868652</v>
      </c>
      <c r="Z49" t="n">
        <v>2648.16309197601</v>
      </c>
      <c r="AA49" t="n">
        <v>2786.90261363463</v>
      </c>
      <c r="AB49" t="n">
        <v>2802.03707313458</v>
      </c>
      <c r="AC49" t="n">
        <v>2857.65002267771</v>
      </c>
      <c r="AD49" t="n">
        <v>3114.26826196474</v>
      </c>
      <c r="AE49" t="n">
        <v>3226</v>
      </c>
      <c r="AF49" t="n">
        <v>3146</v>
      </c>
    </row>
    <row r="50">
      <c r="A50" t="s">
        <v>69</v>
      </c>
      <c r="B50" t="s">
        <v>370</v>
      </c>
      <c r="C50" t="s">
        <v>236</v>
      </c>
      <c r="D50" t="s">
        <v>371</v>
      </c>
      <c r="E50" t="s">
        <v>237</v>
      </c>
      <c r="F50" t="n">
        <v>602.446416393594</v>
      </c>
      <c r="G50" t="n">
        <v>704.063884219019</v>
      </c>
      <c r="H50" t="n">
        <v>746.336871056186</v>
      </c>
      <c r="I50" t="n">
        <v>706.824919059094</v>
      </c>
      <c r="J50" t="n">
        <v>742.961162364773</v>
      </c>
      <c r="K50" t="n">
        <v>832.846822839907</v>
      </c>
      <c r="L50" t="n">
        <v>919.573020920756</v>
      </c>
      <c r="M50" t="n">
        <v>1038.48332535016</v>
      </c>
      <c r="N50" t="n">
        <v>1050.4812071578</v>
      </c>
      <c r="O50" t="n">
        <v>1034.4024131707</v>
      </c>
      <c r="P50" t="n">
        <v>1041.01623934186</v>
      </c>
      <c r="Q50" t="n">
        <v>1202.75242449239</v>
      </c>
      <c r="R50" t="n">
        <v>1293.92680350375</v>
      </c>
      <c r="S50" t="n">
        <v>1325.01931449368</v>
      </c>
      <c r="T50" t="n">
        <v>1413.20123948591</v>
      </c>
      <c r="U50" t="n">
        <v>1361.16027731171</v>
      </c>
      <c r="V50" t="n">
        <v>1382.97762815019</v>
      </c>
      <c r="W50" t="n">
        <v>1579.1868359273</v>
      </c>
      <c r="X50" t="n">
        <v>1628.42906503889</v>
      </c>
      <c r="Y50" t="n">
        <v>1583.50688393437</v>
      </c>
      <c r="Z50" t="n">
        <v>1385.84770307655</v>
      </c>
      <c r="AA50" t="n">
        <v>1661.4613601439</v>
      </c>
      <c r="AB50" t="n">
        <v>1853.12631599438</v>
      </c>
      <c r="AC50" t="n">
        <v>1838.06024838467</v>
      </c>
      <c r="AD50" t="n">
        <v>1931.21933842239</v>
      </c>
      <c r="AE50" t="n">
        <v>1991</v>
      </c>
      <c r="AF50" t="n">
        <v>1993</v>
      </c>
    </row>
    <row r="51">
      <c r="A51" t="s">
        <v>69</v>
      </c>
      <c r="B51" t="s">
        <v>372</v>
      </c>
      <c r="C51" t="s">
        <v>236</v>
      </c>
      <c r="D51" t="s">
        <v>373</v>
      </c>
      <c r="E51" t="s">
        <v>237</v>
      </c>
      <c r="F51" t="n">
        <v>358.562585215554</v>
      </c>
      <c r="G51" t="n">
        <v>390.404050311916</v>
      </c>
      <c r="H51" t="n">
        <v>448.756257120103</v>
      </c>
      <c r="I51" t="n">
        <v>423.748168488023</v>
      </c>
      <c r="J51" t="n">
        <v>438.980945786612</v>
      </c>
      <c r="K51" t="n">
        <v>497.421133615789</v>
      </c>
      <c r="L51" t="n">
        <v>554.918737770303</v>
      </c>
      <c r="M51" t="n">
        <v>679.386492036539</v>
      </c>
      <c r="N51" t="n">
        <v>662.401829735625</v>
      </c>
      <c r="O51" t="n">
        <v>650.573225633203</v>
      </c>
      <c r="P51" t="n">
        <v>689.607619171195</v>
      </c>
      <c r="Q51" t="n">
        <v>821.4443698951</v>
      </c>
      <c r="R51" t="n">
        <v>806.621313596242</v>
      </c>
      <c r="S51" t="n">
        <v>798.293364930794</v>
      </c>
      <c r="T51" t="n">
        <v>908.087294778009</v>
      </c>
      <c r="U51" t="n">
        <v>866.548358803411</v>
      </c>
      <c r="V51" t="n">
        <v>897.840382871312</v>
      </c>
      <c r="W51" t="n">
        <v>1049.05560524964</v>
      </c>
      <c r="X51" t="n">
        <v>1094.66671852136</v>
      </c>
      <c r="Y51" t="n">
        <v>1045.46821431815</v>
      </c>
      <c r="Z51" t="n">
        <v>899.924817850909</v>
      </c>
      <c r="AA51" t="n">
        <v>1099.78542156995</v>
      </c>
      <c r="AB51" t="n">
        <v>1317.78054973049</v>
      </c>
      <c r="AC51" t="n">
        <v>1327.43069208002</v>
      </c>
      <c r="AD51" t="n">
        <v>1373.38423295455</v>
      </c>
      <c r="AE51" t="n">
        <v>1425</v>
      </c>
      <c r="AF51" t="n">
        <v>1444</v>
      </c>
    </row>
    <row r="52">
      <c r="A52" t="s">
        <v>69</v>
      </c>
      <c r="B52" t="s">
        <v>374</v>
      </c>
      <c r="C52" t="s">
        <v>236</v>
      </c>
      <c r="D52" t="s">
        <v>375</v>
      </c>
      <c r="E52" t="s">
        <v>237</v>
      </c>
      <c r="F52" t="n">
        <v>246.343316791696</v>
      </c>
      <c r="G52" t="n">
        <v>320.562136594322</v>
      </c>
      <c r="H52" t="n">
        <v>299.931900080826</v>
      </c>
      <c r="I52" t="n">
        <v>285.496674943246</v>
      </c>
      <c r="J52" t="n">
        <v>307.337950621964</v>
      </c>
      <c r="K52" t="n">
        <v>338.668518403815</v>
      </c>
      <c r="L52" t="n">
        <v>367.738777494271</v>
      </c>
      <c r="M52" t="n">
        <v>359.505819789176</v>
      </c>
      <c r="N52" t="n">
        <v>390.042993670882</v>
      </c>
      <c r="O52" t="n">
        <v>385.863961595837</v>
      </c>
      <c r="P52" t="n">
        <v>351.656163582021</v>
      </c>
      <c r="Q52" t="n">
        <v>380.631577809753</v>
      </c>
      <c r="R52" t="n">
        <v>489.200987587703</v>
      </c>
      <c r="S52" t="n">
        <v>529.16047419759</v>
      </c>
      <c r="T52" t="n">
        <v>507.256227988975</v>
      </c>
      <c r="U52" t="n">
        <v>496.761271547824</v>
      </c>
      <c r="V52" t="n">
        <v>486.900005611391</v>
      </c>
      <c r="W52" t="n">
        <v>531.602983794074</v>
      </c>
      <c r="X52" t="n">
        <v>535.077513099918</v>
      </c>
      <c r="Y52" t="n">
        <v>539.621695801403</v>
      </c>
      <c r="Z52" t="n">
        <v>487.582706269192</v>
      </c>
      <c r="AA52" t="n">
        <v>563.203172287794</v>
      </c>
      <c r="AB52" t="n">
        <v>535.486480738198</v>
      </c>
      <c r="AC52" t="n">
        <v>510.504352833576</v>
      </c>
      <c r="AD52" t="n">
        <v>557.870736086176</v>
      </c>
      <c r="AE52" t="n">
        <v>566</v>
      </c>
      <c r="AF52" t="n">
        <v>549</v>
      </c>
    </row>
    <row r="53">
      <c r="A53" t="s">
        <v>69</v>
      </c>
      <c r="B53" t="s">
        <v>376</v>
      </c>
      <c r="C53" t="s">
        <v>236</v>
      </c>
      <c r="D53" t="s">
        <v>377</v>
      </c>
      <c r="E53" t="s">
        <v>237</v>
      </c>
      <c r="F53" t="n">
        <v>389.816840783577</v>
      </c>
      <c r="G53" t="n">
        <v>497.452834134267</v>
      </c>
      <c r="H53" t="n">
        <v>581.095346068347</v>
      </c>
      <c r="I53" t="n">
        <v>540.316725291621</v>
      </c>
      <c r="J53" t="n">
        <v>386.556380594271</v>
      </c>
      <c r="K53" t="n">
        <v>508.919551429868</v>
      </c>
      <c r="L53" t="n">
        <v>484.621005207752</v>
      </c>
      <c r="M53" t="n">
        <v>501.602334231205</v>
      </c>
      <c r="N53" t="n">
        <v>594.105621842673</v>
      </c>
      <c r="O53" t="n">
        <v>544.813015663587</v>
      </c>
      <c r="P53" t="n">
        <v>512.91529811888</v>
      </c>
      <c r="Q53" t="n">
        <v>574.563771450477</v>
      </c>
      <c r="R53" t="n">
        <v>632.1400992785</v>
      </c>
      <c r="S53" t="n">
        <v>591.543946113825</v>
      </c>
      <c r="T53" t="n">
        <v>578.225883537154</v>
      </c>
      <c r="U53" t="n">
        <v>578.225883537154</v>
      </c>
      <c r="V53" t="n">
        <v>591.83119844391</v>
      </c>
      <c r="W53" t="n">
        <v>666.914260933063</v>
      </c>
      <c r="X53" t="n">
        <v>643.32565363318</v>
      </c>
      <c r="Y53" t="n">
        <v>601.071095102265</v>
      </c>
      <c r="Z53" t="n">
        <v>675.67957019363</v>
      </c>
      <c r="AA53" t="n">
        <v>786.36031102098</v>
      </c>
      <c r="AB53" t="n">
        <v>862.841930312061</v>
      </c>
      <c r="AC53" t="n">
        <v>1014.92178094234</v>
      </c>
      <c r="AD53" t="n">
        <v>989.188470066519</v>
      </c>
      <c r="AE53" t="n">
        <v>904</v>
      </c>
      <c r="AF53" t="n">
        <v>825</v>
      </c>
    </row>
    <row r="54">
      <c r="A54" t="s">
        <v>69</v>
      </c>
      <c r="B54" t="s">
        <v>378</v>
      </c>
      <c r="C54" t="s">
        <v>236</v>
      </c>
      <c r="D54" t="s">
        <v>379</v>
      </c>
      <c r="E54" t="s">
        <v>237</v>
      </c>
      <c r="F54" t="n">
        <v>530.750129863561</v>
      </c>
      <c r="G54" t="n">
        <v>646.851720771215</v>
      </c>
      <c r="H54" t="n">
        <v>772.048828017257</v>
      </c>
      <c r="I54" t="n">
        <v>766.50449172988</v>
      </c>
      <c r="J54" t="n">
        <v>649.001129361306</v>
      </c>
      <c r="K54" t="n">
        <v>724.651567753115</v>
      </c>
      <c r="L54" t="n">
        <v>702.653216589181</v>
      </c>
      <c r="M54" t="n">
        <v>707.681146582664</v>
      </c>
      <c r="N54" t="n">
        <v>842.178273908321</v>
      </c>
      <c r="O54" t="n">
        <v>818.295606439279</v>
      </c>
      <c r="P54" t="n">
        <v>767.538995449853</v>
      </c>
      <c r="Q54" t="n">
        <v>798.769064122304</v>
      </c>
      <c r="R54" t="n">
        <v>889.085096335839</v>
      </c>
      <c r="S54" t="n">
        <v>887.949610899906</v>
      </c>
      <c r="T54" t="n">
        <v>877.014270864192</v>
      </c>
      <c r="U54" t="n">
        <v>894.598516896557</v>
      </c>
      <c r="V54" t="n">
        <v>870.967612676648</v>
      </c>
      <c r="W54" t="n">
        <v>930.42684287202</v>
      </c>
      <c r="X54" t="n">
        <v>886.478109510553</v>
      </c>
      <c r="Y54" t="n">
        <v>840.990569285072</v>
      </c>
      <c r="Z54" t="n">
        <v>935.72042064384</v>
      </c>
      <c r="AA54" t="n">
        <v>1036.99343122085</v>
      </c>
      <c r="AB54" t="n">
        <v>1100.13338214142</v>
      </c>
      <c r="AC54" t="n">
        <v>1250.53402616267</v>
      </c>
      <c r="AD54" t="n">
        <v>1242.31358885017</v>
      </c>
      <c r="AE54" t="n">
        <v>1152</v>
      </c>
      <c r="AF54" t="n">
        <v>1154</v>
      </c>
    </row>
    <row r="55">
      <c r="A55" t="s">
        <v>69</v>
      </c>
      <c r="B55" t="s">
        <v>380</v>
      </c>
      <c r="C55" t="s">
        <v>236</v>
      </c>
      <c r="D55" t="s">
        <v>381</v>
      </c>
      <c r="E55" t="s">
        <v>237</v>
      </c>
      <c r="F55" t="n">
        <v>144.163908614081</v>
      </c>
      <c r="G55" t="n">
        <v>156.591831770467</v>
      </c>
      <c r="H55" t="n">
        <v>197.603978186542</v>
      </c>
      <c r="I55" t="n">
        <v>227.619772341459</v>
      </c>
      <c r="J55" t="n">
        <v>253.457692445085</v>
      </c>
      <c r="K55" t="n">
        <v>216.219832417608</v>
      </c>
      <c r="L55" t="n">
        <v>217.401361556502</v>
      </c>
      <c r="M55" t="n">
        <v>206.993849567095</v>
      </c>
      <c r="N55" t="n">
        <v>248.857774198642</v>
      </c>
      <c r="O55" t="n">
        <v>271.161065282483</v>
      </c>
      <c r="P55" t="n">
        <v>252.6201377418</v>
      </c>
      <c r="Q55" t="n">
        <v>225.432320226987</v>
      </c>
      <c r="R55" t="n">
        <v>257.796366200169</v>
      </c>
      <c r="S55" t="n">
        <v>294.624418514479</v>
      </c>
      <c r="T55" t="n">
        <v>296.736421514582</v>
      </c>
      <c r="U55" t="n">
        <v>313.692788458273</v>
      </c>
      <c r="V55" t="n">
        <v>277.370465584157</v>
      </c>
      <c r="W55" t="n">
        <v>262.142283159929</v>
      </c>
      <c r="X55" t="n">
        <v>241.895521452455</v>
      </c>
      <c r="Y55" t="n">
        <v>238.726584490195</v>
      </c>
      <c r="Z55" t="n">
        <v>258.708104777921</v>
      </c>
      <c r="AA55" t="n">
        <v>249.243174115314</v>
      </c>
      <c r="AB55" t="n">
        <v>236.728872486093</v>
      </c>
      <c r="AC55" t="n">
        <v>235.695121951219</v>
      </c>
      <c r="AD55" t="n">
        <v>253.040650406504</v>
      </c>
      <c r="AE55" t="n">
        <v>248</v>
      </c>
      <c r="AF55" t="n">
        <v>329</v>
      </c>
    </row>
    <row r="56">
      <c r="A56" t="s">
        <v>69</v>
      </c>
      <c r="B56" t="s">
        <v>382</v>
      </c>
      <c r="C56" t="s">
        <v>236</v>
      </c>
      <c r="D56" t="s">
        <v>383</v>
      </c>
      <c r="E56" t="s">
        <v>237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69</v>
      </c>
      <c r="B57" t="s">
        <v>384</v>
      </c>
      <c r="C57" t="s">
        <v>236</v>
      </c>
      <c r="D57" t="s">
        <v>385</v>
      </c>
      <c r="E57" t="s">
        <v>237</v>
      </c>
      <c r="F57" t="n">
        <v>30615.6304443604</v>
      </c>
      <c r="G57" t="n">
        <v>33678.9660659579</v>
      </c>
      <c r="H57" t="n">
        <v>37344.5506191472</v>
      </c>
      <c r="I57" t="n">
        <v>41329.8626117101</v>
      </c>
      <c r="J57" t="n">
        <v>43203.5077643059</v>
      </c>
      <c r="K57" t="n">
        <v>45889.6026300452</v>
      </c>
      <c r="L57" t="n">
        <v>46699.1617355658</v>
      </c>
      <c r="M57" t="n">
        <v>45320.0938775181</v>
      </c>
      <c r="N57" t="n">
        <v>46587.4627579313</v>
      </c>
      <c r="O57" t="n">
        <v>48759.2706024973</v>
      </c>
      <c r="P57" t="n">
        <v>50344.7472247032</v>
      </c>
      <c r="Q57" t="n">
        <v>51027.6953363808</v>
      </c>
      <c r="R57" t="n">
        <v>56282.4148139547</v>
      </c>
      <c r="S57" t="n">
        <v>56639.2858355751</v>
      </c>
      <c r="T57" t="n">
        <v>49825.8593571515</v>
      </c>
      <c r="U57" t="n">
        <v>52127.2599079959</v>
      </c>
      <c r="V57" t="n">
        <v>53480.915142349</v>
      </c>
      <c r="W57" t="n">
        <v>53099.4147980252</v>
      </c>
      <c r="X57" t="n">
        <v>50835.3188547557</v>
      </c>
      <c r="Y57" t="n">
        <v>49688.7164028121</v>
      </c>
      <c r="Z57" t="n">
        <v>49774.3003679841</v>
      </c>
      <c r="AA57" t="n">
        <v>54351.1966992693</v>
      </c>
      <c r="AB57" t="n">
        <v>57063.9474676008</v>
      </c>
      <c r="AC57" t="n">
        <v>59571.3693294241</v>
      </c>
      <c r="AD57" t="n">
        <v>58951.9766618045</v>
      </c>
      <c r="AE57" t="n">
        <v>58284</v>
      </c>
      <c r="AF57" t="n">
        <v>59276</v>
      </c>
    </row>
    <row r="58">
      <c r="A58" t="s">
        <v>69</v>
      </c>
      <c r="B58" t="s">
        <v>386</v>
      </c>
      <c r="C58" t="s">
        <v>236</v>
      </c>
      <c r="D58" t="s">
        <v>387</v>
      </c>
      <c r="E58" t="s">
        <v>237</v>
      </c>
      <c r="F58" t="n">
        <v>30615.6304443604</v>
      </c>
      <c r="G58" t="n">
        <v>33678.9660659579</v>
      </c>
      <c r="H58" t="n">
        <v>37344.5506191472</v>
      </c>
      <c r="I58" t="n">
        <v>41329.8626117101</v>
      </c>
      <c r="J58" t="n">
        <v>43203.5077643059</v>
      </c>
      <c r="K58" t="n">
        <v>45889.6026300452</v>
      </c>
      <c r="L58" t="n">
        <v>46699.1617355658</v>
      </c>
      <c r="M58" t="n">
        <v>45320.0938775181</v>
      </c>
      <c r="N58" t="n">
        <v>46587.4627579313</v>
      </c>
      <c r="O58" t="n">
        <v>48759.2706024973</v>
      </c>
      <c r="P58" t="n">
        <v>50344.7472247032</v>
      </c>
      <c r="Q58" t="n">
        <v>51027.6953363808</v>
      </c>
      <c r="R58" t="n">
        <v>56282.4148139547</v>
      </c>
      <c r="S58" t="n">
        <v>56639.2858355751</v>
      </c>
      <c r="T58" t="n">
        <v>49825.8593571515</v>
      </c>
      <c r="U58" t="n">
        <v>52127.2599079959</v>
      </c>
      <c r="V58" t="n">
        <v>53480.915142349</v>
      </c>
      <c r="W58" t="n">
        <v>53099.4147980252</v>
      </c>
      <c r="X58" t="n">
        <v>50835.3188547557</v>
      </c>
      <c r="Y58" t="n">
        <v>49688.7164028121</v>
      </c>
      <c r="Z58" t="n">
        <v>49774.3003679841</v>
      </c>
      <c r="AA58" t="n">
        <v>54351.1966992693</v>
      </c>
      <c r="AB58" t="n">
        <v>57063.9474676008</v>
      </c>
      <c r="AC58" t="n">
        <v>59571.3693294241</v>
      </c>
      <c r="AD58" t="n">
        <v>58951.9766618045</v>
      </c>
      <c r="AE58" t="n">
        <v>58284</v>
      </c>
      <c r="AF58" t="n">
        <v>59276</v>
      </c>
    </row>
    <row r="59">
      <c r="A59" t="s">
        <v>69</v>
      </c>
      <c r="B59" t="s">
        <v>388</v>
      </c>
      <c r="C59" t="s">
        <v>236</v>
      </c>
      <c r="D59" t="s">
        <v>389</v>
      </c>
      <c r="E59" t="s">
        <v>237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141</v>
      </c>
      <c r="B2" t="s">
        <v>197</v>
      </c>
      <c r="C2" t="s">
        <v>236</v>
      </c>
      <c r="D2" t="s">
        <v>199</v>
      </c>
      <c r="E2" t="s">
        <v>237</v>
      </c>
      <c r="F2" t="n">
        <v>10.9876593052541</v>
      </c>
      <c r="G2" t="n">
        <v>11.8882871171602</v>
      </c>
      <c r="H2" t="n">
        <v>13.3743230068052</v>
      </c>
      <c r="I2" t="n">
        <v>17.1595087634482</v>
      </c>
      <c r="J2" t="n">
        <v>21.4493859543102</v>
      </c>
      <c r="K2" t="n">
        <v>22.2019959877948</v>
      </c>
      <c r="L2" t="n">
        <v>19.1546632051563</v>
      </c>
      <c r="M2" t="n">
        <v>18.6505931208101</v>
      </c>
      <c r="N2" t="n">
        <v>19.8162551908607</v>
      </c>
      <c r="O2" t="n">
        <v>23.9161700579354</v>
      </c>
      <c r="P2" t="n">
        <v>26.8150997619275</v>
      </c>
      <c r="Q2" t="n">
        <v>26.8150997619275</v>
      </c>
      <c r="R2" t="n">
        <v>26.8150997619275</v>
      </c>
      <c r="S2" t="n">
        <v>27.5812454694112</v>
      </c>
      <c r="T2" t="n">
        <v>29.1573166390918</v>
      </c>
      <c r="U2" t="n">
        <v>32.5875891848673</v>
      </c>
      <c r="V2" t="n">
        <v>34.3490804921574</v>
      </c>
      <c r="W2" t="n">
        <v>36.2057875457875</v>
      </c>
      <c r="X2" t="n">
        <v>37.1585714285714</v>
      </c>
      <c r="Y2" t="n">
        <v>39.1142857142857</v>
      </c>
      <c r="Z2" t="n">
        <v>40.1436090225564</v>
      </c>
      <c r="AA2" t="n">
        <v>43.3984962406015</v>
      </c>
      <c r="AB2" t="n">
        <v>43.3984962406015</v>
      </c>
      <c r="AC2" t="n">
        <v>41.2285714285714</v>
      </c>
      <c r="AD2" t="n">
        <v>37</v>
      </c>
      <c r="AE2" t="n">
        <v>33</v>
      </c>
      <c r="AF2" t="n">
        <v>31</v>
      </c>
    </row>
    <row r="3">
      <c r="A3" t="s">
        <v>141</v>
      </c>
      <c r="B3" t="s">
        <v>276</v>
      </c>
      <c r="C3" t="s">
        <v>236</v>
      </c>
      <c r="D3" t="s">
        <v>277</v>
      </c>
      <c r="E3" t="s">
        <v>237</v>
      </c>
      <c r="F3" t="n">
        <v>0.133333333333333</v>
      </c>
      <c r="G3" t="n">
        <v>0.222222222222222</v>
      </c>
      <c r="H3" t="n">
        <v>0.222222222222222</v>
      </c>
      <c r="I3" t="n">
        <v>0.444444444444444</v>
      </c>
      <c r="J3" t="n">
        <v>0.444444444444444</v>
      </c>
      <c r="K3" t="n">
        <v>0.444444444444444</v>
      </c>
      <c r="L3" t="n">
        <v>0.444444444444444</v>
      </c>
      <c r="M3" t="n">
        <v>0.444444444444444</v>
      </c>
      <c r="N3" t="n">
        <v>0.592592592592593</v>
      </c>
      <c r="O3" t="n">
        <v>0.444444444444444</v>
      </c>
      <c r="P3" t="n">
        <v>0.444444444444444</v>
      </c>
      <c r="Q3" t="n">
        <v>0.444444444444444</v>
      </c>
      <c r="R3" t="n">
        <v>0.296296296296296</v>
      </c>
      <c r="S3" t="n">
        <v>0.888888888888889</v>
      </c>
      <c r="T3" t="n">
        <v>0.888888888888889</v>
      </c>
      <c r="U3" t="n">
        <v>1.33333333333333</v>
      </c>
      <c r="V3" t="n">
        <v>2</v>
      </c>
      <c r="W3" t="n">
        <v>5</v>
      </c>
      <c r="X3" t="n">
        <v>9</v>
      </c>
      <c r="Y3" t="n">
        <v>9</v>
      </c>
      <c r="Z3" t="n">
        <v>9</v>
      </c>
      <c r="AA3" t="n">
        <v>8</v>
      </c>
      <c r="AB3" t="n">
        <v>8</v>
      </c>
      <c r="AC3" t="n">
        <v>8</v>
      </c>
      <c r="AD3" t="n">
        <v>8</v>
      </c>
      <c r="AE3" t="n">
        <v>11</v>
      </c>
      <c r="AF3" t="n">
        <v>15</v>
      </c>
    </row>
    <row r="4">
      <c r="A4" t="s">
        <v>141</v>
      </c>
      <c r="B4" t="s">
        <v>278</v>
      </c>
      <c r="C4" t="s">
        <v>236</v>
      </c>
      <c r="D4" t="s">
        <v>279</v>
      </c>
      <c r="E4" t="s">
        <v>237</v>
      </c>
      <c r="F4" t="n">
        <v>29.9316660367123</v>
      </c>
      <c r="G4" t="n">
        <v>38.3801201599778</v>
      </c>
      <c r="H4" t="n">
        <v>42.5059830771755</v>
      </c>
      <c r="I4" t="n">
        <v>54.9412440837959</v>
      </c>
      <c r="J4" t="n">
        <v>64.9181366661768</v>
      </c>
      <c r="K4" t="n">
        <v>68.2472718798269</v>
      </c>
      <c r="L4" t="n">
        <v>64.8940822209915</v>
      </c>
      <c r="M4" t="n">
        <v>61.637748346103</v>
      </c>
      <c r="N4" t="n">
        <v>64.9695185269734</v>
      </c>
      <c r="O4" t="n">
        <v>75.090398297507</v>
      </c>
      <c r="P4" t="n">
        <v>81.7816219081759</v>
      </c>
      <c r="Q4" t="n">
        <v>112.976673563872</v>
      </c>
      <c r="R4" t="n">
        <v>157.165130562644</v>
      </c>
      <c r="S4" t="n">
        <v>174.347170559847</v>
      </c>
      <c r="T4" t="n">
        <v>191.838310648375</v>
      </c>
      <c r="U4" t="n">
        <v>200.588830081459</v>
      </c>
      <c r="V4" t="n">
        <v>211.226116525172</v>
      </c>
      <c r="W4" t="n">
        <v>237.942463279344</v>
      </c>
      <c r="X4" t="n">
        <v>232.430282662835</v>
      </c>
      <c r="Y4" t="n">
        <v>241.256749093069</v>
      </c>
      <c r="Z4" t="n">
        <v>275.867421958741</v>
      </c>
      <c r="AA4" t="n">
        <v>280.079138324523</v>
      </c>
      <c r="AB4" t="n">
        <v>304.115780792673</v>
      </c>
      <c r="AC4" t="n">
        <v>305.153718611078</v>
      </c>
      <c r="AD4" t="n">
        <v>296.961672473868</v>
      </c>
      <c r="AE4" t="n">
        <v>286</v>
      </c>
      <c r="AF4" t="n">
        <v>290</v>
      </c>
    </row>
    <row r="5">
      <c r="A5" t="s">
        <v>141</v>
      </c>
      <c r="B5" t="s">
        <v>280</v>
      </c>
      <c r="C5" t="s">
        <v>236</v>
      </c>
      <c r="D5" t="s">
        <v>281</v>
      </c>
      <c r="E5" t="s">
        <v>237</v>
      </c>
      <c r="F5" t="n">
        <v>3.1058833647632</v>
      </c>
      <c r="G5" t="n">
        <v>3.72706003771584</v>
      </c>
      <c r="H5" t="n">
        <v>3.88910612631218</v>
      </c>
      <c r="I5" t="n">
        <v>5.21709358407732</v>
      </c>
      <c r="J5" t="n">
        <v>6.14457688791328</v>
      </c>
      <c r="K5" t="n">
        <v>6.14457688791328</v>
      </c>
      <c r="L5" t="n">
        <v>5.97850724229401</v>
      </c>
      <c r="M5" t="n">
        <v>5.97850724229401</v>
      </c>
      <c r="N5" t="n">
        <v>6.89827758726232</v>
      </c>
      <c r="O5" t="n">
        <v>8.27793310471478</v>
      </c>
      <c r="P5" t="n">
        <v>9.27128507728055</v>
      </c>
      <c r="Q5" t="n">
        <v>11.4963934958279</v>
      </c>
      <c r="R5" t="n">
        <v>15.3285246611038</v>
      </c>
      <c r="S5" t="n">
        <v>17.7236066394013</v>
      </c>
      <c r="T5" t="n">
        <v>22.2974406108597</v>
      </c>
      <c r="U5" t="n">
        <v>22.9532476876497</v>
      </c>
      <c r="V5" t="n">
        <v>24.4834642001597</v>
      </c>
      <c r="W5" t="n">
        <v>26.9318106201757</v>
      </c>
      <c r="X5" t="n">
        <v>27.8604937450093</v>
      </c>
      <c r="Y5" t="n">
        <v>30.7426137875965</v>
      </c>
      <c r="Z5" t="n">
        <v>34.841628959276</v>
      </c>
      <c r="AA5" t="n">
        <v>35.8974358974359</v>
      </c>
      <c r="AB5" t="n">
        <v>47.1794871794872</v>
      </c>
      <c r="AC5" t="n">
        <v>45.1282051282051</v>
      </c>
      <c r="AD5" t="n">
        <v>40</v>
      </c>
      <c r="AE5" t="n">
        <v>38</v>
      </c>
      <c r="AF5" t="n">
        <v>37</v>
      </c>
    </row>
    <row r="6">
      <c r="A6" t="s">
        <v>141</v>
      </c>
      <c r="B6" t="s">
        <v>282</v>
      </c>
      <c r="C6" t="s">
        <v>236</v>
      </c>
      <c r="D6" t="s">
        <v>283</v>
      </c>
      <c r="E6" t="s">
        <v>237</v>
      </c>
      <c r="F6" t="e">
        <v>#NUM!</v>
      </c>
      <c r="G6" t="e">
        <v>#NUM!</v>
      </c>
      <c r="H6" t="e">
        <v>#NUM!</v>
      </c>
      <c r="I6" t="e">
        <v>#NUM!</v>
      </c>
      <c r="J6" t="e">
        <v>#NUM!</v>
      </c>
      <c r="K6" t="e">
        <v>#NUM!</v>
      </c>
      <c r="L6" t="e">
        <v>#NUM!</v>
      </c>
      <c r="M6" t="e">
        <v>#NUM!</v>
      </c>
      <c r="N6" t="e">
        <v>#NUM!</v>
      </c>
      <c r="O6" t="e">
        <v>#NUM!</v>
      </c>
      <c r="P6" t="e">
        <v>#NUM!</v>
      </c>
      <c r="Q6" t="e">
        <v>#NUM!</v>
      </c>
      <c r="R6" t="e">
        <v>#NUM!</v>
      </c>
      <c r="S6" t="e">
        <v>#NUM!</v>
      </c>
      <c r="T6" t="e">
        <v>#NUM!</v>
      </c>
      <c r="U6" t="e">
        <v>#NUM!</v>
      </c>
      <c r="V6" t="e">
        <v>#NUM!</v>
      </c>
      <c r="W6" t="e">
        <v>#NUM!</v>
      </c>
      <c r="X6" t="e">
        <v>#NUM!</v>
      </c>
      <c r="Y6" t="e">
        <v>#NUM!</v>
      </c>
      <c r="Z6" t="e">
        <v>#NUM!</v>
      </c>
      <c r="AA6" t="e">
        <v>#NUM!</v>
      </c>
      <c r="AB6" t="e">
        <v>#NUM!</v>
      </c>
      <c r="AC6" t="e">
        <v>#NUM!</v>
      </c>
      <c r="AD6" t="e">
        <v>#NUM!</v>
      </c>
      <c r="AE6" t="n">
        <v>0</v>
      </c>
      <c r="AF6" t="e">
        <v>#NUM!</v>
      </c>
    </row>
    <row r="7">
      <c r="A7" t="s">
        <v>141</v>
      </c>
      <c r="B7" t="s">
        <v>284</v>
      </c>
      <c r="C7" t="s">
        <v>236</v>
      </c>
      <c r="D7" t="s">
        <v>285</v>
      </c>
      <c r="E7" t="s">
        <v>237</v>
      </c>
      <c r="F7" t="n">
        <v>8.74792059592209</v>
      </c>
      <c r="G7" t="n">
        <v>13.980321700025</v>
      </c>
      <c r="H7" t="n">
        <v>15.0709850950624</v>
      </c>
      <c r="I7" t="n">
        <v>19.7806679372694</v>
      </c>
      <c r="J7" t="n">
        <v>22.6064776425936</v>
      </c>
      <c r="K7" t="n">
        <v>22.7790461742165</v>
      </c>
      <c r="L7" t="n">
        <v>21.9727082565451</v>
      </c>
      <c r="M7" t="n">
        <v>19.846317134944</v>
      </c>
      <c r="N7" t="n">
        <v>22.0825218825433</v>
      </c>
      <c r="O7" t="n">
        <v>22.4171055474303</v>
      </c>
      <c r="P7" t="n">
        <v>23.5379608248018</v>
      </c>
      <c r="Q7" t="n">
        <v>29.2045069492912</v>
      </c>
      <c r="R7" t="n">
        <v>32.9728304266191</v>
      </c>
      <c r="S7" t="n">
        <v>37.6832347732789</v>
      </c>
      <c r="T7" t="n">
        <v>34.8284442601517</v>
      </c>
      <c r="U7" t="n">
        <v>35.5250131453548</v>
      </c>
      <c r="V7" t="n">
        <v>37.8933473550451</v>
      </c>
      <c r="W7" t="n">
        <v>39.6157722348199</v>
      </c>
      <c r="X7" t="n">
        <v>39.6157722348199</v>
      </c>
      <c r="Y7" t="n">
        <v>38.6253779289494</v>
      </c>
      <c r="Z7" t="n">
        <v>41.5965608465608</v>
      </c>
      <c r="AA7" t="n">
        <v>47.6838624338624</v>
      </c>
      <c r="AB7" t="n">
        <v>67.9748677248677</v>
      </c>
      <c r="AC7" t="n">
        <v>64.9312169312169</v>
      </c>
      <c r="AD7" t="n">
        <v>62.9333333333333</v>
      </c>
      <c r="AE7" t="n">
        <v>59</v>
      </c>
      <c r="AF7" t="n">
        <v>59</v>
      </c>
    </row>
    <row r="8">
      <c r="A8" t="s">
        <v>141</v>
      </c>
      <c r="B8" t="s">
        <v>286</v>
      </c>
      <c r="C8" t="s">
        <v>236</v>
      </c>
      <c r="D8" t="s">
        <v>287</v>
      </c>
      <c r="E8" t="s">
        <v>237</v>
      </c>
      <c r="F8" t="e">
        <v>#NUM!</v>
      </c>
      <c r="G8" t="e">
        <v>#NUM!</v>
      </c>
      <c r="H8" t="e">
        <v>#NUM!</v>
      </c>
      <c r="I8" t="e">
        <v>#NUM!</v>
      </c>
      <c r="J8" t="e">
        <v>#NUM!</v>
      </c>
      <c r="K8" t="e">
        <v>#NUM!</v>
      </c>
      <c r="L8" t="e">
        <v>#NUM!</v>
      </c>
      <c r="M8" t="e">
        <v>#NUM!</v>
      </c>
      <c r="N8" t="e">
        <v>#NUM!</v>
      </c>
      <c r="O8" t="e">
        <v>#NUM!</v>
      </c>
      <c r="P8" t="e">
        <v>#NUM!</v>
      </c>
      <c r="Q8" t="e">
        <v>#NUM!</v>
      </c>
      <c r="R8" t="e">
        <v>#NUM!</v>
      </c>
      <c r="S8" t="e">
        <v>#NUM!</v>
      </c>
      <c r="T8" t="e">
        <v>#NUM!</v>
      </c>
      <c r="U8" t="e">
        <v>#NUM!</v>
      </c>
      <c r="V8" t="e">
        <v>#NUM!</v>
      </c>
      <c r="W8" t="e">
        <v>#NUM!</v>
      </c>
      <c r="X8" t="e">
        <v>#NUM!</v>
      </c>
      <c r="Y8" t="e">
        <v>#NUM!</v>
      </c>
      <c r="Z8" t="e">
        <v>#NUM!</v>
      </c>
      <c r="AA8" t="e">
        <v>#NUM!</v>
      </c>
      <c r="AB8" t="e">
        <v>#NUM!</v>
      </c>
      <c r="AC8" t="e">
        <v>#NUM!</v>
      </c>
      <c r="AD8" t="e">
        <v>#NUM!</v>
      </c>
      <c r="AE8" t="n">
        <v>0</v>
      </c>
      <c r="AF8" t="e">
        <v>#NUM!</v>
      </c>
    </row>
    <row r="9">
      <c r="A9" t="s">
        <v>141</v>
      </c>
      <c r="B9" t="s">
        <v>288</v>
      </c>
      <c r="C9" t="s">
        <v>236</v>
      </c>
      <c r="D9" t="s">
        <v>289</v>
      </c>
      <c r="E9" t="s">
        <v>237</v>
      </c>
      <c r="F9" t="n">
        <v>2.57190842501014</v>
      </c>
      <c r="G9" t="n">
        <v>2.57190842501014</v>
      </c>
      <c r="H9" t="n">
        <v>2.66376229733193</v>
      </c>
      <c r="I9" t="n">
        <v>3.21871277594275</v>
      </c>
      <c r="J9" t="n">
        <v>4.19832101209924</v>
      </c>
      <c r="K9" t="n">
        <v>3.8624553311313</v>
      </c>
      <c r="L9" t="n">
        <v>3.47620979801817</v>
      </c>
      <c r="M9" t="n">
        <v>3.70795711788605</v>
      </c>
      <c r="N9" t="n">
        <v>3.99318458849267</v>
      </c>
      <c r="O9" t="n">
        <v>4.65871535324144</v>
      </c>
      <c r="P9" t="n">
        <v>5.01707807272155</v>
      </c>
      <c r="Q9" t="n">
        <v>6.27134759090194</v>
      </c>
      <c r="R9" t="n">
        <v>10.7508815844033</v>
      </c>
      <c r="S9" t="n">
        <v>11.2628283265178</v>
      </c>
      <c r="T9" t="n">
        <v>13.0411696412311</v>
      </c>
      <c r="U9" t="n">
        <v>11.6684149421541</v>
      </c>
      <c r="V9" t="n">
        <v>12.4463092716311</v>
      </c>
      <c r="W9" t="n">
        <v>14.1058171745152</v>
      </c>
      <c r="X9" t="n">
        <v>17.632271468144</v>
      </c>
      <c r="Y9" t="n">
        <v>18.6118421052632</v>
      </c>
      <c r="Z9" t="n">
        <v>24.8157894736842</v>
      </c>
      <c r="AA9" t="n">
        <v>32.3684210526316</v>
      </c>
      <c r="AB9" t="n">
        <v>41</v>
      </c>
      <c r="AC9" t="n">
        <v>42.051282051282</v>
      </c>
      <c r="AD9" t="n">
        <v>40</v>
      </c>
      <c r="AE9" t="n">
        <v>39</v>
      </c>
      <c r="AF9" t="n">
        <v>43</v>
      </c>
    </row>
    <row r="10">
      <c r="A10" t="s">
        <v>141</v>
      </c>
      <c r="B10" t="s">
        <v>290</v>
      </c>
      <c r="C10" t="s">
        <v>236</v>
      </c>
      <c r="D10" t="s">
        <v>291</v>
      </c>
      <c r="E10" t="s">
        <v>237</v>
      </c>
      <c r="F10" t="n">
        <v>2.70576113405621</v>
      </c>
      <c r="G10" t="n">
        <v>2.70576113405621</v>
      </c>
      <c r="H10" t="n">
        <v>2.79304375128382</v>
      </c>
      <c r="I10" t="n">
        <v>3.31027407559564</v>
      </c>
      <c r="J10" t="n">
        <v>4.36956177978625</v>
      </c>
      <c r="K10" t="n">
        <v>4.20772615831269</v>
      </c>
      <c r="L10" t="n">
        <v>3.82520559846608</v>
      </c>
      <c r="M10" t="n">
        <v>4.30335629827434</v>
      </c>
      <c r="N10" t="n">
        <v>4.30335629827434</v>
      </c>
      <c r="O10" t="n">
        <v>4.96541111339347</v>
      </c>
      <c r="P10" t="n">
        <v>4.96541111339347</v>
      </c>
      <c r="Q10" t="n">
        <v>6.62054815119129</v>
      </c>
      <c r="R10" t="n">
        <v>11.4756167953982</v>
      </c>
      <c r="S10" t="n">
        <v>11.9745566560677</v>
      </c>
      <c r="T10" t="n">
        <v>13.6852076069345</v>
      </c>
      <c r="U10" t="n">
        <v>12.3818545015122</v>
      </c>
      <c r="V10" t="n">
        <v>13.1101988839541</v>
      </c>
      <c r="W10" t="n">
        <v>15.4237633928872</v>
      </c>
      <c r="X10" t="n">
        <v>19.7081421131336</v>
      </c>
      <c r="Y10" t="n">
        <v>21.678956324447</v>
      </c>
      <c r="Z10" t="n">
        <v>27.8729438457175</v>
      </c>
      <c r="AA10" t="n">
        <v>35.3771979580261</v>
      </c>
      <c r="AB10" t="n">
        <v>43.953488372093</v>
      </c>
      <c r="AC10" t="n">
        <v>46.046511627907</v>
      </c>
      <c r="AD10" t="n">
        <v>44</v>
      </c>
      <c r="AE10" t="n">
        <v>43</v>
      </c>
      <c r="AF10" t="n">
        <v>48</v>
      </c>
    </row>
    <row r="11">
      <c r="A11" t="s">
        <v>141</v>
      </c>
      <c r="B11" t="s">
        <v>292</v>
      </c>
      <c r="C11" t="s">
        <v>236</v>
      </c>
      <c r="D11" t="s">
        <v>293</v>
      </c>
      <c r="E11" t="s">
        <v>237</v>
      </c>
      <c r="F11" t="e">
        <v>#NUM!</v>
      </c>
      <c r="G11" t="e">
        <v>#NUM!</v>
      </c>
      <c r="H11" t="e">
        <v>#NUM!</v>
      </c>
      <c r="I11" t="e">
        <v>#NUM!</v>
      </c>
      <c r="J11" t="e">
        <v>#NUM!</v>
      </c>
      <c r="K11" t="e">
        <v>#NUM!</v>
      </c>
      <c r="L11" t="e">
        <v>#NUM!</v>
      </c>
      <c r="M11" t="e">
        <v>#NUM!</v>
      </c>
      <c r="N11" t="e">
        <v>#NUM!</v>
      </c>
      <c r="O11" t="e">
        <v>#NUM!</v>
      </c>
      <c r="P11" t="n">
        <v>0</v>
      </c>
      <c r="Q11" t="n">
        <v>0.444444444444444</v>
      </c>
      <c r="R11" t="n">
        <v>0.888888888888889</v>
      </c>
      <c r="S11" t="n">
        <v>0.888888888888889</v>
      </c>
      <c r="T11" t="n">
        <v>0.888888888888889</v>
      </c>
      <c r="U11" t="n">
        <v>0.888888888888889</v>
      </c>
      <c r="V11" t="n">
        <v>0.888888888888889</v>
      </c>
      <c r="W11" t="n">
        <v>1.33333333333333</v>
      </c>
      <c r="X11" t="n">
        <v>2</v>
      </c>
      <c r="Y11" t="n">
        <v>3</v>
      </c>
      <c r="Z11" t="n">
        <v>3</v>
      </c>
      <c r="AA11" t="n">
        <v>3</v>
      </c>
      <c r="AB11" t="n">
        <v>3</v>
      </c>
      <c r="AC11" t="n">
        <v>4</v>
      </c>
      <c r="AD11" t="n">
        <v>4</v>
      </c>
      <c r="AE11" t="n">
        <v>4</v>
      </c>
      <c r="AF11" t="n">
        <v>5</v>
      </c>
    </row>
    <row r="12">
      <c r="A12" t="s">
        <v>141</v>
      </c>
      <c r="B12" t="s">
        <v>294</v>
      </c>
      <c r="C12" t="s">
        <v>236</v>
      </c>
      <c r="D12" t="s">
        <v>295</v>
      </c>
      <c r="E12" t="s">
        <v>237</v>
      </c>
      <c r="F12" t="n">
        <v>2.54812919630525</v>
      </c>
      <c r="G12" t="n">
        <v>2.74413913448258</v>
      </c>
      <c r="H12" t="n">
        <v>2.97281739568946</v>
      </c>
      <c r="I12" t="n">
        <v>4.59435415697462</v>
      </c>
      <c r="J12" t="n">
        <v>6.12580554263283</v>
      </c>
      <c r="K12" t="n">
        <v>6.97074423816839</v>
      </c>
      <c r="L12" t="n">
        <v>5.80895353180699</v>
      </c>
      <c r="M12" t="n">
        <v>5.0168235047424</v>
      </c>
      <c r="N12" t="n">
        <v>5.3303749737888</v>
      </c>
      <c r="O12" t="n">
        <v>5.9966718455124</v>
      </c>
      <c r="P12" t="n">
        <v>6.7021626508668</v>
      </c>
      <c r="Q12" t="n">
        <v>9.63435881062103</v>
      </c>
      <c r="R12" t="n">
        <v>13.1377620144832</v>
      </c>
      <c r="S12" t="n">
        <v>13.6243457927974</v>
      </c>
      <c r="T12" t="n">
        <v>16.2444122914123</v>
      </c>
      <c r="U12" t="n">
        <v>16.8941887830688</v>
      </c>
      <c r="V12" t="n">
        <v>18.3632486772487</v>
      </c>
      <c r="W12" t="n">
        <v>20.867328042328</v>
      </c>
      <c r="X12" t="n">
        <v>19.0527777777778</v>
      </c>
      <c r="Y12" t="n">
        <v>20.0555555555556</v>
      </c>
      <c r="Z12" t="n">
        <v>20.0555555555556</v>
      </c>
      <c r="AA12" t="n">
        <v>19</v>
      </c>
      <c r="AB12" t="n">
        <v>16</v>
      </c>
      <c r="AC12" t="n">
        <v>15</v>
      </c>
      <c r="AD12" t="n">
        <v>15</v>
      </c>
      <c r="AE12" t="n">
        <v>15</v>
      </c>
      <c r="AF12" t="n">
        <v>15</v>
      </c>
    </row>
    <row r="13">
      <c r="A13" t="s">
        <v>141</v>
      </c>
      <c r="B13" t="s">
        <v>296</v>
      </c>
      <c r="C13" t="s">
        <v>236</v>
      </c>
      <c r="D13" t="s">
        <v>297</v>
      </c>
      <c r="E13" t="s">
        <v>237</v>
      </c>
      <c r="F13" t="n">
        <v>5.14814729280348</v>
      </c>
      <c r="G13" t="n">
        <v>5.90522777703928</v>
      </c>
      <c r="H13" t="n">
        <v>6.99542367433884</v>
      </c>
      <c r="I13" t="n">
        <v>8.93261792261729</v>
      </c>
      <c r="J13" t="n">
        <v>9.320992614905</v>
      </c>
      <c r="K13" t="n">
        <v>9.94239212256533</v>
      </c>
      <c r="L13" t="n">
        <v>9.20591863200494</v>
      </c>
      <c r="M13" t="n">
        <v>10.3018613262912</v>
      </c>
      <c r="N13" t="n">
        <v>9.78676825997668</v>
      </c>
      <c r="O13" t="n">
        <v>14.8380034909324</v>
      </c>
      <c r="P13" t="n">
        <v>14.8380034909324</v>
      </c>
      <c r="Q13" t="n">
        <v>16.8988373091174</v>
      </c>
      <c r="R13" t="n">
        <v>22.3795413012636</v>
      </c>
      <c r="S13" t="n">
        <v>23.9054191172589</v>
      </c>
      <c r="T13" t="n">
        <v>31.1326388503837</v>
      </c>
      <c r="U13" t="n">
        <v>33.7822251355227</v>
      </c>
      <c r="V13" t="n">
        <v>32.2807929072772</v>
      </c>
      <c r="W13" t="n">
        <v>42.7720506021424</v>
      </c>
      <c r="X13" t="n">
        <v>37.5346566508596</v>
      </c>
      <c r="Y13" t="n">
        <v>36.5962902345881</v>
      </c>
      <c r="Z13" t="n">
        <v>38.5744680851064</v>
      </c>
      <c r="AA13" t="n">
        <v>40.6595744680851</v>
      </c>
      <c r="AB13" t="n">
        <v>41.7021276595745</v>
      </c>
      <c r="AC13" t="n">
        <v>44.8297872340426</v>
      </c>
      <c r="AD13" t="n">
        <v>49</v>
      </c>
      <c r="AE13" t="n">
        <v>45</v>
      </c>
      <c r="AF13" t="n">
        <v>42</v>
      </c>
    </row>
    <row r="14">
      <c r="A14" t="s">
        <v>141</v>
      </c>
      <c r="B14" t="s">
        <v>298</v>
      </c>
      <c r="C14" t="s">
        <v>236</v>
      </c>
      <c r="D14" t="s">
        <v>299</v>
      </c>
      <c r="E14" t="s">
        <v>237</v>
      </c>
      <c r="F14" t="n">
        <v>3.54083304000565</v>
      </c>
      <c r="G14" t="n">
        <v>3.65148407250583</v>
      </c>
      <c r="H14" t="n">
        <v>3.9123043633991</v>
      </c>
      <c r="I14" t="n">
        <v>5.6337182832947</v>
      </c>
      <c r="J14" t="n">
        <v>8.2627868154989</v>
      </c>
      <c r="K14" t="n">
        <v>9.86943980740146</v>
      </c>
      <c r="L14" t="n">
        <v>9.58745581290428</v>
      </c>
      <c r="M14" t="n">
        <v>8.30912837118371</v>
      </c>
      <c r="N14" t="n">
        <v>7.22532901842061</v>
      </c>
      <c r="O14" t="n">
        <v>8.02814335380068</v>
      </c>
      <c r="P14" t="n">
        <v>8.972630807189</v>
      </c>
      <c r="Q14" t="n">
        <v>21.4346180393959</v>
      </c>
      <c r="R14" t="n">
        <v>29.7993470303797</v>
      </c>
      <c r="S14" t="n">
        <v>33.7351098457129</v>
      </c>
      <c r="T14" t="n">
        <v>35.0081328587587</v>
      </c>
      <c r="U14" t="n">
        <v>39.47725620243</v>
      </c>
      <c r="V14" t="n">
        <v>45.2343560652844</v>
      </c>
      <c r="W14" t="n">
        <v>47.9484174292014</v>
      </c>
      <c r="X14" t="n">
        <v>44.0342609043686</v>
      </c>
      <c r="Y14" t="n">
        <v>47.1795652546807</v>
      </c>
      <c r="Z14" t="n">
        <v>54.6854051815617</v>
      </c>
      <c r="AA14" t="n">
        <v>56.9174625359112</v>
      </c>
      <c r="AB14" t="n">
        <v>60.2655485674354</v>
      </c>
      <c r="AC14" t="n">
        <v>59.1698113207547</v>
      </c>
      <c r="AD14" t="n">
        <v>56</v>
      </c>
      <c r="AE14" t="n">
        <v>59</v>
      </c>
      <c r="AF14" t="n">
        <v>61</v>
      </c>
    </row>
    <row r="15">
      <c r="A15" t="s">
        <v>141</v>
      </c>
      <c r="B15" t="s">
        <v>300</v>
      </c>
      <c r="C15" t="s">
        <v>236</v>
      </c>
      <c r="D15" t="s">
        <v>301</v>
      </c>
      <c r="E15" t="s">
        <v>237</v>
      </c>
      <c r="F15" t="n">
        <v>4.53761027126101</v>
      </c>
      <c r="G15" t="n">
        <v>4.99137129838711</v>
      </c>
      <c r="H15" t="n">
        <v>5.39607707933742</v>
      </c>
      <c r="I15" t="n">
        <v>7.45928302143702</v>
      </c>
      <c r="J15" t="n">
        <v>10.2565141544759</v>
      </c>
      <c r="K15" t="n">
        <v>12.079894448605</v>
      </c>
      <c r="L15" t="n">
        <v>11.7989666707304</v>
      </c>
      <c r="M15" t="n">
        <v>9.83247222560868</v>
      </c>
      <c r="N15" t="n">
        <v>9.10414094963767</v>
      </c>
      <c r="O15" t="n">
        <v>9.51796553825756</v>
      </c>
      <c r="P15" t="n">
        <v>10.9456603689962</v>
      </c>
      <c r="Q15" t="n">
        <v>23.8814408050826</v>
      </c>
      <c r="R15" t="n">
        <v>33.2263524244628</v>
      </c>
      <c r="S15" t="n">
        <v>37.6565327477245</v>
      </c>
      <c r="T15" t="n">
        <v>40.7945771433682</v>
      </c>
      <c r="U15" t="n">
        <v>45.9866142343423</v>
      </c>
      <c r="V15" t="n">
        <v>53.377320093433</v>
      </c>
      <c r="W15" t="n">
        <v>55.1867207745663</v>
      </c>
      <c r="X15" t="n">
        <v>52.2821565232734</v>
      </c>
      <c r="Y15" t="n">
        <v>54.3324371712449</v>
      </c>
      <c r="Z15" t="n">
        <v>61.7898305084746</v>
      </c>
      <c r="AA15" t="n">
        <v>62.893220338983</v>
      </c>
      <c r="AB15" t="n">
        <v>66.2033898305085</v>
      </c>
      <c r="AC15" t="n">
        <v>66.2033898305085</v>
      </c>
      <c r="AD15" t="n">
        <v>62</v>
      </c>
      <c r="AE15" t="n">
        <v>65</v>
      </c>
      <c r="AF15" t="n">
        <v>67</v>
      </c>
    </row>
    <row r="16">
      <c r="A16" t="s">
        <v>141</v>
      </c>
      <c r="B16" t="s">
        <v>302</v>
      </c>
      <c r="C16" t="s">
        <v>236</v>
      </c>
      <c r="D16" t="s">
        <v>303</v>
      </c>
      <c r="E16" t="s">
        <v>237</v>
      </c>
      <c r="F16" t="n">
        <v>1.0305682945154</v>
      </c>
      <c r="G16" t="n">
        <v>1.41703140495868</v>
      </c>
      <c r="H16" t="n">
        <v>1.57447933884297</v>
      </c>
      <c r="I16" t="n">
        <v>1.92436363636364</v>
      </c>
      <c r="J16" t="n">
        <v>2.1168</v>
      </c>
      <c r="K16" t="n">
        <v>2.352</v>
      </c>
      <c r="L16" t="n">
        <v>2.352</v>
      </c>
      <c r="M16" t="n">
        <v>1.568</v>
      </c>
      <c r="N16" t="n">
        <v>1.96</v>
      </c>
      <c r="O16" t="n">
        <v>1.47</v>
      </c>
      <c r="P16" t="n">
        <v>1.96</v>
      </c>
      <c r="Q16" t="n">
        <v>2.45</v>
      </c>
      <c r="R16" t="n">
        <v>3.43</v>
      </c>
      <c r="S16" t="n">
        <v>3.92</v>
      </c>
      <c r="T16" t="n">
        <v>5.6</v>
      </c>
      <c r="U16" t="n">
        <v>6.3</v>
      </c>
      <c r="V16" t="n">
        <v>7.875</v>
      </c>
      <c r="W16" t="n">
        <v>7</v>
      </c>
      <c r="X16" t="n">
        <v>7.875</v>
      </c>
      <c r="Y16" t="n">
        <v>7</v>
      </c>
      <c r="Z16" t="n">
        <v>7</v>
      </c>
      <c r="AA16" t="n">
        <v>6</v>
      </c>
      <c r="AB16" t="n">
        <v>6</v>
      </c>
      <c r="AC16" t="n">
        <v>7</v>
      </c>
      <c r="AD16" t="n">
        <v>6</v>
      </c>
      <c r="AE16" t="n">
        <v>6</v>
      </c>
      <c r="AF16" t="n">
        <v>6</v>
      </c>
    </row>
    <row r="17">
      <c r="A17" t="s">
        <v>141</v>
      </c>
      <c r="B17" t="s">
        <v>304</v>
      </c>
      <c r="C17" t="s">
        <v>236</v>
      </c>
      <c r="D17" t="s">
        <v>305</v>
      </c>
      <c r="E17" t="s">
        <v>237</v>
      </c>
      <c r="F17" t="n">
        <v>1.97019748112712</v>
      </c>
      <c r="G17" t="n">
        <v>2.72074890250889</v>
      </c>
      <c r="H17" t="n">
        <v>3.19392262468434</v>
      </c>
      <c r="I17" t="n">
        <v>3.61052122790404</v>
      </c>
      <c r="J17" t="n">
        <v>4.29823955702862</v>
      </c>
      <c r="K17" t="n">
        <v>4.50291763117284</v>
      </c>
      <c r="L17" t="n">
        <v>4.00259344993141</v>
      </c>
      <c r="M17" t="n">
        <v>3.4307943856555</v>
      </c>
      <c r="N17" t="n">
        <v>4.1169532627866</v>
      </c>
      <c r="O17" t="n">
        <v>4.94034391534392</v>
      </c>
      <c r="P17" t="n">
        <v>5.43437830687831</v>
      </c>
      <c r="Q17" t="n">
        <v>6.42244708994709</v>
      </c>
      <c r="R17" t="n">
        <v>7.90455026455027</v>
      </c>
      <c r="S17" t="n">
        <v>10.9447619047619</v>
      </c>
      <c r="T17" t="n">
        <v>13.52</v>
      </c>
      <c r="U17" t="n">
        <v>11.2666666666667</v>
      </c>
      <c r="V17" t="n">
        <v>12.0714285714286</v>
      </c>
      <c r="W17" t="n">
        <v>13</v>
      </c>
      <c r="X17" t="n">
        <v>12</v>
      </c>
      <c r="Y17" t="n">
        <v>12</v>
      </c>
      <c r="Z17" t="n">
        <v>12</v>
      </c>
      <c r="AA17" t="n">
        <v>12</v>
      </c>
      <c r="AB17" t="n">
        <v>11</v>
      </c>
      <c r="AC17" t="n">
        <v>13</v>
      </c>
      <c r="AD17" t="n">
        <v>15</v>
      </c>
      <c r="AE17" t="n">
        <v>14</v>
      </c>
      <c r="AF17" t="n">
        <v>14</v>
      </c>
    </row>
    <row r="18">
      <c r="A18" t="s">
        <v>141</v>
      </c>
      <c r="B18" t="s">
        <v>306</v>
      </c>
      <c r="C18" t="s">
        <v>236</v>
      </c>
      <c r="D18" t="s">
        <v>307</v>
      </c>
      <c r="E18" t="s">
        <v>237</v>
      </c>
      <c r="F18" t="e">
        <v>#NUM!</v>
      </c>
      <c r="G18" t="e">
        <v>#NUM!</v>
      </c>
      <c r="H18" t="e">
        <v>#NUM!</v>
      </c>
      <c r="I18" t="e">
        <v>#NUM!</v>
      </c>
      <c r="J18" t="e">
        <v>#NUM!</v>
      </c>
      <c r="K18" t="e">
        <v>#NUM!</v>
      </c>
      <c r="L18" t="e">
        <v>#NUM!</v>
      </c>
      <c r="M18" t="e">
        <v>#NUM!</v>
      </c>
      <c r="N18" t="e">
        <v>#NUM!</v>
      </c>
      <c r="O18" t="e">
        <v>#NUM!</v>
      </c>
      <c r="P18" t="e">
        <v>#NUM!</v>
      </c>
      <c r="Q18" t="e">
        <v>#NUM!</v>
      </c>
      <c r="R18" t="e">
        <v>#NUM!</v>
      </c>
      <c r="S18" t="e">
        <v>#NUM!</v>
      </c>
      <c r="T18" t="e">
        <v>#NUM!</v>
      </c>
      <c r="U18" t="e">
        <v>#NUM!</v>
      </c>
      <c r="V18" t="e">
        <v>#NUM!</v>
      </c>
      <c r="W18" t="e">
        <v>#NUM!</v>
      </c>
      <c r="X18" t="e">
        <v>#NUM!</v>
      </c>
      <c r="Y18" t="e">
        <v>#NUM!</v>
      </c>
      <c r="Z18" t="e">
        <v>#NUM!</v>
      </c>
      <c r="AA18" t="e">
        <v>#NUM!</v>
      </c>
      <c r="AB18" t="e">
        <v>#NUM!</v>
      </c>
      <c r="AC18" t="e">
        <v>#NUM!</v>
      </c>
      <c r="AD18" t="e">
        <v>#NUM!</v>
      </c>
      <c r="AE18" t="n">
        <v>0</v>
      </c>
      <c r="AF18" t="e">
        <v>#NUM!</v>
      </c>
    </row>
    <row r="19">
      <c r="A19" t="s">
        <v>141</v>
      </c>
      <c r="B19" t="s">
        <v>308</v>
      </c>
      <c r="C19" t="s">
        <v>236</v>
      </c>
      <c r="D19" t="s">
        <v>309</v>
      </c>
      <c r="E19" t="s">
        <v>237</v>
      </c>
      <c r="F19" t="n">
        <v>0.421018016581633</v>
      </c>
      <c r="G19" t="n">
        <v>0.561357355442177</v>
      </c>
      <c r="H19" t="n">
        <v>0.714454816017316</v>
      </c>
      <c r="I19" t="n">
        <v>0.893068520021645</v>
      </c>
      <c r="J19" t="n">
        <v>1.09916125541126</v>
      </c>
      <c r="K19" t="n">
        <v>1.18371212121212</v>
      </c>
      <c r="L19" t="n">
        <v>1.08506944444444</v>
      </c>
      <c r="M19" t="n">
        <v>1.08506944444444</v>
      </c>
      <c r="N19" t="n">
        <v>0.930059523809524</v>
      </c>
      <c r="O19" t="n">
        <v>0.930059523809524</v>
      </c>
      <c r="P19" t="n">
        <v>0.775049603174603</v>
      </c>
      <c r="Q19" t="n">
        <v>0.930059523809524</v>
      </c>
      <c r="R19" t="n">
        <v>1.24007936507936</v>
      </c>
      <c r="S19" t="n">
        <v>1.59438775510204</v>
      </c>
      <c r="T19" t="n">
        <v>1.59438775510204</v>
      </c>
      <c r="U19" t="n">
        <v>1.86011904761905</v>
      </c>
      <c r="V19" t="n">
        <v>2.23214285714286</v>
      </c>
      <c r="W19" t="n">
        <v>3.125</v>
      </c>
      <c r="X19" t="n">
        <v>3.75</v>
      </c>
      <c r="Y19" t="n">
        <v>6</v>
      </c>
      <c r="Z19" t="n">
        <v>8</v>
      </c>
      <c r="AA19" t="n">
        <v>10</v>
      </c>
      <c r="AB19" t="n">
        <v>9</v>
      </c>
      <c r="AC19" t="n">
        <v>9</v>
      </c>
      <c r="AD19" t="n">
        <v>9</v>
      </c>
      <c r="AE19" t="n">
        <v>7</v>
      </c>
      <c r="AF19" t="n">
        <v>6</v>
      </c>
    </row>
    <row r="20">
      <c r="A20" t="s">
        <v>141</v>
      </c>
      <c r="B20" t="s">
        <v>310</v>
      </c>
      <c r="C20" t="s">
        <v>236</v>
      </c>
      <c r="D20" t="s">
        <v>311</v>
      </c>
      <c r="E20" t="s">
        <v>237</v>
      </c>
      <c r="F20" t="n">
        <v>7.62111363386381</v>
      </c>
      <c r="G20" t="n">
        <v>8.03870890147278</v>
      </c>
      <c r="H20" t="n">
        <v>9.37849371838491</v>
      </c>
      <c r="I20" t="n">
        <v>10.1111885401337</v>
      </c>
      <c r="J20" t="n">
        <v>10.9981349033034</v>
      </c>
      <c r="K20" t="n">
        <v>12.7233325351941</v>
      </c>
      <c r="L20" t="n">
        <v>11.4509992816747</v>
      </c>
      <c r="M20" t="n">
        <v>12.3550255407543</v>
      </c>
      <c r="N20" t="n">
        <v>13.0610270002259</v>
      </c>
      <c r="O20" t="n">
        <v>17.1425979377965</v>
      </c>
      <c r="P20" t="n">
        <v>20.300444926338</v>
      </c>
      <c r="Q20" t="n">
        <v>21.3414933840989</v>
      </c>
      <c r="R20" t="n">
        <v>24.1495846188488</v>
      </c>
      <c r="S20" t="n">
        <v>23.5140692341422</v>
      </c>
      <c r="T20" t="n">
        <v>30.6395447596399</v>
      </c>
      <c r="U20" t="n">
        <v>29.8114489553253</v>
      </c>
      <c r="V20" t="n">
        <v>29.8114489553253</v>
      </c>
      <c r="W20" t="n">
        <v>28.8177339901478</v>
      </c>
      <c r="X20" t="n">
        <v>28.8177339901478</v>
      </c>
      <c r="Y20" t="n">
        <v>27.7093596059113</v>
      </c>
      <c r="Z20" t="n">
        <v>28.8177339901478</v>
      </c>
      <c r="AA20" t="n">
        <v>32.1428571428571</v>
      </c>
      <c r="AB20" t="n">
        <v>32.1428571428571</v>
      </c>
      <c r="AC20" t="n">
        <v>31.0714285714286</v>
      </c>
      <c r="AD20" t="n">
        <v>29</v>
      </c>
      <c r="AE20" t="n">
        <v>28</v>
      </c>
      <c r="AF20" t="n">
        <v>27</v>
      </c>
    </row>
    <row r="21">
      <c r="A21" t="s">
        <v>141</v>
      </c>
      <c r="B21" t="s">
        <v>312</v>
      </c>
      <c r="C21" t="s">
        <v>236</v>
      </c>
      <c r="D21" t="s">
        <v>313</v>
      </c>
      <c r="E21" t="s">
        <v>237</v>
      </c>
      <c r="F21" t="n">
        <v>7.8818985082299</v>
      </c>
      <c r="G21" t="n">
        <v>8.28609843172887</v>
      </c>
      <c r="H21" t="n">
        <v>9.45315454887378</v>
      </c>
      <c r="I21" t="n">
        <v>10.2997057025043</v>
      </c>
      <c r="J21" t="n">
        <v>11.1580145110463</v>
      </c>
      <c r="K21" t="n">
        <v>13.2633002678475</v>
      </c>
      <c r="L21" t="n">
        <v>12.0120455255977</v>
      </c>
      <c r="M21" t="n">
        <v>12.6126478018776</v>
      </c>
      <c r="N21" t="n">
        <v>13.6637017853674</v>
      </c>
      <c r="O21" t="n">
        <v>17.804217477903</v>
      </c>
      <c r="P21" t="n">
        <v>21.9128830497267</v>
      </c>
      <c r="Q21" t="n">
        <v>23.5162647362921</v>
      </c>
      <c r="R21" t="n">
        <v>27.6316110651432</v>
      </c>
      <c r="S21" t="n">
        <v>26.9737155635922</v>
      </c>
      <c r="T21" t="n">
        <v>34.4664143312567</v>
      </c>
      <c r="U21" t="n">
        <v>34.4664143312567</v>
      </c>
      <c r="V21" t="n">
        <v>36.3294637545679</v>
      </c>
      <c r="W21" t="n">
        <v>36.3294637545679</v>
      </c>
      <c r="X21" t="n">
        <v>37.3979773944081</v>
      </c>
      <c r="Y21" t="n">
        <v>36.2980368828079</v>
      </c>
      <c r="Z21" t="n">
        <v>38.4979179060083</v>
      </c>
      <c r="AA21" t="n">
        <v>43.9976204640095</v>
      </c>
      <c r="AB21" t="n">
        <v>45.0975609756098</v>
      </c>
      <c r="AC21" t="n">
        <v>45.0975609756098</v>
      </c>
      <c r="AD21" t="n">
        <v>43</v>
      </c>
      <c r="AE21" t="n">
        <v>41</v>
      </c>
      <c r="AF21" t="n">
        <v>40</v>
      </c>
    </row>
    <row r="22">
      <c r="A22" t="s">
        <v>141</v>
      </c>
      <c r="B22" t="s">
        <v>314</v>
      </c>
      <c r="C22" t="s">
        <v>236</v>
      </c>
      <c r="D22" t="s">
        <v>315</v>
      </c>
      <c r="E22" t="s">
        <v>237</v>
      </c>
      <c r="F22" t="n">
        <v>0.168269230769231</v>
      </c>
      <c r="G22" t="n">
        <v>0.168269230769231</v>
      </c>
      <c r="H22" t="n">
        <v>0.134615384615385</v>
      </c>
      <c r="I22" t="n">
        <v>0.17948717948718</v>
      </c>
      <c r="J22" t="n">
        <v>0.17948717948718</v>
      </c>
      <c r="K22" t="n">
        <v>0.358974358974359</v>
      </c>
      <c r="L22" t="n">
        <v>0.358974358974359</v>
      </c>
      <c r="M22" t="n">
        <v>0.17948717948718</v>
      </c>
      <c r="N22" t="n">
        <v>0.358974358974359</v>
      </c>
      <c r="O22" t="n">
        <v>0.358974358974359</v>
      </c>
      <c r="P22" t="n">
        <v>1.07692307692308</v>
      </c>
      <c r="Q22" t="n">
        <v>1.61538461538462</v>
      </c>
      <c r="R22" t="n">
        <v>3.23076923076923</v>
      </c>
      <c r="S22" t="n">
        <v>3.23076923076923</v>
      </c>
      <c r="T22" t="n">
        <v>3.23076923076923</v>
      </c>
      <c r="U22" t="n">
        <v>4.30769230769231</v>
      </c>
      <c r="V22" t="n">
        <v>6.46153846153846</v>
      </c>
      <c r="W22" t="n">
        <v>7.53846153846154</v>
      </c>
      <c r="X22" t="n">
        <v>8.61538461538461</v>
      </c>
      <c r="Y22" t="n">
        <v>8.61538461538461</v>
      </c>
      <c r="Z22" t="n">
        <v>9.69230769230769</v>
      </c>
      <c r="AA22" t="n">
        <v>11.8461538461538</v>
      </c>
      <c r="AB22" t="n">
        <v>12.9230769230769</v>
      </c>
      <c r="AC22" t="n">
        <v>14</v>
      </c>
      <c r="AD22" t="n">
        <v>14</v>
      </c>
      <c r="AE22" t="n">
        <v>13</v>
      </c>
      <c r="AF22" t="n">
        <v>13</v>
      </c>
    </row>
    <row r="23">
      <c r="A23" t="s">
        <v>141</v>
      </c>
      <c r="B23" t="s">
        <v>316</v>
      </c>
      <c r="C23" t="s">
        <v>236</v>
      </c>
      <c r="D23" t="s">
        <v>317</v>
      </c>
      <c r="E23" t="s">
        <v>237</v>
      </c>
      <c r="F23" t="n">
        <v>2.21983150433677</v>
      </c>
      <c r="G23" t="n">
        <v>2.86728235976833</v>
      </c>
      <c r="H23" t="n">
        <v>3.50445621749462</v>
      </c>
      <c r="I23" t="n">
        <v>4.44796366066625</v>
      </c>
      <c r="J23" t="n">
        <v>6.75431518841912</v>
      </c>
      <c r="K23" t="n">
        <v>8.1870487132353</v>
      </c>
      <c r="L23" t="n">
        <v>7.48530168067227</v>
      </c>
      <c r="M23" t="n">
        <v>7.77319789915967</v>
      </c>
      <c r="N23" t="n">
        <v>9.89316096256685</v>
      </c>
      <c r="O23" t="n">
        <v>12.9041229946524</v>
      </c>
      <c r="P23" t="n">
        <v>16.7275668449198</v>
      </c>
      <c r="Q23" t="n">
        <v>17.2671657754011</v>
      </c>
      <c r="R23" t="n">
        <v>18.3811764705882</v>
      </c>
      <c r="S23" t="n">
        <v>20.16</v>
      </c>
      <c r="T23" t="n">
        <v>20.16</v>
      </c>
      <c r="U23" t="n">
        <v>20.16</v>
      </c>
      <c r="V23" t="n">
        <v>21</v>
      </c>
      <c r="W23" t="n">
        <v>21</v>
      </c>
      <c r="X23" t="n">
        <v>21</v>
      </c>
      <c r="Y23" t="n">
        <v>20</v>
      </c>
      <c r="Z23" t="n">
        <v>18</v>
      </c>
      <c r="AA23" t="n">
        <v>15</v>
      </c>
      <c r="AB23" t="n">
        <v>13</v>
      </c>
      <c r="AC23" t="n">
        <v>13</v>
      </c>
      <c r="AD23" t="n">
        <v>11</v>
      </c>
      <c r="AE23" t="n">
        <v>10</v>
      </c>
      <c r="AF23" t="n">
        <v>8</v>
      </c>
    </row>
    <row r="24">
      <c r="A24" t="s">
        <v>141</v>
      </c>
      <c r="B24" t="s">
        <v>318</v>
      </c>
      <c r="C24" t="s">
        <v>236</v>
      </c>
      <c r="D24" t="s">
        <v>319</v>
      </c>
      <c r="E24" t="s">
        <v>237</v>
      </c>
      <c r="F24" t="n">
        <v>8.5434331135112</v>
      </c>
      <c r="G24" t="n">
        <v>10.193869055894</v>
      </c>
      <c r="H24" t="n">
        <v>13.1718532744698</v>
      </c>
      <c r="I24" t="n">
        <v>18.0104932528465</v>
      </c>
      <c r="J24" t="n">
        <v>23.6894776118522</v>
      </c>
      <c r="K24" t="n">
        <v>25.4811187757738</v>
      </c>
      <c r="L24" t="n">
        <v>22.6758579931198</v>
      </c>
      <c r="M24" t="n">
        <v>21.8562486680673</v>
      </c>
      <c r="N24" t="n">
        <v>24.1061566191918</v>
      </c>
      <c r="O24" t="n">
        <v>26.3661088022411</v>
      </c>
      <c r="P24" t="n">
        <v>30.1326957739898</v>
      </c>
      <c r="Q24" t="n">
        <v>31.0892892906244</v>
      </c>
      <c r="R24" t="n">
        <v>37.3071471487493</v>
      </c>
      <c r="S24" t="n">
        <v>52.230006008249</v>
      </c>
      <c r="T24" t="n">
        <v>56.0056690931826</v>
      </c>
      <c r="U24" t="n">
        <v>62.7263493843645</v>
      </c>
      <c r="V24" t="n">
        <v>68.5037763013455</v>
      </c>
      <c r="W24" t="n">
        <v>80.0693489236506</v>
      </c>
      <c r="X24" t="n">
        <v>82.8953259444853</v>
      </c>
      <c r="Y24" t="n">
        <v>92.8827146124956</v>
      </c>
      <c r="Z24" t="n">
        <v>97.0108352619398</v>
      </c>
      <c r="AA24" t="n">
        <v>107.555491268672</v>
      </c>
      <c r="AB24" t="n">
        <v>102.283163265306</v>
      </c>
      <c r="AC24" t="n">
        <v>101.25</v>
      </c>
      <c r="AD24" t="n">
        <v>90</v>
      </c>
      <c r="AE24" t="n">
        <v>76</v>
      </c>
      <c r="AF24" t="n">
        <v>63</v>
      </c>
    </row>
    <row r="25">
      <c r="A25" t="s">
        <v>141</v>
      </c>
      <c r="B25" t="s">
        <v>320</v>
      </c>
      <c r="C25" t="s">
        <v>236</v>
      </c>
      <c r="D25" t="s">
        <v>321</v>
      </c>
      <c r="E25" t="s">
        <v>237</v>
      </c>
      <c r="F25" t="n">
        <v>0.949381538329617</v>
      </c>
      <c r="G25" t="n">
        <v>1.04431969216258</v>
      </c>
      <c r="H25" t="n">
        <v>1.50846177756817</v>
      </c>
      <c r="I25" t="n">
        <v>2.19412622191734</v>
      </c>
      <c r="J25" t="n">
        <v>2.86924198250729</v>
      </c>
      <c r="K25" t="n">
        <v>2.86924198250729</v>
      </c>
      <c r="L25" t="n">
        <v>2.39103498542274</v>
      </c>
      <c r="M25" t="n">
        <v>2.12536443148688</v>
      </c>
      <c r="N25" t="n">
        <v>2.12536443148688</v>
      </c>
      <c r="O25" t="n">
        <v>2.47959183673469</v>
      </c>
      <c r="P25" t="n">
        <v>2.89285714285714</v>
      </c>
      <c r="Q25" t="n">
        <v>3.375</v>
      </c>
      <c r="R25" t="n">
        <v>3.375</v>
      </c>
      <c r="S25" t="n">
        <v>6.75</v>
      </c>
      <c r="T25" t="n">
        <v>6.75</v>
      </c>
      <c r="U25" t="n">
        <v>8.25</v>
      </c>
      <c r="V25" t="n">
        <v>9.9</v>
      </c>
      <c r="W25" t="n">
        <v>9</v>
      </c>
      <c r="X25" t="n">
        <v>9</v>
      </c>
      <c r="Y25" t="n">
        <v>11</v>
      </c>
      <c r="Z25" t="n">
        <v>11</v>
      </c>
      <c r="AA25" t="n">
        <v>14</v>
      </c>
      <c r="AB25" t="n">
        <v>13</v>
      </c>
      <c r="AC25" t="n">
        <v>13</v>
      </c>
      <c r="AD25" t="n">
        <v>12</v>
      </c>
      <c r="AE25" t="n">
        <v>10</v>
      </c>
      <c r="AF25" t="n">
        <v>9</v>
      </c>
    </row>
    <row r="26">
      <c r="A26" t="s">
        <v>141</v>
      </c>
      <c r="B26" t="s">
        <v>322</v>
      </c>
      <c r="C26" t="s">
        <v>236</v>
      </c>
      <c r="D26" t="s">
        <v>323</v>
      </c>
      <c r="E26" t="s">
        <v>237</v>
      </c>
      <c r="F26" t="n">
        <v>4.47185073979049</v>
      </c>
      <c r="G26" t="n">
        <v>5.61359986484339</v>
      </c>
      <c r="H26" t="n">
        <v>7.63449581618701</v>
      </c>
      <c r="I26" t="n">
        <v>10.2670805803894</v>
      </c>
      <c r="J26" t="n">
        <v>12.9523170398759</v>
      </c>
      <c r="K26" t="n">
        <v>14.1122260285215</v>
      </c>
      <c r="L26" t="n">
        <v>12.7465267354388</v>
      </c>
      <c r="M26" t="n">
        <v>12.4753240389401</v>
      </c>
      <c r="N26" t="n">
        <v>13.4349643496278</v>
      </c>
      <c r="O26" t="n">
        <v>14.9703888467281</v>
      </c>
      <c r="P26" t="n">
        <v>17.1090158248321</v>
      </c>
      <c r="Q26" t="n">
        <v>16.6201868012655</v>
      </c>
      <c r="R26" t="n">
        <v>20.7752335015818</v>
      </c>
      <c r="S26" t="n">
        <v>28.2774011549308</v>
      </c>
      <c r="T26" t="n">
        <v>30.1625612319262</v>
      </c>
      <c r="U26" t="n">
        <v>33.1788173551188</v>
      </c>
      <c r="V26" t="n">
        <v>35.6672286567527</v>
      </c>
      <c r="W26" t="n">
        <v>41.9089936716845</v>
      </c>
      <c r="X26" t="n">
        <v>41.9089936716845</v>
      </c>
      <c r="Y26" t="n">
        <v>46.8981595849802</v>
      </c>
      <c r="Z26" t="n">
        <v>47.9403409090909</v>
      </c>
      <c r="AA26" t="n">
        <v>53.2670454545455</v>
      </c>
      <c r="AB26" t="n">
        <v>51.1363636363636</v>
      </c>
      <c r="AC26" t="n">
        <v>51.1363636363636</v>
      </c>
      <c r="AD26" t="n">
        <v>45</v>
      </c>
      <c r="AE26" t="n">
        <v>37</v>
      </c>
      <c r="AF26" t="n">
        <v>29</v>
      </c>
    </row>
    <row r="27">
      <c r="A27" t="s">
        <v>141</v>
      </c>
      <c r="B27" t="s">
        <v>324</v>
      </c>
      <c r="C27" t="s">
        <v>236</v>
      </c>
      <c r="D27" t="s">
        <v>325</v>
      </c>
      <c r="E27" t="s">
        <v>237</v>
      </c>
      <c r="F27" t="n">
        <v>3.16521130671599</v>
      </c>
      <c r="G27" t="n">
        <v>3.57362566887289</v>
      </c>
      <c r="H27" t="n">
        <v>4.05010909138928</v>
      </c>
      <c r="I27" t="n">
        <v>5.58635736743349</v>
      </c>
      <c r="J27" t="n">
        <v>7.956327159678</v>
      </c>
      <c r="K27" t="n">
        <v>8.58445825123153</v>
      </c>
      <c r="L27" t="n">
        <v>7.60337730823364</v>
      </c>
      <c r="M27" t="n">
        <v>7.32177074126202</v>
      </c>
      <c r="N27" t="n">
        <v>8.65300178512785</v>
      </c>
      <c r="O27" t="n">
        <v>9.02921925404645</v>
      </c>
      <c r="P27" t="n">
        <v>10.2604764250528</v>
      </c>
      <c r="Q27" t="n">
        <v>11.1932470091485</v>
      </c>
      <c r="R27" t="n">
        <v>13.2283828289937</v>
      </c>
      <c r="S27" t="n">
        <v>17.2544123856439</v>
      </c>
      <c r="T27" t="n">
        <v>19.1715693173821</v>
      </c>
      <c r="U27" t="n">
        <v>21.3836734693878</v>
      </c>
      <c r="V27" t="n">
        <v>23.0285714285714</v>
      </c>
      <c r="W27" t="n">
        <v>29.2285714285714</v>
      </c>
      <c r="X27" t="n">
        <v>32.0571428571429</v>
      </c>
      <c r="Y27" t="n">
        <v>35.0625</v>
      </c>
      <c r="Z27" t="n">
        <v>38.15625</v>
      </c>
      <c r="AA27" t="n">
        <v>40.2760416666667</v>
      </c>
      <c r="AB27" t="n">
        <v>38.15625</v>
      </c>
      <c r="AC27" t="n">
        <v>37.125</v>
      </c>
      <c r="AD27" t="n">
        <v>33</v>
      </c>
      <c r="AE27" t="n">
        <v>29</v>
      </c>
      <c r="AF27" t="n">
        <v>25</v>
      </c>
    </row>
    <row r="28">
      <c r="A28" t="s">
        <v>141</v>
      </c>
      <c r="B28" t="s">
        <v>326</v>
      </c>
      <c r="C28" t="s">
        <v>236</v>
      </c>
      <c r="D28" t="s">
        <v>327</v>
      </c>
      <c r="E28" t="s">
        <v>237</v>
      </c>
      <c r="F28" t="n">
        <v>4.3655156562208</v>
      </c>
      <c r="G28" t="n">
        <v>4.59527963812716</v>
      </c>
      <c r="H28" t="n">
        <v>4.30807466074421</v>
      </c>
      <c r="I28" t="n">
        <v>5.38509332593027</v>
      </c>
      <c r="J28" t="n">
        <v>6.07548990617774</v>
      </c>
      <c r="K28" t="n">
        <v>5.91560859285727</v>
      </c>
      <c r="L28" t="n">
        <v>4.43670644464295</v>
      </c>
      <c r="M28" t="n">
        <v>3.38034776734701</v>
      </c>
      <c r="N28" t="n">
        <v>3.90040127001578</v>
      </c>
      <c r="O28" t="n">
        <v>4.55046814835175</v>
      </c>
      <c r="P28" t="n">
        <v>5.25054017117509</v>
      </c>
      <c r="Q28" t="n">
        <v>6.86609099307512</v>
      </c>
      <c r="R28" t="n">
        <v>10.0702667898435</v>
      </c>
      <c r="S28" t="n">
        <v>12.5878334873044</v>
      </c>
      <c r="T28" t="n">
        <v>15.448704734419</v>
      </c>
      <c r="U28" t="n">
        <v>18.1354359925788</v>
      </c>
      <c r="V28" t="n">
        <v>21.2894248608534</v>
      </c>
      <c r="W28" t="n">
        <v>23.8441558441558</v>
      </c>
      <c r="X28" t="n">
        <v>27.8181818181818</v>
      </c>
      <c r="Y28" t="n">
        <v>30.9090909090909</v>
      </c>
      <c r="Z28" t="n">
        <v>30.9090909090909</v>
      </c>
      <c r="AA28" t="n">
        <v>36.0606060606061</v>
      </c>
      <c r="AB28" t="n">
        <v>34</v>
      </c>
      <c r="AC28" t="n">
        <v>32</v>
      </c>
      <c r="AD28" t="n">
        <v>34</v>
      </c>
      <c r="AE28" t="n">
        <v>30</v>
      </c>
      <c r="AF28" t="n">
        <v>29</v>
      </c>
    </row>
    <row r="29">
      <c r="A29" t="s">
        <v>141</v>
      </c>
      <c r="B29" t="s">
        <v>328</v>
      </c>
      <c r="C29" t="s">
        <v>236</v>
      </c>
      <c r="D29" t="s">
        <v>329</v>
      </c>
      <c r="E29" t="s">
        <v>237</v>
      </c>
      <c r="F29" t="e">
        <v>#NUM!</v>
      </c>
      <c r="G29" t="e">
        <v>#NUM!</v>
      </c>
      <c r="H29" t="e">
        <v>#NUM!</v>
      </c>
      <c r="I29" t="e">
        <v>#NUM!</v>
      </c>
      <c r="J29" t="e">
        <v>#NUM!</v>
      </c>
      <c r="K29" t="e">
        <v>#NUM!</v>
      </c>
      <c r="L29" t="e">
        <v>#NUM!</v>
      </c>
      <c r="M29" t="e">
        <v>#NUM!</v>
      </c>
      <c r="N29" t="e">
        <v>#NUM!</v>
      </c>
      <c r="O29" t="n">
        <v>0</v>
      </c>
      <c r="P29" t="n">
        <v>0.222222222222222</v>
      </c>
      <c r="Q29" t="n">
        <v>0.444444444444444</v>
      </c>
      <c r="R29" t="n">
        <v>0.888888888888889</v>
      </c>
      <c r="S29" t="n">
        <v>0.888888888888889</v>
      </c>
      <c r="T29" t="n">
        <v>0.888888888888889</v>
      </c>
      <c r="U29" t="n">
        <v>0.888888888888889</v>
      </c>
      <c r="V29" t="n">
        <v>1.33333333333333</v>
      </c>
      <c r="W29" t="n">
        <v>2</v>
      </c>
      <c r="X29" t="n">
        <v>3</v>
      </c>
      <c r="Y29" t="n">
        <v>3</v>
      </c>
      <c r="Z29" t="n">
        <v>3</v>
      </c>
      <c r="AA29" t="n">
        <v>7</v>
      </c>
      <c r="AB29" t="n">
        <v>7</v>
      </c>
      <c r="AC29" t="n">
        <v>8</v>
      </c>
      <c r="AD29" t="n">
        <v>11</v>
      </c>
      <c r="AE29" t="n">
        <v>9</v>
      </c>
      <c r="AF29" t="n">
        <v>10</v>
      </c>
    </row>
    <row r="30">
      <c r="A30" t="s">
        <v>141</v>
      </c>
      <c r="B30" t="s">
        <v>330</v>
      </c>
      <c r="C30" t="s">
        <v>236</v>
      </c>
      <c r="D30" t="s">
        <v>331</v>
      </c>
      <c r="E30" t="s">
        <v>237</v>
      </c>
      <c r="F30" t="e">
        <v>#NUM!</v>
      </c>
      <c r="G30" t="e">
        <v>#NUM!</v>
      </c>
      <c r="H30" t="e">
        <v>#NUM!</v>
      </c>
      <c r="I30" t="e">
        <v>#NUM!</v>
      </c>
      <c r="J30" t="e">
        <v>#NUM!</v>
      </c>
      <c r="K30" t="e">
        <v>#NUM!</v>
      </c>
      <c r="L30" t="e">
        <v>#NUM!</v>
      </c>
      <c r="M30" t="e">
        <v>#NUM!</v>
      </c>
      <c r="N30" t="e">
        <v>#NUM!</v>
      </c>
      <c r="O30" t="n">
        <v>0</v>
      </c>
      <c r="P30" t="n">
        <v>0.169312169312169</v>
      </c>
      <c r="Q30" t="n">
        <v>0.338624338624339</v>
      </c>
      <c r="R30" t="n">
        <v>0.507936507936508</v>
      </c>
      <c r="S30" t="n">
        <v>0.761904761904762</v>
      </c>
      <c r="T30" t="n">
        <v>1.14285714285714</v>
      </c>
      <c r="U30" t="n">
        <v>1.71428571428571</v>
      </c>
      <c r="V30" t="n">
        <v>5.14285714285714</v>
      </c>
      <c r="W30" t="n">
        <v>6</v>
      </c>
      <c r="X30" t="n">
        <v>7</v>
      </c>
      <c r="Y30" t="n">
        <v>7</v>
      </c>
      <c r="Z30" t="n">
        <v>6</v>
      </c>
      <c r="AA30" t="n">
        <v>6</v>
      </c>
      <c r="AB30" t="n">
        <v>5</v>
      </c>
      <c r="AC30" t="n">
        <v>5</v>
      </c>
      <c r="AD30" t="n">
        <v>4</v>
      </c>
      <c r="AE30" t="n">
        <v>5</v>
      </c>
      <c r="AF30" t="n">
        <v>3</v>
      </c>
    </row>
    <row r="31">
      <c r="A31" t="s">
        <v>141</v>
      </c>
      <c r="B31" t="s">
        <v>332</v>
      </c>
      <c r="C31" t="s">
        <v>236</v>
      </c>
      <c r="D31" t="s">
        <v>333</v>
      </c>
      <c r="E31" t="s">
        <v>237</v>
      </c>
      <c r="F31" t="e">
        <v>#NUM!</v>
      </c>
      <c r="G31" t="e">
        <v>#NUM!</v>
      </c>
      <c r="H31" t="e">
        <v>#NUM!</v>
      </c>
      <c r="I31" t="e">
        <v>#NUM!</v>
      </c>
      <c r="J31" t="e">
        <v>#NUM!</v>
      </c>
      <c r="K31" t="e">
        <v>#NUM!</v>
      </c>
      <c r="L31" t="e">
        <v>#NUM!</v>
      </c>
      <c r="M31" t="e">
        <v>#NUM!</v>
      </c>
      <c r="N31" t="e">
        <v>#NUM!</v>
      </c>
      <c r="O31" t="e">
        <v>#NUM!</v>
      </c>
      <c r="P31" t="e">
        <v>#NUM!</v>
      </c>
      <c r="Q31" t="e">
        <v>#NUM!</v>
      </c>
      <c r="R31" t="e">
        <v>#NUM!</v>
      </c>
      <c r="S31" t="e">
        <v>#NUM!</v>
      </c>
      <c r="T31" t="e">
        <v>#NUM!</v>
      </c>
      <c r="U31" t="e">
        <v>#NUM!</v>
      </c>
      <c r="V31" t="e">
        <v>#NUM!</v>
      </c>
      <c r="W31" t="e">
        <v>#NUM!</v>
      </c>
      <c r="X31" t="e">
        <v>#NUM!</v>
      </c>
      <c r="Y31" t="e">
        <v>#NUM!</v>
      </c>
      <c r="Z31" t="e">
        <v>#NUM!</v>
      </c>
      <c r="AA31" t="e">
        <v>#NUM!</v>
      </c>
      <c r="AB31" t="e">
        <v>#NUM!</v>
      </c>
      <c r="AC31" t="e">
        <v>#NUM!</v>
      </c>
      <c r="AD31" t="e">
        <v>#NUM!</v>
      </c>
      <c r="AE31" t="n">
        <v>0</v>
      </c>
      <c r="AF31" t="e">
        <v>#NUM!</v>
      </c>
    </row>
    <row r="32">
      <c r="A32" t="s">
        <v>141</v>
      </c>
      <c r="B32" t="s">
        <v>334</v>
      </c>
      <c r="C32" t="s">
        <v>236</v>
      </c>
      <c r="D32" t="s">
        <v>335</v>
      </c>
      <c r="E32" t="s">
        <v>237</v>
      </c>
      <c r="F32" t="n">
        <v>2.69605852766347</v>
      </c>
      <c r="G32" t="n">
        <v>2.85465020576132</v>
      </c>
      <c r="H32" t="n">
        <v>2.75621399176955</v>
      </c>
      <c r="I32" t="n">
        <v>3.10074074074074</v>
      </c>
      <c r="J32" t="n">
        <v>3.23555555555556</v>
      </c>
      <c r="K32" t="n">
        <v>3.39733333333333</v>
      </c>
      <c r="L32" t="n">
        <v>2.45362962962963</v>
      </c>
      <c r="M32" t="n">
        <v>2.23057239057239</v>
      </c>
      <c r="N32" t="n">
        <v>2.78821548821549</v>
      </c>
      <c r="O32" t="n">
        <v>3.8337962962963</v>
      </c>
      <c r="P32" t="n">
        <v>4.21717592592593</v>
      </c>
      <c r="Q32" t="n">
        <v>5.6229012345679</v>
      </c>
      <c r="R32" t="n">
        <v>7.6675925925926</v>
      </c>
      <c r="S32" t="n">
        <v>8.76296296296296</v>
      </c>
      <c r="T32" t="n">
        <v>11.2666666666667</v>
      </c>
      <c r="U32" t="n">
        <v>12.0177777777778</v>
      </c>
      <c r="V32" t="n">
        <v>12.0177777777778</v>
      </c>
      <c r="W32" t="n">
        <v>12.9422222222222</v>
      </c>
      <c r="X32" t="n">
        <v>14.9333333333333</v>
      </c>
      <c r="Y32" t="n">
        <v>17.0666666666667</v>
      </c>
      <c r="Z32" t="n">
        <v>18.1333333333333</v>
      </c>
      <c r="AA32" t="n">
        <v>19.2</v>
      </c>
      <c r="AB32" t="n">
        <v>16</v>
      </c>
      <c r="AC32" t="n">
        <v>13</v>
      </c>
      <c r="AD32" t="n">
        <v>14</v>
      </c>
      <c r="AE32" t="n">
        <v>12</v>
      </c>
      <c r="AF32" t="n">
        <v>12</v>
      </c>
    </row>
    <row r="33">
      <c r="A33" t="s">
        <v>141</v>
      </c>
      <c r="B33" t="s">
        <v>336</v>
      </c>
      <c r="C33" t="s">
        <v>236</v>
      </c>
      <c r="D33" t="s">
        <v>337</v>
      </c>
      <c r="E33" t="s">
        <v>237</v>
      </c>
      <c r="F33" t="n">
        <v>2.35335232668566</v>
      </c>
      <c r="G33" t="n">
        <v>2.20626780626781</v>
      </c>
      <c r="H33" t="n">
        <v>2.20626780626781</v>
      </c>
      <c r="I33" t="n">
        <v>2.86814814814815</v>
      </c>
      <c r="J33" t="n">
        <v>3.91111111111111</v>
      </c>
      <c r="K33" t="n">
        <v>3.91111111111111</v>
      </c>
      <c r="L33" t="n">
        <v>3.2</v>
      </c>
      <c r="M33" t="n">
        <v>2.4</v>
      </c>
      <c r="N33" t="n">
        <v>2.4</v>
      </c>
      <c r="O33" t="n">
        <v>1.8</v>
      </c>
      <c r="P33" t="n">
        <v>1.2</v>
      </c>
      <c r="Q33" t="n">
        <v>0.6</v>
      </c>
      <c r="R33" t="n">
        <v>1.2</v>
      </c>
      <c r="S33" t="n">
        <v>1.2</v>
      </c>
      <c r="T33" t="n">
        <v>1.8</v>
      </c>
      <c r="U33" t="n">
        <v>3</v>
      </c>
      <c r="V33" t="n">
        <v>3</v>
      </c>
      <c r="W33" t="n">
        <v>3</v>
      </c>
      <c r="X33" t="n">
        <v>3</v>
      </c>
      <c r="Y33" t="n">
        <v>4</v>
      </c>
      <c r="Z33" t="n">
        <v>4</v>
      </c>
      <c r="AA33" t="n">
        <v>4</v>
      </c>
      <c r="AB33" t="n">
        <v>6</v>
      </c>
      <c r="AC33" t="n">
        <v>6</v>
      </c>
      <c r="AD33" t="n">
        <v>5</v>
      </c>
      <c r="AE33" t="n">
        <v>4</v>
      </c>
      <c r="AF33" t="n">
        <v>4</v>
      </c>
    </row>
    <row r="34">
      <c r="A34" t="s">
        <v>141</v>
      </c>
      <c r="B34" t="s">
        <v>338</v>
      </c>
      <c r="C34" t="s">
        <v>236</v>
      </c>
      <c r="D34" t="s">
        <v>339</v>
      </c>
      <c r="E34" t="s">
        <v>237</v>
      </c>
      <c r="F34" t="n">
        <v>1.10352038756045</v>
      </c>
      <c r="G34" t="n">
        <v>1.43457650382858</v>
      </c>
      <c r="H34" t="n">
        <v>2.00840710536001</v>
      </c>
      <c r="I34" t="n">
        <v>3.17997791682002</v>
      </c>
      <c r="J34" t="n">
        <v>4.02797202797203</v>
      </c>
      <c r="K34" t="n">
        <v>4.02797202797203</v>
      </c>
      <c r="L34" t="n">
        <v>3.45254745254745</v>
      </c>
      <c r="M34" t="n">
        <v>3.45254745254745</v>
      </c>
      <c r="N34" t="n">
        <v>4.31568431568432</v>
      </c>
      <c r="O34" t="n">
        <v>5.39460539460539</v>
      </c>
      <c r="P34" t="n">
        <v>5.99400599400599</v>
      </c>
      <c r="Q34" t="n">
        <v>5.99400599400599</v>
      </c>
      <c r="R34" t="n">
        <v>7.32600732600733</v>
      </c>
      <c r="S34" t="n">
        <v>10.2564102564103</v>
      </c>
      <c r="T34" t="n">
        <v>12.6232741617357</v>
      </c>
      <c r="U34" t="n">
        <v>12.6232741617357</v>
      </c>
      <c r="V34" t="n">
        <v>13.6752136752137</v>
      </c>
      <c r="W34" t="n">
        <v>14.8148148148148</v>
      </c>
      <c r="X34" t="n">
        <v>13.5802469135802</v>
      </c>
      <c r="Y34" t="n">
        <v>13.5802469135802</v>
      </c>
      <c r="Z34" t="n">
        <v>12.3456790123457</v>
      </c>
      <c r="AA34" t="n">
        <v>13.5802469135802</v>
      </c>
      <c r="AB34" t="n">
        <v>11.1111111111111</v>
      </c>
      <c r="AC34" t="n">
        <v>11.1111111111111</v>
      </c>
      <c r="AD34" t="n">
        <v>10</v>
      </c>
      <c r="AE34" t="n">
        <v>8</v>
      </c>
      <c r="AF34" t="n">
        <v>8</v>
      </c>
    </row>
    <row r="35">
      <c r="A35" t="s">
        <v>141</v>
      </c>
      <c r="B35" t="s">
        <v>340</v>
      </c>
      <c r="C35" t="s">
        <v>236</v>
      </c>
      <c r="D35" t="s">
        <v>341</v>
      </c>
      <c r="E35" t="s">
        <v>237</v>
      </c>
      <c r="F35" t="n">
        <v>15.1754601680615</v>
      </c>
      <c r="G35" t="n">
        <v>20.3920246008327</v>
      </c>
      <c r="H35" t="n">
        <v>25.9431868532816</v>
      </c>
      <c r="I35" t="n">
        <v>36.6736149234871</v>
      </c>
      <c r="J35" t="n">
        <v>48.9534678842927</v>
      </c>
      <c r="K35" t="n">
        <v>58.9481342440025</v>
      </c>
      <c r="L35" t="n">
        <v>55.5519454398213</v>
      </c>
      <c r="M35" t="n">
        <v>57.854616753389</v>
      </c>
      <c r="N35" t="n">
        <v>59.536437007848</v>
      </c>
      <c r="O35" t="n">
        <v>71.6787366607643</v>
      </c>
      <c r="P35" t="n">
        <v>101.399188446935</v>
      </c>
      <c r="Q35" t="n">
        <v>119.205875198592</v>
      </c>
      <c r="R35" t="n">
        <v>132.980776332651</v>
      </c>
      <c r="S35" t="n">
        <v>157.950965775027</v>
      </c>
      <c r="T35" t="n">
        <v>159.224763886116</v>
      </c>
      <c r="U35" t="n">
        <v>207.750406213313</v>
      </c>
      <c r="V35" t="n">
        <v>256.976406079118</v>
      </c>
      <c r="W35" t="n">
        <v>307.647810094719</v>
      </c>
      <c r="X35" t="n">
        <v>344.295511610704</v>
      </c>
      <c r="Y35" t="n">
        <v>436.642995774508</v>
      </c>
      <c r="Z35" t="n">
        <v>628.64204356188</v>
      </c>
      <c r="AA35" t="n">
        <v>759.476174455469</v>
      </c>
      <c r="AB35" t="n">
        <v>879.337637742436</v>
      </c>
      <c r="AC35" t="n">
        <v>1251.00573020028</v>
      </c>
      <c r="AD35" t="n">
        <v>1118.13747454175</v>
      </c>
      <c r="AE35" t="n">
        <v>983</v>
      </c>
      <c r="AF35" t="n">
        <v>912</v>
      </c>
    </row>
    <row r="36">
      <c r="A36" t="s">
        <v>141</v>
      </c>
      <c r="B36" t="s">
        <v>342</v>
      </c>
      <c r="C36" t="s">
        <v>236</v>
      </c>
      <c r="D36" t="s">
        <v>343</v>
      </c>
      <c r="E36" t="s">
        <v>237</v>
      </c>
      <c r="F36" t="n">
        <v>1.93072190965522</v>
      </c>
      <c r="G36" t="n">
        <v>2.25250889459775</v>
      </c>
      <c r="H36" t="n">
        <v>2.96382749289178</v>
      </c>
      <c r="I36" t="n">
        <v>3.66950070548506</v>
      </c>
      <c r="J36" t="n">
        <v>3.66950070548506</v>
      </c>
      <c r="K36" t="n">
        <v>4.05576393764138</v>
      </c>
      <c r="L36" t="n">
        <v>3.62884141788966</v>
      </c>
      <c r="M36" t="n">
        <v>3.36963845946897</v>
      </c>
      <c r="N36" t="n">
        <v>3.36963845946897</v>
      </c>
      <c r="O36" t="n">
        <v>3.36963845946897</v>
      </c>
      <c r="P36" t="n">
        <v>4.49285127929196</v>
      </c>
      <c r="Q36" t="n">
        <v>4.49285127929196</v>
      </c>
      <c r="R36" t="n">
        <v>4.94213640722115</v>
      </c>
      <c r="S36" t="n">
        <v>9.88427281444231</v>
      </c>
      <c r="T36" t="n">
        <v>9.36404792947166</v>
      </c>
      <c r="U36" t="n">
        <v>11.236857515366</v>
      </c>
      <c r="V36" t="n">
        <v>10.5345539206556</v>
      </c>
      <c r="W36" t="n">
        <v>12.039490195035</v>
      </c>
      <c r="X36" t="n">
        <v>12.039490195035</v>
      </c>
      <c r="Y36" t="n">
        <v>11.1795266096753</v>
      </c>
      <c r="Z36" t="n">
        <v>35.5712210307852</v>
      </c>
      <c r="AA36" t="n">
        <v>56.495468695953</v>
      </c>
      <c r="AB36" t="n">
        <v>73.2348668280872</v>
      </c>
      <c r="AC36" t="n">
        <v>72.2033898305085</v>
      </c>
      <c r="AD36" t="n">
        <v>60</v>
      </c>
      <c r="AE36" t="n">
        <v>47</v>
      </c>
      <c r="AF36" t="n">
        <v>45</v>
      </c>
    </row>
    <row r="37">
      <c r="A37" t="s">
        <v>141</v>
      </c>
      <c r="B37" t="s">
        <v>344</v>
      </c>
      <c r="C37" t="s">
        <v>236</v>
      </c>
      <c r="D37" t="s">
        <v>345</v>
      </c>
      <c r="E37" t="s">
        <v>237</v>
      </c>
      <c r="F37" t="n">
        <v>10.1534534216682</v>
      </c>
      <c r="G37" t="n">
        <v>13.7208830022544</v>
      </c>
      <c r="H37" t="n">
        <v>17.0404514705417</v>
      </c>
      <c r="I37" t="n">
        <v>24.2293919346765</v>
      </c>
      <c r="J37" t="n">
        <v>31.923860995013</v>
      </c>
      <c r="K37" t="n">
        <v>37.2106150451425</v>
      </c>
      <c r="L37" t="n">
        <v>34.4999079888739</v>
      </c>
      <c r="M37" t="n">
        <v>35.3770242936757</v>
      </c>
      <c r="N37" t="n">
        <v>34.0163695131497</v>
      </c>
      <c r="O37" t="n">
        <v>40.3449963993171</v>
      </c>
      <c r="P37" t="n">
        <v>64.0257551554381</v>
      </c>
      <c r="Q37" t="n">
        <v>62.5367841053116</v>
      </c>
      <c r="R37" t="n">
        <v>59.8869203720357</v>
      </c>
      <c r="S37" t="n">
        <v>64.5383316630676</v>
      </c>
      <c r="T37" t="n">
        <v>60.7043713662517</v>
      </c>
      <c r="U37" t="n">
        <v>69.8100270711894</v>
      </c>
      <c r="V37" t="n">
        <v>88.9246773406818</v>
      </c>
      <c r="W37" t="n">
        <v>105.99102955758</v>
      </c>
      <c r="X37" t="n">
        <v>121.269015800114</v>
      </c>
      <c r="Y37" t="n">
        <v>133.19711571488</v>
      </c>
      <c r="Z37" t="n">
        <v>143.364834471741</v>
      </c>
      <c r="AA37" t="n">
        <v>158.122979196773</v>
      </c>
      <c r="AB37" t="n">
        <v>154.960519612838</v>
      </c>
      <c r="AC37" t="n">
        <v>161.158940397351</v>
      </c>
      <c r="AD37" t="n">
        <v>154.018987341772</v>
      </c>
      <c r="AE37" t="n">
        <v>157</v>
      </c>
      <c r="AF37" t="n">
        <v>161</v>
      </c>
    </row>
    <row r="38">
      <c r="A38" t="s">
        <v>141</v>
      </c>
      <c r="B38" t="s">
        <v>346</v>
      </c>
      <c r="C38" t="s">
        <v>236</v>
      </c>
      <c r="D38" t="s">
        <v>347</v>
      </c>
      <c r="E38" t="s">
        <v>237</v>
      </c>
      <c r="F38" t="n">
        <v>3.01590093081863</v>
      </c>
      <c r="G38" t="n">
        <v>4.28063357922644</v>
      </c>
      <c r="H38" t="n">
        <v>5.78463997192762</v>
      </c>
      <c r="I38" t="n">
        <v>8.5392304347503</v>
      </c>
      <c r="J38" t="n">
        <v>13.0599994884416</v>
      </c>
      <c r="K38" t="n">
        <v>17.3453118205865</v>
      </c>
      <c r="L38" t="n">
        <v>17.1077048093456</v>
      </c>
      <c r="M38" t="n">
        <v>18.79042987256</v>
      </c>
      <c r="N38" t="n">
        <v>21.7573398524378</v>
      </c>
      <c r="O38" t="n">
        <v>27.5851987414837</v>
      </c>
      <c r="P38" t="n">
        <v>32.4016620138062</v>
      </c>
      <c r="Q38" t="n">
        <v>51.5480986583281</v>
      </c>
      <c r="R38" t="n">
        <v>67.4908095835842</v>
      </c>
      <c r="S38" t="n">
        <v>82.0362426834946</v>
      </c>
      <c r="T38" t="n">
        <v>87.8044159971778</v>
      </c>
      <c r="U38" t="n">
        <v>125.216732378584</v>
      </c>
      <c r="V38" t="n">
        <v>156.310820284675</v>
      </c>
      <c r="W38" t="n">
        <v>188.304263033001</v>
      </c>
      <c r="X38" t="n">
        <v>209.658354717155</v>
      </c>
      <c r="Y38" t="n">
        <v>291.698580476042</v>
      </c>
      <c r="Z38" t="n">
        <v>449.485712975538</v>
      </c>
      <c r="AA38" t="n">
        <v>544.507633295783</v>
      </c>
      <c r="AB38" t="n">
        <v>650.856780423866</v>
      </c>
      <c r="AC38" t="n">
        <v>1017.87346331464</v>
      </c>
      <c r="AD38" t="n">
        <v>904.32175032175</v>
      </c>
      <c r="AE38" t="n">
        <v>779</v>
      </c>
      <c r="AF38" t="n">
        <v>706</v>
      </c>
    </row>
    <row r="39">
      <c r="A39" t="s">
        <v>141</v>
      </c>
      <c r="B39" t="s">
        <v>348</v>
      </c>
      <c r="C39" t="s">
        <v>236</v>
      </c>
      <c r="D39" t="s">
        <v>349</v>
      </c>
      <c r="E39" t="s">
        <v>237</v>
      </c>
      <c r="F39" t="n">
        <v>3.2644155360397</v>
      </c>
      <c r="G39" t="n">
        <v>7.92786630181071</v>
      </c>
      <c r="H39" t="n">
        <v>12.5752362028722</v>
      </c>
      <c r="I39" t="n">
        <v>17.0894235577493</v>
      </c>
      <c r="J39" t="n">
        <v>20.1275433013492</v>
      </c>
      <c r="K39" t="n">
        <v>36.1380891092406</v>
      </c>
      <c r="L39" t="n">
        <v>43.149957145362</v>
      </c>
      <c r="M39" t="n">
        <v>56.6745705789829</v>
      </c>
      <c r="N39" t="n">
        <v>75.3175214273325</v>
      </c>
      <c r="O39" t="n">
        <v>71.8143808958287</v>
      </c>
      <c r="P39" t="n">
        <v>85.2795773137966</v>
      </c>
      <c r="Q39" t="n">
        <v>63.735263045048</v>
      </c>
      <c r="R39" t="n">
        <v>75.4050999406201</v>
      </c>
      <c r="S39" t="n">
        <v>93.5750035407695</v>
      </c>
      <c r="T39" t="n">
        <v>93.5750035407695</v>
      </c>
      <c r="U39" t="n">
        <v>94.5600035780408</v>
      </c>
      <c r="V39" t="n">
        <v>95.5348489757526</v>
      </c>
      <c r="W39" t="n">
        <v>96.4998474502551</v>
      </c>
      <c r="X39" t="n">
        <v>105.546708148717</v>
      </c>
      <c r="Y39" t="n">
        <v>116.818686688871</v>
      </c>
      <c r="Z39" t="n">
        <v>116.818686688871</v>
      </c>
      <c r="AA39" t="n">
        <v>120.033879900491</v>
      </c>
      <c r="AB39" t="n">
        <v>185.409475203437</v>
      </c>
      <c r="AC39" t="n">
        <v>186.451101468625</v>
      </c>
      <c r="AD39" t="n">
        <v>218.035714285714</v>
      </c>
      <c r="AE39" t="n">
        <v>222</v>
      </c>
      <c r="AF39" t="n">
        <v>222</v>
      </c>
    </row>
    <row r="40">
      <c r="A40" t="s">
        <v>141</v>
      </c>
      <c r="B40" t="s">
        <v>350</v>
      </c>
      <c r="C40" t="s">
        <v>236</v>
      </c>
      <c r="D40" t="s">
        <v>351</v>
      </c>
      <c r="E40" t="s">
        <v>237</v>
      </c>
      <c r="F40" t="n">
        <v>0.0573785189169805</v>
      </c>
      <c r="G40" t="n">
        <v>0.0860677783754707</v>
      </c>
      <c r="H40" t="n">
        <v>0.129101667563206</v>
      </c>
      <c r="I40" t="n">
        <v>0.129101667563206</v>
      </c>
      <c r="J40" t="n">
        <v>0.193652501344809</v>
      </c>
      <c r="K40" t="n">
        <v>0.290478752017214</v>
      </c>
      <c r="L40" t="n">
        <v>0.290478752017214</v>
      </c>
      <c r="M40" t="n">
        <v>0.290478752017214</v>
      </c>
      <c r="N40" t="n">
        <v>0.580957504034427</v>
      </c>
      <c r="O40" t="n">
        <v>0.580957504034427</v>
      </c>
      <c r="P40" t="n">
        <v>1.74287251210328</v>
      </c>
      <c r="Q40" t="n">
        <v>2.32383001613771</v>
      </c>
      <c r="R40" t="n">
        <v>2.32383001613771</v>
      </c>
      <c r="S40" t="n">
        <v>7.55244755244755</v>
      </c>
      <c r="T40" t="n">
        <v>8.18181818181818</v>
      </c>
      <c r="U40" t="n">
        <v>7.5</v>
      </c>
      <c r="V40" t="n">
        <v>7.5</v>
      </c>
      <c r="W40" t="n">
        <v>9.16666666666667</v>
      </c>
      <c r="X40" t="n">
        <v>11</v>
      </c>
      <c r="Y40" t="n">
        <v>12</v>
      </c>
      <c r="Z40" t="n">
        <v>13</v>
      </c>
      <c r="AA40" t="n">
        <v>14</v>
      </c>
      <c r="AB40" t="n">
        <v>15</v>
      </c>
      <c r="AC40" t="n">
        <v>16</v>
      </c>
      <c r="AD40" t="n">
        <v>16</v>
      </c>
      <c r="AE40" t="n">
        <v>16</v>
      </c>
      <c r="AF40" t="n">
        <v>15</v>
      </c>
    </row>
    <row r="41">
      <c r="A41" t="s">
        <v>141</v>
      </c>
      <c r="B41" t="s">
        <v>352</v>
      </c>
      <c r="C41" t="s">
        <v>236</v>
      </c>
      <c r="D41" t="s">
        <v>353</v>
      </c>
      <c r="E41" t="s">
        <v>237</v>
      </c>
      <c r="F41" t="e">
        <v>#NUM!</v>
      </c>
      <c r="G41" t="e">
        <v>#NUM!</v>
      </c>
      <c r="H41" t="e">
        <v>#NUM!</v>
      </c>
      <c r="I41" t="e">
        <v>#NUM!</v>
      </c>
      <c r="J41" t="e">
        <v>#NUM!</v>
      </c>
      <c r="K41" t="e">
        <v>#NUM!</v>
      </c>
      <c r="L41" t="e">
        <v>#NUM!</v>
      </c>
      <c r="M41" t="e">
        <v>#NUM!</v>
      </c>
      <c r="N41" t="e">
        <v>#NUM!</v>
      </c>
      <c r="O41" t="e">
        <v>#NUM!</v>
      </c>
      <c r="P41" t="e">
        <v>#NUM!</v>
      </c>
      <c r="Q41" t="e">
        <v>#NUM!</v>
      </c>
      <c r="R41" t="e">
        <v>#NUM!</v>
      </c>
      <c r="S41" t="e">
        <v>#NUM!</v>
      </c>
      <c r="T41" t="e">
        <v>#NUM!</v>
      </c>
      <c r="U41" t="e">
        <v>#NUM!</v>
      </c>
      <c r="V41" t="e">
        <v>#NUM!</v>
      </c>
      <c r="W41" t="e">
        <v>#NUM!</v>
      </c>
      <c r="X41" t="e">
        <v>#NUM!</v>
      </c>
      <c r="Y41" t="e">
        <v>#NUM!</v>
      </c>
      <c r="Z41" t="e">
        <v>#NUM!</v>
      </c>
      <c r="AA41" t="e">
        <v>#NUM!</v>
      </c>
      <c r="AB41" t="e">
        <v>#NUM!</v>
      </c>
      <c r="AC41" t="e">
        <v>#NUM!</v>
      </c>
      <c r="AD41" t="e">
        <v>#NUM!</v>
      </c>
      <c r="AE41" t="n">
        <v>0</v>
      </c>
      <c r="AF41" t="e">
        <v>#NUM!</v>
      </c>
    </row>
    <row r="42">
      <c r="A42" t="s">
        <v>141</v>
      </c>
      <c r="B42" t="s">
        <v>354</v>
      </c>
      <c r="C42" t="s">
        <v>236</v>
      </c>
      <c r="D42" t="s">
        <v>355</v>
      </c>
      <c r="E42" t="s">
        <v>237</v>
      </c>
      <c r="F42" t="n">
        <v>2.95439528829227</v>
      </c>
      <c r="G42" t="n">
        <v>3.93919371772303</v>
      </c>
      <c r="H42" t="n">
        <v>3.85880200919807</v>
      </c>
      <c r="I42" t="n">
        <v>4.82350251149759</v>
      </c>
      <c r="J42" t="n">
        <v>5.93661847568934</v>
      </c>
      <c r="K42" t="n">
        <v>6.40529888166481</v>
      </c>
      <c r="L42" t="n">
        <v>5.20430534135266</v>
      </c>
      <c r="M42" t="n">
        <v>4.70865721360479</v>
      </c>
      <c r="N42" t="n">
        <v>6.27820961813972</v>
      </c>
      <c r="O42" t="n">
        <v>9.41731442720958</v>
      </c>
      <c r="P42" t="n">
        <v>10.4086106827053</v>
      </c>
      <c r="Q42" t="n">
        <v>14.2433619868599</v>
      </c>
      <c r="R42" t="n">
        <v>20.5104412610783</v>
      </c>
      <c r="S42" t="n">
        <v>42.2639395682825</v>
      </c>
      <c r="T42" t="n">
        <v>36.7211278216225</v>
      </c>
      <c r="U42" t="n">
        <v>39.0650295974707</v>
      </c>
      <c r="V42" t="n">
        <v>100.210293315251</v>
      </c>
      <c r="W42" t="n">
        <v>106.587311980767</v>
      </c>
      <c r="X42" t="n">
        <v>104.649360853844</v>
      </c>
      <c r="Y42" t="n">
        <v>103.633347641671</v>
      </c>
      <c r="Z42" t="n">
        <v>100.524347212421</v>
      </c>
      <c r="AA42" t="n">
        <v>107.931404375441</v>
      </c>
      <c r="AB42" t="n">
        <v>115.338461538462</v>
      </c>
      <c r="AC42" t="n">
        <v>107.1</v>
      </c>
      <c r="AD42" t="n">
        <v>102</v>
      </c>
      <c r="AE42" t="n">
        <v>91</v>
      </c>
      <c r="AF42" t="n">
        <v>81</v>
      </c>
    </row>
    <row r="43">
      <c r="A43" t="s">
        <v>141</v>
      </c>
      <c r="B43" t="s">
        <v>356</v>
      </c>
      <c r="C43" t="s">
        <v>236</v>
      </c>
      <c r="D43" t="s">
        <v>357</v>
      </c>
      <c r="E43" t="s">
        <v>237</v>
      </c>
      <c r="F43" t="n">
        <v>2.8046862018725</v>
      </c>
      <c r="G43" t="n">
        <v>3.73958160249667</v>
      </c>
      <c r="H43" t="n">
        <v>3.53924687379149</v>
      </c>
      <c r="I43" t="n">
        <v>4.58493345013898</v>
      </c>
      <c r="J43" t="n">
        <v>5.75782340250011</v>
      </c>
      <c r="K43" t="n">
        <v>6.29343488180245</v>
      </c>
      <c r="L43" t="n">
        <v>5.24452906816871</v>
      </c>
      <c r="M43" t="n">
        <v>4.58896293464762</v>
      </c>
      <c r="N43" t="n">
        <v>5.66871891927059</v>
      </c>
      <c r="O43" t="n">
        <v>8.50307837890588</v>
      </c>
      <c r="P43" t="n">
        <v>9.84566970189102</v>
      </c>
      <c r="Q43" t="n">
        <v>15.2607880379311</v>
      </c>
      <c r="R43" t="n">
        <v>57.8857477300834</v>
      </c>
      <c r="S43" t="n">
        <v>128.634994955741</v>
      </c>
      <c r="T43" t="n">
        <v>135.131711872698</v>
      </c>
      <c r="U43" t="n">
        <v>141.926043754565</v>
      </c>
      <c r="V43" t="n">
        <v>220.315428386447</v>
      </c>
      <c r="W43" t="n">
        <v>245.391981210921</v>
      </c>
      <c r="X43" t="n">
        <v>250.14763976152</v>
      </c>
      <c r="Y43" t="n">
        <v>249.151035619044</v>
      </c>
      <c r="Z43" t="n">
        <v>225.665487179544</v>
      </c>
      <c r="AA43" t="n">
        <v>227.764701013772</v>
      </c>
      <c r="AB43" t="n">
        <v>223.566273345315</v>
      </c>
      <c r="AC43" t="n">
        <v>207.082124158564</v>
      </c>
      <c r="AD43" t="n">
        <v>193.885714285714</v>
      </c>
      <c r="AE43" t="n">
        <v>174</v>
      </c>
      <c r="AF43" t="n">
        <v>157</v>
      </c>
    </row>
    <row r="44">
      <c r="A44" t="s">
        <v>141</v>
      </c>
      <c r="B44" t="s">
        <v>358</v>
      </c>
      <c r="C44" t="s">
        <v>236</v>
      </c>
      <c r="D44" t="s">
        <v>359</v>
      </c>
      <c r="E44" t="s">
        <v>237</v>
      </c>
      <c r="F44" t="n">
        <v>94.7703317987964</v>
      </c>
      <c r="G44" t="n">
        <v>119.243435547051</v>
      </c>
      <c r="H44" t="n">
        <v>138.697047388564</v>
      </c>
      <c r="I44" t="n">
        <v>182.59394795381</v>
      </c>
      <c r="J44" t="n">
        <v>224.384205747607</v>
      </c>
      <c r="K44" t="n">
        <v>253.780440053844</v>
      </c>
      <c r="L44" t="n">
        <v>238.984940090231</v>
      </c>
      <c r="M44" t="n">
        <v>241.063070004059</v>
      </c>
      <c r="N44" t="n">
        <v>267.847855560066</v>
      </c>
      <c r="O44" t="n">
        <v>309.985913833534</v>
      </c>
      <c r="P44" t="n">
        <v>373.54914727934</v>
      </c>
      <c r="Q44" t="n">
        <v>431.293406708294</v>
      </c>
      <c r="R44" t="n">
        <v>565.255752731325</v>
      </c>
      <c r="S44" t="n">
        <v>719.2002742428</v>
      </c>
      <c r="T44" t="n">
        <v>763.579238533645</v>
      </c>
      <c r="U44" t="n">
        <v>843.276872774234</v>
      </c>
      <c r="V44" t="n">
        <v>1000.97628795839</v>
      </c>
      <c r="W44" t="n">
        <v>1130.91501826633</v>
      </c>
      <c r="X44" t="n">
        <v>1191.44827752782</v>
      </c>
      <c r="Y44" t="n">
        <v>1316.01791194051</v>
      </c>
      <c r="Z44" t="n">
        <v>1524.3530359311</v>
      </c>
      <c r="AA44" t="n">
        <v>1686.54080679164</v>
      </c>
      <c r="AB44" t="n">
        <v>1881.10100017701</v>
      </c>
      <c r="AC44" t="n">
        <v>2230.75959756236</v>
      </c>
      <c r="AD44" t="n">
        <v>2087.69668246446</v>
      </c>
      <c r="AE44" t="n">
        <v>1896</v>
      </c>
      <c r="AF44" t="n">
        <v>1793</v>
      </c>
    </row>
    <row r="45">
      <c r="A45" t="s">
        <v>141</v>
      </c>
      <c r="B45" t="s">
        <v>360</v>
      </c>
      <c r="C45" t="s">
        <v>236</v>
      </c>
      <c r="D45" t="s">
        <v>361</v>
      </c>
      <c r="E45" t="s">
        <v>237</v>
      </c>
      <c r="F45" t="n">
        <v>86.5508922856104</v>
      </c>
      <c r="G45" t="n">
        <v>109.958974517401</v>
      </c>
      <c r="H45" t="n">
        <v>128.148559416223</v>
      </c>
      <c r="I45" t="n">
        <v>168.954861869372</v>
      </c>
      <c r="J45" t="n">
        <v>207.423019988076</v>
      </c>
      <c r="K45" t="n">
        <v>235.726758771309</v>
      </c>
      <c r="L45" t="n">
        <v>222.971512719167</v>
      </c>
      <c r="M45" t="n">
        <v>225.297160830971</v>
      </c>
      <c r="N45" t="n">
        <v>250.867697489701</v>
      </c>
      <c r="O45" t="n">
        <v>289.746051913064</v>
      </c>
      <c r="P45" t="n">
        <v>350.411631532362</v>
      </c>
      <c r="Q45" t="n">
        <v>407.385033493738</v>
      </c>
      <c r="R45" t="n">
        <v>539.94683010678</v>
      </c>
      <c r="S45" t="n">
        <v>692.027924176157</v>
      </c>
      <c r="T45" t="n">
        <v>734.833775156126</v>
      </c>
      <c r="U45" t="n">
        <v>811.189959611649</v>
      </c>
      <c r="V45" t="n">
        <v>966.964946748513</v>
      </c>
      <c r="W45" t="n">
        <v>1094.99826840133</v>
      </c>
      <c r="X45" t="n">
        <v>1154.60309073748</v>
      </c>
      <c r="Y45" t="n">
        <v>1277.30481292387</v>
      </c>
      <c r="Z45" t="n">
        <v>1484.68628901248</v>
      </c>
      <c r="AA45" t="n">
        <v>1643.64627712945</v>
      </c>
      <c r="AB45" t="n">
        <v>1838.13561152933</v>
      </c>
      <c r="AC45" t="n">
        <v>2189.58962862377</v>
      </c>
      <c r="AD45" t="n">
        <v>2050.69774919614</v>
      </c>
      <c r="AE45" t="n">
        <v>1863</v>
      </c>
      <c r="AF45" t="n">
        <v>1762</v>
      </c>
    </row>
    <row r="46">
      <c r="A46" t="s">
        <v>141</v>
      </c>
      <c r="B46" t="s">
        <v>362</v>
      </c>
      <c r="C46" t="s">
        <v>236</v>
      </c>
      <c r="D46" t="s">
        <v>363</v>
      </c>
      <c r="E46" t="s">
        <v>237</v>
      </c>
      <c r="F46" t="e">
        <v>#NUM!</v>
      </c>
      <c r="G46" t="e">
        <v>#NUM!</v>
      </c>
      <c r="H46" t="e">
        <v>#NUM!</v>
      </c>
      <c r="I46" t="e">
        <v>#NUM!</v>
      </c>
      <c r="J46" t="e">
        <v>#NUM!</v>
      </c>
      <c r="K46" t="e">
        <v>#NUM!</v>
      </c>
      <c r="L46" t="e">
        <v>#NUM!</v>
      </c>
      <c r="M46" t="e">
        <v>#NUM!</v>
      </c>
      <c r="N46" t="e">
        <v>#NUM!</v>
      </c>
      <c r="O46" t="n">
        <v>0</v>
      </c>
      <c r="P46" t="n">
        <v>0.402510963586003</v>
      </c>
      <c r="Q46" t="n">
        <v>2.01255481793002</v>
      </c>
      <c r="R46" t="n">
        <v>37.2322641317053</v>
      </c>
      <c r="S46" t="n">
        <v>85.7470325457455</v>
      </c>
      <c r="T46" t="n">
        <v>97.0130660189092</v>
      </c>
      <c r="U46" t="n">
        <v>101.42275083795</v>
      </c>
      <c r="V46" t="n">
        <v>119.936427578211</v>
      </c>
      <c r="W46" t="n">
        <v>138.456023013082</v>
      </c>
      <c r="X46" t="n">
        <v>145.004618696133</v>
      </c>
      <c r="Y46" t="n">
        <v>145.004618696133</v>
      </c>
      <c r="Z46" t="n">
        <v>124.86508832167</v>
      </c>
      <c r="AA46" t="n">
        <v>119.662376308267</v>
      </c>
      <c r="AB46" t="n">
        <v>108.216409878781</v>
      </c>
      <c r="AC46" t="n">
        <v>99.9713500784929</v>
      </c>
      <c r="AD46" t="n">
        <v>91.8928571428571</v>
      </c>
      <c r="AE46" t="n">
        <v>83</v>
      </c>
      <c r="AF46" t="n">
        <v>76</v>
      </c>
    </row>
    <row r="47">
      <c r="A47" t="s">
        <v>141</v>
      </c>
      <c r="B47" t="s">
        <v>364</v>
      </c>
      <c r="C47" t="s">
        <v>236</v>
      </c>
      <c r="D47" t="s">
        <v>365</v>
      </c>
      <c r="E47" t="s">
        <v>237</v>
      </c>
      <c r="F47" t="n">
        <v>21.4469816572027</v>
      </c>
      <c r="G47" t="n">
        <v>27.1011859122835</v>
      </c>
      <c r="H47" t="n">
        <v>29.8572387169224</v>
      </c>
      <c r="I47" t="n">
        <v>39.1705058396322</v>
      </c>
      <c r="J47" t="n">
        <v>54.6412098267138</v>
      </c>
      <c r="K47" t="n">
        <v>62.6766818600541</v>
      </c>
      <c r="L47" t="n">
        <v>58.4032717332322</v>
      </c>
      <c r="M47" t="n">
        <v>58.964841653744</v>
      </c>
      <c r="N47" t="n">
        <v>66.3354468604621</v>
      </c>
      <c r="O47" t="n">
        <v>77.3913546705391</v>
      </c>
      <c r="P47" t="n">
        <v>81.422154392963</v>
      </c>
      <c r="Q47" t="n">
        <v>69.2088312340185</v>
      </c>
      <c r="R47" t="n">
        <v>62.6950588825815</v>
      </c>
      <c r="S47" t="n">
        <v>61.0451889119872</v>
      </c>
      <c r="T47" t="n">
        <v>64.4843544844936</v>
      </c>
      <c r="U47" t="n">
        <v>73.4405148295621</v>
      </c>
      <c r="V47" t="n">
        <v>73.4405148295621</v>
      </c>
      <c r="W47" t="n">
        <v>76.0949912691848</v>
      </c>
      <c r="X47" t="n">
        <v>73.3110281739708</v>
      </c>
      <c r="Y47" t="n">
        <v>75.2402657574963</v>
      </c>
      <c r="Z47" t="n">
        <v>81.1802867383513</v>
      </c>
      <c r="AA47" t="n">
        <v>89.4010752688172</v>
      </c>
      <c r="AB47" t="n">
        <v>95.5666666666667</v>
      </c>
      <c r="AC47" t="n">
        <v>105.733333333333</v>
      </c>
      <c r="AD47" t="n">
        <v>122</v>
      </c>
      <c r="AE47" t="n">
        <v>161</v>
      </c>
      <c r="AF47" t="n">
        <v>163</v>
      </c>
    </row>
    <row r="48">
      <c r="A48" t="s">
        <v>141</v>
      </c>
      <c r="B48" t="s">
        <v>366</v>
      </c>
      <c r="C48" t="s">
        <v>236</v>
      </c>
      <c r="D48" t="s">
        <v>367</v>
      </c>
      <c r="E48" t="s">
        <v>237</v>
      </c>
      <c r="F48" t="n">
        <v>28.5869273154316</v>
      </c>
      <c r="G48" t="n">
        <v>36.0523032385697</v>
      </c>
      <c r="H48" t="n">
        <v>40.3699443449853</v>
      </c>
      <c r="I48" t="n">
        <v>52.378725257734</v>
      </c>
      <c r="J48" t="n">
        <v>71.0635336830076</v>
      </c>
      <c r="K48" t="n">
        <v>81.1091640989301</v>
      </c>
      <c r="L48" t="n">
        <v>75.8480291303509</v>
      </c>
      <c r="M48" t="n">
        <v>77.3854891802904</v>
      </c>
      <c r="N48" t="n">
        <v>87.994790116298</v>
      </c>
      <c r="O48" t="n">
        <v>103.266613194333</v>
      </c>
      <c r="P48" t="n">
        <v>110.001392315703</v>
      </c>
      <c r="Q48" t="n">
        <v>110.001392315703</v>
      </c>
      <c r="R48" t="n">
        <v>120.770759395562</v>
      </c>
      <c r="S48" t="n">
        <v>132.611029924538</v>
      </c>
      <c r="T48" t="n">
        <v>153.331503350248</v>
      </c>
      <c r="U48" t="n">
        <v>160.381227642213</v>
      </c>
      <c r="V48" t="n">
        <v>161.262443178709</v>
      </c>
      <c r="W48" t="n">
        <v>170.171970426151</v>
      </c>
      <c r="X48" t="n">
        <v>177.693383483661</v>
      </c>
      <c r="Y48" t="n">
        <v>181.598732571214</v>
      </c>
      <c r="Z48" t="n">
        <v>189.625195889278</v>
      </c>
      <c r="AA48" t="n">
        <v>200.044162696381</v>
      </c>
      <c r="AB48" t="n">
        <v>208.379336142064</v>
      </c>
      <c r="AC48" t="n">
        <v>223.776824034335</v>
      </c>
      <c r="AD48" t="n">
        <v>237</v>
      </c>
      <c r="AE48" t="n">
        <v>274</v>
      </c>
      <c r="AF48" t="n">
        <v>268</v>
      </c>
    </row>
    <row r="49">
      <c r="A49" t="s">
        <v>141</v>
      </c>
      <c r="B49" t="s">
        <v>368</v>
      </c>
      <c r="C49" t="s">
        <v>236</v>
      </c>
      <c r="D49" t="s">
        <v>369</v>
      </c>
      <c r="E49" t="s">
        <v>237</v>
      </c>
      <c r="F49" t="n">
        <v>5.3459061877023</v>
      </c>
      <c r="G49" t="n">
        <v>6.45963664347361</v>
      </c>
      <c r="H49" t="n">
        <v>6.99793969709641</v>
      </c>
      <c r="I49" t="n">
        <v>8.21497268789578</v>
      </c>
      <c r="J49" t="n">
        <v>10.0008363156992</v>
      </c>
      <c r="K49" t="n">
        <v>11.3052932264426</v>
      </c>
      <c r="L49" t="n">
        <v>10.277539296766</v>
      </c>
      <c r="M49" t="n">
        <v>10.277539296766</v>
      </c>
      <c r="N49" t="n">
        <v>11.6478778696681</v>
      </c>
      <c r="O49" t="n">
        <v>13.2009282522905</v>
      </c>
      <c r="P49" t="n">
        <v>13.2009282522905</v>
      </c>
      <c r="Q49" t="n">
        <v>25.5767984888129</v>
      </c>
      <c r="R49" t="n">
        <v>37.9526687253353</v>
      </c>
      <c r="S49" t="n">
        <v>48.0733803854247</v>
      </c>
      <c r="T49" t="n">
        <v>61.1843023087224</v>
      </c>
      <c r="U49" t="n">
        <v>57.4761627748604</v>
      </c>
      <c r="V49" t="n">
        <v>56.563842730815</v>
      </c>
      <c r="W49" t="n">
        <v>60.2729471721799</v>
      </c>
      <c r="X49" t="n">
        <v>66.1058130275522</v>
      </c>
      <c r="Y49" t="n">
        <v>68.0791208791209</v>
      </c>
      <c r="Z49" t="n">
        <v>68.0791208791209</v>
      </c>
      <c r="AA49" t="n">
        <v>68.0791208791209</v>
      </c>
      <c r="AB49" t="n">
        <v>68.0791208791209</v>
      </c>
      <c r="AC49" t="n">
        <v>67.047619047619</v>
      </c>
      <c r="AD49" t="n">
        <v>64</v>
      </c>
      <c r="AE49" t="n">
        <v>62</v>
      </c>
      <c r="AF49" t="n">
        <v>58</v>
      </c>
    </row>
    <row r="50">
      <c r="A50" t="s">
        <v>141</v>
      </c>
      <c r="B50" t="s">
        <v>370</v>
      </c>
      <c r="C50" t="s">
        <v>236</v>
      </c>
      <c r="D50" t="s">
        <v>371</v>
      </c>
      <c r="E50" t="s">
        <v>237</v>
      </c>
      <c r="F50" t="n">
        <v>2.91676075654427</v>
      </c>
      <c r="G50" t="n">
        <v>3.80447055201426</v>
      </c>
      <c r="H50" t="n">
        <v>4.71754348449769</v>
      </c>
      <c r="I50" t="n">
        <v>6.35053930605458</v>
      </c>
      <c r="J50" t="n">
        <v>8.32139633207152</v>
      </c>
      <c r="K50" t="n">
        <v>9.36157087358045</v>
      </c>
      <c r="L50" t="n">
        <v>9.05958471636818</v>
      </c>
      <c r="M50" t="n">
        <v>9.7564758483965</v>
      </c>
      <c r="N50" t="n">
        <v>11.614852200472</v>
      </c>
      <c r="O50" t="n">
        <v>14.2545913369429</v>
      </c>
      <c r="P50" t="n">
        <v>16.4476053887803</v>
      </c>
      <c r="Q50" t="n">
        <v>16.4476053887803</v>
      </c>
      <c r="R50" t="n">
        <v>20.7117993784641</v>
      </c>
      <c r="S50" t="n">
        <v>23.9480180313491</v>
      </c>
      <c r="T50" t="n">
        <v>28.1741388604107</v>
      </c>
      <c r="U50" t="n">
        <v>29.7393687971002</v>
      </c>
      <c r="V50" t="n">
        <v>31.3469022455921</v>
      </c>
      <c r="W50" t="n">
        <v>33.8885429682077</v>
      </c>
      <c r="X50" t="n">
        <v>38.4680758017493</v>
      </c>
      <c r="Y50" t="n">
        <v>38.4680758017493</v>
      </c>
      <c r="Z50" t="n">
        <v>40.4927113702624</v>
      </c>
      <c r="AA50" t="n">
        <v>42.6239067055394</v>
      </c>
      <c r="AB50" t="n">
        <v>44.7551020408163</v>
      </c>
      <c r="AC50" t="n">
        <v>51</v>
      </c>
      <c r="AD50" t="n">
        <v>51</v>
      </c>
      <c r="AE50" t="n">
        <v>51</v>
      </c>
      <c r="AF50" t="n">
        <v>47</v>
      </c>
    </row>
    <row r="51">
      <c r="A51" t="s">
        <v>141</v>
      </c>
      <c r="B51" t="s">
        <v>372</v>
      </c>
      <c r="C51" t="s">
        <v>236</v>
      </c>
      <c r="D51" t="s">
        <v>373</v>
      </c>
      <c r="E51" t="s">
        <v>237</v>
      </c>
      <c r="F51" t="n">
        <v>2.70634762909525</v>
      </c>
      <c r="G51" t="n">
        <v>3.44444243703032</v>
      </c>
      <c r="H51" t="n">
        <v>4.34299263799475</v>
      </c>
      <c r="I51" t="n">
        <v>5.97161487724278</v>
      </c>
      <c r="J51" t="n">
        <v>7.96215316965703</v>
      </c>
      <c r="K51" t="n">
        <v>9.02377359227797</v>
      </c>
      <c r="L51" t="n">
        <v>8.7126089856477</v>
      </c>
      <c r="M51" t="n">
        <v>9.80168510885366</v>
      </c>
      <c r="N51" t="n">
        <v>11.6686727486353</v>
      </c>
      <c r="O51" t="n">
        <v>13.7902496120235</v>
      </c>
      <c r="P51" t="n">
        <v>15.4450795654664</v>
      </c>
      <c r="Q51" t="n">
        <v>14.8730395815602</v>
      </c>
      <c r="R51" t="n">
        <v>17.8476474978723</v>
      </c>
      <c r="S51" t="n">
        <v>19.7598954440729</v>
      </c>
      <c r="T51" t="n">
        <v>22.485398263945</v>
      </c>
      <c r="U51" t="n">
        <v>22.485398263945</v>
      </c>
      <c r="V51" t="n">
        <v>23.2349115394098</v>
      </c>
      <c r="W51" t="n">
        <v>24.7839056420371</v>
      </c>
      <c r="X51" t="n">
        <v>29.0569928216987</v>
      </c>
      <c r="Y51" t="n">
        <v>30.9316375198728</v>
      </c>
      <c r="Z51" t="n">
        <v>32.8648648648649</v>
      </c>
      <c r="AA51" t="n">
        <v>34.9189189189189</v>
      </c>
      <c r="AB51" t="n">
        <v>35.9459459459459</v>
      </c>
      <c r="AC51" t="n">
        <v>38</v>
      </c>
      <c r="AD51" t="n">
        <v>38</v>
      </c>
      <c r="AE51" t="n">
        <v>36</v>
      </c>
      <c r="AF51" t="n">
        <v>33</v>
      </c>
    </row>
    <row r="52">
      <c r="A52" t="s">
        <v>141</v>
      </c>
      <c r="B52" t="s">
        <v>374</v>
      </c>
      <c r="C52" t="s">
        <v>236</v>
      </c>
      <c r="D52" t="s">
        <v>375</v>
      </c>
      <c r="E52" t="s">
        <v>237</v>
      </c>
      <c r="F52" t="e">
        <v>#NUM!</v>
      </c>
      <c r="G52" t="e">
        <v>#NUM!</v>
      </c>
      <c r="H52" t="e">
        <v>#NUM!</v>
      </c>
      <c r="I52" t="e">
        <v>#NUM!</v>
      </c>
      <c r="J52" t="e">
        <v>#NUM!</v>
      </c>
      <c r="K52" t="e">
        <v>#NUM!</v>
      </c>
      <c r="L52" t="e">
        <v>#NUM!</v>
      </c>
      <c r="M52" t="e">
        <v>#NUM!</v>
      </c>
      <c r="N52" t="n">
        <v>0</v>
      </c>
      <c r="O52" t="n">
        <v>0.338541666666667</v>
      </c>
      <c r="P52" t="n">
        <v>0.677083333333334</v>
      </c>
      <c r="Q52" t="n">
        <v>1.35416666666667</v>
      </c>
      <c r="R52" t="n">
        <v>2.70833333333333</v>
      </c>
      <c r="S52" t="n">
        <v>4.0625</v>
      </c>
      <c r="T52" t="n">
        <v>5.6875</v>
      </c>
      <c r="U52" t="n">
        <v>7.58333333333333</v>
      </c>
      <c r="V52" t="n">
        <v>8.66666666666667</v>
      </c>
      <c r="W52" t="n">
        <v>9.9047619047619</v>
      </c>
      <c r="X52" t="n">
        <v>9.9047619047619</v>
      </c>
      <c r="Y52" t="n">
        <v>7.42857142857143</v>
      </c>
      <c r="Z52" t="n">
        <v>7.42857142857143</v>
      </c>
      <c r="AA52" t="n">
        <v>7.42857142857143</v>
      </c>
      <c r="AB52" t="n">
        <v>8.66666666666667</v>
      </c>
      <c r="AC52" t="n">
        <v>13</v>
      </c>
      <c r="AD52" t="n">
        <v>13</v>
      </c>
      <c r="AE52" t="n">
        <v>15</v>
      </c>
      <c r="AF52" t="n">
        <v>14</v>
      </c>
    </row>
    <row r="53">
      <c r="A53" t="s">
        <v>141</v>
      </c>
      <c r="B53" t="s">
        <v>376</v>
      </c>
      <c r="C53" t="s">
        <v>236</v>
      </c>
      <c r="D53" t="s">
        <v>377</v>
      </c>
      <c r="E53" t="s">
        <v>237</v>
      </c>
      <c r="F53" t="n">
        <v>1.47126346277073</v>
      </c>
      <c r="G53" t="n">
        <v>1.8916244521338</v>
      </c>
      <c r="H53" t="n">
        <v>2.83743667820069</v>
      </c>
      <c r="I53" t="n">
        <v>3.54679584775087</v>
      </c>
      <c r="J53" t="n">
        <v>2.83743667820069</v>
      </c>
      <c r="K53" t="n">
        <v>3.71049411764706</v>
      </c>
      <c r="L53" t="n">
        <v>3.97552941176471</v>
      </c>
      <c r="M53" t="n">
        <v>4.63811764705882</v>
      </c>
      <c r="N53" t="n">
        <v>6.69950326797386</v>
      </c>
      <c r="O53" t="n">
        <v>9.1356862745098</v>
      </c>
      <c r="P53" t="n">
        <v>8.48313725490196</v>
      </c>
      <c r="Q53" t="n">
        <v>9.78823529411765</v>
      </c>
      <c r="R53" t="n">
        <v>9.78823529411765</v>
      </c>
      <c r="S53" t="n">
        <v>9.78823529411765</v>
      </c>
      <c r="T53" t="n">
        <v>9.78823529411765</v>
      </c>
      <c r="U53" t="n">
        <v>8.28235294117647</v>
      </c>
      <c r="V53" t="n">
        <v>10.5411764705882</v>
      </c>
      <c r="W53" t="n">
        <v>13.1764705882353</v>
      </c>
      <c r="X53" t="n">
        <v>16</v>
      </c>
      <c r="Y53" t="n">
        <v>16</v>
      </c>
      <c r="Z53" t="n">
        <v>17</v>
      </c>
      <c r="AA53" t="n">
        <v>18</v>
      </c>
      <c r="AB53" t="n">
        <v>19</v>
      </c>
      <c r="AC53" t="n">
        <v>19</v>
      </c>
      <c r="AD53" t="n">
        <v>18</v>
      </c>
      <c r="AE53" t="n">
        <v>16</v>
      </c>
      <c r="AF53" t="n">
        <v>13</v>
      </c>
    </row>
    <row r="54">
      <c r="A54" t="s">
        <v>141</v>
      </c>
      <c r="B54" t="s">
        <v>378</v>
      </c>
      <c r="C54" t="s">
        <v>236</v>
      </c>
      <c r="D54" t="s">
        <v>379</v>
      </c>
      <c r="E54" t="s">
        <v>237</v>
      </c>
      <c r="F54" t="n">
        <v>2.73523909429638</v>
      </c>
      <c r="G54" t="n">
        <v>3.32985628870864</v>
      </c>
      <c r="H54" t="n">
        <v>4.19851445098046</v>
      </c>
      <c r="I54" t="n">
        <v>5.65184637631985</v>
      </c>
      <c r="J54" t="n">
        <v>5.27505661789853</v>
      </c>
      <c r="K54" t="n">
        <v>6.1924577688374</v>
      </c>
      <c r="L54" t="n">
        <v>6.73093235743196</v>
      </c>
      <c r="M54" t="n">
        <v>7.06747897530355</v>
      </c>
      <c r="N54" t="n">
        <v>10.3656358304452</v>
      </c>
      <c r="O54" t="n">
        <v>12.669110459433</v>
      </c>
      <c r="P54" t="n">
        <v>13.2724014336918</v>
      </c>
      <c r="Q54" t="n">
        <v>17.0645161290323</v>
      </c>
      <c r="R54" t="n">
        <v>17.0645161290323</v>
      </c>
      <c r="S54" t="n">
        <v>17.7470967741935</v>
      </c>
      <c r="T54" t="n">
        <v>17.0645161290323</v>
      </c>
      <c r="U54" t="n">
        <v>17.0645161290323</v>
      </c>
      <c r="V54" t="n">
        <v>19.2903225806452</v>
      </c>
      <c r="W54" t="n">
        <v>24.3225806451613</v>
      </c>
      <c r="X54" t="n">
        <v>29</v>
      </c>
      <c r="Y54" t="n">
        <v>29</v>
      </c>
      <c r="Z54" t="n">
        <v>30</v>
      </c>
      <c r="AA54" t="n">
        <v>31</v>
      </c>
      <c r="AB54" t="n">
        <v>32</v>
      </c>
      <c r="AC54" t="n">
        <v>30</v>
      </c>
      <c r="AD54" t="n">
        <v>28</v>
      </c>
      <c r="AE54" t="n">
        <v>22</v>
      </c>
      <c r="AF54" t="n">
        <v>18</v>
      </c>
    </row>
    <row r="55">
      <c r="A55" t="s">
        <v>141</v>
      </c>
      <c r="B55" t="s">
        <v>380</v>
      </c>
      <c r="C55" t="s">
        <v>236</v>
      </c>
      <c r="D55" t="s">
        <v>381</v>
      </c>
      <c r="E55" t="s">
        <v>237</v>
      </c>
      <c r="F55" t="n">
        <v>1.3334693877551</v>
      </c>
      <c r="G55" t="n">
        <v>1.48163265306122</v>
      </c>
      <c r="H55" t="n">
        <v>1.31700680272109</v>
      </c>
      <c r="I55" t="n">
        <v>2.19501133786848</v>
      </c>
      <c r="J55" t="n">
        <v>2.63401360544218</v>
      </c>
      <c r="K55" t="n">
        <v>2.63401360544218</v>
      </c>
      <c r="L55" t="n">
        <v>2.92668178382464</v>
      </c>
      <c r="M55" t="n">
        <v>2.56084656084656</v>
      </c>
      <c r="N55" t="n">
        <v>3.84126984126984</v>
      </c>
      <c r="O55" t="n">
        <v>3.84126984126984</v>
      </c>
      <c r="P55" t="n">
        <v>4.93877551020408</v>
      </c>
      <c r="Q55" t="n">
        <v>7.40816326530612</v>
      </c>
      <c r="R55" t="n">
        <v>7.40816326530612</v>
      </c>
      <c r="S55" t="n">
        <v>8.08163265306123</v>
      </c>
      <c r="T55" t="n">
        <v>7.40816326530612</v>
      </c>
      <c r="U55" t="n">
        <v>8.75510204081633</v>
      </c>
      <c r="V55" t="n">
        <v>8.75510204081633</v>
      </c>
      <c r="W55" t="n">
        <v>11.1428571428571</v>
      </c>
      <c r="X55" t="n">
        <v>13</v>
      </c>
      <c r="Y55" t="n">
        <v>13</v>
      </c>
      <c r="Z55" t="n">
        <v>13</v>
      </c>
      <c r="AA55" t="n">
        <v>13</v>
      </c>
      <c r="AB55" t="n">
        <v>13</v>
      </c>
      <c r="AC55" t="n">
        <v>11</v>
      </c>
      <c r="AD55" t="n">
        <v>10</v>
      </c>
      <c r="AE55" t="n">
        <v>6</v>
      </c>
      <c r="AF55" t="n">
        <v>5</v>
      </c>
    </row>
    <row r="56">
      <c r="A56" t="s">
        <v>141</v>
      </c>
      <c r="B56" t="s">
        <v>382</v>
      </c>
      <c r="C56" t="s">
        <v>236</v>
      </c>
      <c r="D56" t="s">
        <v>383</v>
      </c>
      <c r="E56" t="s">
        <v>237</v>
      </c>
      <c r="F56" t="e">
        <v>#NUM!</v>
      </c>
      <c r="G56" t="e">
        <v>#NUM!</v>
      </c>
      <c r="H56" t="e">
        <v>#NUM!</v>
      </c>
      <c r="I56" t="e">
        <v>#NUM!</v>
      </c>
      <c r="J56" t="e">
        <v>#NUM!</v>
      </c>
      <c r="K56" t="e">
        <v>#NUM!</v>
      </c>
      <c r="L56" t="e">
        <v>#NUM!</v>
      </c>
      <c r="M56" t="e">
        <v>#NUM!</v>
      </c>
      <c r="N56" t="e">
        <v>#NUM!</v>
      </c>
      <c r="O56" t="e">
        <v>#NUM!</v>
      </c>
      <c r="P56" t="e">
        <v>#NUM!</v>
      </c>
      <c r="Q56" t="e">
        <v>#NUM!</v>
      </c>
      <c r="R56" t="e">
        <v>#NUM!</v>
      </c>
      <c r="S56" t="e">
        <v>#NUM!</v>
      </c>
      <c r="T56" t="e">
        <v>#NUM!</v>
      </c>
      <c r="U56" t="e">
        <v>#NUM!</v>
      </c>
      <c r="V56" t="e">
        <v>#NUM!</v>
      </c>
      <c r="W56" t="e">
        <v>#NUM!</v>
      </c>
      <c r="X56" t="e">
        <v>#NUM!</v>
      </c>
      <c r="Y56" t="e">
        <v>#NUM!</v>
      </c>
      <c r="Z56" t="e">
        <v>#NUM!</v>
      </c>
      <c r="AA56" t="e">
        <v>#NUM!</v>
      </c>
      <c r="AB56" t="e">
        <v>#NUM!</v>
      </c>
      <c r="AC56" t="e">
        <v>#NUM!</v>
      </c>
      <c r="AD56" t="e">
        <v>#NUM!</v>
      </c>
      <c r="AE56" t="n">
        <v>0</v>
      </c>
      <c r="AF56" t="e">
        <v>#NUM!</v>
      </c>
    </row>
    <row r="57">
      <c r="A57" t="s">
        <v>141</v>
      </c>
      <c r="B57" t="s">
        <v>384</v>
      </c>
      <c r="C57" t="s">
        <v>236</v>
      </c>
      <c r="D57" t="s">
        <v>385</v>
      </c>
      <c r="E57" t="s">
        <v>237</v>
      </c>
      <c r="F57" t="n">
        <v>120.66484619748</v>
      </c>
      <c r="G57" t="n">
        <v>151.9280108941</v>
      </c>
      <c r="H57" t="n">
        <v>175.854711404961</v>
      </c>
      <c r="I57" t="n">
        <v>230.896769616594</v>
      </c>
      <c r="J57" t="n">
        <v>287.961795060173</v>
      </c>
      <c r="K57" t="n">
        <v>326.310774147133</v>
      </c>
      <c r="L57" t="n">
        <v>306.987950990798</v>
      </c>
      <c r="M57" t="n">
        <v>310.205854041016</v>
      </c>
      <c r="N57" t="n">
        <v>346.249550307833</v>
      </c>
      <c r="O57" t="n">
        <v>401.468432840586</v>
      </c>
      <c r="P57" t="n">
        <v>475.136901428329</v>
      </c>
      <c r="Q57" t="n">
        <v>536.82893646572</v>
      </c>
      <c r="R57" t="n">
        <v>685.471666477528</v>
      </c>
      <c r="S57" t="n">
        <v>860.551523529098</v>
      </c>
      <c r="T57" t="n">
        <v>924.045905955892</v>
      </c>
      <c r="U57" t="n">
        <v>1010.86901121349</v>
      </c>
      <c r="V57" t="n">
        <v>1170.7001214302</v>
      </c>
      <c r="W57" t="n">
        <v>1311.32745047728</v>
      </c>
      <c r="X57" t="n">
        <v>1381.30325741064</v>
      </c>
      <c r="Y57" t="n">
        <v>1510.51871803862</v>
      </c>
      <c r="Z57" t="n">
        <v>1727.48226433279</v>
      </c>
      <c r="AA57" t="n">
        <v>1900.97099143052</v>
      </c>
      <c r="AB57" t="n">
        <v>2104.68415153384</v>
      </c>
      <c r="AC57" t="n">
        <v>2470.49089968325</v>
      </c>
      <c r="AD57" t="n">
        <v>2340.78757423481</v>
      </c>
      <c r="AE57" t="n">
        <v>2186</v>
      </c>
      <c r="AF57" t="n">
        <v>2076</v>
      </c>
    </row>
    <row r="58">
      <c r="A58" t="s">
        <v>141</v>
      </c>
      <c r="B58" t="s">
        <v>386</v>
      </c>
      <c r="C58" t="s">
        <v>236</v>
      </c>
      <c r="D58" t="s">
        <v>387</v>
      </c>
      <c r="E58" t="s">
        <v>237</v>
      </c>
      <c r="F58" t="n">
        <v>120.66484619748</v>
      </c>
      <c r="G58" t="n">
        <v>151.9280108941</v>
      </c>
      <c r="H58" t="n">
        <v>175.854711404961</v>
      </c>
      <c r="I58" t="n">
        <v>230.896769616594</v>
      </c>
      <c r="J58" t="n">
        <v>287.961795060173</v>
      </c>
      <c r="K58" t="n">
        <v>326.310774147133</v>
      </c>
      <c r="L58" t="n">
        <v>306.987950990798</v>
      </c>
      <c r="M58" t="n">
        <v>310.205854041016</v>
      </c>
      <c r="N58" t="n">
        <v>346.249550307833</v>
      </c>
      <c r="O58" t="n">
        <v>401.468432840586</v>
      </c>
      <c r="P58" t="n">
        <v>475.136901428329</v>
      </c>
      <c r="Q58" t="n">
        <v>536.82893646572</v>
      </c>
      <c r="R58" t="n">
        <v>685.471666477528</v>
      </c>
      <c r="S58" t="n">
        <v>860.551523529098</v>
      </c>
      <c r="T58" t="n">
        <v>924.045905955892</v>
      </c>
      <c r="U58" t="n">
        <v>1010.86901121349</v>
      </c>
      <c r="V58" t="n">
        <v>1170.7001214302</v>
      </c>
      <c r="W58" t="n">
        <v>1311.32745047728</v>
      </c>
      <c r="X58" t="n">
        <v>1381.30325741064</v>
      </c>
      <c r="Y58" t="n">
        <v>1510.51871803862</v>
      </c>
      <c r="Z58" t="n">
        <v>1727.48226433279</v>
      </c>
      <c r="AA58" t="n">
        <v>1900.97099143052</v>
      </c>
      <c r="AB58" t="n">
        <v>2104.68415153384</v>
      </c>
      <c r="AC58" t="n">
        <v>2470.49089968325</v>
      </c>
      <c r="AD58" t="n">
        <v>2340.78757423481</v>
      </c>
      <c r="AE58" t="n">
        <v>2186</v>
      </c>
      <c r="AF58" t="n">
        <v>2076</v>
      </c>
    </row>
    <row r="59">
      <c r="A59" t="s">
        <v>141</v>
      </c>
      <c r="B59" t="s">
        <v>388</v>
      </c>
      <c r="C59" t="s">
        <v>236</v>
      </c>
      <c r="D59" t="s">
        <v>389</v>
      </c>
      <c r="E59" t="s">
        <v>237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142</v>
      </c>
      <c r="B2" t="s">
        <v>197</v>
      </c>
      <c r="C2" t="s">
        <v>236</v>
      </c>
      <c r="D2" t="s">
        <v>199</v>
      </c>
      <c r="E2" t="s">
        <v>237</v>
      </c>
      <c r="F2" t="n">
        <v>10.2978220724598</v>
      </c>
      <c r="G2" t="n">
        <v>12.2781724710098</v>
      </c>
      <c r="H2" t="n">
        <v>15.5523517966124</v>
      </c>
      <c r="I2" t="n">
        <v>20.054348369316</v>
      </c>
      <c r="J2" t="n">
        <v>24.7479192642623</v>
      </c>
      <c r="K2" t="n">
        <v>26.9575549128571</v>
      </c>
      <c r="L2" t="n">
        <v>28.283336302014</v>
      </c>
      <c r="M2" t="n">
        <v>28.283336302014</v>
      </c>
      <c r="N2" t="n">
        <v>31.5289650579828</v>
      </c>
      <c r="O2" t="n">
        <v>36.306080975859</v>
      </c>
      <c r="P2" t="n">
        <v>39.835838848512</v>
      </c>
      <c r="Q2" t="n">
        <v>39.835838848512</v>
      </c>
      <c r="R2" t="n">
        <v>41.4729281162591</v>
      </c>
      <c r="S2" t="n">
        <v>42.1013058149903</v>
      </c>
      <c r="T2" t="n">
        <v>44.9556316329557</v>
      </c>
      <c r="U2" t="n">
        <v>46.4795513493271</v>
      </c>
      <c r="V2" t="n">
        <v>47.3733888752757</v>
      </c>
      <c r="W2" t="n">
        <v>49.2311688311688</v>
      </c>
      <c r="X2" t="n">
        <v>50.1779220779221</v>
      </c>
      <c r="Y2" t="n">
        <v>53.0181818181818</v>
      </c>
      <c r="Z2" t="n">
        <v>54</v>
      </c>
      <c r="AA2" t="n">
        <v>54.9818181818182</v>
      </c>
      <c r="AB2" t="n">
        <v>55.9636363636364</v>
      </c>
      <c r="AC2" t="n">
        <v>57.9272727272727</v>
      </c>
      <c r="AD2" t="n">
        <v>53.0181818181818</v>
      </c>
      <c r="AE2" t="n">
        <v>54</v>
      </c>
      <c r="AF2" t="n">
        <v>56</v>
      </c>
    </row>
    <row r="3">
      <c r="A3" t="s">
        <v>142</v>
      </c>
      <c r="B3" t="s">
        <v>276</v>
      </c>
      <c r="C3" t="s">
        <v>236</v>
      </c>
      <c r="D3" t="s">
        <v>277</v>
      </c>
      <c r="E3" t="s">
        <v>237</v>
      </c>
      <c r="F3" t="n">
        <v>0.422413958543439</v>
      </c>
      <c r="G3" t="n">
        <v>0.844827917086879</v>
      </c>
      <c r="H3" t="n">
        <v>0.844827917086879</v>
      </c>
      <c r="I3" t="n">
        <v>1.26724187563032</v>
      </c>
      <c r="J3" t="n">
        <v>1.26724187563032</v>
      </c>
      <c r="K3" t="n">
        <v>1.68965583417376</v>
      </c>
      <c r="L3" t="n">
        <v>1.68965583417376</v>
      </c>
      <c r="M3" t="n">
        <v>1.68965583417376</v>
      </c>
      <c r="N3" t="n">
        <v>2.53448375126064</v>
      </c>
      <c r="O3" t="n">
        <v>3.54827725176489</v>
      </c>
      <c r="P3" t="n">
        <v>4.05517400201702</v>
      </c>
      <c r="Q3" t="n">
        <v>8.11034800403404</v>
      </c>
      <c r="R3" t="n">
        <v>13.5172466733901</v>
      </c>
      <c r="S3" t="n">
        <v>19.0470294034133</v>
      </c>
      <c r="T3" t="n">
        <v>22.4482846540228</v>
      </c>
      <c r="U3" t="n">
        <v>24.6206992979605</v>
      </c>
      <c r="V3" t="n">
        <v>29.7146370837454</v>
      </c>
      <c r="W3" t="n">
        <v>36.9181854676837</v>
      </c>
      <c r="X3" t="n">
        <v>43.3788679245283</v>
      </c>
      <c r="Y3" t="n">
        <v>48.9165957446809</v>
      </c>
      <c r="Z3" t="n">
        <v>48.9165957446809</v>
      </c>
      <c r="AA3" t="n">
        <v>48.9165957446809</v>
      </c>
      <c r="AB3" t="n">
        <v>47.9574468085106</v>
      </c>
      <c r="AC3" t="n">
        <v>46</v>
      </c>
      <c r="AD3" t="n">
        <v>45</v>
      </c>
      <c r="AE3" t="n">
        <v>46</v>
      </c>
      <c r="AF3" t="n">
        <v>51</v>
      </c>
    </row>
    <row r="4">
      <c r="A4" t="s">
        <v>142</v>
      </c>
      <c r="B4" t="s">
        <v>278</v>
      </c>
      <c r="C4" t="s">
        <v>236</v>
      </c>
      <c r="D4" t="s">
        <v>279</v>
      </c>
      <c r="E4" t="s">
        <v>237</v>
      </c>
      <c r="F4" t="n">
        <v>81.5439964239287</v>
      </c>
      <c r="G4" t="n">
        <v>109.102847067201</v>
      </c>
      <c r="H4" t="n">
        <v>142.613007237841</v>
      </c>
      <c r="I4" t="n">
        <v>180.993278307515</v>
      </c>
      <c r="J4" t="n">
        <v>220.249811273757</v>
      </c>
      <c r="K4" t="n">
        <v>241.85123507176</v>
      </c>
      <c r="L4" t="n">
        <v>277.379823586727</v>
      </c>
      <c r="M4" t="n">
        <v>274.307578705228</v>
      </c>
      <c r="N4" t="n">
        <v>297.870466341172</v>
      </c>
      <c r="O4" t="n">
        <v>334.467304351984</v>
      </c>
      <c r="P4" t="n">
        <v>359.813266494557</v>
      </c>
      <c r="Q4" t="n">
        <v>442.84709722407</v>
      </c>
      <c r="R4" t="n">
        <v>579.359765912131</v>
      </c>
      <c r="S4" t="n">
        <v>686.395082493105</v>
      </c>
      <c r="T4" t="n">
        <v>750.421905634387</v>
      </c>
      <c r="U4" t="n">
        <v>799.957144725524</v>
      </c>
      <c r="V4" t="n">
        <v>844.822466069919</v>
      </c>
      <c r="W4" t="n">
        <v>903.055191726912</v>
      </c>
      <c r="X4" t="n">
        <v>919.474377031037</v>
      </c>
      <c r="Y4" t="n">
        <v>943.933301346149</v>
      </c>
      <c r="Z4" t="n">
        <v>1015.29922634712</v>
      </c>
      <c r="AA4" t="n">
        <v>1066.77918711965</v>
      </c>
      <c r="AB4" t="n">
        <v>1152.50251465605</v>
      </c>
      <c r="AC4" t="n">
        <v>1190.95130580387</v>
      </c>
      <c r="AD4" t="n">
        <v>1181.22131147541</v>
      </c>
      <c r="AE4" t="n">
        <v>1190</v>
      </c>
      <c r="AF4" t="n">
        <v>1236</v>
      </c>
    </row>
    <row r="5">
      <c r="A5" t="s">
        <v>142</v>
      </c>
      <c r="B5" t="s">
        <v>280</v>
      </c>
      <c r="C5" t="s">
        <v>236</v>
      </c>
      <c r="D5" t="s">
        <v>281</v>
      </c>
      <c r="E5" t="s">
        <v>237</v>
      </c>
      <c r="F5" t="n">
        <v>7.31125764817657</v>
      </c>
      <c r="G5" t="n">
        <v>9.34216255044785</v>
      </c>
      <c r="H5" t="n">
        <v>12.0113518505758</v>
      </c>
      <c r="I5" t="n">
        <v>15.1254060340584</v>
      </c>
      <c r="J5" t="n">
        <v>17.3497304508317</v>
      </c>
      <c r="K5" t="n">
        <v>18.239460217541</v>
      </c>
      <c r="L5" t="n">
        <v>19.1514332284181</v>
      </c>
      <c r="M5" t="n">
        <v>19.6074197338566</v>
      </c>
      <c r="N5" t="n">
        <v>22.7993252719263</v>
      </c>
      <c r="O5" t="n">
        <v>26.6800614884244</v>
      </c>
      <c r="P5" t="n">
        <v>27.7263384095391</v>
      </c>
      <c r="Q5" t="n">
        <v>35.0502768573418</v>
      </c>
      <c r="R5" t="n">
        <v>44.6608366408065</v>
      </c>
      <c r="S5" t="n">
        <v>55.664231175498</v>
      </c>
      <c r="T5" t="n">
        <v>65.785000480134</v>
      </c>
      <c r="U5" t="n">
        <v>71.2025887549686</v>
      </c>
      <c r="V5" t="n">
        <v>75.597810283053</v>
      </c>
      <c r="W5" t="n">
        <v>78.3302612571393</v>
      </c>
      <c r="X5" t="n">
        <v>79.2517937425174</v>
      </c>
      <c r="Y5" t="n">
        <v>83.8064945323173</v>
      </c>
      <c r="Z5" t="n">
        <v>89.5862527759254</v>
      </c>
      <c r="AA5" t="n">
        <v>91.5128388571281</v>
      </c>
      <c r="AB5" t="n">
        <v>104.998941425547</v>
      </c>
      <c r="AC5" t="n">
        <v>106.961538461538</v>
      </c>
      <c r="AD5" t="n">
        <v>103.990384615385</v>
      </c>
      <c r="AE5" t="n">
        <v>103</v>
      </c>
      <c r="AF5" t="n">
        <v>101</v>
      </c>
    </row>
    <row r="6">
      <c r="A6" t="s">
        <v>142</v>
      </c>
      <c r="B6" t="s">
        <v>282</v>
      </c>
      <c r="C6" t="s">
        <v>236</v>
      </c>
      <c r="D6" t="s">
        <v>283</v>
      </c>
      <c r="E6" t="s">
        <v>237</v>
      </c>
      <c r="F6" t="e">
        <v>#NUM!</v>
      </c>
      <c r="G6" t="e">
        <v>#NUM!</v>
      </c>
      <c r="H6" t="e">
        <v>#NUM!</v>
      </c>
      <c r="I6" t="e">
        <v>#NUM!</v>
      </c>
      <c r="J6" t="e">
        <v>#NUM!</v>
      </c>
      <c r="K6" t="e">
        <v>#NUM!</v>
      </c>
      <c r="L6" t="e">
        <v>#NUM!</v>
      </c>
      <c r="M6" t="e">
        <v>#NUM!</v>
      </c>
      <c r="N6" t="e">
        <v>#NUM!</v>
      </c>
      <c r="O6" t="e">
        <v>#NUM!</v>
      </c>
      <c r="P6" t="e">
        <v>#NUM!</v>
      </c>
      <c r="Q6" t="e">
        <v>#NUM!</v>
      </c>
      <c r="R6" t="e">
        <v>#NUM!</v>
      </c>
      <c r="S6" t="e">
        <v>#NUM!</v>
      </c>
      <c r="T6" t="e">
        <v>#NUM!</v>
      </c>
      <c r="U6" t="e">
        <v>#NUM!</v>
      </c>
      <c r="V6" t="e">
        <v>#NUM!</v>
      </c>
      <c r="W6" t="e">
        <v>#NUM!</v>
      </c>
      <c r="X6" t="e">
        <v>#NUM!</v>
      </c>
      <c r="Y6" t="e">
        <v>#NUM!</v>
      </c>
      <c r="Z6" t="e">
        <v>#NUM!</v>
      </c>
      <c r="AA6" t="e">
        <v>#NUM!</v>
      </c>
      <c r="AB6" t="e">
        <v>#NUM!</v>
      </c>
      <c r="AC6" t="e">
        <v>#NUM!</v>
      </c>
      <c r="AD6" t="e">
        <v>#NUM!</v>
      </c>
      <c r="AE6" t="n">
        <v>0</v>
      </c>
      <c r="AF6" t="e">
        <v>#NUM!</v>
      </c>
    </row>
    <row r="7">
      <c r="A7" t="s">
        <v>142</v>
      </c>
      <c r="B7" t="s">
        <v>284</v>
      </c>
      <c r="C7" t="s">
        <v>236</v>
      </c>
      <c r="D7" t="s">
        <v>285</v>
      </c>
      <c r="E7" t="s">
        <v>237</v>
      </c>
      <c r="F7" t="n">
        <v>22.728018110668</v>
      </c>
      <c r="G7" t="n">
        <v>36.2107407186914</v>
      </c>
      <c r="H7" t="n">
        <v>45.7608261829617</v>
      </c>
      <c r="I7" t="n">
        <v>60.6021752152736</v>
      </c>
      <c r="J7" t="n">
        <v>70.8447963784185</v>
      </c>
      <c r="K7" t="n">
        <v>75.1911029047018</v>
      </c>
      <c r="L7" t="n">
        <v>88.7429877305492</v>
      </c>
      <c r="M7" t="n">
        <v>86.502003191899</v>
      </c>
      <c r="N7" t="n">
        <v>95.5598045732497</v>
      </c>
      <c r="O7" t="n">
        <v>103.991552035595</v>
      </c>
      <c r="P7" t="n">
        <v>108.51292386323</v>
      </c>
      <c r="Q7" t="n">
        <v>131.357749939699</v>
      </c>
      <c r="R7" t="n">
        <v>163.921225765087</v>
      </c>
      <c r="S7" t="n">
        <v>191.768847130584</v>
      </c>
      <c r="T7" t="n">
        <v>191.768847130584</v>
      </c>
      <c r="U7" t="n">
        <v>196.245940837913</v>
      </c>
      <c r="V7" t="n">
        <v>209.044589153429</v>
      </c>
      <c r="W7" t="n">
        <v>211.771257707604</v>
      </c>
      <c r="X7" t="n">
        <v>214.545553660106</v>
      </c>
      <c r="Y7" t="n">
        <v>212.703960924826</v>
      </c>
      <c r="Z7" t="n">
        <v>219.410842575609</v>
      </c>
      <c r="AA7" t="n">
        <v>230.858364796945</v>
      </c>
      <c r="AB7" t="n">
        <v>281.418254607846</v>
      </c>
      <c r="AC7" t="n">
        <v>275.635687732342</v>
      </c>
      <c r="AD7" t="n">
        <v>271.739776951673</v>
      </c>
      <c r="AE7" t="n">
        <v>262</v>
      </c>
      <c r="AF7" t="n">
        <v>260</v>
      </c>
    </row>
    <row r="8">
      <c r="A8" t="s">
        <v>142</v>
      </c>
      <c r="B8" t="s">
        <v>286</v>
      </c>
      <c r="C8" t="s">
        <v>236</v>
      </c>
      <c r="D8" t="s">
        <v>287</v>
      </c>
      <c r="E8" t="s">
        <v>237</v>
      </c>
      <c r="F8" t="n">
        <v>0.718246770110246</v>
      </c>
      <c r="G8" t="n">
        <v>1.07737015516537</v>
      </c>
      <c r="H8" t="n">
        <v>3.23211046549611</v>
      </c>
      <c r="I8" t="n">
        <v>3.23211046549611</v>
      </c>
      <c r="J8" t="n">
        <v>4.04013808187014</v>
      </c>
      <c r="K8" t="n">
        <v>4.04013808187014</v>
      </c>
      <c r="L8" t="n">
        <v>5.65619331461819</v>
      </c>
      <c r="M8" t="n">
        <v>5.22110152118602</v>
      </c>
      <c r="N8" t="n">
        <v>6.17039270685621</v>
      </c>
      <c r="O8" t="n">
        <v>6.17039270685621</v>
      </c>
      <c r="P8" t="n">
        <v>10.2839878447603</v>
      </c>
      <c r="Q8" t="n">
        <v>15.6966130262132</v>
      </c>
      <c r="R8" t="n">
        <v>39.5322105845368</v>
      </c>
      <c r="S8" t="n">
        <v>44.892510324813</v>
      </c>
      <c r="T8" t="n">
        <v>44.892510324813</v>
      </c>
      <c r="U8" t="n">
        <v>48.8304498269896</v>
      </c>
      <c r="V8" t="n">
        <v>46.1176470588235</v>
      </c>
      <c r="W8" t="n">
        <v>47.078431372549</v>
      </c>
      <c r="X8" t="n">
        <v>47.078431372549</v>
      </c>
      <c r="Y8" t="n">
        <v>49</v>
      </c>
      <c r="Z8" t="n">
        <v>59</v>
      </c>
      <c r="AA8" t="n">
        <v>48</v>
      </c>
      <c r="AB8" t="n">
        <v>9</v>
      </c>
      <c r="AC8" t="n">
        <v>10</v>
      </c>
      <c r="AD8" t="n">
        <v>10</v>
      </c>
      <c r="AE8" t="n">
        <v>9</v>
      </c>
      <c r="AF8" t="n">
        <v>15</v>
      </c>
    </row>
    <row r="9">
      <c r="A9" t="s">
        <v>142</v>
      </c>
      <c r="B9" t="s">
        <v>288</v>
      </c>
      <c r="C9" t="s">
        <v>236</v>
      </c>
      <c r="D9" t="s">
        <v>289</v>
      </c>
      <c r="E9" t="s">
        <v>237</v>
      </c>
      <c r="F9" t="n">
        <v>14.4368766631707</v>
      </c>
      <c r="G9" t="n">
        <v>16.3878059419775</v>
      </c>
      <c r="H9" t="n">
        <v>20.7845343654349</v>
      </c>
      <c r="I9" t="n">
        <v>23.6943691765958</v>
      </c>
      <c r="J9" t="n">
        <v>27.9255065295593</v>
      </c>
      <c r="K9" t="n">
        <v>28.3551297069371</v>
      </c>
      <c r="L9" t="n">
        <v>30.5362935305477</v>
      </c>
      <c r="M9" t="n">
        <v>31.9035902557961</v>
      </c>
      <c r="N9" t="n">
        <v>34.249442480487</v>
      </c>
      <c r="O9" t="n">
        <v>39.5556941323934</v>
      </c>
      <c r="P9" t="n">
        <v>41.0968250726165</v>
      </c>
      <c r="Q9" t="n">
        <v>49.5269430362302</v>
      </c>
      <c r="R9" t="n">
        <v>75.1251383133828</v>
      </c>
      <c r="S9" t="n">
        <v>89.0138193461091</v>
      </c>
      <c r="T9" t="n">
        <v>96.022781499346</v>
      </c>
      <c r="U9" t="n">
        <v>98.2733154407369</v>
      </c>
      <c r="V9" t="n">
        <v>105.169688454122</v>
      </c>
      <c r="W9" t="n">
        <v>117.058435844588</v>
      </c>
      <c r="X9" t="n">
        <v>131.92299912644</v>
      </c>
      <c r="Y9" t="n">
        <v>137.458229859018</v>
      </c>
      <c r="Z9" t="n">
        <v>164.373128013232</v>
      </c>
      <c r="AA9" t="n">
        <v>204.745475244552</v>
      </c>
      <c r="AB9" t="n">
        <v>259.536517915629</v>
      </c>
      <c r="AC9" t="n">
        <v>287.516291222518</v>
      </c>
      <c r="AD9" t="n">
        <v>296.287974683544</v>
      </c>
      <c r="AE9" t="n">
        <v>309</v>
      </c>
      <c r="AF9" t="n">
        <v>346</v>
      </c>
    </row>
    <row r="10">
      <c r="A10" t="s">
        <v>142</v>
      </c>
      <c r="B10" t="s">
        <v>290</v>
      </c>
      <c r="C10" t="s">
        <v>236</v>
      </c>
      <c r="D10" t="s">
        <v>291</v>
      </c>
      <c r="E10" t="s">
        <v>237</v>
      </c>
      <c r="F10" t="n">
        <v>15.6582302773306</v>
      </c>
      <c r="G10" t="n">
        <v>17.9496786105985</v>
      </c>
      <c r="H10" t="n">
        <v>22.7362595734248</v>
      </c>
      <c r="I10" t="n">
        <v>26.0433518750139</v>
      </c>
      <c r="J10" t="n">
        <v>30.2438925000161</v>
      </c>
      <c r="K10" t="n">
        <v>30.6698628169177</v>
      </c>
      <c r="L10" t="n">
        <v>33.2616822098967</v>
      </c>
      <c r="M10" t="n">
        <v>35.0596109779992</v>
      </c>
      <c r="N10" t="n">
        <v>37.366164331815</v>
      </c>
      <c r="O10" t="n">
        <v>43.5938583871175</v>
      </c>
      <c r="P10" t="n">
        <v>45.1324651537216</v>
      </c>
      <c r="Q10" t="n">
        <v>54.5787950696168</v>
      </c>
      <c r="R10" t="n">
        <v>82.4251190847275</v>
      </c>
      <c r="S10" t="n">
        <v>98.2761035240981</v>
      </c>
      <c r="T10" t="n">
        <v>107.401741708479</v>
      </c>
      <c r="U10" t="n">
        <v>112.659169624278</v>
      </c>
      <c r="V10" t="n">
        <v>121.259106236819</v>
      </c>
      <c r="W10" t="n">
        <v>136.758390492653</v>
      </c>
      <c r="X10" t="n">
        <v>156.295303420174</v>
      </c>
      <c r="Y10" t="n">
        <v>164.569760660066</v>
      </c>
      <c r="Z10" t="n">
        <v>194.404044756335</v>
      </c>
      <c r="AA10" t="n">
        <v>235.787083986644</v>
      </c>
      <c r="AB10" t="n">
        <v>290.643670873333</v>
      </c>
      <c r="AC10" t="n">
        <v>320.577072192513</v>
      </c>
      <c r="AD10" t="n">
        <v>331.295454545455</v>
      </c>
      <c r="AE10" t="n">
        <v>344</v>
      </c>
      <c r="AF10" t="n">
        <v>383</v>
      </c>
    </row>
    <row r="11">
      <c r="A11" t="s">
        <v>142</v>
      </c>
      <c r="B11" t="s">
        <v>292</v>
      </c>
      <c r="C11" t="s">
        <v>236</v>
      </c>
      <c r="D11" t="s">
        <v>293</v>
      </c>
      <c r="E11" t="s">
        <v>237</v>
      </c>
      <c r="F11" t="n">
        <v>1.25801992329001</v>
      </c>
      <c r="G11" t="n">
        <v>1.57252490411251</v>
      </c>
      <c r="H11" t="n">
        <v>1.96565613014063</v>
      </c>
      <c r="I11" t="n">
        <v>2.35878735616876</v>
      </c>
      <c r="J11" t="n">
        <v>2.35878735616876</v>
      </c>
      <c r="K11" t="n">
        <v>2.35878735616876</v>
      </c>
      <c r="L11" t="n">
        <v>2.75191858219689</v>
      </c>
      <c r="M11" t="n">
        <v>3.14504980822502</v>
      </c>
      <c r="N11" t="n">
        <v>3.14504980822502</v>
      </c>
      <c r="O11" t="n">
        <v>4.04363546771788</v>
      </c>
      <c r="P11" t="n">
        <v>4.04363546771788</v>
      </c>
      <c r="Q11" t="n">
        <v>5.05454433464735</v>
      </c>
      <c r="R11" t="n">
        <v>7.3010084833795</v>
      </c>
      <c r="S11" t="n">
        <v>9.29219261521027</v>
      </c>
      <c r="T11" t="n">
        <v>11.4365447571819</v>
      </c>
      <c r="U11" t="n">
        <v>14.4862900257637</v>
      </c>
      <c r="V11" t="n">
        <v>16.1905594405594</v>
      </c>
      <c r="W11" t="n">
        <v>19.7884615384615</v>
      </c>
      <c r="X11" t="n">
        <v>24.5</v>
      </c>
      <c r="Y11" t="n">
        <v>27.2222222222222</v>
      </c>
      <c r="Z11" t="n">
        <v>30.1388888888889</v>
      </c>
      <c r="AA11" t="n">
        <v>31.1111111111111</v>
      </c>
      <c r="AB11" t="n">
        <v>31.1111111111111</v>
      </c>
      <c r="AC11" t="n">
        <v>33.0555555555556</v>
      </c>
      <c r="AD11" t="n">
        <v>35</v>
      </c>
      <c r="AE11" t="n">
        <v>35</v>
      </c>
      <c r="AF11" t="n">
        <v>37</v>
      </c>
    </row>
    <row r="12">
      <c r="A12" t="s">
        <v>142</v>
      </c>
      <c r="B12" t="s">
        <v>294</v>
      </c>
      <c r="C12" t="s">
        <v>236</v>
      </c>
      <c r="D12" t="s">
        <v>295</v>
      </c>
      <c r="E12" t="s">
        <v>237</v>
      </c>
      <c r="F12" t="n">
        <v>3.75314898074034</v>
      </c>
      <c r="G12" t="n">
        <v>4.90796405173737</v>
      </c>
      <c r="H12" t="n">
        <v>6.64018665823291</v>
      </c>
      <c r="I12" t="n">
        <v>8.85358221097721</v>
      </c>
      <c r="J12" t="n">
        <v>11.804776281303</v>
      </c>
      <c r="K12" t="n">
        <v>13.8879720956505</v>
      </c>
      <c r="L12" t="n">
        <v>15.3123794900762</v>
      </c>
      <c r="M12" t="n">
        <v>15.6858521605659</v>
      </c>
      <c r="N12" t="n">
        <v>17.5532155130142</v>
      </c>
      <c r="O12" t="n">
        <v>20.6737871597723</v>
      </c>
      <c r="P12" t="n">
        <v>23.154641618945</v>
      </c>
      <c r="Q12" t="n">
        <v>29.8338651628714</v>
      </c>
      <c r="R12" t="n">
        <v>36.4636129768428</v>
      </c>
      <c r="S12" t="n">
        <v>43.0933607908143</v>
      </c>
      <c r="T12" t="n">
        <v>48.6339357496332</v>
      </c>
      <c r="U12" t="n">
        <v>50.6325906434538</v>
      </c>
      <c r="V12" t="n">
        <v>52.8997215677875</v>
      </c>
      <c r="W12" t="n">
        <v>57.0325123152709</v>
      </c>
      <c r="X12" t="n">
        <v>57.8837438423645</v>
      </c>
      <c r="Y12" t="n">
        <v>59.5862068965517</v>
      </c>
      <c r="Z12" t="n">
        <v>63.1974921630094</v>
      </c>
      <c r="AA12" t="n">
        <v>63.1974921630094</v>
      </c>
      <c r="AB12" t="n">
        <v>60.4890282131661</v>
      </c>
      <c r="AC12" t="n">
        <v>59.5862068965517</v>
      </c>
      <c r="AD12" t="n">
        <v>54</v>
      </c>
      <c r="AE12" t="n">
        <v>54</v>
      </c>
      <c r="AF12" t="n">
        <v>54</v>
      </c>
    </row>
    <row r="13">
      <c r="A13" t="s">
        <v>142</v>
      </c>
      <c r="B13" t="s">
        <v>296</v>
      </c>
      <c r="C13" t="s">
        <v>236</v>
      </c>
      <c r="D13" t="s">
        <v>297</v>
      </c>
      <c r="E13" t="s">
        <v>237</v>
      </c>
      <c r="F13" t="n">
        <v>4.6074660932944</v>
      </c>
      <c r="G13" t="n">
        <v>5.67072749943926</v>
      </c>
      <c r="H13" t="n">
        <v>7.08840937429908</v>
      </c>
      <c r="I13" t="n">
        <v>9.32685443986721</v>
      </c>
      <c r="J13" t="n">
        <v>10.8813301798451</v>
      </c>
      <c r="K13" t="n">
        <v>12.5553809767443</v>
      </c>
      <c r="L13" t="n">
        <v>14.2294317736436</v>
      </c>
      <c r="M13" t="n">
        <v>15.0918215781068</v>
      </c>
      <c r="N13" t="n">
        <v>15.5230164803384</v>
      </c>
      <c r="O13" t="n">
        <v>19.0711345329872</v>
      </c>
      <c r="P13" t="n">
        <v>21.0271483312423</v>
      </c>
      <c r="Q13" t="n">
        <v>31.7971511350494</v>
      </c>
      <c r="R13" t="n">
        <v>50.2060281079727</v>
      </c>
      <c r="S13" t="n">
        <v>61.5023844322665</v>
      </c>
      <c r="T13" t="n">
        <v>85.5377990379799</v>
      </c>
      <c r="U13" t="n">
        <v>106.922248797475</v>
      </c>
      <c r="V13" t="n">
        <v>113.876541402189</v>
      </c>
      <c r="W13" t="n">
        <v>138.278657416943</v>
      </c>
      <c r="X13" t="n">
        <v>135.531399322567</v>
      </c>
      <c r="Y13" t="n">
        <v>139.145569971169</v>
      </c>
      <c r="Z13" t="n">
        <v>142.93184398399</v>
      </c>
      <c r="AA13" t="n">
        <v>144.8249809904</v>
      </c>
      <c r="AB13" t="n">
        <v>144.8249809904</v>
      </c>
      <c r="AC13" t="n">
        <v>153.344097519247</v>
      </c>
      <c r="AD13" t="n">
        <v>161.059523809524</v>
      </c>
      <c r="AE13" t="n">
        <v>163</v>
      </c>
      <c r="AF13" t="n">
        <v>166</v>
      </c>
    </row>
    <row r="14">
      <c r="A14" t="s">
        <v>142</v>
      </c>
      <c r="B14" t="s">
        <v>298</v>
      </c>
      <c r="C14" t="s">
        <v>236</v>
      </c>
      <c r="D14" t="s">
        <v>299</v>
      </c>
      <c r="E14" t="s">
        <v>237</v>
      </c>
      <c r="F14" t="n">
        <v>19.5250240644717</v>
      </c>
      <c r="G14" t="n">
        <v>22.9706165464373</v>
      </c>
      <c r="H14" t="n">
        <v>28.9112932394814</v>
      </c>
      <c r="I14" t="n">
        <v>37.5846812113258</v>
      </c>
      <c r="J14" t="n">
        <v>50.9481234197972</v>
      </c>
      <c r="K14" t="n">
        <v>60.3671042200959</v>
      </c>
      <c r="L14" t="n">
        <v>72.0093314625429</v>
      </c>
      <c r="M14" t="n">
        <v>69.3586812246579</v>
      </c>
      <c r="N14" t="n">
        <v>71.1602054123114</v>
      </c>
      <c r="O14" t="n">
        <v>78.553473507097</v>
      </c>
      <c r="P14" t="n">
        <v>85.470131551747</v>
      </c>
      <c r="Q14" t="n">
        <v>97.6801503448537</v>
      </c>
      <c r="R14" t="n">
        <v>105.775190428681</v>
      </c>
      <c r="S14" t="n">
        <v>122.379435437835</v>
      </c>
      <c r="T14" t="n">
        <v>121.699549685402</v>
      </c>
      <c r="U14" t="n">
        <v>126.045962174167</v>
      </c>
      <c r="V14" t="n">
        <v>133.509209934479</v>
      </c>
      <c r="W14" t="n">
        <v>136.144260130555</v>
      </c>
      <c r="X14" t="n">
        <v>129.832936813244</v>
      </c>
      <c r="Y14" t="n">
        <v>130.728336377473</v>
      </c>
      <c r="Z14" t="n">
        <v>137.311777777778</v>
      </c>
      <c r="AA14" t="n">
        <v>138.272</v>
      </c>
      <c r="AB14" t="n">
        <v>144.033333333333</v>
      </c>
      <c r="AC14" t="n">
        <v>144.033333333333</v>
      </c>
      <c r="AD14" t="n">
        <v>144.033333333333</v>
      </c>
      <c r="AE14" t="n">
        <v>149</v>
      </c>
      <c r="AF14" t="n">
        <v>152</v>
      </c>
    </row>
    <row r="15">
      <c r="A15" t="s">
        <v>142</v>
      </c>
      <c r="B15" t="s">
        <v>300</v>
      </c>
      <c r="C15" t="s">
        <v>236</v>
      </c>
      <c r="D15" t="s">
        <v>301</v>
      </c>
      <c r="E15" t="s">
        <v>237</v>
      </c>
      <c r="F15" t="n">
        <v>21.9043812132167</v>
      </c>
      <c r="G15" t="n">
        <v>26.5158298896834</v>
      </c>
      <c r="H15" t="n">
        <v>33.6394856809416</v>
      </c>
      <c r="I15" t="n">
        <v>43.4851888070709</v>
      </c>
      <c r="J15" t="n">
        <v>57.9802517427612</v>
      </c>
      <c r="K15" t="n">
        <v>68.2120608738367</v>
      </c>
      <c r="L15" t="n">
        <v>80.653254366549</v>
      </c>
      <c r="M15" t="n">
        <v>77.1465911332208</v>
      </c>
      <c r="N15" t="n">
        <v>79.8221954499799</v>
      </c>
      <c r="O15" t="n">
        <v>88.538412194518</v>
      </c>
      <c r="P15" t="n">
        <v>96.4084932784751</v>
      </c>
      <c r="Q15" t="n">
        <v>109.093821341432</v>
      </c>
      <c r="R15" t="n">
        <v>119.304573092601</v>
      </c>
      <c r="S15" t="n">
        <v>138.17417393888</v>
      </c>
      <c r="T15" t="n">
        <v>140.186419190417</v>
      </c>
      <c r="U15" t="n">
        <v>145.937656900793</v>
      </c>
      <c r="V15" t="n">
        <v>155.007228798582</v>
      </c>
      <c r="W15" t="n">
        <v>159.385964075378</v>
      </c>
      <c r="X15" t="n">
        <v>154.883535711667</v>
      </c>
      <c r="Y15" t="n">
        <v>154.883535711667</v>
      </c>
      <c r="Z15" t="n">
        <v>163.383241939746</v>
      </c>
      <c r="AA15" t="n">
        <v>165.305397727273</v>
      </c>
      <c r="AB15" t="n">
        <v>172.994020877378</v>
      </c>
      <c r="AC15" t="n">
        <v>172.994020877378</v>
      </c>
      <c r="AD15" t="n">
        <v>170.028409090909</v>
      </c>
      <c r="AE15" t="n">
        <v>175</v>
      </c>
      <c r="AF15" t="n">
        <v>177</v>
      </c>
    </row>
    <row r="16">
      <c r="A16" t="s">
        <v>142</v>
      </c>
      <c r="B16" t="s">
        <v>302</v>
      </c>
      <c r="C16" t="s">
        <v>236</v>
      </c>
      <c r="D16" t="s">
        <v>303</v>
      </c>
      <c r="E16" t="s">
        <v>237</v>
      </c>
      <c r="F16" t="n">
        <v>2.39274304486791</v>
      </c>
      <c r="G16" t="n">
        <v>3.58911456730187</v>
      </c>
      <c r="H16" t="n">
        <v>4.78548608973583</v>
      </c>
      <c r="I16" t="n">
        <v>5.98185761216979</v>
      </c>
      <c r="J16" t="n">
        <v>7.17822913460374</v>
      </c>
      <c r="K16" t="n">
        <v>8.02272667985124</v>
      </c>
      <c r="L16" t="n">
        <v>8.86722422509874</v>
      </c>
      <c r="M16" t="n">
        <v>8.02272667985124</v>
      </c>
      <c r="N16" t="n">
        <v>8.86722422509874</v>
      </c>
      <c r="O16" t="n">
        <v>10.1973078588636</v>
      </c>
      <c r="P16" t="n">
        <v>11.1684800358982</v>
      </c>
      <c r="Q16" t="n">
        <v>11.6761382193481</v>
      </c>
      <c r="R16" t="n">
        <v>13.7990724410477</v>
      </c>
      <c r="S16" t="n">
        <v>16.098917847889</v>
      </c>
      <c r="T16" t="n">
        <v>18.575674439872</v>
      </c>
      <c r="U16" t="n">
        <v>19.9516503243069</v>
      </c>
      <c r="V16" t="n">
        <v>21.5477823502515</v>
      </c>
      <c r="W16" t="n">
        <v>23.2716049382716</v>
      </c>
      <c r="X16" t="n">
        <v>25.0617283950617</v>
      </c>
      <c r="Y16" t="n">
        <v>24.1666666666667</v>
      </c>
      <c r="Z16" t="n">
        <v>26.1</v>
      </c>
      <c r="AA16" t="n">
        <v>27.0666666666667</v>
      </c>
      <c r="AB16" t="n">
        <v>29</v>
      </c>
      <c r="AC16" t="n">
        <v>29</v>
      </c>
      <c r="AD16" t="n">
        <v>26</v>
      </c>
      <c r="AE16" t="n">
        <v>26</v>
      </c>
      <c r="AF16" t="n">
        <v>25</v>
      </c>
    </row>
    <row r="17">
      <c r="A17" t="s">
        <v>142</v>
      </c>
      <c r="B17" t="s">
        <v>304</v>
      </c>
      <c r="C17" t="s">
        <v>236</v>
      </c>
      <c r="D17" t="s">
        <v>305</v>
      </c>
      <c r="E17" t="s">
        <v>237</v>
      </c>
      <c r="F17" t="n">
        <v>5.05792978985953</v>
      </c>
      <c r="G17" t="n">
        <v>7.16540053563434</v>
      </c>
      <c r="H17" t="n">
        <v>9.6943654305641</v>
      </c>
      <c r="I17" t="n">
        <v>11.8018361763389</v>
      </c>
      <c r="J17" t="n">
        <v>13.0663186238038</v>
      </c>
      <c r="K17" t="n">
        <v>14.808494440311</v>
      </c>
      <c r="L17" t="n">
        <v>15.705978951845</v>
      </c>
      <c r="M17" t="n">
        <v>15.705978951845</v>
      </c>
      <c r="N17" t="n">
        <v>17.94969023068</v>
      </c>
      <c r="O17" t="n">
        <v>19.405070519654</v>
      </c>
      <c r="P17" t="n">
        <v>20.4539932504461</v>
      </c>
      <c r="Q17" t="n">
        <v>24.6496841736145</v>
      </c>
      <c r="R17" t="n">
        <v>29.5796210083374</v>
      </c>
      <c r="S17" t="n">
        <v>35.7420420517411</v>
      </c>
      <c r="T17" t="n">
        <v>45.0084973984888</v>
      </c>
      <c r="U17" t="n">
        <v>45.0084973984888</v>
      </c>
      <c r="V17" t="n">
        <v>46.6451700311611</v>
      </c>
      <c r="W17" t="n">
        <v>49.2854626744344</v>
      </c>
      <c r="X17" t="n">
        <v>49.2854626744344</v>
      </c>
      <c r="Y17" t="n">
        <v>53.6859504132231</v>
      </c>
      <c r="Z17" t="n">
        <v>57.3884297520661</v>
      </c>
      <c r="AA17" t="n">
        <v>59.2396694214876</v>
      </c>
      <c r="AB17" t="n">
        <v>61.0909090909091</v>
      </c>
      <c r="AC17" t="n">
        <v>63.9545454545455</v>
      </c>
      <c r="AD17" t="n">
        <v>62.0454545454545</v>
      </c>
      <c r="AE17" t="n">
        <v>63</v>
      </c>
      <c r="AF17" t="n">
        <v>64</v>
      </c>
    </row>
    <row r="18">
      <c r="A18" t="s">
        <v>142</v>
      </c>
      <c r="B18" t="s">
        <v>306</v>
      </c>
      <c r="C18" t="s">
        <v>236</v>
      </c>
      <c r="D18" t="s">
        <v>307</v>
      </c>
      <c r="E18" t="s">
        <v>237</v>
      </c>
      <c r="F18" t="e">
        <v>#NUM!</v>
      </c>
      <c r="G18" t="e">
        <v>#NUM!</v>
      </c>
      <c r="H18" t="e">
        <v>#NUM!</v>
      </c>
      <c r="I18" t="e">
        <v>#NUM!</v>
      </c>
      <c r="J18" t="e">
        <v>#NUM!</v>
      </c>
      <c r="K18" t="e">
        <v>#NUM!</v>
      </c>
      <c r="L18" t="e">
        <v>#NUM!</v>
      </c>
      <c r="M18" t="e">
        <v>#NUM!</v>
      </c>
      <c r="N18" t="e">
        <v>#NUM!</v>
      </c>
      <c r="O18" t="e">
        <v>#NUM!</v>
      </c>
      <c r="P18" t="e">
        <v>#NUM!</v>
      </c>
      <c r="Q18" t="e">
        <v>#NUM!</v>
      </c>
      <c r="R18" t="e">
        <v>#NUM!</v>
      </c>
      <c r="S18" t="e">
        <v>#NUM!</v>
      </c>
      <c r="T18" t="e">
        <v>#NUM!</v>
      </c>
      <c r="U18" t="e">
        <v>#NUM!</v>
      </c>
      <c r="V18" t="e">
        <v>#NUM!</v>
      </c>
      <c r="W18" t="e">
        <v>#NUM!</v>
      </c>
      <c r="X18" t="e">
        <v>#NUM!</v>
      </c>
      <c r="Y18" t="e">
        <v>#NUM!</v>
      </c>
      <c r="Z18" t="e">
        <v>#NUM!</v>
      </c>
      <c r="AA18" t="e">
        <v>#NUM!</v>
      </c>
      <c r="AB18" t="e">
        <v>#NUM!</v>
      </c>
      <c r="AC18" t="e">
        <v>#NUM!</v>
      </c>
      <c r="AD18" t="e">
        <v>#NUM!</v>
      </c>
      <c r="AE18" t="n">
        <v>0</v>
      </c>
      <c r="AF18" t="e">
        <v>#NUM!</v>
      </c>
    </row>
    <row r="19">
      <c r="A19" t="s">
        <v>142</v>
      </c>
      <c r="B19" t="s">
        <v>308</v>
      </c>
      <c r="C19" t="s">
        <v>236</v>
      </c>
      <c r="D19" t="s">
        <v>309</v>
      </c>
      <c r="E19" t="s">
        <v>237</v>
      </c>
      <c r="F19" t="n">
        <v>0</v>
      </c>
      <c r="G19" t="n">
        <v>0.36879865939695</v>
      </c>
      <c r="H19" t="n">
        <v>0.7375973187939</v>
      </c>
      <c r="I19" t="n">
        <v>1.10639597819085</v>
      </c>
      <c r="J19" t="n">
        <v>1.84399329698475</v>
      </c>
      <c r="K19" t="n">
        <v>1.4751946375878</v>
      </c>
      <c r="L19" t="n">
        <v>1.84399329698475</v>
      </c>
      <c r="M19" t="n">
        <v>1.84399329698475</v>
      </c>
      <c r="N19" t="n">
        <v>2.2127919563817</v>
      </c>
      <c r="O19" t="n">
        <v>2.2127919563817</v>
      </c>
      <c r="P19" t="n">
        <v>2.2127919563817</v>
      </c>
      <c r="Q19" t="n">
        <v>3.98302552148706</v>
      </c>
      <c r="R19" t="n">
        <v>6.25904010519395</v>
      </c>
      <c r="S19" t="n">
        <v>8.13675213675214</v>
      </c>
      <c r="T19" t="n">
        <v>8.13675213675214</v>
      </c>
      <c r="U19" t="n">
        <v>8.81481481481481</v>
      </c>
      <c r="V19" t="n">
        <v>10.5777777777778</v>
      </c>
      <c r="W19" t="n">
        <v>9.6962962962963</v>
      </c>
      <c r="X19" t="n">
        <v>11.4592592592593</v>
      </c>
      <c r="Y19" t="n">
        <v>13.2222222222222</v>
      </c>
      <c r="Z19" t="n">
        <v>15.1111111111111</v>
      </c>
      <c r="AA19" t="n">
        <v>17</v>
      </c>
      <c r="AB19" t="n">
        <v>17.9444444444444</v>
      </c>
      <c r="AC19" t="n">
        <v>18.8888888888889</v>
      </c>
      <c r="AD19" t="n">
        <v>17</v>
      </c>
      <c r="AE19" t="n">
        <v>17</v>
      </c>
      <c r="AF19" t="n">
        <v>16</v>
      </c>
    </row>
    <row r="20">
      <c r="A20" t="s">
        <v>142</v>
      </c>
      <c r="B20" t="s">
        <v>310</v>
      </c>
      <c r="C20" t="s">
        <v>236</v>
      </c>
      <c r="D20" t="s">
        <v>311</v>
      </c>
      <c r="E20" t="s">
        <v>237</v>
      </c>
      <c r="F20" t="n">
        <v>17.4557509334798</v>
      </c>
      <c r="G20" t="n">
        <v>19.7325880117598</v>
      </c>
      <c r="H20" t="n">
        <v>25.149376877733</v>
      </c>
      <c r="I20" t="n">
        <v>28.3944577651824</v>
      </c>
      <c r="J20" t="n">
        <v>32.0980826910758</v>
      </c>
      <c r="K20" t="n">
        <v>35.8991714308085</v>
      </c>
      <c r="L20" t="n">
        <v>38.4633979615805</v>
      </c>
      <c r="M20" t="n">
        <v>40.2318300517681</v>
      </c>
      <c r="N20" t="n">
        <v>44.7522603946634</v>
      </c>
      <c r="O20" t="n">
        <v>54.0756479768849</v>
      </c>
      <c r="P20" t="n">
        <v>63.0055714960036</v>
      </c>
      <c r="Q20" t="n">
        <v>79.5316230359389</v>
      </c>
      <c r="R20" t="n">
        <v>95.9864415950987</v>
      </c>
      <c r="S20" t="n">
        <v>117.316761949565</v>
      </c>
      <c r="T20" t="n">
        <v>138.836404674042</v>
      </c>
      <c r="U20" t="n">
        <v>144.77593000769</v>
      </c>
      <c r="V20" t="n">
        <v>142.221060654613</v>
      </c>
      <c r="W20" t="n">
        <v>137.720394178202</v>
      </c>
      <c r="X20" t="n">
        <v>141.41758596822</v>
      </c>
      <c r="Y20" t="n">
        <v>150.600546096027</v>
      </c>
      <c r="Z20" t="n">
        <v>164.989133302654</v>
      </c>
      <c r="AA20" t="n">
        <v>187.051633686148</v>
      </c>
      <c r="AB20" t="n">
        <v>196.644025157233</v>
      </c>
      <c r="AC20" t="n">
        <v>204.355555555556</v>
      </c>
      <c r="AD20" t="n">
        <v>204.355555555556</v>
      </c>
      <c r="AE20" t="n">
        <v>220</v>
      </c>
      <c r="AF20" t="n">
        <v>229</v>
      </c>
    </row>
    <row r="21">
      <c r="A21" t="s">
        <v>142</v>
      </c>
      <c r="B21" t="s">
        <v>312</v>
      </c>
      <c r="C21" t="s">
        <v>236</v>
      </c>
      <c r="D21" t="s">
        <v>313</v>
      </c>
      <c r="E21" t="s">
        <v>237</v>
      </c>
      <c r="F21" t="n">
        <v>18.5938415830247</v>
      </c>
      <c r="G21" t="n">
        <v>21.250104666314</v>
      </c>
      <c r="H21" t="n">
        <v>26.6592222177393</v>
      </c>
      <c r="I21" t="n">
        <v>30.6984983113362</v>
      </c>
      <c r="J21" t="n">
        <v>34.7916314195144</v>
      </c>
      <c r="K21" t="n">
        <v>38.5642179589798</v>
      </c>
      <c r="L21" t="n">
        <v>41.5306962635167</v>
      </c>
      <c r="M21" t="n">
        <v>43.7397758520016</v>
      </c>
      <c r="N21" t="n">
        <v>48.6999566187234</v>
      </c>
      <c r="O21" t="n">
        <v>57.9761388318136</v>
      </c>
      <c r="P21" t="n">
        <v>67.3112798301565</v>
      </c>
      <c r="Q21" t="n">
        <v>85.1589676639101</v>
      </c>
      <c r="R21" t="n">
        <v>104.685864707864</v>
      </c>
      <c r="S21" t="n">
        <v>128.506600389893</v>
      </c>
      <c r="T21" t="n">
        <v>152.687949925625</v>
      </c>
      <c r="U21" t="n">
        <v>160.841189970198</v>
      </c>
      <c r="V21" t="n">
        <v>160.841189970198</v>
      </c>
      <c r="W21" t="n">
        <v>160.841189970198</v>
      </c>
      <c r="X21" t="n">
        <v>166.419497136794</v>
      </c>
      <c r="Y21" t="n">
        <v>174.740471993634</v>
      </c>
      <c r="Z21" t="n">
        <v>191.062384212819</v>
      </c>
      <c r="AA21" t="n">
        <v>216.025308783339</v>
      </c>
      <c r="AB21" t="n">
        <v>226.586546101635</v>
      </c>
      <c r="AC21" t="n">
        <v>234.300130649776</v>
      </c>
      <c r="AD21" t="n">
        <v>232.355731225296</v>
      </c>
      <c r="AE21" t="n">
        <v>247</v>
      </c>
      <c r="AF21" t="n">
        <v>255</v>
      </c>
    </row>
    <row r="22">
      <c r="A22" t="s">
        <v>142</v>
      </c>
      <c r="B22" t="s">
        <v>314</v>
      </c>
      <c r="C22" t="s">
        <v>236</v>
      </c>
      <c r="D22" t="s">
        <v>315</v>
      </c>
      <c r="E22" t="s">
        <v>237</v>
      </c>
      <c r="F22" t="n">
        <v>1.14953796203796</v>
      </c>
      <c r="G22" t="n">
        <v>1.53271728271728</v>
      </c>
      <c r="H22" t="n">
        <v>1.53271728271728</v>
      </c>
      <c r="I22" t="n">
        <v>2.29907592407592</v>
      </c>
      <c r="J22" t="n">
        <v>2.68225524475524</v>
      </c>
      <c r="K22" t="n">
        <v>2.68225524475524</v>
      </c>
      <c r="L22" t="n">
        <v>3.06543456543456</v>
      </c>
      <c r="M22" t="n">
        <v>3.50335378906807</v>
      </c>
      <c r="N22" t="n">
        <v>3.94127301270158</v>
      </c>
      <c r="O22" t="n">
        <v>3.94127301270158</v>
      </c>
      <c r="P22" t="n">
        <v>4.37919223633509</v>
      </c>
      <c r="Q22" t="n">
        <v>5.69294990723562</v>
      </c>
      <c r="R22" t="n">
        <v>8.53942486085343</v>
      </c>
      <c r="S22" t="n">
        <v>10.979260535383</v>
      </c>
      <c r="T22" t="n">
        <v>13.5626159554731</v>
      </c>
      <c r="U22" t="n">
        <v>15.7040816326531</v>
      </c>
      <c r="V22" t="n">
        <v>18.3214285714286</v>
      </c>
      <c r="W22" t="n">
        <v>23.1428571428571</v>
      </c>
      <c r="X22" t="n">
        <v>25.0714285714286</v>
      </c>
      <c r="Y22" t="n">
        <v>24.1071428571429</v>
      </c>
      <c r="Z22" t="n">
        <v>26.0357142857143</v>
      </c>
      <c r="AA22" t="n">
        <v>28.9285714285714</v>
      </c>
      <c r="AB22" t="n">
        <v>29.8928571428571</v>
      </c>
      <c r="AC22" t="n">
        <v>29.8928571428571</v>
      </c>
      <c r="AD22" t="n">
        <v>27.9642857142857</v>
      </c>
      <c r="AE22" t="n">
        <v>27</v>
      </c>
      <c r="AF22" t="n">
        <v>26</v>
      </c>
    </row>
    <row r="23">
      <c r="A23" t="s">
        <v>142</v>
      </c>
      <c r="B23" t="s">
        <v>316</v>
      </c>
      <c r="C23" t="s">
        <v>236</v>
      </c>
      <c r="D23" t="s">
        <v>317</v>
      </c>
      <c r="E23" t="s">
        <v>237</v>
      </c>
      <c r="F23" t="n">
        <v>1.01427531492505</v>
      </c>
      <c r="G23" t="n">
        <v>1.35236708656673</v>
      </c>
      <c r="H23" t="n">
        <v>2.02855062985009</v>
      </c>
      <c r="I23" t="n">
        <v>2.36664240149177</v>
      </c>
      <c r="J23" t="n">
        <v>3.38091771641682</v>
      </c>
      <c r="K23" t="n">
        <v>4.05710125970018</v>
      </c>
      <c r="L23" t="n">
        <v>4.79475603419113</v>
      </c>
      <c r="M23" t="n">
        <v>5.1635834214366</v>
      </c>
      <c r="N23" t="n">
        <v>6.75237832034017</v>
      </c>
      <c r="O23" t="n">
        <v>9.00317109378689</v>
      </c>
      <c r="P23" t="n">
        <v>10.8985755345841</v>
      </c>
      <c r="Q23" t="n">
        <v>17.8340326929558</v>
      </c>
      <c r="R23" t="n">
        <v>21.617009324795</v>
      </c>
      <c r="S23" t="n">
        <v>26.5580400276052</v>
      </c>
      <c r="T23" t="n">
        <v>29.3536231884058</v>
      </c>
      <c r="U23" t="n">
        <v>32.3642512077295</v>
      </c>
      <c r="V23" t="n">
        <v>36.6227053140097</v>
      </c>
      <c r="W23" t="n">
        <v>40.195652173913</v>
      </c>
      <c r="X23" t="n">
        <v>42.0652173913044</v>
      </c>
      <c r="Y23" t="n">
        <v>43</v>
      </c>
      <c r="Z23" t="n">
        <v>45</v>
      </c>
      <c r="AA23" t="n">
        <v>47</v>
      </c>
      <c r="AB23" t="n">
        <v>48</v>
      </c>
      <c r="AC23" t="n">
        <v>48</v>
      </c>
      <c r="AD23" t="n">
        <v>44</v>
      </c>
      <c r="AE23" t="n">
        <v>42</v>
      </c>
      <c r="AF23" t="n">
        <v>40</v>
      </c>
    </row>
    <row r="24">
      <c r="A24" t="s">
        <v>142</v>
      </c>
      <c r="B24" t="s">
        <v>318</v>
      </c>
      <c r="C24" t="s">
        <v>236</v>
      </c>
      <c r="D24" t="s">
        <v>319</v>
      </c>
      <c r="E24" t="s">
        <v>237</v>
      </c>
      <c r="F24" t="n">
        <v>28.3234521896114</v>
      </c>
      <c r="G24" t="n">
        <v>34.0646924983165</v>
      </c>
      <c r="H24" t="n">
        <v>46.5942345666627</v>
      </c>
      <c r="I24" t="n">
        <v>61.3082033771878</v>
      </c>
      <c r="J24" t="n">
        <v>78.4077703055191</v>
      </c>
      <c r="K24" t="n">
        <v>87.5048044293639</v>
      </c>
      <c r="L24" t="n">
        <v>96.2552848723003</v>
      </c>
      <c r="M24" t="n">
        <v>95.8054938214951</v>
      </c>
      <c r="N24" t="n">
        <v>107.781180549182</v>
      </c>
      <c r="O24" t="n">
        <v>119.651354618475</v>
      </c>
      <c r="P24" t="n">
        <v>129.834448628558</v>
      </c>
      <c r="Q24" t="n">
        <v>137.223400989533</v>
      </c>
      <c r="R24" t="n">
        <v>156.266648473795</v>
      </c>
      <c r="S24" t="n">
        <v>186.367191417518</v>
      </c>
      <c r="T24" t="n">
        <v>200.539601411245</v>
      </c>
      <c r="U24" t="n">
        <v>216.552269204538</v>
      </c>
      <c r="V24" t="n">
        <v>221.791437007874</v>
      </c>
      <c r="W24" t="n">
        <v>234.729270833333</v>
      </c>
      <c r="X24" t="n">
        <v>234.729270833333</v>
      </c>
      <c r="Y24" t="n">
        <v>238.455132275132</v>
      </c>
      <c r="Z24" t="n">
        <v>240.393791887125</v>
      </c>
      <c r="AA24" t="n">
        <v>246.209770723104</v>
      </c>
      <c r="AB24" t="n">
        <v>237.485802469136</v>
      </c>
      <c r="AC24" t="n">
        <v>233.592592592593</v>
      </c>
      <c r="AD24" t="n">
        <v>224.759259259259</v>
      </c>
      <c r="AE24" t="n">
        <v>212</v>
      </c>
      <c r="AF24" t="n">
        <v>200</v>
      </c>
    </row>
    <row r="25">
      <c r="A25" t="s">
        <v>142</v>
      </c>
      <c r="B25" t="s">
        <v>320</v>
      </c>
      <c r="C25" t="s">
        <v>236</v>
      </c>
      <c r="D25" t="s">
        <v>321</v>
      </c>
      <c r="E25" t="s">
        <v>237</v>
      </c>
      <c r="F25" t="n">
        <v>1.69141374256973</v>
      </c>
      <c r="G25" t="n">
        <v>1.69141374256973</v>
      </c>
      <c r="H25" t="n">
        <v>2.36797923959762</v>
      </c>
      <c r="I25" t="n">
        <v>3.15730565279683</v>
      </c>
      <c r="J25" t="n">
        <v>3.94663206599604</v>
      </c>
      <c r="K25" t="n">
        <v>4.3851467399956</v>
      </c>
      <c r="L25" t="n">
        <v>4.82366141399516</v>
      </c>
      <c r="M25" t="n">
        <v>4.3851467399956</v>
      </c>
      <c r="N25" t="n">
        <v>4.82366141399516</v>
      </c>
      <c r="O25" t="n">
        <v>5.26217608799472</v>
      </c>
      <c r="P25" t="n">
        <v>5.74055573235787</v>
      </c>
      <c r="Q25" t="n">
        <v>7.82803054412437</v>
      </c>
      <c r="R25" t="n">
        <v>8.94632062185642</v>
      </c>
      <c r="S25" t="n">
        <v>15.9755725390293</v>
      </c>
      <c r="T25" t="n">
        <v>17.4278973153047</v>
      </c>
      <c r="U25" t="n">
        <v>20.5966059180874</v>
      </c>
      <c r="V25" t="n">
        <v>25.0741289437586</v>
      </c>
      <c r="W25" t="n">
        <v>26.0385185185185</v>
      </c>
      <c r="X25" t="n">
        <v>25.037037037037</v>
      </c>
      <c r="Y25" t="n">
        <v>26</v>
      </c>
      <c r="Z25" t="n">
        <v>26</v>
      </c>
      <c r="AA25" t="n">
        <v>27</v>
      </c>
      <c r="AB25" t="n">
        <v>25</v>
      </c>
      <c r="AC25" t="n">
        <v>24</v>
      </c>
      <c r="AD25" t="n">
        <v>23</v>
      </c>
      <c r="AE25" t="n">
        <v>22</v>
      </c>
      <c r="AF25" t="n">
        <v>21</v>
      </c>
    </row>
    <row r="26">
      <c r="A26" t="s">
        <v>142</v>
      </c>
      <c r="B26" t="s">
        <v>322</v>
      </c>
      <c r="C26" t="s">
        <v>236</v>
      </c>
      <c r="D26" t="s">
        <v>323</v>
      </c>
      <c r="E26" t="s">
        <v>237</v>
      </c>
      <c r="F26" t="n">
        <v>15.2011252114707</v>
      </c>
      <c r="G26" t="n">
        <v>19.0988496246683</v>
      </c>
      <c r="H26" t="n">
        <v>27.0567036349468</v>
      </c>
      <c r="I26" t="n">
        <v>35.6656547915207</v>
      </c>
      <c r="J26" t="n">
        <v>44.47716950472</v>
      </c>
      <c r="K26" t="n">
        <v>49.2271584809522</v>
      </c>
      <c r="L26" t="n">
        <v>53.5835441872311</v>
      </c>
      <c r="M26" t="n">
        <v>53.5835441872311</v>
      </c>
      <c r="N26" t="n">
        <v>59.0792923089984</v>
      </c>
      <c r="O26" t="n">
        <v>64.7509043706623</v>
      </c>
      <c r="P26" t="n">
        <v>69.8095687746203</v>
      </c>
      <c r="Q26" t="n">
        <v>71.9091046776164</v>
      </c>
      <c r="R26" t="n">
        <v>79.7131935573577</v>
      </c>
      <c r="S26" t="n">
        <v>88.6410712357818</v>
      </c>
      <c r="T26" t="n">
        <v>92.8620746279619</v>
      </c>
      <c r="U26" t="n">
        <v>98.1469081433743</v>
      </c>
      <c r="V26" t="n">
        <v>93.8041245972073</v>
      </c>
      <c r="W26" t="n">
        <v>96.5630694383016</v>
      </c>
      <c r="X26" t="n">
        <v>95.6255639097744</v>
      </c>
      <c r="Y26" t="n">
        <v>95.6255639097744</v>
      </c>
      <c r="Z26" t="n">
        <v>94.659649122807</v>
      </c>
      <c r="AA26" t="n">
        <v>96.5914786967419</v>
      </c>
      <c r="AB26" t="n">
        <v>92.7278195488722</v>
      </c>
      <c r="AC26" t="n">
        <v>91.7619047619048</v>
      </c>
      <c r="AD26" t="n">
        <v>87.8571428571429</v>
      </c>
      <c r="AE26" t="n">
        <v>82</v>
      </c>
      <c r="AF26" t="n">
        <v>76</v>
      </c>
    </row>
    <row r="27">
      <c r="A27" t="s">
        <v>142</v>
      </c>
      <c r="B27" t="s">
        <v>324</v>
      </c>
      <c r="C27" t="s">
        <v>236</v>
      </c>
      <c r="D27" t="s">
        <v>325</v>
      </c>
      <c r="E27" t="s">
        <v>237</v>
      </c>
      <c r="F27" t="n">
        <v>11.3294898044995</v>
      </c>
      <c r="G27" t="n">
        <v>13.2177381052494</v>
      </c>
      <c r="H27" t="n">
        <v>17.1053081362051</v>
      </c>
      <c r="I27" t="n">
        <v>22.399808273602</v>
      </c>
      <c r="J27" t="n">
        <v>29.8664110314693</v>
      </c>
      <c r="K27" t="n">
        <v>33.762029861661</v>
      </c>
      <c r="L27" t="n">
        <v>37.7082411441927</v>
      </c>
      <c r="M27" t="n">
        <v>37.7082411441927</v>
      </c>
      <c r="N27" t="n">
        <v>43.760181080915</v>
      </c>
      <c r="O27" t="n">
        <v>49.5307544102665</v>
      </c>
      <c r="P27" t="n">
        <v>54.174262636229</v>
      </c>
      <c r="Q27" t="n">
        <v>57.3609839677718</v>
      </c>
      <c r="R27" t="n">
        <v>67.4835105503198</v>
      </c>
      <c r="S27" t="n">
        <v>81.622912760863</v>
      </c>
      <c r="T27" t="n">
        <v>90.1400862663444</v>
      </c>
      <c r="U27" t="n">
        <v>97.779076627899</v>
      </c>
      <c r="V27" t="n">
        <v>103.017241447251</v>
      </c>
      <c r="W27" t="n">
        <v>112.215209433612</v>
      </c>
      <c r="X27" t="n">
        <v>114.085462924173</v>
      </c>
      <c r="Y27" t="n">
        <v>116.868035190616</v>
      </c>
      <c r="Z27" t="n">
        <v>119.765589782119</v>
      </c>
      <c r="AA27" t="n">
        <v>122.663144373622</v>
      </c>
      <c r="AB27" t="n">
        <v>119.765589782119</v>
      </c>
      <c r="AC27" t="n">
        <v>117.818181818182</v>
      </c>
      <c r="AD27" t="n">
        <v>113.890909090909</v>
      </c>
      <c r="AE27" t="n">
        <v>108</v>
      </c>
      <c r="AF27" t="n">
        <v>103</v>
      </c>
    </row>
    <row r="28">
      <c r="A28" t="s">
        <v>142</v>
      </c>
      <c r="B28" t="s">
        <v>326</v>
      </c>
      <c r="C28" t="s">
        <v>236</v>
      </c>
      <c r="D28" t="s">
        <v>327</v>
      </c>
      <c r="E28" t="s">
        <v>237</v>
      </c>
      <c r="F28" t="n">
        <v>25.8547103032194</v>
      </c>
      <c r="G28" t="n">
        <v>32.6986042070128</v>
      </c>
      <c r="H28" t="n">
        <v>41.651793454171</v>
      </c>
      <c r="I28" t="n">
        <v>56.0697219575379</v>
      </c>
      <c r="J28" t="n">
        <v>69.984835436051</v>
      </c>
      <c r="K28" t="n">
        <v>77.528111111793</v>
      </c>
      <c r="L28" t="n">
        <v>84.2696859910793</v>
      </c>
      <c r="M28" t="n">
        <v>86.4415851145608</v>
      </c>
      <c r="N28" t="n">
        <v>102.927866811668</v>
      </c>
      <c r="O28" t="n">
        <v>118.159344860031</v>
      </c>
      <c r="P28" t="n">
        <v>122.065438904991</v>
      </c>
      <c r="Q28" t="n">
        <v>123.078430099223</v>
      </c>
      <c r="R28" t="n">
        <v>126.303192459901</v>
      </c>
      <c r="S28" t="n">
        <v>133.660659981837</v>
      </c>
      <c r="T28" t="n">
        <v>138.410023534492</v>
      </c>
      <c r="U28" t="n">
        <v>141.339336201888</v>
      </c>
      <c r="V28" t="n">
        <v>148.911086355561</v>
      </c>
      <c r="W28" t="n">
        <v>151.602250566806</v>
      </c>
      <c r="X28" t="n">
        <v>153.417846381977</v>
      </c>
      <c r="Y28" t="n">
        <v>158.832593901341</v>
      </c>
      <c r="Z28" t="n">
        <v>159.778026007897</v>
      </c>
      <c r="AA28" t="n">
        <v>165.484384079607</v>
      </c>
      <c r="AB28" t="n">
        <v>164.538759027724</v>
      </c>
      <c r="AC28" t="n">
        <v>161.685485749786</v>
      </c>
      <c r="AD28" t="n">
        <v>156.873417721519</v>
      </c>
      <c r="AE28" t="n">
        <v>153</v>
      </c>
      <c r="AF28" t="n">
        <v>151</v>
      </c>
    </row>
    <row r="29">
      <c r="A29" t="s">
        <v>142</v>
      </c>
      <c r="B29" t="s">
        <v>328</v>
      </c>
      <c r="C29" t="s">
        <v>236</v>
      </c>
      <c r="D29" t="s">
        <v>329</v>
      </c>
      <c r="E29" t="s">
        <v>237</v>
      </c>
      <c r="F29" t="n">
        <v>11.6962424048451</v>
      </c>
      <c r="G29" t="n">
        <v>15.5949898731268</v>
      </c>
      <c r="H29" t="n">
        <v>19.9935767604189</v>
      </c>
      <c r="I29" t="n">
        <v>27.9077008947514</v>
      </c>
      <c r="J29" t="n">
        <v>32.6305425846324</v>
      </c>
      <c r="K29" t="n">
        <v>34.8059120902746</v>
      </c>
      <c r="L29" t="n">
        <v>37.8514293981736</v>
      </c>
      <c r="M29" t="n">
        <v>39.2032661623941</v>
      </c>
      <c r="N29" t="n">
        <v>47.0439193948729</v>
      </c>
      <c r="O29" t="n">
        <v>57.022932599846</v>
      </c>
      <c r="P29" t="n">
        <v>56.5227314366894</v>
      </c>
      <c r="Q29" t="n">
        <v>57.0460900611032</v>
      </c>
      <c r="R29" t="n">
        <v>58.1537811302508</v>
      </c>
      <c r="S29" t="n">
        <v>60.0297095538073</v>
      </c>
      <c r="T29" t="n">
        <v>60.7197062153453</v>
      </c>
      <c r="U29" t="n">
        <v>59.979221993207</v>
      </c>
      <c r="V29" t="n">
        <v>62.5135553168636</v>
      </c>
      <c r="W29" t="n">
        <v>63.4195488721805</v>
      </c>
      <c r="X29" t="n">
        <v>62.5004249754822</v>
      </c>
      <c r="Y29" t="n">
        <v>63.4195488721805</v>
      </c>
      <c r="Z29" t="n">
        <v>63.4195488721805</v>
      </c>
      <c r="AA29" t="n">
        <v>67.2631578947368</v>
      </c>
      <c r="AB29" t="n">
        <v>70.1052631578947</v>
      </c>
      <c r="AC29" t="n">
        <v>72</v>
      </c>
      <c r="AD29" t="n">
        <v>72.96</v>
      </c>
      <c r="AE29" t="n">
        <v>72</v>
      </c>
      <c r="AF29" t="n">
        <v>73</v>
      </c>
    </row>
    <row r="30">
      <c r="A30" t="s">
        <v>142</v>
      </c>
      <c r="B30" t="s">
        <v>330</v>
      </c>
      <c r="C30" t="s">
        <v>236</v>
      </c>
      <c r="D30" t="s">
        <v>331</v>
      </c>
      <c r="E30" t="s">
        <v>237</v>
      </c>
      <c r="F30" t="e">
        <v>#NUM!</v>
      </c>
      <c r="G30" t="e">
        <v>#NUM!</v>
      </c>
      <c r="H30" t="e">
        <v>#NUM!</v>
      </c>
      <c r="I30" t="e">
        <v>#NUM!</v>
      </c>
      <c r="J30" t="e">
        <v>#NUM!</v>
      </c>
      <c r="K30" t="n">
        <v>0</v>
      </c>
      <c r="L30" t="n">
        <v>0.38961038961039</v>
      </c>
      <c r="M30" t="n">
        <v>0.77922077922078</v>
      </c>
      <c r="N30" t="n">
        <v>1.55844155844156</v>
      </c>
      <c r="O30" t="n">
        <v>2.5974025974026</v>
      </c>
      <c r="P30" t="n">
        <v>3.63636363636364</v>
      </c>
      <c r="Q30" t="n">
        <v>4.67532467532468</v>
      </c>
      <c r="R30" t="n">
        <v>4.67532467532468</v>
      </c>
      <c r="S30" t="n">
        <v>4.67532467532468</v>
      </c>
      <c r="T30" t="n">
        <v>4.67532467532468</v>
      </c>
      <c r="U30" t="n">
        <v>4.67532467532468</v>
      </c>
      <c r="V30" t="n">
        <v>8.57142857142857</v>
      </c>
      <c r="W30" t="n">
        <v>10.2857142857143</v>
      </c>
      <c r="X30" t="n">
        <v>11.1428571428571</v>
      </c>
      <c r="Y30" t="n">
        <v>12</v>
      </c>
      <c r="Z30" t="n">
        <v>12.9230769230769</v>
      </c>
      <c r="AA30" t="n">
        <v>12.9230769230769</v>
      </c>
      <c r="AB30" t="n">
        <v>12</v>
      </c>
      <c r="AC30" t="n">
        <v>12</v>
      </c>
      <c r="AD30" t="n">
        <v>11.0769230769231</v>
      </c>
      <c r="AE30" t="n">
        <v>12</v>
      </c>
      <c r="AF30" t="n">
        <v>11</v>
      </c>
    </row>
    <row r="31">
      <c r="A31" t="s">
        <v>142</v>
      </c>
      <c r="B31" t="s">
        <v>332</v>
      </c>
      <c r="C31" t="s">
        <v>236</v>
      </c>
      <c r="D31" t="s">
        <v>333</v>
      </c>
      <c r="E31" t="s">
        <v>237</v>
      </c>
      <c r="F31" t="e">
        <v>#NUM!</v>
      </c>
      <c r="G31" t="e">
        <v>#NUM!</v>
      </c>
      <c r="H31" t="e">
        <v>#NUM!</v>
      </c>
      <c r="I31" t="e">
        <v>#NUM!</v>
      </c>
      <c r="J31" t="e">
        <v>#NUM!</v>
      </c>
      <c r="K31" t="e">
        <v>#NUM!</v>
      </c>
      <c r="L31" t="e">
        <v>#NUM!</v>
      </c>
      <c r="M31" t="e">
        <v>#NUM!</v>
      </c>
      <c r="N31" t="e">
        <v>#NUM!</v>
      </c>
      <c r="O31" t="e">
        <v>#NUM!</v>
      </c>
      <c r="P31" t="e">
        <v>#NUM!</v>
      </c>
      <c r="Q31" t="e">
        <v>#NUM!</v>
      </c>
      <c r="R31" t="e">
        <v>#NUM!</v>
      </c>
      <c r="S31" t="e">
        <v>#NUM!</v>
      </c>
      <c r="T31" t="e">
        <v>#NUM!</v>
      </c>
      <c r="U31" t="e">
        <v>#NUM!</v>
      </c>
      <c r="V31" t="e">
        <v>#NUM!</v>
      </c>
      <c r="W31" t="e">
        <v>#NUM!</v>
      </c>
      <c r="X31" t="e">
        <v>#NUM!</v>
      </c>
      <c r="Y31" t="e">
        <v>#NUM!</v>
      </c>
      <c r="Z31" t="e">
        <v>#NUM!</v>
      </c>
      <c r="AA31" t="e">
        <v>#NUM!</v>
      </c>
      <c r="AB31" t="e">
        <v>#NUM!</v>
      </c>
      <c r="AC31" t="e">
        <v>#NUM!</v>
      </c>
      <c r="AD31" t="e">
        <v>#NUM!</v>
      </c>
      <c r="AE31" t="n">
        <v>0</v>
      </c>
      <c r="AF31" t="e">
        <v>#NUM!</v>
      </c>
    </row>
    <row r="32">
      <c r="A32" t="s">
        <v>142</v>
      </c>
      <c r="B32" t="s">
        <v>334</v>
      </c>
      <c r="C32" t="s">
        <v>236</v>
      </c>
      <c r="D32" t="s">
        <v>335</v>
      </c>
      <c r="E32" t="s">
        <v>237</v>
      </c>
      <c r="F32" t="n">
        <v>10.5103609531576</v>
      </c>
      <c r="G32" t="n">
        <v>12.4567240926312</v>
      </c>
      <c r="H32" t="n">
        <v>14.7923598599996</v>
      </c>
      <c r="I32" t="n">
        <v>18.3905014475671</v>
      </c>
      <c r="J32" t="n">
        <v>23.7033129768642</v>
      </c>
      <c r="K32" t="n">
        <v>27.5127739910031</v>
      </c>
      <c r="L32" t="n">
        <v>28.7825943290494</v>
      </c>
      <c r="M32" t="n">
        <v>29.2186942431259</v>
      </c>
      <c r="N32" t="n">
        <v>36.8605065836358</v>
      </c>
      <c r="O32" t="n">
        <v>42.459570874821</v>
      </c>
      <c r="P32" t="n">
        <v>46.903014338465</v>
      </c>
      <c r="Q32" t="n">
        <v>47.4128297117092</v>
      </c>
      <c r="R32" t="n">
        <v>49.5679583349687</v>
      </c>
      <c r="S32" t="n">
        <v>52.6659557309043</v>
      </c>
      <c r="T32" t="n">
        <v>56.7697964372085</v>
      </c>
      <c r="U32" t="n">
        <v>59.7576804602195</v>
      </c>
      <c r="V32" t="n">
        <v>61.4650427590829</v>
      </c>
      <c r="W32" t="n">
        <v>62.3689404467165</v>
      </c>
      <c r="X32" t="n">
        <v>65.1205113487775</v>
      </c>
      <c r="Y32" t="n">
        <v>69.6427690813315</v>
      </c>
      <c r="Z32" t="n">
        <v>69.6427690813315</v>
      </c>
      <c r="AA32" t="n">
        <v>71.5507901520529</v>
      </c>
      <c r="AB32" t="n">
        <v>67.7347480106101</v>
      </c>
      <c r="AC32" t="n">
        <v>62.8965517241379</v>
      </c>
      <c r="AD32" t="n">
        <v>60.9310344827586</v>
      </c>
      <c r="AE32" t="n">
        <v>57</v>
      </c>
      <c r="AF32" t="n">
        <v>56</v>
      </c>
    </row>
    <row r="33">
      <c r="A33" t="s">
        <v>142</v>
      </c>
      <c r="B33" t="s">
        <v>336</v>
      </c>
      <c r="C33" t="s">
        <v>236</v>
      </c>
      <c r="D33" t="s">
        <v>337</v>
      </c>
      <c r="E33" t="s">
        <v>237</v>
      </c>
      <c r="F33" t="n">
        <v>3.10347723605547</v>
      </c>
      <c r="G33" t="n">
        <v>3.49141189056241</v>
      </c>
      <c r="H33" t="n">
        <v>4.65521585408321</v>
      </c>
      <c r="I33" t="n">
        <v>6.20695447211094</v>
      </c>
      <c r="J33" t="n">
        <v>8.92249705365948</v>
      </c>
      <c r="K33" t="n">
        <v>10.5447692452339</v>
      </c>
      <c r="L33" t="n">
        <v>11.3883507848526</v>
      </c>
      <c r="M33" t="n">
        <v>11.810141554662</v>
      </c>
      <c r="N33" t="n">
        <v>12.6849668550073</v>
      </c>
      <c r="O33" t="n">
        <v>11.7788977939354</v>
      </c>
      <c r="P33" t="n">
        <v>10.3065355696935</v>
      </c>
      <c r="Q33" t="n">
        <v>9.32496075353218</v>
      </c>
      <c r="R33" t="n">
        <v>9.32496075353218</v>
      </c>
      <c r="S33" t="n">
        <v>8.7032967032967</v>
      </c>
      <c r="T33" t="n">
        <v>8.7032967032967</v>
      </c>
      <c r="U33" t="n">
        <v>10.1538461538462</v>
      </c>
      <c r="V33" t="n">
        <v>10.1538461538462</v>
      </c>
      <c r="W33" t="n">
        <v>10.1538461538462</v>
      </c>
      <c r="X33" t="n">
        <v>10.1538461538462</v>
      </c>
      <c r="Y33" t="n">
        <v>10.1538461538462</v>
      </c>
      <c r="Z33" t="n">
        <v>10.1538461538462</v>
      </c>
      <c r="AA33" t="n">
        <v>10.1538461538462</v>
      </c>
      <c r="AB33" t="n">
        <v>12</v>
      </c>
      <c r="AC33" t="n">
        <v>12</v>
      </c>
      <c r="AD33" t="n">
        <v>12</v>
      </c>
      <c r="AE33" t="n">
        <v>12</v>
      </c>
      <c r="AF33" t="n">
        <v>11</v>
      </c>
    </row>
    <row r="34">
      <c r="A34" t="s">
        <v>142</v>
      </c>
      <c r="B34" t="s">
        <v>338</v>
      </c>
      <c r="C34" t="s">
        <v>236</v>
      </c>
      <c r="D34" t="s">
        <v>339</v>
      </c>
      <c r="E34" t="s">
        <v>237</v>
      </c>
      <c r="F34" t="n">
        <v>5.00083854958826</v>
      </c>
      <c r="G34" t="n">
        <v>6.53955810330772</v>
      </c>
      <c r="H34" t="n">
        <v>9.80933715496158</v>
      </c>
      <c r="I34" t="n">
        <v>14.5007592725519</v>
      </c>
      <c r="J34" t="n">
        <v>17.9127026307994</v>
      </c>
      <c r="K34" t="n">
        <v>20.1517904596493</v>
      </c>
      <c r="L34" t="n">
        <v>22.8386958542692</v>
      </c>
      <c r="M34" t="n">
        <v>22.8386958542692</v>
      </c>
      <c r="N34" t="n">
        <v>26.1693389996835</v>
      </c>
      <c r="O34" t="n">
        <v>30.0462781107477</v>
      </c>
      <c r="P34" t="n">
        <v>33.1545137773768</v>
      </c>
      <c r="Q34" t="n">
        <v>34.7333001477281</v>
      </c>
      <c r="R34" t="n">
        <v>38.1496903261931</v>
      </c>
      <c r="S34" t="n">
        <v>41.4384567336236</v>
      </c>
      <c r="T34" t="n">
        <v>42.9184016169673</v>
      </c>
      <c r="U34" t="n">
        <v>45.3027572623544</v>
      </c>
      <c r="V34" t="n">
        <v>48.9269778433427</v>
      </c>
      <c r="W34" t="n">
        <v>51.7496881035356</v>
      </c>
      <c r="X34" t="n">
        <v>49.8330329885898</v>
      </c>
      <c r="Y34" t="n">
        <v>48.8927870831447</v>
      </c>
      <c r="Z34" t="n">
        <v>46.9370755998189</v>
      </c>
      <c r="AA34" t="n">
        <v>47.894975101856</v>
      </c>
      <c r="AB34" t="n">
        <v>45.0212765957447</v>
      </c>
      <c r="AC34" t="n">
        <v>46</v>
      </c>
      <c r="AD34" t="n">
        <v>45</v>
      </c>
      <c r="AE34" t="n">
        <v>42</v>
      </c>
      <c r="AF34" t="n">
        <v>40</v>
      </c>
    </row>
    <row r="35">
      <c r="A35" t="s">
        <v>142</v>
      </c>
      <c r="B35" t="s">
        <v>340</v>
      </c>
      <c r="C35" t="s">
        <v>236</v>
      </c>
      <c r="D35" t="s">
        <v>341</v>
      </c>
      <c r="E35" t="s">
        <v>237</v>
      </c>
      <c r="F35" t="n">
        <v>27.917041761392</v>
      </c>
      <c r="G35" t="n">
        <v>35.5655463535542</v>
      </c>
      <c r="H35" t="n">
        <v>46.8996215651264</v>
      </c>
      <c r="I35" t="n">
        <v>59.5421282478996</v>
      </c>
      <c r="J35" t="n">
        <v>74.5317549396785</v>
      </c>
      <c r="K35" t="n">
        <v>84.7532527599772</v>
      </c>
      <c r="L35" t="n">
        <v>95.4544210377522</v>
      </c>
      <c r="M35" t="n">
        <v>98.1059327332453</v>
      </c>
      <c r="N35" t="n">
        <v>99.9227092653424</v>
      </c>
      <c r="O35" t="n">
        <v>128.069951311918</v>
      </c>
      <c r="P35" t="n">
        <v>144.26852222884</v>
      </c>
      <c r="Q35" t="n">
        <v>163.608867600098</v>
      </c>
      <c r="R35" t="n">
        <v>182.465482848922</v>
      </c>
      <c r="S35" t="n">
        <v>207.896212165845</v>
      </c>
      <c r="T35" t="n">
        <v>212.138992005965</v>
      </c>
      <c r="U35" t="n">
        <v>234.110530463725</v>
      </c>
      <c r="V35" t="n">
        <v>301.742461486579</v>
      </c>
      <c r="W35" t="n">
        <v>366.860135545993</v>
      </c>
      <c r="X35" t="n">
        <v>406.898170643652</v>
      </c>
      <c r="Y35" t="n">
        <v>450.165623178158</v>
      </c>
      <c r="Z35" t="n">
        <v>499.117535293481</v>
      </c>
      <c r="AA35" t="n">
        <v>550.94897165088</v>
      </c>
      <c r="AB35" t="n">
        <v>583.583579727762</v>
      </c>
      <c r="AC35" t="n">
        <v>656.048428203891</v>
      </c>
      <c r="AD35" t="n">
        <v>675.602777777778</v>
      </c>
      <c r="AE35" t="n">
        <v>706</v>
      </c>
      <c r="AF35" t="n">
        <v>745</v>
      </c>
    </row>
    <row r="36">
      <c r="A36" t="s">
        <v>142</v>
      </c>
      <c r="B36" t="s">
        <v>342</v>
      </c>
      <c r="C36" t="s">
        <v>236</v>
      </c>
      <c r="D36" t="s">
        <v>343</v>
      </c>
      <c r="E36" t="s">
        <v>237</v>
      </c>
      <c r="F36" t="n">
        <v>5.88350470754718</v>
      </c>
      <c r="G36" t="n">
        <v>6.72400538005392</v>
      </c>
      <c r="H36" t="n">
        <v>9.66575773382751</v>
      </c>
      <c r="I36" t="n">
        <v>11.8625208551519</v>
      </c>
      <c r="J36" t="n">
        <v>11.8625208551519</v>
      </c>
      <c r="K36" t="n">
        <v>12.3187716572732</v>
      </c>
      <c r="L36" t="n">
        <v>13.2312732615156</v>
      </c>
      <c r="M36" t="n">
        <v>13.7038187351412</v>
      </c>
      <c r="N36" t="n">
        <v>14.6826629305084</v>
      </c>
      <c r="O36" t="n">
        <v>14.6826629305084</v>
      </c>
      <c r="P36" t="n">
        <v>15.7702675920276</v>
      </c>
      <c r="Q36" t="n">
        <v>18.0231629623172</v>
      </c>
      <c r="R36" t="n">
        <v>20.9301247304329</v>
      </c>
      <c r="S36" t="n">
        <v>23.6307859859726</v>
      </c>
      <c r="T36" t="n">
        <v>27.4422030804843</v>
      </c>
      <c r="U36" t="n">
        <v>32.2849448005698</v>
      </c>
      <c r="V36" t="n">
        <v>36.8970797720798</v>
      </c>
      <c r="W36" t="n">
        <v>40.7809829059829</v>
      </c>
      <c r="X36" t="n">
        <v>38.8390313390313</v>
      </c>
      <c r="Y36" t="n">
        <v>36.9444444444444</v>
      </c>
      <c r="Z36" t="n">
        <v>35</v>
      </c>
      <c r="AA36" t="n">
        <v>35</v>
      </c>
      <c r="AB36" t="n">
        <v>35</v>
      </c>
      <c r="AC36" t="n">
        <v>35</v>
      </c>
      <c r="AD36" t="n">
        <v>35</v>
      </c>
      <c r="AE36" t="n">
        <v>32</v>
      </c>
      <c r="AF36" t="n">
        <v>30</v>
      </c>
    </row>
    <row r="37">
      <c r="A37" t="s">
        <v>142</v>
      </c>
      <c r="B37" t="s">
        <v>344</v>
      </c>
      <c r="C37" t="s">
        <v>236</v>
      </c>
      <c r="D37" t="s">
        <v>345</v>
      </c>
      <c r="E37" t="s">
        <v>237</v>
      </c>
      <c r="F37" t="n">
        <v>17.6467326748994</v>
      </c>
      <c r="G37" t="n">
        <v>23.4011020254101</v>
      </c>
      <c r="H37" t="n">
        <v>31.2014693672134</v>
      </c>
      <c r="I37" t="n">
        <v>40.9266026764747</v>
      </c>
      <c r="J37" t="n">
        <v>53.7420035145628</v>
      </c>
      <c r="K37" t="n">
        <v>62.2053111546514</v>
      </c>
      <c r="L37" t="n">
        <v>70.3005228802568</v>
      </c>
      <c r="M37" t="n">
        <v>72.0580359522632</v>
      </c>
      <c r="N37" t="n">
        <v>71.6076732275615</v>
      </c>
      <c r="O37" t="n">
        <v>93.9269479997885</v>
      </c>
      <c r="P37" t="n">
        <v>106.98630975377</v>
      </c>
      <c r="Q37" t="n">
        <v>115.255782971452</v>
      </c>
      <c r="R37" t="n">
        <v>120.770413735637</v>
      </c>
      <c r="S37" t="n">
        <v>135.313447850399</v>
      </c>
      <c r="T37" t="n">
        <v>134.612341902988</v>
      </c>
      <c r="U37" t="n">
        <v>147.39675426249</v>
      </c>
      <c r="V37" t="n">
        <v>205.148698915044</v>
      </c>
      <c r="W37" t="n">
        <v>260.7667906209</v>
      </c>
      <c r="X37" t="n">
        <v>296.030627074972</v>
      </c>
      <c r="Y37" t="n">
        <v>330.965918468913</v>
      </c>
      <c r="Z37" t="n">
        <v>362.623528061592</v>
      </c>
      <c r="AA37" t="n">
        <v>401.955709676738</v>
      </c>
      <c r="AB37" t="n">
        <v>417.304853721673</v>
      </c>
      <c r="AC37" t="n">
        <v>469.467960436882</v>
      </c>
      <c r="AD37" t="n">
        <v>494.844606946984</v>
      </c>
      <c r="AE37" t="n">
        <v>536</v>
      </c>
      <c r="AF37" t="n">
        <v>580</v>
      </c>
    </row>
    <row r="38">
      <c r="A38" t="s">
        <v>142</v>
      </c>
      <c r="B38" t="s">
        <v>346</v>
      </c>
      <c r="C38" t="s">
        <v>236</v>
      </c>
      <c r="D38" t="s">
        <v>347</v>
      </c>
      <c r="E38" t="s">
        <v>237</v>
      </c>
      <c r="F38" t="n">
        <v>4.61296978059839</v>
      </c>
      <c r="G38" t="n">
        <v>5.67750126842879</v>
      </c>
      <c r="H38" t="n">
        <v>6.43450143755263</v>
      </c>
      <c r="I38" t="n">
        <v>7.23881411724671</v>
      </c>
      <c r="J38" t="n">
        <v>9.2495958164819</v>
      </c>
      <c r="K38" t="n">
        <v>10.5109043369113</v>
      </c>
      <c r="L38" t="n">
        <v>12.1926490308171</v>
      </c>
      <c r="M38" t="n">
        <v>12.6281007819177</v>
      </c>
      <c r="N38" t="n">
        <v>13.9811115799803</v>
      </c>
      <c r="O38" t="n">
        <v>19.5735562119724</v>
      </c>
      <c r="P38" t="n">
        <v>21.5811004388413</v>
      </c>
      <c r="Q38" t="n">
        <v>30.5293615964097</v>
      </c>
      <c r="R38" t="n">
        <v>41.0758683297149</v>
      </c>
      <c r="S38" t="n">
        <v>49.2910419956578</v>
      </c>
      <c r="T38" t="n">
        <v>50.6993574812481</v>
      </c>
      <c r="U38" t="n">
        <v>55.239598449718</v>
      </c>
      <c r="V38" t="n">
        <v>60.4183108043791</v>
      </c>
      <c r="W38" t="n">
        <v>65.9108845138681</v>
      </c>
      <c r="X38" t="n">
        <v>72.4091407335453</v>
      </c>
      <c r="Y38" t="n">
        <v>82.4914261521402</v>
      </c>
      <c r="Z38" t="n">
        <v>101.675478745661</v>
      </c>
      <c r="AA38" t="n">
        <v>114.14511293145</v>
      </c>
      <c r="AB38" t="n">
        <v>131.410760265619</v>
      </c>
      <c r="AC38" t="n">
        <v>151.702127659574</v>
      </c>
      <c r="AD38" t="n">
        <v>145.829787234043</v>
      </c>
      <c r="AE38" t="n">
        <v>138</v>
      </c>
      <c r="AF38" t="n">
        <v>135</v>
      </c>
    </row>
    <row r="39">
      <c r="A39" t="s">
        <v>142</v>
      </c>
      <c r="B39" t="s">
        <v>348</v>
      </c>
      <c r="C39" t="s">
        <v>236</v>
      </c>
      <c r="D39" t="s">
        <v>349</v>
      </c>
      <c r="E39" t="s">
        <v>237</v>
      </c>
      <c r="F39" t="n">
        <v>11.3159182812661</v>
      </c>
      <c r="G39" t="n">
        <v>12.0963264385948</v>
      </c>
      <c r="H39" t="n">
        <v>12.0963264385948</v>
      </c>
      <c r="I39" t="n">
        <v>11.6931155573083</v>
      </c>
      <c r="J39" t="n">
        <v>11.6931155573083</v>
      </c>
      <c r="K39" t="n">
        <v>12.9027482011678</v>
      </c>
      <c r="L39" t="n">
        <v>12.4995373198813</v>
      </c>
      <c r="M39" t="n">
        <v>13.3059590824543</v>
      </c>
      <c r="N39" t="n">
        <v>14.5936325420466</v>
      </c>
      <c r="O39" t="n">
        <v>15.0496835589856</v>
      </c>
      <c r="P39" t="n">
        <v>16.5061045485648</v>
      </c>
      <c r="Q39" t="n">
        <v>19.0070294801656</v>
      </c>
      <c r="R39" t="n">
        <v>25.8706790146698</v>
      </c>
      <c r="S39" t="n">
        <v>34.2936907868879</v>
      </c>
      <c r="T39" t="n">
        <v>39.0948074970522</v>
      </c>
      <c r="U39" t="n">
        <v>41.3502771603436</v>
      </c>
      <c r="V39" t="n">
        <v>43.0732053753579</v>
      </c>
      <c r="W39" t="n">
        <v>42.1567541971588</v>
      </c>
      <c r="X39" t="n">
        <v>43.0935709570957</v>
      </c>
      <c r="Y39" t="n">
        <v>41.259801980198</v>
      </c>
      <c r="Z39" t="n">
        <v>36.5711881188119</v>
      </c>
      <c r="AA39" t="n">
        <v>35.6334653465346</v>
      </c>
      <c r="AB39" t="n">
        <v>78.7687128712871</v>
      </c>
      <c r="AC39" t="n">
        <v>97.02</v>
      </c>
      <c r="AD39" t="n">
        <v>127.4</v>
      </c>
      <c r="AE39" t="n">
        <v>147</v>
      </c>
      <c r="AF39" t="n">
        <v>164</v>
      </c>
    </row>
    <row r="40">
      <c r="A40" t="s">
        <v>142</v>
      </c>
      <c r="B40" t="s">
        <v>350</v>
      </c>
      <c r="C40" t="s">
        <v>236</v>
      </c>
      <c r="D40" t="s">
        <v>351</v>
      </c>
      <c r="E40" t="s">
        <v>237</v>
      </c>
      <c r="F40" t="e">
        <v>#NUM!</v>
      </c>
      <c r="G40" t="e">
        <v>#NUM!</v>
      </c>
      <c r="H40" t="n">
        <v>0</v>
      </c>
      <c r="I40" t="n">
        <v>0.503951580632253</v>
      </c>
      <c r="J40" t="n">
        <v>1.00790316126451</v>
      </c>
      <c r="K40" t="n">
        <v>2.51975790316126</v>
      </c>
      <c r="L40" t="n">
        <v>3.02370948379352</v>
      </c>
      <c r="M40" t="n">
        <v>3.52766106442577</v>
      </c>
      <c r="N40" t="n">
        <v>5.03951580632253</v>
      </c>
      <c r="O40" t="n">
        <v>6.55137054821929</v>
      </c>
      <c r="P40" t="n">
        <v>8.5671768707483</v>
      </c>
      <c r="Q40" t="n">
        <v>10.5829831932773</v>
      </c>
      <c r="R40" t="n">
        <v>12.6995798319328</v>
      </c>
      <c r="S40" t="n">
        <v>20.5612244897959</v>
      </c>
      <c r="T40" t="n">
        <v>23.2142857142857</v>
      </c>
      <c r="U40" t="n">
        <v>23.2142857142857</v>
      </c>
      <c r="V40" t="n">
        <v>22.3852040816326</v>
      </c>
      <c r="W40" t="n">
        <v>19.8022959183673</v>
      </c>
      <c r="X40" t="n">
        <v>20.6632653061224</v>
      </c>
      <c r="Y40" t="n">
        <v>22.3852040816326</v>
      </c>
      <c r="Z40" t="n">
        <v>24.1760204081633</v>
      </c>
      <c r="AA40" t="n">
        <v>25.1058673469388</v>
      </c>
      <c r="AB40" t="n">
        <v>26.9655612244898</v>
      </c>
      <c r="AC40" t="n">
        <v>27.8954081632653</v>
      </c>
      <c r="AD40" t="n">
        <v>26.0357142857143</v>
      </c>
      <c r="AE40" t="n">
        <v>27</v>
      </c>
      <c r="AF40" t="n">
        <v>28</v>
      </c>
    </row>
    <row r="41">
      <c r="A41" t="s">
        <v>142</v>
      </c>
      <c r="B41" t="s">
        <v>352</v>
      </c>
      <c r="C41" t="s">
        <v>236</v>
      </c>
      <c r="D41" t="s">
        <v>353</v>
      </c>
      <c r="E41" t="s">
        <v>237</v>
      </c>
      <c r="F41" t="e">
        <v>#NUM!</v>
      </c>
      <c r="G41" t="e">
        <v>#NUM!</v>
      </c>
      <c r="H41" t="e">
        <v>#NUM!</v>
      </c>
      <c r="I41" t="e">
        <v>#NUM!</v>
      </c>
      <c r="J41" t="e">
        <v>#NUM!</v>
      </c>
      <c r="K41" t="e">
        <v>#NUM!</v>
      </c>
      <c r="L41" t="e">
        <v>#NUM!</v>
      </c>
      <c r="M41" t="e">
        <v>#NUM!</v>
      </c>
      <c r="N41" t="e">
        <v>#NUM!</v>
      </c>
      <c r="O41" t="e">
        <v>#NUM!</v>
      </c>
      <c r="P41" t="e">
        <v>#NUM!</v>
      </c>
      <c r="Q41" t="e">
        <v>#NUM!</v>
      </c>
      <c r="R41" t="e">
        <v>#NUM!</v>
      </c>
      <c r="S41" t="e">
        <v>#NUM!</v>
      </c>
      <c r="T41" t="e">
        <v>#NUM!</v>
      </c>
      <c r="U41" t="e">
        <v>#NUM!</v>
      </c>
      <c r="V41" t="e">
        <v>#NUM!</v>
      </c>
      <c r="W41" t="e">
        <v>#NUM!</v>
      </c>
      <c r="X41" t="e">
        <v>#NUM!</v>
      </c>
      <c r="Y41" t="e">
        <v>#NUM!</v>
      </c>
      <c r="Z41" t="e">
        <v>#NUM!</v>
      </c>
      <c r="AA41" t="e">
        <v>#NUM!</v>
      </c>
      <c r="AB41" t="e">
        <v>#NUM!</v>
      </c>
      <c r="AC41" t="e">
        <v>#NUM!</v>
      </c>
      <c r="AD41" t="e">
        <v>#NUM!</v>
      </c>
      <c r="AE41" t="n">
        <v>0</v>
      </c>
      <c r="AF41" t="e">
        <v>#NUM!</v>
      </c>
    </row>
    <row r="42">
      <c r="A42" t="s">
        <v>142</v>
      </c>
      <c r="B42" t="s">
        <v>354</v>
      </c>
      <c r="C42" t="s">
        <v>236</v>
      </c>
      <c r="D42" t="s">
        <v>355</v>
      </c>
      <c r="E42" t="s">
        <v>237</v>
      </c>
      <c r="F42" t="n">
        <v>7.65958311325582</v>
      </c>
      <c r="G42" t="n">
        <v>10.793048932315</v>
      </c>
      <c r="H42" t="n">
        <v>15.5899595688995</v>
      </c>
      <c r="I42" t="n">
        <v>19.6925805080835</v>
      </c>
      <c r="J42" t="n">
        <v>26.1140741520238</v>
      </c>
      <c r="K42" t="n">
        <v>30.4664198440278</v>
      </c>
      <c r="L42" t="n">
        <v>34.3835309668314</v>
      </c>
      <c r="M42" t="n">
        <v>35.7588722055046</v>
      </c>
      <c r="N42" t="n">
        <v>41.8755213985514</v>
      </c>
      <c r="O42" t="n">
        <v>47.2947065207169</v>
      </c>
      <c r="P42" t="n">
        <v>52.6087184893368</v>
      </c>
      <c r="Q42" t="n">
        <v>59.7328157847678</v>
      </c>
      <c r="R42" t="n">
        <v>67.0585384753526</v>
      </c>
      <c r="S42" t="n">
        <v>82.386204412576</v>
      </c>
      <c r="T42" t="n">
        <v>80.2737376327664</v>
      </c>
      <c r="U42" t="n">
        <v>84.0602346909158</v>
      </c>
      <c r="V42" t="n">
        <v>90.0038876488593</v>
      </c>
      <c r="W42" t="n">
        <v>90.0038876488593</v>
      </c>
      <c r="X42" t="n">
        <v>91.8039654018365</v>
      </c>
      <c r="Y42" t="n">
        <v>91.8039654018365</v>
      </c>
      <c r="Z42" t="n">
        <v>88.018234869802</v>
      </c>
      <c r="AA42" t="n">
        <v>89.9111001358192</v>
      </c>
      <c r="AB42" t="n">
        <v>89.9111001358192</v>
      </c>
      <c r="AC42" t="n">
        <v>89.9111001358192</v>
      </c>
      <c r="AD42" t="n">
        <v>87.9775280898876</v>
      </c>
      <c r="AE42" t="n">
        <v>87</v>
      </c>
      <c r="AF42" t="n">
        <v>87</v>
      </c>
    </row>
    <row r="43">
      <c r="A43" t="s">
        <v>142</v>
      </c>
      <c r="B43" t="s">
        <v>356</v>
      </c>
      <c r="C43" t="s">
        <v>236</v>
      </c>
      <c r="D43" t="s">
        <v>357</v>
      </c>
      <c r="E43" t="s">
        <v>237</v>
      </c>
      <c r="F43" t="n">
        <v>9.8515677004265</v>
      </c>
      <c r="G43" t="n">
        <v>14.4489659606255</v>
      </c>
      <c r="H43" t="n">
        <v>20.951000642907</v>
      </c>
      <c r="I43" t="n">
        <v>28.1886190468204</v>
      </c>
      <c r="J43" t="n">
        <v>37.3201435267762</v>
      </c>
      <c r="K43" t="n">
        <v>45.1122614059933</v>
      </c>
      <c r="L43" t="n">
        <v>51.3203707737905</v>
      </c>
      <c r="M43" t="n">
        <v>52.614161633634</v>
      </c>
      <c r="N43" t="n">
        <v>64.1096927468649</v>
      </c>
      <c r="O43" t="n">
        <v>74.794641538009</v>
      </c>
      <c r="P43" t="n">
        <v>86.2631532405038</v>
      </c>
      <c r="Q43" t="n">
        <v>100.378941952586</v>
      </c>
      <c r="R43" t="n">
        <v>117.199197090587</v>
      </c>
      <c r="S43" t="n">
        <v>148.204275685981</v>
      </c>
      <c r="T43" t="n">
        <v>157.165464448389</v>
      </c>
      <c r="U43" t="n">
        <v>171.317804848954</v>
      </c>
      <c r="V43" t="n">
        <v>189.976179634484</v>
      </c>
      <c r="W43" t="n">
        <v>199.83343423816</v>
      </c>
      <c r="X43" t="n">
        <v>206.163000028509</v>
      </c>
      <c r="Y43" t="n">
        <v>208.863825356394</v>
      </c>
      <c r="Z43" t="n">
        <v>204.116920234657</v>
      </c>
      <c r="AA43" t="n">
        <v>211.711968429435</v>
      </c>
      <c r="AB43" t="n">
        <v>207.914444332046</v>
      </c>
      <c r="AC43" t="n">
        <v>208.868180315221</v>
      </c>
      <c r="AD43" t="n">
        <v>206.943127962085</v>
      </c>
      <c r="AE43" t="n">
        <v>205</v>
      </c>
      <c r="AF43" t="n">
        <v>204</v>
      </c>
    </row>
    <row r="44">
      <c r="A44" t="s">
        <v>142</v>
      </c>
      <c r="B44" t="s">
        <v>358</v>
      </c>
      <c r="C44" t="s">
        <v>236</v>
      </c>
      <c r="D44" t="s">
        <v>359</v>
      </c>
      <c r="E44" t="s">
        <v>237</v>
      </c>
      <c r="F44" t="n">
        <v>224.807836494893</v>
      </c>
      <c r="G44" t="n">
        <v>287.31721816684</v>
      </c>
      <c r="H44" t="n">
        <v>376.230249194146</v>
      </c>
      <c r="I44" t="n">
        <v>480.559622364686</v>
      </c>
      <c r="J44" t="n">
        <v>588.95343083974</v>
      </c>
      <c r="K44" t="n">
        <v>659.712584041348</v>
      </c>
      <c r="L44" t="n">
        <v>737.903907149876</v>
      </c>
      <c r="M44" t="n">
        <v>744.060435576633</v>
      </c>
      <c r="N44" t="n">
        <v>830.77762402246</v>
      </c>
      <c r="O44" t="n">
        <v>962.543253929285</v>
      </c>
      <c r="P44" t="n">
        <v>1052.90649509173</v>
      </c>
      <c r="Q44" t="n">
        <v>1217.55216760853</v>
      </c>
      <c r="R44" t="n">
        <v>1462.37709739756</v>
      </c>
      <c r="S44" t="n">
        <v>1717.90166088287</v>
      </c>
      <c r="T44" t="n">
        <v>1863.83990877341</v>
      </c>
      <c r="U44" t="n">
        <v>1993.07610284868</v>
      </c>
      <c r="V44" t="n">
        <v>2165.15870451216</v>
      </c>
      <c r="W44" t="n">
        <v>2340.90798847674</v>
      </c>
      <c r="X44" t="n">
        <v>2430.30486835164</v>
      </c>
      <c r="Y44" t="n">
        <v>2530.84399415784</v>
      </c>
      <c r="Z44" t="n">
        <v>2670.54275527203</v>
      </c>
      <c r="AA44" t="n">
        <v>2828.5347074484</v>
      </c>
      <c r="AB44" t="n">
        <v>2992.16103863029</v>
      </c>
      <c r="AC44" t="n">
        <v>3125.2745858034</v>
      </c>
      <c r="AD44" t="n">
        <v>3136.00430504305</v>
      </c>
      <c r="AE44" t="n">
        <v>3181</v>
      </c>
      <c r="AF44" t="n">
        <v>3274</v>
      </c>
    </row>
    <row r="45">
      <c r="A45" t="s">
        <v>142</v>
      </c>
      <c r="B45" t="s">
        <v>360</v>
      </c>
      <c r="C45" t="s">
        <v>236</v>
      </c>
      <c r="D45" t="s">
        <v>361</v>
      </c>
      <c r="E45" t="s">
        <v>237</v>
      </c>
      <c r="F45" t="n">
        <v>214.634777399571</v>
      </c>
      <c r="G45" t="n">
        <v>275.153514985089</v>
      </c>
      <c r="H45" t="n">
        <v>360.799890776222</v>
      </c>
      <c r="I45" t="n">
        <v>460.664146258927</v>
      </c>
      <c r="J45" t="n">
        <v>564.406206006245</v>
      </c>
      <c r="K45" t="n">
        <v>632.94728949426</v>
      </c>
      <c r="L45" t="n">
        <v>709.771640208331</v>
      </c>
      <c r="M45" t="n">
        <v>715.920651942809</v>
      </c>
      <c r="N45" t="n">
        <v>799.407323580027</v>
      </c>
      <c r="O45" t="n">
        <v>926.415963774984</v>
      </c>
      <c r="P45" t="n">
        <v>1013.26746037889</v>
      </c>
      <c r="Q45" t="n">
        <v>1177.92987497943</v>
      </c>
      <c r="R45" t="n">
        <v>1421.1860910217</v>
      </c>
      <c r="S45" t="n">
        <v>1676.11017169416</v>
      </c>
      <c r="T45" t="n">
        <v>1819.20121826233</v>
      </c>
      <c r="U45" t="n">
        <v>1946.90376683494</v>
      </c>
      <c r="V45" t="n">
        <v>2117.984941425</v>
      </c>
      <c r="W45" t="n">
        <v>2291.84261938721</v>
      </c>
      <c r="X45" t="n">
        <v>2380.27384585874</v>
      </c>
      <c r="Y45" t="n">
        <v>2478.00573438786</v>
      </c>
      <c r="Z45" t="n">
        <v>2616.68224210158</v>
      </c>
      <c r="AA45" t="n">
        <v>2773.64489305427</v>
      </c>
      <c r="AB45" t="n">
        <v>2936.23786954366</v>
      </c>
      <c r="AC45" t="n">
        <v>3067.3801848993</v>
      </c>
      <c r="AD45" t="n">
        <v>3082.98529871755</v>
      </c>
      <c r="AE45" t="n">
        <v>3127</v>
      </c>
      <c r="AF45" t="n">
        <v>3218</v>
      </c>
    </row>
    <row r="46">
      <c r="A46" t="s">
        <v>142</v>
      </c>
      <c r="B46" t="s">
        <v>362</v>
      </c>
      <c r="C46" t="s">
        <v>236</v>
      </c>
      <c r="D46" t="s">
        <v>363</v>
      </c>
      <c r="E46" t="s">
        <v>237</v>
      </c>
      <c r="F46" t="n">
        <v>2.47499945770504</v>
      </c>
      <c r="G46" t="n">
        <v>4.0218741187707</v>
      </c>
      <c r="H46" t="n">
        <v>5.87812371204948</v>
      </c>
      <c r="I46" t="n">
        <v>8.99007155960508</v>
      </c>
      <c r="J46" t="n">
        <v>11.8668944586787</v>
      </c>
      <c r="K46" t="n">
        <v>15.3121218821661</v>
      </c>
      <c r="L46" t="n">
        <v>17.6678329409609</v>
      </c>
      <c r="M46" t="n">
        <v>17.6678329409609</v>
      </c>
      <c r="N46" t="n">
        <v>23.0092708068327</v>
      </c>
      <c r="O46" t="n">
        <v>28.2189170272477</v>
      </c>
      <c r="P46" t="n">
        <v>34.2327845904316</v>
      </c>
      <c r="Q46" t="n">
        <v>41.1785669710989</v>
      </c>
      <c r="R46" t="n">
        <v>50.5610252683113</v>
      </c>
      <c r="S46" t="n">
        <v>66.2108664227887</v>
      </c>
      <c r="T46" t="n">
        <v>77.0208037979378</v>
      </c>
      <c r="U46" t="n">
        <v>87.2902443043295</v>
      </c>
      <c r="V46" t="n">
        <v>100.00241580496</v>
      </c>
      <c r="W46" t="n">
        <v>109.824081642947</v>
      </c>
      <c r="X46" t="n">
        <v>114.362266834805</v>
      </c>
      <c r="Y46" t="n">
        <v>117.063737704918</v>
      </c>
      <c r="Z46" t="n">
        <v>116.112</v>
      </c>
      <c r="AA46" t="n">
        <v>121.822426229508</v>
      </c>
      <c r="AB46" t="n">
        <v>118.015475409836</v>
      </c>
      <c r="AC46" t="n">
        <v>118.967213114754</v>
      </c>
      <c r="AD46" t="n">
        <v>118.967213114754</v>
      </c>
      <c r="AE46" t="n">
        <v>118</v>
      </c>
      <c r="AF46" t="n">
        <v>117</v>
      </c>
    </row>
    <row r="47">
      <c r="A47" t="s">
        <v>142</v>
      </c>
      <c r="B47" t="s">
        <v>364</v>
      </c>
      <c r="C47" t="s">
        <v>236</v>
      </c>
      <c r="D47" t="s">
        <v>365</v>
      </c>
      <c r="E47" t="s">
        <v>237</v>
      </c>
      <c r="F47" t="n">
        <v>11.5310540820747</v>
      </c>
      <c r="G47" t="n">
        <v>15.2374643227416</v>
      </c>
      <c r="H47" t="n">
        <v>19.3556979234826</v>
      </c>
      <c r="I47" t="n">
        <v>24.7094016044459</v>
      </c>
      <c r="J47" t="n">
        <v>32.8038607507299</v>
      </c>
      <c r="K47" t="n">
        <v>37.9834177113714</v>
      </c>
      <c r="L47" t="n">
        <v>43.5946044187331</v>
      </c>
      <c r="M47" t="n">
        <v>44.9156530374826</v>
      </c>
      <c r="N47" t="n">
        <v>51.7210550128587</v>
      </c>
      <c r="O47" t="n">
        <v>60.6546917878071</v>
      </c>
      <c r="P47" t="n">
        <v>66.1687546776077</v>
      </c>
      <c r="Q47" t="n">
        <v>63.6040742637469</v>
      </c>
      <c r="R47" t="n">
        <v>65.2633109836708</v>
      </c>
      <c r="S47" t="n">
        <v>66.5305597406353</v>
      </c>
      <c r="T47" t="n">
        <v>65.1299163776745</v>
      </c>
      <c r="U47" t="n">
        <v>63.6152671595891</v>
      </c>
      <c r="V47" t="n">
        <v>58.4572725250278</v>
      </c>
      <c r="W47" t="n">
        <v>58.4572725250278</v>
      </c>
      <c r="X47" t="n">
        <v>56.6304827586207</v>
      </c>
      <c r="Y47" t="n">
        <v>53.9337931034483</v>
      </c>
      <c r="Z47" t="n">
        <v>54.88</v>
      </c>
      <c r="AA47" t="n">
        <v>56.84</v>
      </c>
      <c r="AB47" t="n">
        <v>57.82</v>
      </c>
      <c r="AC47" t="n">
        <v>56.84</v>
      </c>
      <c r="AD47" t="n">
        <v>49</v>
      </c>
      <c r="AE47" t="n">
        <v>49</v>
      </c>
      <c r="AF47" t="n">
        <v>50</v>
      </c>
    </row>
    <row r="48">
      <c r="A48" t="s">
        <v>142</v>
      </c>
      <c r="B48" t="s">
        <v>366</v>
      </c>
      <c r="C48" t="s">
        <v>236</v>
      </c>
      <c r="D48" t="s">
        <v>367</v>
      </c>
      <c r="E48" t="s">
        <v>237</v>
      </c>
      <c r="F48" t="n">
        <v>30.3951129844442</v>
      </c>
      <c r="G48" t="n">
        <v>39.7474554411962</v>
      </c>
      <c r="H48" t="n">
        <v>51.947169487504</v>
      </c>
      <c r="I48" t="n">
        <v>67.2494364683191</v>
      </c>
      <c r="J48" t="n">
        <v>87.2204812376988</v>
      </c>
      <c r="K48" t="n">
        <v>101.125195637912</v>
      </c>
      <c r="L48" t="n">
        <v>116.780560652986</v>
      </c>
      <c r="M48" t="n">
        <v>121.121845435625</v>
      </c>
      <c r="N48" t="n">
        <v>140.643315029645</v>
      </c>
      <c r="O48" t="n">
        <v>167.301198270558</v>
      </c>
      <c r="P48" t="n">
        <v>187.907210960773</v>
      </c>
      <c r="Q48" t="n">
        <v>187.907210960773</v>
      </c>
      <c r="R48" t="n">
        <v>193.846806709533</v>
      </c>
      <c r="S48" t="n">
        <v>199.438541518462</v>
      </c>
      <c r="T48" t="n">
        <v>206.315732605306</v>
      </c>
      <c r="U48" t="n">
        <v>206.315732605306</v>
      </c>
      <c r="V48" t="n">
        <v>205.470176324136</v>
      </c>
      <c r="W48" t="n">
        <v>210.807064020867</v>
      </c>
      <c r="X48" t="n">
        <v>211.719648713598</v>
      </c>
      <c r="Y48" t="n">
        <v>212.620583388975</v>
      </c>
      <c r="Z48" t="n">
        <v>214.518981454948</v>
      </c>
      <c r="AA48" t="n">
        <v>218.366855561763</v>
      </c>
      <c r="AB48" t="n">
        <v>215.468180487935</v>
      </c>
      <c r="AC48" t="n">
        <v>213.535730438716</v>
      </c>
      <c r="AD48" t="n">
        <v>195.984848484848</v>
      </c>
      <c r="AE48" t="n">
        <v>195</v>
      </c>
      <c r="AF48" t="n">
        <v>198</v>
      </c>
    </row>
    <row r="49">
      <c r="A49" t="s">
        <v>142</v>
      </c>
      <c r="B49" t="s">
        <v>368</v>
      </c>
      <c r="C49" t="s">
        <v>236</v>
      </c>
      <c r="D49" t="s">
        <v>369</v>
      </c>
      <c r="E49" t="s">
        <v>237</v>
      </c>
      <c r="F49" t="n">
        <v>7.49892400585768</v>
      </c>
      <c r="G49" t="n">
        <v>9.28438210249046</v>
      </c>
      <c r="H49" t="n">
        <v>12.626759659387</v>
      </c>
      <c r="I49" t="n">
        <v>16.4530504652619</v>
      </c>
      <c r="J49" t="n">
        <v>20.6619703517242</v>
      </c>
      <c r="K49" t="n">
        <v>23.0460438538462</v>
      </c>
      <c r="L49" t="n">
        <v>26.6221541070293</v>
      </c>
      <c r="M49" t="n">
        <v>27.0317257086759</v>
      </c>
      <c r="N49" t="n">
        <v>30.7745800375695</v>
      </c>
      <c r="O49" t="n">
        <v>35.4762519877537</v>
      </c>
      <c r="P49" t="n">
        <v>38.2051944483501</v>
      </c>
      <c r="Q49" t="n">
        <v>41.0352088519316</v>
      </c>
      <c r="R49" t="n">
        <v>43.537355733147</v>
      </c>
      <c r="S49" t="n">
        <v>46.401655452433</v>
      </c>
      <c r="T49" t="n">
        <v>44.5205072584154</v>
      </c>
      <c r="U49" t="n">
        <v>43.8459541181364</v>
      </c>
      <c r="V49" t="n">
        <v>43.0629906517411</v>
      </c>
      <c r="W49" t="n">
        <v>44.7192595229619</v>
      </c>
      <c r="X49" t="n">
        <v>44.7192595229619</v>
      </c>
      <c r="Y49" t="n">
        <v>44.7192595229619</v>
      </c>
      <c r="Z49" t="n">
        <v>47.4571733713065</v>
      </c>
      <c r="AA49" t="n">
        <v>49.3182389937107</v>
      </c>
      <c r="AB49" t="n">
        <v>52.1635220125786</v>
      </c>
      <c r="AC49" t="n">
        <v>56.9056603773585</v>
      </c>
      <c r="AD49" t="n">
        <v>51.0188679245283</v>
      </c>
      <c r="AE49" t="n">
        <v>52</v>
      </c>
      <c r="AF49" t="n">
        <v>55</v>
      </c>
    </row>
    <row r="50">
      <c r="A50" t="s">
        <v>142</v>
      </c>
      <c r="B50" t="s">
        <v>370</v>
      </c>
      <c r="C50" t="s">
        <v>236</v>
      </c>
      <c r="D50" t="s">
        <v>371</v>
      </c>
      <c r="E50" t="s">
        <v>237</v>
      </c>
      <c r="F50" t="n">
        <v>11.2622671728078</v>
      </c>
      <c r="G50" t="n">
        <v>15.1458075772243</v>
      </c>
      <c r="H50" t="n">
        <v>19.8060560625241</v>
      </c>
      <c r="I50" t="n">
        <v>25.8691344490111</v>
      </c>
      <c r="J50" t="n">
        <v>33.5490337385613</v>
      </c>
      <c r="K50" t="n">
        <v>39.9191034357564</v>
      </c>
      <c r="L50" t="n">
        <v>46.3576685060397</v>
      </c>
      <c r="M50" t="n">
        <v>49.0066781349563</v>
      </c>
      <c r="N50" t="n">
        <v>57.9987291688932</v>
      </c>
      <c r="O50" t="n">
        <v>71.0952164005788</v>
      </c>
      <c r="P50" t="n">
        <v>83.6119798513849</v>
      </c>
      <c r="Q50" t="n">
        <v>83.092650783985</v>
      </c>
      <c r="R50" t="n">
        <v>84.7434981505543</v>
      </c>
      <c r="S50" t="n">
        <v>86.0178364686077</v>
      </c>
      <c r="T50" t="n">
        <v>96.6812046258731</v>
      </c>
      <c r="U50" t="n">
        <v>98.947170359292</v>
      </c>
      <c r="V50" t="n">
        <v>104.154916167676</v>
      </c>
      <c r="W50" t="n">
        <v>107.841815855027</v>
      </c>
      <c r="X50" t="n">
        <v>110.655080616463</v>
      </c>
      <c r="Y50" t="n">
        <v>114.374579124579</v>
      </c>
      <c r="Z50" t="n">
        <v>112.436026936027</v>
      </c>
      <c r="AA50" t="n">
        <v>112.436026936027</v>
      </c>
      <c r="AB50" t="n">
        <v>105.651094276094</v>
      </c>
      <c r="AC50" t="n">
        <v>99.8354377104377</v>
      </c>
      <c r="AD50" t="n">
        <v>95.9583333333333</v>
      </c>
      <c r="AE50" t="n">
        <v>94</v>
      </c>
      <c r="AF50" t="n">
        <v>93</v>
      </c>
    </row>
    <row r="51">
      <c r="A51" t="s">
        <v>142</v>
      </c>
      <c r="B51" t="s">
        <v>372</v>
      </c>
      <c r="C51" t="s">
        <v>236</v>
      </c>
      <c r="D51" t="s">
        <v>373</v>
      </c>
      <c r="E51" t="s">
        <v>237</v>
      </c>
      <c r="F51" t="n">
        <v>11.4648090407166</v>
      </c>
      <c r="G51" t="n">
        <v>15.4181914685499</v>
      </c>
      <c r="H51" t="n">
        <v>19.7669121391665</v>
      </c>
      <c r="I51" t="n">
        <v>25.53226151309</v>
      </c>
      <c r="J51" t="n">
        <v>32.9448535652775</v>
      </c>
      <c r="K51" t="n">
        <v>39.36268218189</v>
      </c>
      <c r="L51" t="n">
        <v>45.4184794406423</v>
      </c>
      <c r="M51" t="n">
        <v>48.0901547018565</v>
      </c>
      <c r="N51" t="n">
        <v>56.7100880918119</v>
      </c>
      <c r="O51" t="n">
        <v>68.5246897776061</v>
      </c>
      <c r="P51" t="n">
        <v>80.1992665545315</v>
      </c>
      <c r="Q51" t="n">
        <v>79.6784920963852</v>
      </c>
      <c r="R51" t="n">
        <v>81.3384606817266</v>
      </c>
      <c r="S51" t="n">
        <v>83.2448308539546</v>
      </c>
      <c r="T51" t="n">
        <v>93.205750785197</v>
      </c>
      <c r="U51" t="n">
        <v>95.4790617799579</v>
      </c>
      <c r="V51" t="n">
        <v>100.687010604319</v>
      </c>
      <c r="W51" t="n">
        <v>103.458212731044</v>
      </c>
      <c r="X51" t="n">
        <v>105.339271144335</v>
      </c>
      <c r="Y51" t="n">
        <v>108.135888962327</v>
      </c>
      <c r="Z51" t="n">
        <v>105.23939193655</v>
      </c>
      <c r="AA51" t="n">
        <v>102.342894910773</v>
      </c>
      <c r="AB51" t="n">
        <v>96.5499008592201</v>
      </c>
      <c r="AC51" t="n">
        <v>90.7569068076669</v>
      </c>
      <c r="AD51" t="n">
        <v>85.9294117647059</v>
      </c>
      <c r="AE51" t="n">
        <v>83</v>
      </c>
      <c r="AF51" t="n">
        <v>81</v>
      </c>
    </row>
    <row r="52">
      <c r="A52" t="s">
        <v>142</v>
      </c>
      <c r="B52" t="s">
        <v>374</v>
      </c>
      <c r="C52" t="s">
        <v>236</v>
      </c>
      <c r="D52" t="s">
        <v>375</v>
      </c>
      <c r="E52" t="s">
        <v>237</v>
      </c>
      <c r="F52" t="e">
        <v>#NUM!</v>
      </c>
      <c r="G52" t="n">
        <v>0</v>
      </c>
      <c r="H52" t="n">
        <v>0.253968253968254</v>
      </c>
      <c r="I52" t="n">
        <v>0.507936507936508</v>
      </c>
      <c r="J52" t="n">
        <v>0.761904761904762</v>
      </c>
      <c r="K52" t="n">
        <v>0.761904761904762</v>
      </c>
      <c r="L52" t="n">
        <v>1.14285714285714</v>
      </c>
      <c r="M52" t="n">
        <v>1.14285714285714</v>
      </c>
      <c r="N52" t="n">
        <v>1.52380952380952</v>
      </c>
      <c r="O52" t="n">
        <v>2.66666666666667</v>
      </c>
      <c r="P52" t="n">
        <v>3.42857142857143</v>
      </c>
      <c r="Q52" t="n">
        <v>3.42857142857143</v>
      </c>
      <c r="R52" t="n">
        <v>3.42857142857143</v>
      </c>
      <c r="S52" t="n">
        <v>2.74285714285714</v>
      </c>
      <c r="T52" t="n">
        <v>3.42857142857143</v>
      </c>
      <c r="U52" t="n">
        <v>3.42857142857143</v>
      </c>
      <c r="V52" t="n">
        <v>3.42857142857143</v>
      </c>
      <c r="W52" t="n">
        <v>4.28571428571429</v>
      </c>
      <c r="X52" t="n">
        <v>5.14285714285714</v>
      </c>
      <c r="Y52" t="n">
        <v>6</v>
      </c>
      <c r="Z52" t="n">
        <v>7</v>
      </c>
      <c r="AA52" t="n">
        <v>10</v>
      </c>
      <c r="AB52" t="n">
        <v>9</v>
      </c>
      <c r="AC52" t="n">
        <v>9</v>
      </c>
      <c r="AD52" t="n">
        <v>10</v>
      </c>
      <c r="AE52" t="n">
        <v>11</v>
      </c>
      <c r="AF52" t="n">
        <v>12</v>
      </c>
    </row>
    <row r="53">
      <c r="A53" t="s">
        <v>142</v>
      </c>
      <c r="B53" t="s">
        <v>376</v>
      </c>
      <c r="C53" t="s">
        <v>236</v>
      </c>
      <c r="D53" t="s">
        <v>377</v>
      </c>
      <c r="E53" t="s">
        <v>237</v>
      </c>
      <c r="F53" t="n">
        <v>5.00802852123827</v>
      </c>
      <c r="G53" t="n">
        <v>6.93419333709914</v>
      </c>
      <c r="H53" t="n">
        <v>10.0160570424765</v>
      </c>
      <c r="I53" t="n">
        <v>13.221195296069</v>
      </c>
      <c r="J53" t="n">
        <v>12.7947051252281</v>
      </c>
      <c r="K53" t="n">
        <v>15.8830822244211</v>
      </c>
      <c r="L53" t="n">
        <v>18.5302625951579</v>
      </c>
      <c r="M53" t="n">
        <v>18.9822202194301</v>
      </c>
      <c r="N53" t="n">
        <v>23.2532197688018</v>
      </c>
      <c r="O53" t="n">
        <v>28.813772322211</v>
      </c>
      <c r="P53" t="n">
        <v>32.0153025802344</v>
      </c>
      <c r="Q53" t="n">
        <v>36.3563605572154</v>
      </c>
      <c r="R53" t="n">
        <v>43.8584667039423</v>
      </c>
      <c r="S53" t="n">
        <v>49.1746444862384</v>
      </c>
      <c r="T53" t="n">
        <v>57.3704185672781</v>
      </c>
      <c r="U53" t="n">
        <v>58.964041305258</v>
      </c>
      <c r="V53" t="n">
        <v>67.1282931782938</v>
      </c>
      <c r="W53" t="n">
        <v>72.8011066863186</v>
      </c>
      <c r="X53" t="n">
        <v>79.4193891123475</v>
      </c>
      <c r="Y53" t="n">
        <v>83.1567721293992</v>
      </c>
      <c r="Z53" t="n">
        <v>88.0483469605403</v>
      </c>
      <c r="AA53" t="n">
        <v>91.9616068254532</v>
      </c>
      <c r="AB53" t="n">
        <v>94.8965517241379</v>
      </c>
      <c r="AC53" t="n">
        <v>93.9080459770115</v>
      </c>
      <c r="AD53" t="n">
        <v>91.9310344827586</v>
      </c>
      <c r="AE53" t="n">
        <v>86</v>
      </c>
      <c r="AF53" t="n">
        <v>82</v>
      </c>
    </row>
    <row r="54">
      <c r="A54" t="s">
        <v>142</v>
      </c>
      <c r="B54" t="s">
        <v>378</v>
      </c>
      <c r="C54" t="s">
        <v>236</v>
      </c>
      <c r="D54" t="s">
        <v>379</v>
      </c>
      <c r="E54" t="s">
        <v>237</v>
      </c>
      <c r="F54" t="n">
        <v>5.43586172938397</v>
      </c>
      <c r="G54" t="n">
        <v>7.61020642113755</v>
      </c>
      <c r="H54" t="n">
        <v>10.8717234587679</v>
      </c>
      <c r="I54" t="n">
        <v>14.3662059990862</v>
      </c>
      <c r="J54" t="n">
        <v>15.1871320561768</v>
      </c>
      <c r="K54" t="n">
        <v>19.092394584908</v>
      </c>
      <c r="L54" t="n">
        <v>22.1298209961434</v>
      </c>
      <c r="M54" t="n">
        <v>22.1298209961434</v>
      </c>
      <c r="N54" t="n">
        <v>28.1233141825989</v>
      </c>
      <c r="O54" t="n">
        <v>36.0175778128021</v>
      </c>
      <c r="P54" t="n">
        <v>39.6193355940823</v>
      </c>
      <c r="Q54" t="n">
        <v>45.9584292891355</v>
      </c>
      <c r="R54" t="n">
        <v>55.3716015531753</v>
      </c>
      <c r="S54" t="n">
        <v>63.0090638363719</v>
      </c>
      <c r="T54" t="n">
        <v>72.920601967936</v>
      </c>
      <c r="U54" t="n">
        <v>78.2377291947646</v>
      </c>
      <c r="V54" t="n">
        <v>91.2773507272254</v>
      </c>
      <c r="W54" t="n">
        <v>104.185258910873</v>
      </c>
      <c r="X54" t="n">
        <v>115.347965222753</v>
      </c>
      <c r="Y54" t="n">
        <v>121.756185512906</v>
      </c>
      <c r="Z54" t="n">
        <v>130.384576612245</v>
      </c>
      <c r="AA54" t="n">
        <v>138.111070041119</v>
      </c>
      <c r="AB54" t="n">
        <v>143.905940112775</v>
      </c>
      <c r="AC54" t="n">
        <v>144.884892086331</v>
      </c>
      <c r="AD54" t="n">
        <v>143.89928057554</v>
      </c>
      <c r="AE54" t="n">
        <v>137</v>
      </c>
      <c r="AF54" t="n">
        <v>132</v>
      </c>
    </row>
    <row r="55">
      <c r="A55" t="s">
        <v>142</v>
      </c>
      <c r="B55" t="s">
        <v>380</v>
      </c>
      <c r="C55" t="s">
        <v>236</v>
      </c>
      <c r="D55" t="s">
        <v>381</v>
      </c>
      <c r="E55" t="s">
        <v>237</v>
      </c>
      <c r="F55" t="n">
        <v>0.563638870776493</v>
      </c>
      <c r="G55" t="n">
        <v>0.84545830616474</v>
      </c>
      <c r="H55" t="n">
        <v>1.12727774155299</v>
      </c>
      <c r="I55" t="n">
        <v>1.50303698873732</v>
      </c>
      <c r="J55" t="n">
        <v>2.6303147302903</v>
      </c>
      <c r="K55" t="n">
        <v>3.50708630705374</v>
      </c>
      <c r="L55" t="n">
        <v>3.94547209543545</v>
      </c>
      <c r="M55" t="n">
        <v>3.50708630705374</v>
      </c>
      <c r="N55" t="n">
        <v>5.2606294605806</v>
      </c>
      <c r="O55" t="n">
        <v>7.65182466993542</v>
      </c>
      <c r="P55" t="n">
        <v>8.13006371180639</v>
      </c>
      <c r="Q55" t="n">
        <v>10.162579639758</v>
      </c>
      <c r="R55" t="n">
        <v>12.1950955677096</v>
      </c>
      <c r="S55" t="n">
        <v>14.51797091394</v>
      </c>
      <c r="T55" t="n">
        <v>16.4116192940191</v>
      </c>
      <c r="U55" t="n">
        <v>19.8307066469397</v>
      </c>
      <c r="V55" t="n">
        <v>24.5900762422053</v>
      </c>
      <c r="W55" t="n">
        <v>31.6158123114068</v>
      </c>
      <c r="X55" t="n">
        <v>36.1323569273221</v>
      </c>
      <c r="Y55" t="n">
        <v>38.7761879220042</v>
      </c>
      <c r="Z55" t="n">
        <v>42.4691582002903</v>
      </c>
      <c r="AA55" t="n">
        <v>46.2441944847605</v>
      </c>
      <c r="AB55" t="n">
        <v>49.0754716981132</v>
      </c>
      <c r="AC55" t="n">
        <v>51</v>
      </c>
      <c r="AD55" t="n">
        <v>51.9807692307692</v>
      </c>
      <c r="AE55" t="n">
        <v>51</v>
      </c>
      <c r="AF55" t="n">
        <v>50</v>
      </c>
    </row>
    <row r="56">
      <c r="A56" t="s">
        <v>142</v>
      </c>
      <c r="B56" t="s">
        <v>382</v>
      </c>
      <c r="C56" t="s">
        <v>236</v>
      </c>
      <c r="D56" t="s">
        <v>383</v>
      </c>
      <c r="E56" t="s">
        <v>237</v>
      </c>
      <c r="F56" t="e">
        <v>#NUM!</v>
      </c>
      <c r="G56" t="e">
        <v>#NUM!</v>
      </c>
      <c r="H56" t="e">
        <v>#NUM!</v>
      </c>
      <c r="I56" t="e">
        <v>#NUM!</v>
      </c>
      <c r="J56" t="e">
        <v>#NUM!</v>
      </c>
      <c r="K56" t="e">
        <v>#NUM!</v>
      </c>
      <c r="L56" t="e">
        <v>#NUM!</v>
      </c>
      <c r="M56" t="e">
        <v>#NUM!</v>
      </c>
      <c r="N56" t="e">
        <v>#NUM!</v>
      </c>
      <c r="O56" t="e">
        <v>#NUM!</v>
      </c>
      <c r="P56" t="e">
        <v>#NUM!</v>
      </c>
      <c r="Q56" t="e">
        <v>#NUM!</v>
      </c>
      <c r="R56" t="e">
        <v>#NUM!</v>
      </c>
      <c r="S56" t="e">
        <v>#NUM!</v>
      </c>
      <c r="T56" t="e">
        <v>#NUM!</v>
      </c>
      <c r="U56" t="e">
        <v>#NUM!</v>
      </c>
      <c r="V56" t="e">
        <v>#NUM!</v>
      </c>
      <c r="W56" t="e">
        <v>#NUM!</v>
      </c>
      <c r="X56" t="e">
        <v>#NUM!</v>
      </c>
      <c r="Y56" t="e">
        <v>#NUM!</v>
      </c>
      <c r="Z56" t="e">
        <v>#NUM!</v>
      </c>
      <c r="AA56" t="e">
        <v>#NUM!</v>
      </c>
      <c r="AB56" t="e">
        <v>#NUM!</v>
      </c>
      <c r="AC56" t="e">
        <v>#NUM!</v>
      </c>
      <c r="AD56" t="e">
        <v>#NUM!</v>
      </c>
      <c r="AE56" t="n">
        <v>0</v>
      </c>
      <c r="AF56" t="e">
        <v>#NUM!</v>
      </c>
    </row>
    <row r="57">
      <c r="A57" t="s">
        <v>142</v>
      </c>
      <c r="B57" t="s">
        <v>384</v>
      </c>
      <c r="C57" t="s">
        <v>236</v>
      </c>
      <c r="D57" t="s">
        <v>385</v>
      </c>
      <c r="E57" t="s">
        <v>237</v>
      </c>
      <c r="F57" t="n">
        <v>255.600511154887</v>
      </c>
      <c r="G57" t="n">
        <v>327.547321702188</v>
      </c>
      <c r="H57" t="n">
        <v>428.810465153518</v>
      </c>
      <c r="I57" t="n">
        <v>549.022618131645</v>
      </c>
      <c r="J57" t="n">
        <v>678.034689809727</v>
      </c>
      <c r="K57" t="n">
        <v>764.114140736165</v>
      </c>
      <c r="L57" t="n">
        <v>858.560016073241</v>
      </c>
      <c r="M57" t="n">
        <v>869.55028765636</v>
      </c>
      <c r="N57" t="n">
        <v>977.345777861694</v>
      </c>
      <c r="O57" t="n">
        <v>1137.43632313703</v>
      </c>
      <c r="P57" t="n">
        <v>1250.5818294263</v>
      </c>
      <c r="Q57" t="n">
        <v>1416.9483578055</v>
      </c>
      <c r="R57" t="n">
        <v>1669.60375776927</v>
      </c>
      <c r="S57" t="n">
        <v>1938.69281917886</v>
      </c>
      <c r="T57" t="n">
        <v>2094.17695505286</v>
      </c>
      <c r="U57" t="n">
        <v>2223.24450518615</v>
      </c>
      <c r="V57" t="n">
        <v>2393.40821923693</v>
      </c>
      <c r="W57" t="n">
        <v>2571.53493596896</v>
      </c>
      <c r="X57" t="n">
        <v>2662.65231558991</v>
      </c>
      <c r="Y57" t="n">
        <v>2765.76393713263</v>
      </c>
      <c r="Z57" t="n">
        <v>2909.11728563639</v>
      </c>
      <c r="AA57" t="n">
        <v>3071.90528384515</v>
      </c>
      <c r="AB57" t="n">
        <v>3234.64255347858</v>
      </c>
      <c r="AC57" t="n">
        <v>3366.76718968208</v>
      </c>
      <c r="AD57" t="n">
        <v>3357.9919493962</v>
      </c>
      <c r="AE57" t="n">
        <v>3403</v>
      </c>
      <c r="AF57" t="n">
        <v>3500</v>
      </c>
    </row>
    <row r="58">
      <c r="A58" t="s">
        <v>142</v>
      </c>
      <c r="B58" t="s">
        <v>386</v>
      </c>
      <c r="C58" t="s">
        <v>236</v>
      </c>
      <c r="D58" t="s">
        <v>387</v>
      </c>
      <c r="E58" t="s">
        <v>237</v>
      </c>
      <c r="F58" t="n">
        <v>255.600511154887</v>
      </c>
      <c r="G58" t="n">
        <v>327.547321702188</v>
      </c>
      <c r="H58" t="n">
        <v>428.810465153518</v>
      </c>
      <c r="I58" t="n">
        <v>549.022618131645</v>
      </c>
      <c r="J58" t="n">
        <v>678.034689809727</v>
      </c>
      <c r="K58" t="n">
        <v>764.114140736165</v>
      </c>
      <c r="L58" t="n">
        <v>858.560016073241</v>
      </c>
      <c r="M58" t="n">
        <v>869.55028765636</v>
      </c>
      <c r="N58" t="n">
        <v>977.345777861694</v>
      </c>
      <c r="O58" t="n">
        <v>1137.43632313703</v>
      </c>
      <c r="P58" t="n">
        <v>1250.5818294263</v>
      </c>
      <c r="Q58" t="n">
        <v>1416.9483578055</v>
      </c>
      <c r="R58" t="n">
        <v>1669.60375776927</v>
      </c>
      <c r="S58" t="n">
        <v>1938.69281917886</v>
      </c>
      <c r="T58" t="n">
        <v>2094.17695505286</v>
      </c>
      <c r="U58" t="n">
        <v>2223.24450518615</v>
      </c>
      <c r="V58" t="n">
        <v>2393.40821923693</v>
      </c>
      <c r="W58" t="n">
        <v>2571.53493596896</v>
      </c>
      <c r="X58" t="n">
        <v>2662.65231558991</v>
      </c>
      <c r="Y58" t="n">
        <v>2765.76393713263</v>
      </c>
      <c r="Z58" t="n">
        <v>2909.11728563639</v>
      </c>
      <c r="AA58" t="n">
        <v>3071.90528384515</v>
      </c>
      <c r="AB58" t="n">
        <v>3234.64255347858</v>
      </c>
      <c r="AC58" t="n">
        <v>3366.76718968208</v>
      </c>
      <c r="AD58" t="n">
        <v>3357.9919493962</v>
      </c>
      <c r="AE58" t="n">
        <v>3403</v>
      </c>
      <c r="AF58" t="n">
        <v>3500</v>
      </c>
    </row>
    <row r="59">
      <c r="A59" t="s">
        <v>142</v>
      </c>
      <c r="B59" t="s">
        <v>388</v>
      </c>
      <c r="C59" t="s">
        <v>236</v>
      </c>
      <c r="D59" t="s">
        <v>389</v>
      </c>
      <c r="E59" t="s">
        <v>237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143</v>
      </c>
      <c r="B2" t="s">
        <v>197</v>
      </c>
      <c r="C2" t="s">
        <v>236</v>
      </c>
      <c r="D2" t="s">
        <v>199</v>
      </c>
      <c r="E2" t="s">
        <v>237</v>
      </c>
      <c r="F2" t="n">
        <v>3</v>
      </c>
      <c r="G2" t="n">
        <v>3</v>
      </c>
      <c r="H2" t="n">
        <v>3</v>
      </c>
      <c r="I2" t="n">
        <v>3</v>
      </c>
      <c r="J2" t="n">
        <v>4</v>
      </c>
      <c r="K2" t="n">
        <v>5</v>
      </c>
      <c r="L2" t="n">
        <v>5</v>
      </c>
      <c r="M2" t="n">
        <v>5</v>
      </c>
      <c r="N2" t="n">
        <v>6</v>
      </c>
      <c r="O2" t="n">
        <v>6</v>
      </c>
      <c r="P2" t="n">
        <v>7</v>
      </c>
      <c r="Q2" t="n">
        <v>9</v>
      </c>
      <c r="R2" t="n">
        <v>9</v>
      </c>
      <c r="S2" t="n">
        <v>9</v>
      </c>
      <c r="T2" t="n">
        <v>10</v>
      </c>
      <c r="U2" t="n">
        <v>11</v>
      </c>
      <c r="V2" t="n">
        <v>11</v>
      </c>
      <c r="W2" t="n">
        <v>10</v>
      </c>
      <c r="X2" t="n">
        <v>11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</row>
    <row r="3">
      <c r="A3" t="s">
        <v>143</v>
      </c>
      <c r="B3" t="s">
        <v>276</v>
      </c>
      <c r="C3" t="s">
        <v>236</v>
      </c>
      <c r="D3" t="s">
        <v>277</v>
      </c>
      <c r="E3" t="s">
        <v>237</v>
      </c>
      <c r="F3" t="e">
        <v>#NUM!</v>
      </c>
      <c r="G3" t="e">
        <v>#NUM!</v>
      </c>
      <c r="H3" t="e">
        <v>#NUM!</v>
      </c>
      <c r="I3" t="n">
        <v>0</v>
      </c>
      <c r="J3" t="n">
        <v>1.21</v>
      </c>
      <c r="K3" t="n">
        <v>1.21</v>
      </c>
      <c r="L3" t="n">
        <v>2.42</v>
      </c>
      <c r="M3" t="n">
        <v>2.42</v>
      </c>
      <c r="N3" t="n">
        <v>2.42</v>
      </c>
      <c r="O3" t="n">
        <v>2.42</v>
      </c>
      <c r="P3" t="n">
        <v>3.63</v>
      </c>
      <c r="Q3" t="n">
        <v>3.63</v>
      </c>
      <c r="R3" t="n">
        <v>3.63</v>
      </c>
      <c r="S3" t="n">
        <v>3.63</v>
      </c>
      <c r="T3" t="n">
        <v>8.47</v>
      </c>
      <c r="U3" t="n">
        <v>13.31</v>
      </c>
      <c r="V3" t="n">
        <v>12.1</v>
      </c>
      <c r="W3" t="n">
        <v>9.9</v>
      </c>
      <c r="X3" t="n">
        <v>7.7</v>
      </c>
      <c r="Y3" t="n">
        <v>4.4</v>
      </c>
      <c r="Z3" t="n">
        <v>4.4</v>
      </c>
      <c r="AA3" t="n">
        <v>4.4</v>
      </c>
      <c r="AB3" t="n">
        <v>6.6</v>
      </c>
      <c r="AC3" t="n">
        <v>7.7</v>
      </c>
      <c r="AD3" t="n">
        <v>8.8</v>
      </c>
      <c r="AE3" t="n">
        <v>11</v>
      </c>
      <c r="AF3" t="n">
        <v>15</v>
      </c>
    </row>
    <row r="4">
      <c r="A4" t="s">
        <v>143</v>
      </c>
      <c r="B4" t="s">
        <v>278</v>
      </c>
      <c r="C4" t="s">
        <v>236</v>
      </c>
      <c r="D4" t="s">
        <v>279</v>
      </c>
      <c r="E4" t="s">
        <v>237</v>
      </c>
      <c r="F4" t="n">
        <v>431.530260493104</v>
      </c>
      <c r="G4" t="n">
        <v>444.002233339726</v>
      </c>
      <c r="H4" t="n">
        <v>500.443195204945</v>
      </c>
      <c r="I4" t="n">
        <v>611.791806138046</v>
      </c>
      <c r="J4" t="n">
        <v>713.757107161053</v>
      </c>
      <c r="K4" t="n">
        <v>829.329877181793</v>
      </c>
      <c r="L4" t="n">
        <v>986.813651715549</v>
      </c>
      <c r="M4" t="n">
        <v>1013.83201766865</v>
      </c>
      <c r="N4" t="n">
        <v>1155.66343982955</v>
      </c>
      <c r="O4" t="n">
        <v>1201.08836116389</v>
      </c>
      <c r="P4" t="n">
        <v>1331.69711685548</v>
      </c>
      <c r="Q4" t="n">
        <v>1480.51140785079</v>
      </c>
      <c r="R4" t="n">
        <v>1548.14274292703</v>
      </c>
      <c r="S4" t="n">
        <v>1578.35630153217</v>
      </c>
      <c r="T4" t="n">
        <v>1656.92232842864</v>
      </c>
      <c r="U4" t="n">
        <v>1721.0988974875</v>
      </c>
      <c r="V4" t="n">
        <v>1762.71042220849</v>
      </c>
      <c r="W4" t="n">
        <v>1789.88129576854</v>
      </c>
      <c r="X4" t="n">
        <v>1696.5541518551</v>
      </c>
      <c r="Y4" t="n">
        <v>1652.80033749391</v>
      </c>
      <c r="Z4" t="n">
        <v>1590.47106598894</v>
      </c>
      <c r="AA4" t="n">
        <v>1513.11970834923</v>
      </c>
      <c r="AB4" t="n">
        <v>1521.48526306022</v>
      </c>
      <c r="AC4" t="n">
        <v>1590.83187028813</v>
      </c>
      <c r="AD4" t="n">
        <v>1648.15914489311</v>
      </c>
      <c r="AE4" t="n">
        <v>1708</v>
      </c>
      <c r="AF4" t="n">
        <v>1720</v>
      </c>
    </row>
    <row r="5">
      <c r="A5" t="s">
        <v>143</v>
      </c>
      <c r="B5" t="s">
        <v>280</v>
      </c>
      <c r="C5" t="s">
        <v>236</v>
      </c>
      <c r="D5" t="s">
        <v>281</v>
      </c>
      <c r="E5" t="s">
        <v>237</v>
      </c>
      <c r="F5" t="n">
        <v>23.0526081189927</v>
      </c>
      <c r="G5" t="n">
        <v>28.1754099232133</v>
      </c>
      <c r="H5" t="n">
        <v>30.7368108253236</v>
      </c>
      <c r="I5" t="n">
        <v>37.1403130805994</v>
      </c>
      <c r="J5" t="n">
        <v>48.6666171400958</v>
      </c>
      <c r="K5" t="n">
        <v>61.4736216506473</v>
      </c>
      <c r="L5" t="n">
        <v>65.3157230038127</v>
      </c>
      <c r="M5" t="n">
        <v>57.6315202974818</v>
      </c>
      <c r="N5" t="n">
        <v>74.2806261611988</v>
      </c>
      <c r="O5" t="n">
        <v>78.1227275143642</v>
      </c>
      <c r="P5" t="n">
        <v>90.7231674360359</v>
      </c>
      <c r="Q5" t="n">
        <v>90.7231674360359</v>
      </c>
      <c r="R5" t="n">
        <v>85.8192124394934</v>
      </c>
      <c r="S5" t="n">
        <v>82.2434119211812</v>
      </c>
      <c r="T5" t="n">
        <v>81.1167898400691</v>
      </c>
      <c r="U5" t="n">
        <v>87.8765223267415</v>
      </c>
      <c r="V5" t="n">
        <v>98.0161210567502</v>
      </c>
      <c r="W5" t="n">
        <v>104.699038401529</v>
      </c>
      <c r="X5" t="n">
        <v>110.268136188844</v>
      </c>
      <c r="Y5" t="n">
        <v>110.268136188844</v>
      </c>
      <c r="Z5" t="n">
        <v>104.915314043754</v>
      </c>
      <c r="AA5" t="n">
        <v>108.0316105005</v>
      </c>
      <c r="AB5" t="n">
        <v>104.974112090108</v>
      </c>
      <c r="AC5" t="n">
        <v>102.935779816514</v>
      </c>
      <c r="AD5" t="n">
        <v>94.8623853211009</v>
      </c>
      <c r="AE5" t="n">
        <v>110</v>
      </c>
      <c r="AF5" t="n">
        <v>121</v>
      </c>
    </row>
    <row r="6">
      <c r="A6" t="s">
        <v>143</v>
      </c>
      <c r="B6" t="s">
        <v>282</v>
      </c>
      <c r="C6" t="s">
        <v>236</v>
      </c>
      <c r="D6" t="s">
        <v>283</v>
      </c>
      <c r="E6" t="s">
        <v>237</v>
      </c>
      <c r="F6" t="n">
        <v>2.66666666666667</v>
      </c>
      <c r="G6" t="n">
        <v>4</v>
      </c>
      <c r="H6" t="n">
        <v>4</v>
      </c>
      <c r="I6" t="n">
        <v>5.33333333333333</v>
      </c>
      <c r="J6" t="n">
        <v>4</v>
      </c>
      <c r="K6" t="n">
        <v>4</v>
      </c>
      <c r="L6" t="n">
        <v>4</v>
      </c>
      <c r="M6" t="n">
        <v>2.66666666666667</v>
      </c>
      <c r="N6" t="n">
        <v>5.33333333333333</v>
      </c>
      <c r="O6" t="n">
        <v>5.33333333333333</v>
      </c>
      <c r="P6" t="n">
        <v>8</v>
      </c>
      <c r="Q6" t="n">
        <v>8</v>
      </c>
      <c r="R6" t="n">
        <v>9.33333333333333</v>
      </c>
      <c r="S6" t="n">
        <v>8</v>
      </c>
      <c r="T6" t="n">
        <v>6.66666666666667</v>
      </c>
      <c r="U6" t="n">
        <v>6.66666666666667</v>
      </c>
      <c r="V6" t="n">
        <v>5.33333333333333</v>
      </c>
      <c r="W6" t="n">
        <v>6.4</v>
      </c>
      <c r="X6" t="n">
        <v>6.4</v>
      </c>
      <c r="Y6" t="n">
        <v>6.4</v>
      </c>
      <c r="Z6" t="n">
        <v>7.46666666666667</v>
      </c>
      <c r="AA6" t="n">
        <v>8.53333333333333</v>
      </c>
      <c r="AB6" t="n">
        <v>10.6666666666667</v>
      </c>
      <c r="AC6" t="n">
        <v>22.4</v>
      </c>
      <c r="AD6" t="n">
        <v>16</v>
      </c>
      <c r="AE6" t="n">
        <v>14</v>
      </c>
      <c r="AF6" t="n">
        <v>13</v>
      </c>
    </row>
    <row r="7">
      <c r="A7" t="s">
        <v>143</v>
      </c>
      <c r="B7" t="s">
        <v>284</v>
      </c>
      <c r="C7" t="s">
        <v>236</v>
      </c>
      <c r="D7" t="s">
        <v>285</v>
      </c>
      <c r="E7" t="s">
        <v>237</v>
      </c>
      <c r="F7" t="n">
        <v>111.112812093758</v>
      </c>
      <c r="G7" t="n">
        <v>114.736055966381</v>
      </c>
      <c r="H7" t="n">
        <v>125.605787584248</v>
      </c>
      <c r="I7" t="n">
        <v>154.591738565229</v>
      </c>
      <c r="J7" t="n">
        <v>170.541679845768</v>
      </c>
      <c r="K7" t="n">
        <v>215.355551922028</v>
      </c>
      <c r="L7" t="n">
        <v>280.086700476626</v>
      </c>
      <c r="M7" t="n">
        <v>290.318178119608</v>
      </c>
      <c r="N7" t="n">
        <v>299.513776521587</v>
      </c>
      <c r="O7" t="n">
        <v>288.81685593153</v>
      </c>
      <c r="P7" t="n">
        <v>339.327427148255</v>
      </c>
      <c r="Q7" t="n">
        <v>412.591303464355</v>
      </c>
      <c r="R7" t="n">
        <v>400.163854564827</v>
      </c>
      <c r="S7" t="n">
        <v>353.803407999389</v>
      </c>
      <c r="T7" t="n">
        <v>333.687495169993</v>
      </c>
      <c r="U7" t="n">
        <v>312.538287729641</v>
      </c>
      <c r="V7" t="n">
        <v>277.552658506174</v>
      </c>
      <c r="W7" t="n">
        <v>268.377364010102</v>
      </c>
      <c r="X7" t="n">
        <v>206.616882752547</v>
      </c>
      <c r="Y7" t="n">
        <v>174.40242253844</v>
      </c>
      <c r="Z7" t="n">
        <v>148.404545886747</v>
      </c>
      <c r="AA7" t="n">
        <v>152.675180300754</v>
      </c>
      <c r="AB7" t="n">
        <v>149.538019061698</v>
      </c>
      <c r="AC7" t="n">
        <v>145.412832328961</v>
      </c>
      <c r="AD7" t="n">
        <v>158.725274725275</v>
      </c>
      <c r="AE7" t="n">
        <v>184</v>
      </c>
      <c r="AF7" t="n">
        <v>174</v>
      </c>
    </row>
    <row r="8">
      <c r="A8" t="s">
        <v>143</v>
      </c>
      <c r="B8" t="s">
        <v>286</v>
      </c>
      <c r="C8" t="s">
        <v>236</v>
      </c>
      <c r="D8" t="s">
        <v>287</v>
      </c>
      <c r="E8" t="s">
        <v>237</v>
      </c>
      <c r="F8" t="n">
        <v>14.8067740054254</v>
      </c>
      <c r="G8" t="n">
        <v>14.8067740054254</v>
      </c>
      <c r="H8" t="n">
        <v>16.0406718392108</v>
      </c>
      <c r="I8" t="n">
        <v>17.2745696729962</v>
      </c>
      <c r="J8" t="n">
        <v>19.7423653405671</v>
      </c>
      <c r="K8" t="n">
        <v>20.9762631743526</v>
      </c>
      <c r="L8" t="n">
        <v>29.6135480108507</v>
      </c>
      <c r="M8" t="n">
        <v>23.4440588419235</v>
      </c>
      <c r="N8" t="n">
        <v>32.5611928360048</v>
      </c>
      <c r="O8" t="n">
        <v>43.4149237813398</v>
      </c>
      <c r="P8" t="n">
        <v>49.9929425360882</v>
      </c>
      <c r="Q8" t="n">
        <v>36.8369050265913</v>
      </c>
      <c r="R8" t="n">
        <v>33.0261907134957</v>
      </c>
      <c r="S8" t="n">
        <v>33.0261907134957</v>
      </c>
      <c r="T8" t="n">
        <v>29.3566139675517</v>
      </c>
      <c r="U8" t="n">
        <v>26.9102294702557</v>
      </c>
      <c r="V8" t="n">
        <v>23.4001995393528</v>
      </c>
      <c r="W8" t="n">
        <v>20.0573138908738</v>
      </c>
      <c r="X8" t="n">
        <v>25.6287899716721</v>
      </c>
      <c r="Y8" t="n">
        <v>40.1146277817476</v>
      </c>
      <c r="Z8" t="n">
        <v>40.1146277817476</v>
      </c>
      <c r="AA8" t="n">
        <v>39.0304486525112</v>
      </c>
      <c r="AB8" t="n">
        <v>44.3048336055533</v>
      </c>
      <c r="AC8" t="n">
        <v>65.4023734177215</v>
      </c>
      <c r="AD8" t="n">
        <v>83.0506329113924</v>
      </c>
      <c r="AE8" t="n">
        <v>81</v>
      </c>
      <c r="AF8" t="n">
        <v>68</v>
      </c>
    </row>
    <row r="9">
      <c r="A9" t="s">
        <v>143</v>
      </c>
      <c r="B9" t="s">
        <v>288</v>
      </c>
      <c r="C9" t="s">
        <v>236</v>
      </c>
      <c r="D9" t="s">
        <v>289</v>
      </c>
      <c r="E9" t="s">
        <v>237</v>
      </c>
      <c r="F9" t="n">
        <v>17.8884140015957</v>
      </c>
      <c r="G9" t="n">
        <v>20.4439017161094</v>
      </c>
      <c r="H9" t="n">
        <v>21.8068284971833</v>
      </c>
      <c r="I9" t="n">
        <v>28.6214624025531</v>
      </c>
      <c r="J9" t="n">
        <v>29.9843891836271</v>
      </c>
      <c r="K9" t="n">
        <v>25.8956088404052</v>
      </c>
      <c r="L9" t="n">
        <v>29.9843891836271</v>
      </c>
      <c r="M9" t="n">
        <v>36.7990230889969</v>
      </c>
      <c r="N9" t="n">
        <v>39.5248766511448</v>
      </c>
      <c r="O9" t="n">
        <v>38.1619498700709</v>
      </c>
      <c r="P9" t="n">
        <v>40.7938084817999</v>
      </c>
      <c r="Q9" t="n">
        <v>38.1619498700709</v>
      </c>
      <c r="R9" t="n">
        <v>39.4778791759354</v>
      </c>
      <c r="S9" t="n">
        <v>43.4256670935289</v>
      </c>
      <c r="T9" t="n">
        <v>56.1979221210374</v>
      </c>
      <c r="U9" t="n">
        <v>51.089020110034</v>
      </c>
      <c r="V9" t="n">
        <v>45.0069939064585</v>
      </c>
      <c r="W9" t="n">
        <v>48.5601776359158</v>
      </c>
      <c r="X9" t="n">
        <v>47.4039829302987</v>
      </c>
      <c r="Y9" t="n">
        <v>42.9943100995733</v>
      </c>
      <c r="Z9" t="n">
        <v>45.1440256045519</v>
      </c>
      <c r="AA9" t="n">
        <v>40.8445945945946</v>
      </c>
      <c r="AB9" t="n">
        <v>54.4594594594595</v>
      </c>
      <c r="AC9" t="n">
        <v>62.8378378378378</v>
      </c>
      <c r="AD9" t="n">
        <v>65.8783783783784</v>
      </c>
      <c r="AE9" t="n">
        <v>75</v>
      </c>
      <c r="AF9" t="n">
        <v>79</v>
      </c>
    </row>
    <row r="10">
      <c r="A10" t="s">
        <v>143</v>
      </c>
      <c r="B10" t="s">
        <v>290</v>
      </c>
      <c r="C10" t="s">
        <v>236</v>
      </c>
      <c r="D10" t="s">
        <v>291</v>
      </c>
      <c r="E10" t="s">
        <v>237</v>
      </c>
      <c r="F10" t="n">
        <v>22.0617401317851</v>
      </c>
      <c r="G10" t="n">
        <v>24.6572389708186</v>
      </c>
      <c r="H10" t="n">
        <v>28.7667787992884</v>
      </c>
      <c r="I10" t="n">
        <v>39.7255516752078</v>
      </c>
      <c r="J10" t="n">
        <v>41.0953982846977</v>
      </c>
      <c r="K10" t="n">
        <v>35.616011846738</v>
      </c>
      <c r="L10" t="n">
        <v>41.0953982846977</v>
      </c>
      <c r="M10" t="n">
        <v>54.7938643795969</v>
      </c>
      <c r="N10" t="n">
        <v>57.5335575985768</v>
      </c>
      <c r="O10" t="n">
        <v>56.1303000961725</v>
      </c>
      <c r="P10" t="n">
        <v>58.868363515498</v>
      </c>
      <c r="Q10" t="n">
        <v>53.392236676847</v>
      </c>
      <c r="R10" t="n">
        <v>52.0574307599258</v>
      </c>
      <c r="S10" t="n">
        <v>55.9617380669202</v>
      </c>
      <c r="T10" t="n">
        <v>68.6803149003112</v>
      </c>
      <c r="U10" t="n">
        <v>64.8647418502939</v>
      </c>
      <c r="V10" t="n">
        <v>59.9692896351774</v>
      </c>
      <c r="W10" t="n">
        <v>64.6727633320541</v>
      </c>
      <c r="X10" t="n">
        <v>64.6727633320541</v>
      </c>
      <c r="Y10" t="n">
        <v>60.2125727574296</v>
      </c>
      <c r="Z10" t="n">
        <v>62.4021208576998</v>
      </c>
      <c r="AA10" t="n">
        <v>58.0985263157895</v>
      </c>
      <c r="AB10" t="n">
        <v>70.5482105263158</v>
      </c>
      <c r="AC10" t="n">
        <v>77.8105263157895</v>
      </c>
      <c r="AD10" t="n">
        <v>88.9263157894737</v>
      </c>
      <c r="AE10" t="n">
        <v>96</v>
      </c>
      <c r="AF10" t="n">
        <v>100</v>
      </c>
    </row>
    <row r="11">
      <c r="A11" t="s">
        <v>143</v>
      </c>
      <c r="B11" t="s">
        <v>292</v>
      </c>
      <c r="C11" t="s">
        <v>236</v>
      </c>
      <c r="D11" t="s">
        <v>293</v>
      </c>
      <c r="E11" t="s">
        <v>237</v>
      </c>
      <c r="F11" t="n">
        <v>4.15555555555556</v>
      </c>
      <c r="G11" t="n">
        <v>4.15555555555556</v>
      </c>
      <c r="H11" t="n">
        <v>6.92592592592592</v>
      </c>
      <c r="I11" t="n">
        <v>11.0814814814815</v>
      </c>
      <c r="J11" t="n">
        <v>11.0814814814815</v>
      </c>
      <c r="K11" t="n">
        <v>9.6962962962963</v>
      </c>
      <c r="L11" t="n">
        <v>11.0814814814815</v>
      </c>
      <c r="M11" t="n">
        <v>18.0074074074074</v>
      </c>
      <c r="N11" t="n">
        <v>18.0074074074074</v>
      </c>
      <c r="O11" t="n">
        <v>18.0074074074074</v>
      </c>
      <c r="P11" t="n">
        <v>18.0074074074074</v>
      </c>
      <c r="Q11" t="n">
        <v>15.0061728395062</v>
      </c>
      <c r="R11" t="n">
        <v>12.2777777777778</v>
      </c>
      <c r="S11" t="n">
        <v>12.2777777777778</v>
      </c>
      <c r="T11" t="n">
        <v>12.2777777777778</v>
      </c>
      <c r="U11" t="n">
        <v>13.5055555555556</v>
      </c>
      <c r="V11" t="n">
        <v>14.7333333333333</v>
      </c>
      <c r="W11" t="n">
        <v>15.8666666666667</v>
      </c>
      <c r="X11" t="n">
        <v>17</v>
      </c>
      <c r="Y11" t="n">
        <v>17</v>
      </c>
      <c r="Z11" t="n">
        <v>17</v>
      </c>
      <c r="AA11" t="n">
        <v>17</v>
      </c>
      <c r="AB11" t="n">
        <v>16</v>
      </c>
      <c r="AC11" t="n">
        <v>15</v>
      </c>
      <c r="AD11" t="n">
        <v>23</v>
      </c>
      <c r="AE11" t="n">
        <v>21</v>
      </c>
      <c r="AF11" t="n">
        <v>21</v>
      </c>
    </row>
    <row r="12">
      <c r="A12" t="s">
        <v>143</v>
      </c>
      <c r="B12" t="s">
        <v>294</v>
      </c>
      <c r="C12" t="s">
        <v>236</v>
      </c>
      <c r="D12" t="s">
        <v>295</v>
      </c>
      <c r="E12" t="s">
        <v>237</v>
      </c>
      <c r="F12" t="n">
        <v>42.9928664871087</v>
      </c>
      <c r="G12" t="n">
        <v>41.7283704139585</v>
      </c>
      <c r="H12" t="n">
        <v>51.8443389991606</v>
      </c>
      <c r="I12" t="n">
        <v>56.9023232917616</v>
      </c>
      <c r="J12" t="n">
        <v>64.4892997306631</v>
      </c>
      <c r="K12" t="n">
        <v>72.0762761695647</v>
      </c>
      <c r="L12" t="n">
        <v>69.5472840232642</v>
      </c>
      <c r="M12" t="n">
        <v>59.4313154380621</v>
      </c>
      <c r="N12" t="n">
        <v>52.9713898469684</v>
      </c>
      <c r="O12" t="n">
        <v>55.5553600834059</v>
      </c>
      <c r="P12" t="n">
        <v>54.3476348642014</v>
      </c>
      <c r="Q12" t="n">
        <v>78.5021392482909</v>
      </c>
      <c r="R12" t="n">
        <v>78.5021392482909</v>
      </c>
      <c r="S12" t="n">
        <v>80.8454866885384</v>
      </c>
      <c r="T12" t="n">
        <v>72.8748049023445</v>
      </c>
      <c r="U12" t="n">
        <v>68.320129595948</v>
      </c>
      <c r="V12" t="n">
        <v>70.5974672491462</v>
      </c>
      <c r="W12" t="n">
        <v>65.0820401203067</v>
      </c>
      <c r="X12" t="n">
        <v>59.5666129914671</v>
      </c>
      <c r="Y12" t="n">
        <v>58.4835836643496</v>
      </c>
      <c r="Z12" t="n">
        <v>56.3569078947368</v>
      </c>
      <c r="AA12" t="n">
        <v>52.2582236842105</v>
      </c>
      <c r="AB12" t="n">
        <v>53.2828947368421</v>
      </c>
      <c r="AC12" t="n">
        <v>63.5296052631579</v>
      </c>
      <c r="AD12" t="n">
        <v>77.875</v>
      </c>
      <c r="AE12" t="n">
        <v>89</v>
      </c>
      <c r="AF12" t="n">
        <v>95</v>
      </c>
    </row>
    <row r="13">
      <c r="A13" t="s">
        <v>143</v>
      </c>
      <c r="B13" t="s">
        <v>296</v>
      </c>
      <c r="C13" t="s">
        <v>236</v>
      </c>
      <c r="D13" t="s">
        <v>297</v>
      </c>
      <c r="E13" t="s">
        <v>237</v>
      </c>
      <c r="F13" t="n">
        <v>38.2466109304033</v>
      </c>
      <c r="G13" t="n">
        <v>35.9286345103788</v>
      </c>
      <c r="H13" t="n">
        <v>37.0876227203911</v>
      </c>
      <c r="I13" t="n">
        <v>45.2005401904766</v>
      </c>
      <c r="J13" t="n">
        <v>45.2005401904766</v>
      </c>
      <c r="K13" t="n">
        <v>46.3595284004888</v>
      </c>
      <c r="L13" t="n">
        <v>67.2213161807088</v>
      </c>
      <c r="M13" t="n">
        <v>68.4006375172125</v>
      </c>
      <c r="N13" t="n">
        <v>90.7863007046638</v>
      </c>
      <c r="O13" t="n">
        <v>99.7370627459687</v>
      </c>
      <c r="P13" t="n">
        <v>117.191048726513</v>
      </c>
      <c r="Q13" t="n">
        <v>119.658228699703</v>
      </c>
      <c r="R13" t="n">
        <v>131.624051569673</v>
      </c>
      <c r="S13" t="n">
        <v>130.448836823516</v>
      </c>
      <c r="T13" t="n">
        <v>123.583108569646</v>
      </c>
      <c r="U13" t="n">
        <v>115.573092273466</v>
      </c>
      <c r="V13" t="n">
        <v>109.907744613001</v>
      </c>
      <c r="W13" t="n">
        <v>116.502209289782</v>
      </c>
      <c r="X13" t="n">
        <v>103.436540958217</v>
      </c>
      <c r="Y13" t="n">
        <v>119.598500482939</v>
      </c>
      <c r="Z13" t="n">
        <v>124.937719254499</v>
      </c>
      <c r="AA13" t="n">
        <v>128.11410194741</v>
      </c>
      <c r="AB13" t="n">
        <v>137.565142255005</v>
      </c>
      <c r="AC13" t="n">
        <v>135.480821917808</v>
      </c>
      <c r="AD13" t="n">
        <v>149.85</v>
      </c>
      <c r="AE13" t="n">
        <v>162</v>
      </c>
      <c r="AF13" t="n">
        <v>188</v>
      </c>
    </row>
    <row r="14">
      <c r="A14" t="s">
        <v>143</v>
      </c>
      <c r="B14" t="s">
        <v>298</v>
      </c>
      <c r="C14" t="s">
        <v>236</v>
      </c>
      <c r="D14" t="s">
        <v>299</v>
      </c>
      <c r="E14" t="s">
        <v>237</v>
      </c>
      <c r="F14" t="n">
        <v>27.1689491121736</v>
      </c>
      <c r="G14" t="n">
        <v>27.1689491121736</v>
      </c>
      <c r="H14" t="n">
        <v>31.0502275567698</v>
      </c>
      <c r="I14" t="n">
        <v>56.9254171874114</v>
      </c>
      <c r="J14" t="n">
        <v>117.732112819419</v>
      </c>
      <c r="K14" t="n">
        <v>166.133092534069</v>
      </c>
      <c r="L14" t="n">
        <v>207.993399314307</v>
      </c>
      <c r="M14" t="n">
        <v>278.207731566907</v>
      </c>
      <c r="N14" t="n">
        <v>328.177081411449</v>
      </c>
      <c r="O14" t="n">
        <v>339.208243811834</v>
      </c>
      <c r="P14" t="n">
        <v>365.00354752376</v>
      </c>
      <c r="Q14" t="n">
        <v>439.025245972635</v>
      </c>
      <c r="R14" t="n">
        <v>489.587142278472</v>
      </c>
      <c r="S14" t="n">
        <v>546.544062296017</v>
      </c>
      <c r="T14" t="n">
        <v>593.457715711984</v>
      </c>
      <c r="U14" t="n">
        <v>654.0860088692</v>
      </c>
      <c r="V14" t="n">
        <v>725.735006307169</v>
      </c>
      <c r="W14" t="n">
        <v>740.453500974865</v>
      </c>
      <c r="X14" t="n">
        <v>705.035695248115</v>
      </c>
      <c r="Y14" t="n">
        <v>639.754612354771</v>
      </c>
      <c r="Z14" t="n">
        <v>570.332158593402</v>
      </c>
      <c r="AA14" t="n">
        <v>502.862180497325</v>
      </c>
      <c r="AB14" t="n">
        <v>478.8167955671</v>
      </c>
      <c r="AC14" t="n">
        <v>453.018476840424</v>
      </c>
      <c r="AD14" t="n">
        <v>435.634020618557</v>
      </c>
      <c r="AE14" t="n">
        <v>394</v>
      </c>
      <c r="AF14" t="n">
        <v>346</v>
      </c>
    </row>
    <row r="15">
      <c r="A15" t="s">
        <v>143</v>
      </c>
      <c r="B15" t="s">
        <v>300</v>
      </c>
      <c r="C15" t="s">
        <v>236</v>
      </c>
      <c r="D15" t="s">
        <v>301</v>
      </c>
      <c r="E15" t="s">
        <v>237</v>
      </c>
      <c r="F15" t="n">
        <v>62.8704574556145</v>
      </c>
      <c r="G15" t="n">
        <v>66.7196691365705</v>
      </c>
      <c r="H15" t="n">
        <v>70.5688808175265</v>
      </c>
      <c r="I15" t="n">
        <v>100.079503704856</v>
      </c>
      <c r="J15" t="n">
        <v>163.766460607946</v>
      </c>
      <c r="K15" t="n">
        <v>209.621069578171</v>
      </c>
      <c r="L15" t="n">
        <v>248.925020124078</v>
      </c>
      <c r="M15" t="n">
        <v>308.508136643139</v>
      </c>
      <c r="N15" t="n">
        <v>366.43761208268</v>
      </c>
      <c r="O15" t="n">
        <v>377.417016190026</v>
      </c>
      <c r="P15" t="n">
        <v>404.467382538117</v>
      </c>
      <c r="Q15" t="n">
        <v>484.850490108784</v>
      </c>
      <c r="R15" t="n">
        <v>537.900289280992</v>
      </c>
      <c r="S15" t="n">
        <v>609.378030424186</v>
      </c>
      <c r="T15" t="n">
        <v>669.259108558355</v>
      </c>
      <c r="U15" t="n">
        <v>732.220766854786</v>
      </c>
      <c r="V15" t="n">
        <v>802.671029911792</v>
      </c>
      <c r="W15" t="n">
        <v>815.124318105063</v>
      </c>
      <c r="X15" t="n">
        <v>765.286554090488</v>
      </c>
      <c r="Y15" t="n">
        <v>698.881888657316</v>
      </c>
      <c r="Z15" t="n">
        <v>620.872136559481</v>
      </c>
      <c r="AA15" t="n">
        <v>548.138388813124</v>
      </c>
      <c r="AB15" t="n">
        <v>530.389145746794</v>
      </c>
      <c r="AC15" t="n">
        <v>509.751435795557</v>
      </c>
      <c r="AD15" t="n">
        <v>500.557522123894</v>
      </c>
      <c r="AE15" t="n">
        <v>458</v>
      </c>
      <c r="AF15" t="n">
        <v>412</v>
      </c>
    </row>
    <row r="16">
      <c r="A16" t="s">
        <v>143</v>
      </c>
      <c r="B16" t="s">
        <v>302</v>
      </c>
      <c r="C16" t="s">
        <v>236</v>
      </c>
      <c r="D16" t="s">
        <v>303</v>
      </c>
      <c r="E16" t="s">
        <v>237</v>
      </c>
      <c r="F16" t="n">
        <v>35.9616901061081</v>
      </c>
      <c r="G16" t="n">
        <v>39.8147283317626</v>
      </c>
      <c r="H16" t="n">
        <v>39.8147283317626</v>
      </c>
      <c r="I16" t="n">
        <v>43.667766557417</v>
      </c>
      <c r="J16" t="n">
        <v>46.3142978639271</v>
      </c>
      <c r="K16" t="n">
        <v>43.667766557417</v>
      </c>
      <c r="L16" t="n">
        <v>41.0212352509069</v>
      </c>
      <c r="M16" t="n">
        <v>30.4351100248664</v>
      </c>
      <c r="N16" t="n">
        <v>38.3747039443968</v>
      </c>
      <c r="O16" t="n">
        <v>38.3747039443968</v>
      </c>
      <c r="P16" t="n">
        <v>39.6538607425433</v>
      </c>
      <c r="Q16" t="n">
        <v>46.0496447332761</v>
      </c>
      <c r="R16" t="n">
        <v>48.5388147188586</v>
      </c>
      <c r="S16" t="n">
        <v>63.1004591345162</v>
      </c>
      <c r="T16" t="n">
        <v>76.1967808416799</v>
      </c>
      <c r="U16" t="n">
        <v>78.5412971752701</v>
      </c>
      <c r="V16" t="n">
        <v>77.3862780991632</v>
      </c>
      <c r="W16" t="n">
        <v>75.1102110962466</v>
      </c>
      <c r="X16" t="n">
        <v>60.5365880477211</v>
      </c>
      <c r="Y16" t="n">
        <v>59.4359228104898</v>
      </c>
      <c r="Z16" t="n">
        <v>50.7906976744186</v>
      </c>
      <c r="AA16" t="n">
        <v>45.5</v>
      </c>
      <c r="AB16" t="n">
        <v>51.7045454545455</v>
      </c>
      <c r="AC16" t="n">
        <v>56.875</v>
      </c>
      <c r="AD16" t="n">
        <v>65</v>
      </c>
      <c r="AE16" t="n">
        <v>64</v>
      </c>
      <c r="AF16" t="n">
        <v>66</v>
      </c>
    </row>
    <row r="17">
      <c r="A17" t="s">
        <v>143</v>
      </c>
      <c r="B17" t="s">
        <v>304</v>
      </c>
      <c r="C17" t="s">
        <v>236</v>
      </c>
      <c r="D17" t="s">
        <v>305</v>
      </c>
      <c r="E17" t="s">
        <v>237</v>
      </c>
      <c r="F17" t="n">
        <v>70.5476015495492</v>
      </c>
      <c r="G17" t="n">
        <v>69.264917885012</v>
      </c>
      <c r="H17" t="n">
        <v>87.5613112886</v>
      </c>
      <c r="I17" t="n">
        <v>87.5613112886</v>
      </c>
      <c r="J17" t="n">
        <v>86.2736449461206</v>
      </c>
      <c r="K17" t="n">
        <v>96.5749756859559</v>
      </c>
      <c r="L17" t="n">
        <v>103.013307398353</v>
      </c>
      <c r="M17" t="n">
        <v>86.0617504847</v>
      </c>
      <c r="N17" t="n">
        <v>110.837102896962</v>
      </c>
      <c r="O17" t="n">
        <v>130.867904625329</v>
      </c>
      <c r="P17" t="n">
        <v>143.698091353302</v>
      </c>
      <c r="Q17" t="n">
        <v>141.132054007707</v>
      </c>
      <c r="R17" t="n">
        <v>160.940061587737</v>
      </c>
      <c r="S17" t="n">
        <v>171.830742447057</v>
      </c>
      <c r="T17" t="n">
        <v>216.553812399031</v>
      </c>
      <c r="U17" t="n">
        <v>243.476718805397</v>
      </c>
      <c r="V17" t="n">
        <v>246.954957645474</v>
      </c>
      <c r="W17" t="n">
        <v>250.369081483891</v>
      </c>
      <c r="X17" t="n">
        <v>271.511359475864</v>
      </c>
      <c r="Y17" t="n">
        <v>300.091502578586</v>
      </c>
      <c r="Z17" t="n">
        <v>343.270136043131</v>
      </c>
      <c r="AA17" t="n">
        <v>333.645739705473</v>
      </c>
      <c r="AB17" t="n">
        <v>340.000896652244</v>
      </c>
      <c r="AC17" t="n">
        <v>379.754847645429</v>
      </c>
      <c r="AD17" t="n">
        <v>372.53125</v>
      </c>
      <c r="AE17" t="n">
        <v>393</v>
      </c>
      <c r="AF17" t="n">
        <v>412</v>
      </c>
    </row>
    <row r="18">
      <c r="A18" t="s">
        <v>143</v>
      </c>
      <c r="B18" t="s">
        <v>306</v>
      </c>
      <c r="C18" t="s">
        <v>236</v>
      </c>
      <c r="D18" t="s">
        <v>307</v>
      </c>
      <c r="E18" t="s">
        <v>237</v>
      </c>
      <c r="F18" t="n">
        <v>13.1630279534789</v>
      </c>
      <c r="G18" t="n">
        <v>13.1630279534789</v>
      </c>
      <c r="H18" t="n">
        <v>14.2599469496021</v>
      </c>
      <c r="I18" t="n">
        <v>29.6168128953275</v>
      </c>
      <c r="J18" t="n">
        <v>28.5198938992042</v>
      </c>
      <c r="K18" t="n">
        <v>26.1432360742706</v>
      </c>
      <c r="L18" t="n">
        <v>27.3315649867374</v>
      </c>
      <c r="M18" t="n">
        <v>21.3899204244032</v>
      </c>
      <c r="N18" t="n">
        <v>22.6481510376034</v>
      </c>
      <c r="O18" t="n">
        <v>21.3899204244032</v>
      </c>
      <c r="P18" t="n">
        <v>20.2015915119363</v>
      </c>
      <c r="Q18" t="n">
        <v>15.448275862069</v>
      </c>
      <c r="R18" t="n">
        <v>16.551724137931</v>
      </c>
      <c r="S18" t="n">
        <v>16.551724137931</v>
      </c>
      <c r="T18" t="n">
        <v>18.7586206896552</v>
      </c>
      <c r="U18" t="n">
        <v>19.8620689655172</v>
      </c>
      <c r="V18" t="n">
        <v>24.2758620689655</v>
      </c>
      <c r="W18" t="n">
        <v>30.8965517241379</v>
      </c>
      <c r="X18" t="n">
        <v>32</v>
      </c>
      <c r="Y18" t="n">
        <v>32</v>
      </c>
      <c r="Z18" t="n">
        <v>28.6896551724138</v>
      </c>
      <c r="AA18" t="n">
        <v>32</v>
      </c>
      <c r="AB18" t="n">
        <v>32</v>
      </c>
      <c r="AC18" t="n">
        <v>33</v>
      </c>
      <c r="AD18" t="n">
        <v>33</v>
      </c>
      <c r="AE18" t="n">
        <v>32</v>
      </c>
      <c r="AF18" t="n">
        <v>35</v>
      </c>
    </row>
    <row r="19">
      <c r="A19" t="s">
        <v>143</v>
      </c>
      <c r="B19" t="s">
        <v>308</v>
      </c>
      <c r="C19" t="s">
        <v>236</v>
      </c>
      <c r="D19" t="s">
        <v>309</v>
      </c>
      <c r="E19" t="s">
        <v>237</v>
      </c>
      <c r="F19" t="n">
        <v>27.9875117000671</v>
      </c>
      <c r="G19" t="n">
        <v>29.2596713227974</v>
      </c>
      <c r="H19" t="n">
        <v>33.0761501909884</v>
      </c>
      <c r="I19" t="n">
        <v>35.620469436449</v>
      </c>
      <c r="J19" t="n">
        <v>40.7091079273703</v>
      </c>
      <c r="K19" t="n">
        <v>40.7091079273703</v>
      </c>
      <c r="L19" t="n">
        <v>48.3420656637523</v>
      </c>
      <c r="M19" t="n">
        <v>41.9812675501006</v>
      </c>
      <c r="N19" t="n">
        <v>43.253427172831</v>
      </c>
      <c r="O19" t="n">
        <v>44.5255867955613</v>
      </c>
      <c r="P19" t="n">
        <v>45.7624086509935</v>
      </c>
      <c r="Q19" t="n">
        <v>39.5782993738323</v>
      </c>
      <c r="R19" t="n">
        <v>41.8399164809084</v>
      </c>
      <c r="S19" t="n">
        <v>36.1858737132181</v>
      </c>
      <c r="T19" t="n">
        <v>37.3166822667561</v>
      </c>
      <c r="U19" t="n">
        <v>42.9707250344465</v>
      </c>
      <c r="V19" t="n">
        <v>42.9707250344465</v>
      </c>
      <c r="W19" t="n">
        <v>46.3631506950606</v>
      </c>
      <c r="X19" t="n">
        <v>49.5977891156463</v>
      </c>
      <c r="Y19" t="n">
        <v>50.6530612244898</v>
      </c>
      <c r="Z19" t="n">
        <v>51.7083333333333</v>
      </c>
      <c r="AA19" t="n">
        <v>51.7083333333333</v>
      </c>
      <c r="AB19" t="n">
        <v>47.6527777777778</v>
      </c>
      <c r="AC19" t="n">
        <v>55.7638888888889</v>
      </c>
      <c r="AD19" t="n">
        <v>73</v>
      </c>
      <c r="AE19" t="n">
        <v>89</v>
      </c>
      <c r="AF19" t="n">
        <v>102</v>
      </c>
    </row>
    <row r="20">
      <c r="A20" t="s">
        <v>143</v>
      </c>
      <c r="B20" t="s">
        <v>310</v>
      </c>
      <c r="C20" t="s">
        <v>236</v>
      </c>
      <c r="D20" t="s">
        <v>311</v>
      </c>
      <c r="E20" t="s">
        <v>237</v>
      </c>
      <c r="F20" t="n">
        <v>30.1036828064198</v>
      </c>
      <c r="G20" t="n">
        <v>30.1036828064198</v>
      </c>
      <c r="H20" t="n">
        <v>32.5119774309334</v>
      </c>
      <c r="I20" t="n">
        <v>42.1451559289877</v>
      </c>
      <c r="J20" t="n">
        <v>52.0616632063966</v>
      </c>
      <c r="K20" t="n">
        <v>58.4106465242498</v>
      </c>
      <c r="L20" t="n">
        <v>66.0294265056737</v>
      </c>
      <c r="M20" t="n">
        <v>71.2082050551384</v>
      </c>
      <c r="N20" t="n">
        <v>68.5708641271703</v>
      </c>
      <c r="O20" t="n">
        <v>69.9153908747618</v>
      </c>
      <c r="P20" t="n">
        <v>91.9257917057054</v>
      </c>
      <c r="Q20" t="n">
        <v>97.0327801338001</v>
      </c>
      <c r="R20" t="n">
        <v>102.008820140662</v>
      </c>
      <c r="S20" t="n">
        <v>106.866383004503</v>
      </c>
      <c r="T20" t="n">
        <v>119.927829816164</v>
      </c>
      <c r="U20" t="n">
        <v>124.677446838586</v>
      </c>
      <c r="V20" t="n">
        <v>140.113702161459</v>
      </c>
      <c r="W20" t="n">
        <v>150.535382487518</v>
      </c>
      <c r="X20" t="n">
        <v>173.172282109701</v>
      </c>
      <c r="Y20" t="n">
        <v>179.832754498536</v>
      </c>
      <c r="Z20" t="n">
        <v>184.166073884043</v>
      </c>
      <c r="AA20" t="n">
        <v>193.802670773324</v>
      </c>
      <c r="AB20" t="n">
        <v>193.802670773324</v>
      </c>
      <c r="AC20" t="n">
        <v>212.557767944936</v>
      </c>
      <c r="AD20" t="n">
        <v>222.87610619469</v>
      </c>
      <c r="AE20" t="n">
        <v>230</v>
      </c>
      <c r="AF20" t="n">
        <v>254</v>
      </c>
    </row>
    <row r="21">
      <c r="A21" t="s">
        <v>143</v>
      </c>
      <c r="B21" t="s">
        <v>312</v>
      </c>
      <c r="C21" t="s">
        <v>236</v>
      </c>
      <c r="D21" t="s">
        <v>313</v>
      </c>
      <c r="E21" t="s">
        <v>237</v>
      </c>
      <c r="F21" t="n">
        <v>31.0982528542226</v>
      </c>
      <c r="G21" t="n">
        <v>29.9021662059833</v>
      </c>
      <c r="H21" t="n">
        <v>32.294339502462</v>
      </c>
      <c r="I21" t="n">
        <v>41.8630326883766</v>
      </c>
      <c r="J21" t="n">
        <v>52.9444236941234</v>
      </c>
      <c r="K21" t="n">
        <v>59.2473312767571</v>
      </c>
      <c r="L21" t="n">
        <v>69.3319834089711</v>
      </c>
      <c r="M21" t="n">
        <v>73.1837602650251</v>
      </c>
      <c r="N21" t="n">
        <v>73.1837602650251</v>
      </c>
      <c r="O21" t="n">
        <v>73.1837602650251</v>
      </c>
      <c r="P21" t="n">
        <v>97.5783470200334</v>
      </c>
      <c r="Q21" t="n">
        <v>102.647352060035</v>
      </c>
      <c r="R21" t="n">
        <v>107.594212400278</v>
      </c>
      <c r="S21" t="n">
        <v>113.638831074451</v>
      </c>
      <c r="T21" t="n">
        <v>125.476209311373</v>
      </c>
      <c r="U21" t="n">
        <v>133.684933285014</v>
      </c>
      <c r="V21" t="n">
        <v>146.584356672164</v>
      </c>
      <c r="W21" t="n">
        <v>155.745878964175</v>
      </c>
      <c r="X21" t="n">
        <v>181.516779799973</v>
      </c>
      <c r="Y21" t="n">
        <v>194.718000149062</v>
      </c>
      <c r="Z21" t="n">
        <v>201.172740485495</v>
      </c>
      <c r="AA21" t="n">
        <v>210.752394794328</v>
      </c>
      <c r="AB21" t="n">
        <v>212.859918742272</v>
      </c>
      <c r="AC21" t="n">
        <v>230.511716881875</v>
      </c>
      <c r="AD21" t="n">
        <v>244.918699186992</v>
      </c>
      <c r="AE21" t="n">
        <v>250</v>
      </c>
      <c r="AF21" t="n">
        <v>274</v>
      </c>
    </row>
    <row r="22">
      <c r="A22" t="s">
        <v>143</v>
      </c>
      <c r="B22" t="s">
        <v>314</v>
      </c>
      <c r="C22" t="s">
        <v>236</v>
      </c>
      <c r="D22" t="s">
        <v>315</v>
      </c>
      <c r="E22" t="s">
        <v>237</v>
      </c>
      <c r="F22" t="e">
        <v>#NUM!</v>
      </c>
      <c r="G22" t="e">
        <v>#NUM!</v>
      </c>
      <c r="H22" t="e">
        <v>#NUM!</v>
      </c>
      <c r="I22" t="n">
        <v>0</v>
      </c>
      <c r="J22" t="n">
        <v>1.2</v>
      </c>
      <c r="K22" t="n">
        <v>1.2</v>
      </c>
      <c r="L22" t="n">
        <v>3.6</v>
      </c>
      <c r="M22" t="n">
        <v>2.4</v>
      </c>
      <c r="N22" t="n">
        <v>4.8</v>
      </c>
      <c r="O22" t="n">
        <v>3.6</v>
      </c>
      <c r="P22" t="n">
        <v>6</v>
      </c>
      <c r="Q22" t="n">
        <v>6</v>
      </c>
      <c r="R22" t="n">
        <v>6</v>
      </c>
      <c r="S22" t="n">
        <v>7.2</v>
      </c>
      <c r="T22" t="n">
        <v>6</v>
      </c>
      <c r="U22" t="n">
        <v>9</v>
      </c>
      <c r="V22" t="n">
        <v>7</v>
      </c>
      <c r="W22" t="n">
        <v>6</v>
      </c>
      <c r="X22" t="n">
        <v>9</v>
      </c>
      <c r="Y22" t="n">
        <v>15</v>
      </c>
      <c r="Z22" t="n">
        <v>17</v>
      </c>
      <c r="AA22" t="n">
        <v>17</v>
      </c>
      <c r="AB22" t="n">
        <v>19</v>
      </c>
      <c r="AC22" t="n">
        <v>18</v>
      </c>
      <c r="AD22" t="n">
        <v>22</v>
      </c>
      <c r="AE22" t="n">
        <v>20</v>
      </c>
      <c r="AF22" t="n">
        <v>20</v>
      </c>
    </row>
    <row r="23">
      <c r="A23" t="s">
        <v>143</v>
      </c>
      <c r="B23" t="s">
        <v>316</v>
      </c>
      <c r="C23" t="s">
        <v>236</v>
      </c>
      <c r="D23" t="s">
        <v>317</v>
      </c>
      <c r="E23" t="s">
        <v>237</v>
      </c>
      <c r="F23" t="n">
        <v>39.4767641962007</v>
      </c>
      <c r="G23" t="n">
        <v>39.4767641962007</v>
      </c>
      <c r="H23" t="n">
        <v>43.2970962151879</v>
      </c>
      <c r="I23" t="n">
        <v>50.9377602531622</v>
      </c>
      <c r="J23" t="n">
        <v>58.5784242911366</v>
      </c>
      <c r="K23" t="n">
        <v>65.0871381012629</v>
      </c>
      <c r="L23" t="n">
        <v>72.8975946734144</v>
      </c>
      <c r="M23" t="n">
        <v>78.19923792239</v>
      </c>
      <c r="N23" t="n">
        <v>86.1517027958534</v>
      </c>
      <c r="O23" t="n">
        <v>87.4978231520386</v>
      </c>
      <c r="P23" t="n">
        <v>95.2182193125126</v>
      </c>
      <c r="Q23" t="n">
        <v>99.0269480850131</v>
      </c>
      <c r="R23" t="n">
        <v>85.4107427233238</v>
      </c>
      <c r="S23" t="n">
        <v>106.153351670417</v>
      </c>
      <c r="T23" t="n">
        <v>96.8211888862043</v>
      </c>
      <c r="U23" t="n">
        <v>97.9877092342308</v>
      </c>
      <c r="V23" t="n">
        <v>86.4597434419684</v>
      </c>
      <c r="W23" t="n">
        <v>102.386538286541</v>
      </c>
      <c r="X23" t="n">
        <v>104.612332597118</v>
      </c>
      <c r="Y23" t="n">
        <v>127.496280352738</v>
      </c>
      <c r="Z23" t="n">
        <v>149.995623944398</v>
      </c>
      <c r="AA23" t="n">
        <v>167.016403966457</v>
      </c>
      <c r="AB23" t="n">
        <v>209.033109366824</v>
      </c>
      <c r="AC23" t="n">
        <v>201.789387755102</v>
      </c>
      <c r="AD23" t="n">
        <v>214.019047619048</v>
      </c>
      <c r="AE23" t="n">
        <v>212</v>
      </c>
      <c r="AF23" t="n">
        <v>210</v>
      </c>
    </row>
    <row r="24">
      <c r="A24" t="s">
        <v>143</v>
      </c>
      <c r="B24" t="s">
        <v>318</v>
      </c>
      <c r="C24" t="s">
        <v>236</v>
      </c>
      <c r="D24" t="s">
        <v>319</v>
      </c>
      <c r="E24" t="s">
        <v>237</v>
      </c>
      <c r="F24" t="n">
        <v>69.6524393156599</v>
      </c>
      <c r="G24" t="n">
        <v>79.6027877893256</v>
      </c>
      <c r="H24" t="n">
        <v>95.7721040590323</v>
      </c>
      <c r="I24" t="n">
        <v>129.354530157654</v>
      </c>
      <c r="J24" t="n">
        <v>169.542345352265</v>
      </c>
      <c r="K24" t="n">
        <v>221.417242064525</v>
      </c>
      <c r="L24" t="n">
        <v>284.679311225818</v>
      </c>
      <c r="M24" t="n">
        <v>349.379154686231</v>
      </c>
      <c r="N24" t="n">
        <v>478.92423451371</v>
      </c>
      <c r="O24" t="n">
        <v>528.421990594736</v>
      </c>
      <c r="P24" t="n">
        <v>556.845667350444</v>
      </c>
      <c r="Q24" t="n">
        <v>537.555401737842</v>
      </c>
      <c r="R24" t="n">
        <v>523.86764845285</v>
      </c>
      <c r="S24" t="n">
        <v>546.961581911329</v>
      </c>
      <c r="T24" t="n">
        <v>549.314104844281</v>
      </c>
      <c r="U24" t="n">
        <v>535.289063869533</v>
      </c>
      <c r="V24" t="n">
        <v>544.598438893351</v>
      </c>
      <c r="W24" t="n">
        <v>620.774003414968</v>
      </c>
      <c r="X24" t="n">
        <v>704.211369465367</v>
      </c>
      <c r="Y24" t="n">
        <v>791.691042690878</v>
      </c>
      <c r="Z24" t="n">
        <v>795.987873316066</v>
      </c>
      <c r="AA24" t="n">
        <v>777.945481520902</v>
      </c>
      <c r="AB24" t="n">
        <v>777.945481520902</v>
      </c>
      <c r="AC24" t="n">
        <v>810.100561423766</v>
      </c>
      <c r="AD24" t="n">
        <v>816.253223915592</v>
      </c>
      <c r="AE24" t="n">
        <v>866</v>
      </c>
      <c r="AF24" t="n">
        <v>897</v>
      </c>
    </row>
    <row r="25">
      <c r="A25" t="s">
        <v>143</v>
      </c>
      <c r="B25" t="s">
        <v>320</v>
      </c>
      <c r="C25" t="s">
        <v>236</v>
      </c>
      <c r="D25" t="s">
        <v>321</v>
      </c>
      <c r="E25" t="s">
        <v>237</v>
      </c>
      <c r="F25" t="n">
        <v>11.8822153258967</v>
      </c>
      <c r="G25" t="n">
        <v>11.8822153258967</v>
      </c>
      <c r="H25" t="n">
        <v>13.0704368584864</v>
      </c>
      <c r="I25" t="n">
        <v>16.6351014562554</v>
      </c>
      <c r="J25" t="n">
        <v>21.3879875866141</v>
      </c>
      <c r="K25" t="n">
        <v>22.5762091192038</v>
      </c>
      <c r="L25" t="n">
        <v>26.1408737169728</v>
      </c>
      <c r="M25" t="n">
        <v>28.6304807376369</v>
      </c>
      <c r="N25" t="n">
        <v>33.6096947789651</v>
      </c>
      <c r="O25" t="n">
        <v>34.9023753473868</v>
      </c>
      <c r="P25" t="n">
        <v>34.9023753473868</v>
      </c>
      <c r="Q25" t="n">
        <v>34.9023753473868</v>
      </c>
      <c r="R25" t="n">
        <v>38.6419155631783</v>
      </c>
      <c r="S25" t="n">
        <v>43.4721550085755</v>
      </c>
      <c r="T25" t="n">
        <v>45.8220012252553</v>
      </c>
      <c r="U25" t="n">
        <v>48.171847441935</v>
      </c>
      <c r="V25" t="n">
        <v>43.4721550085755</v>
      </c>
      <c r="W25" t="n">
        <v>48.0481713252677</v>
      </c>
      <c r="X25" t="n">
        <v>48.0481713252677</v>
      </c>
      <c r="Y25" t="n">
        <v>52.416186900292</v>
      </c>
      <c r="Z25" t="n">
        <v>50.2767507002801</v>
      </c>
      <c r="AA25" t="n">
        <v>52.3716153127918</v>
      </c>
      <c r="AB25" t="n">
        <v>53.4190476190476</v>
      </c>
      <c r="AC25" t="n">
        <v>67.8010989010989</v>
      </c>
      <c r="AD25" t="n">
        <v>71.9102564102564</v>
      </c>
      <c r="AE25" t="n">
        <v>79</v>
      </c>
      <c r="AF25" t="n">
        <v>79</v>
      </c>
    </row>
    <row r="26">
      <c r="A26" t="s">
        <v>143</v>
      </c>
      <c r="B26" t="s">
        <v>322</v>
      </c>
      <c r="C26" t="s">
        <v>236</v>
      </c>
      <c r="D26" t="s">
        <v>323</v>
      </c>
      <c r="E26" t="s">
        <v>237</v>
      </c>
      <c r="F26" t="n">
        <v>45.7523926026544</v>
      </c>
      <c r="G26" t="n">
        <v>53.1716995111929</v>
      </c>
      <c r="H26" t="n">
        <v>64.3006598740007</v>
      </c>
      <c r="I26" t="n">
        <v>87.7951317510395</v>
      </c>
      <c r="J26" t="n">
        <v>116.642103612095</v>
      </c>
      <c r="K26" t="n">
        <v>157.213270085868</v>
      </c>
      <c r="L26" t="n">
        <v>205.391530273472</v>
      </c>
      <c r="M26" t="n">
        <v>255.770584868852</v>
      </c>
      <c r="N26" t="n">
        <v>363.325394916267</v>
      </c>
      <c r="O26" t="n">
        <v>402.20523422465</v>
      </c>
      <c r="P26" t="n">
        <v>417.724407249395</v>
      </c>
      <c r="Q26" t="n">
        <v>394.588901617121</v>
      </c>
      <c r="R26" t="n">
        <v>367.29029836059</v>
      </c>
      <c r="S26" t="n">
        <v>375.775552778162</v>
      </c>
      <c r="T26" t="n">
        <v>381.647045790321</v>
      </c>
      <c r="U26" t="n">
        <v>359.47183517865</v>
      </c>
      <c r="V26" t="n">
        <v>374.546460524852</v>
      </c>
      <c r="W26" t="n">
        <v>423.350999320515</v>
      </c>
      <c r="X26" t="n">
        <v>468.908455940307</v>
      </c>
      <c r="Y26" t="n">
        <v>507.164390574132</v>
      </c>
      <c r="Z26" t="n">
        <v>530.803408778859</v>
      </c>
      <c r="AA26" t="n">
        <v>511.69448606282</v>
      </c>
      <c r="AB26" t="n">
        <v>526.404389152921</v>
      </c>
      <c r="AC26" t="n">
        <v>539.90193759274</v>
      </c>
      <c r="AD26" t="n">
        <v>524.505494505494</v>
      </c>
      <c r="AE26" t="n">
        <v>555</v>
      </c>
      <c r="AF26" t="n">
        <v>562</v>
      </c>
    </row>
    <row r="27">
      <c r="A27" t="s">
        <v>143</v>
      </c>
      <c r="B27" t="s">
        <v>324</v>
      </c>
      <c r="C27" t="s">
        <v>236</v>
      </c>
      <c r="D27" t="s">
        <v>325</v>
      </c>
      <c r="E27" t="s">
        <v>237</v>
      </c>
      <c r="F27" t="n">
        <v>11.5753693766676</v>
      </c>
      <c r="G27" t="n">
        <v>14.1476736825938</v>
      </c>
      <c r="H27" t="n">
        <v>18.006130141483</v>
      </c>
      <c r="I27" t="n">
        <v>24.4368909062983</v>
      </c>
      <c r="J27" t="n">
        <v>30.8676516711137</v>
      </c>
      <c r="K27" t="n">
        <v>41.1568688948182</v>
      </c>
      <c r="L27" t="n">
        <v>52.7322382714859</v>
      </c>
      <c r="M27" t="n">
        <v>64.5969918825702</v>
      </c>
      <c r="N27" t="n">
        <v>81.7349693208031</v>
      </c>
      <c r="O27" t="n">
        <v>91.1143920297477</v>
      </c>
      <c r="P27" t="n">
        <v>104.130733748283</v>
      </c>
      <c r="Q27" t="n">
        <v>108.035636263844</v>
      </c>
      <c r="R27" t="n">
        <v>118.085462893038</v>
      </c>
      <c r="S27" t="n">
        <v>127.925918134125</v>
      </c>
      <c r="T27" t="n">
        <v>122.003421924212</v>
      </c>
      <c r="U27" t="n">
        <v>127.868971055184</v>
      </c>
      <c r="V27" t="n">
        <v>126.695861228989</v>
      </c>
      <c r="W27" t="n">
        <v>149.523944333312</v>
      </c>
      <c r="X27" t="n">
        <v>187.462855582062</v>
      </c>
      <c r="Y27" t="n">
        <v>232.410089961387</v>
      </c>
      <c r="Z27" t="n">
        <v>215.194527742025</v>
      </c>
      <c r="AA27" t="n">
        <v>214.129208297758</v>
      </c>
      <c r="AB27" t="n">
        <v>198.30685300482</v>
      </c>
      <c r="AC27" t="n">
        <v>202.459876104397</v>
      </c>
      <c r="AD27" t="n">
        <v>219.842794759825</v>
      </c>
      <c r="AE27" t="n">
        <v>232</v>
      </c>
      <c r="AF27" t="n">
        <v>256</v>
      </c>
    </row>
    <row r="28">
      <c r="A28" t="s">
        <v>143</v>
      </c>
      <c r="B28" t="s">
        <v>326</v>
      </c>
      <c r="C28" t="s">
        <v>236</v>
      </c>
      <c r="D28" t="s">
        <v>327</v>
      </c>
      <c r="E28" t="s">
        <v>237</v>
      </c>
      <c r="F28" t="n">
        <v>119.562469685637</v>
      </c>
      <c r="G28" t="n">
        <v>133.55382252119</v>
      </c>
      <c r="H28" t="n">
        <v>151.360998857349</v>
      </c>
      <c r="I28" t="n">
        <v>180.371856971674</v>
      </c>
      <c r="J28" t="n">
        <v>207.046568213963</v>
      </c>
      <c r="K28" t="n">
        <v>222.383351044627</v>
      </c>
      <c r="L28" t="n">
        <v>223.661416280516</v>
      </c>
      <c r="M28" t="n">
        <v>214.714959629295</v>
      </c>
      <c r="N28" t="n">
        <v>208.208445701135</v>
      </c>
      <c r="O28" t="n">
        <v>226.541264819474</v>
      </c>
      <c r="P28" t="n">
        <v>223.995857349592</v>
      </c>
      <c r="Q28" t="n">
        <v>225.268561084533</v>
      </c>
      <c r="R28" t="n">
        <v>214.189779391851</v>
      </c>
      <c r="S28" t="n">
        <v>203.236892945677</v>
      </c>
      <c r="T28" t="n">
        <v>235.941680316246</v>
      </c>
      <c r="U28" t="n">
        <v>218.677654927252</v>
      </c>
      <c r="V28" t="n">
        <v>214.098018174849</v>
      </c>
      <c r="W28" t="n">
        <v>218.605344873267</v>
      </c>
      <c r="X28" t="n">
        <v>205.489024180871</v>
      </c>
      <c r="Y28" t="n">
        <v>209.79245924225</v>
      </c>
      <c r="Z28" t="n">
        <v>212.971132867133</v>
      </c>
      <c r="AA28" t="n">
        <v>226.609678321678</v>
      </c>
      <c r="AB28" t="n">
        <v>253.886769230769</v>
      </c>
      <c r="AC28" t="n">
        <v>269.430857142857</v>
      </c>
      <c r="AD28" t="n">
        <v>285.76</v>
      </c>
      <c r="AE28" t="n">
        <v>304</v>
      </c>
      <c r="AF28" t="n">
        <v>302</v>
      </c>
    </row>
    <row r="29">
      <c r="A29" t="s">
        <v>143</v>
      </c>
      <c r="B29" t="s">
        <v>328</v>
      </c>
      <c r="C29" t="s">
        <v>236</v>
      </c>
      <c r="D29" t="s">
        <v>329</v>
      </c>
      <c r="E29" t="s">
        <v>237</v>
      </c>
      <c r="F29" t="n">
        <v>24.3687804484487</v>
      </c>
      <c r="G29" t="n">
        <v>22.9353227750105</v>
      </c>
      <c r="H29" t="n">
        <v>25.8022381218869</v>
      </c>
      <c r="I29" t="n">
        <v>24.444225589156</v>
      </c>
      <c r="J29" t="n">
        <v>24.444225589156</v>
      </c>
      <c r="K29" t="n">
        <v>25.8022381218869</v>
      </c>
      <c r="L29" t="n">
        <v>29.8762757200795</v>
      </c>
      <c r="M29" t="n">
        <v>32.5923007855413</v>
      </c>
      <c r="N29" t="n">
        <v>32.5923007855413</v>
      </c>
      <c r="O29" t="n">
        <v>38.2605270091137</v>
      </c>
      <c r="P29" t="n">
        <v>36.8434704532206</v>
      </c>
      <c r="Q29" t="n">
        <v>41.0946401208999</v>
      </c>
      <c r="R29" t="n">
        <v>43.7459072254741</v>
      </c>
      <c r="S29" t="n">
        <v>37.1177394640386</v>
      </c>
      <c r="T29" t="n">
        <v>64.3374150710003</v>
      </c>
      <c r="U29" t="n">
        <v>57.0539341195663</v>
      </c>
      <c r="V29" t="n">
        <v>42.7904505896747</v>
      </c>
      <c r="W29" t="n">
        <v>34.6949599375741</v>
      </c>
      <c r="X29" t="n">
        <v>30.218190913371</v>
      </c>
      <c r="Y29" t="n">
        <v>38.8519597457627</v>
      </c>
      <c r="Z29" t="n">
        <v>36.7518538135593</v>
      </c>
      <c r="AA29" t="n">
        <v>38.8519597457627</v>
      </c>
      <c r="AB29" t="n">
        <v>59.8530190677966</v>
      </c>
      <c r="AC29" t="n">
        <v>61.953125</v>
      </c>
      <c r="AD29" t="n">
        <v>65</v>
      </c>
      <c r="AE29" t="n">
        <v>65</v>
      </c>
      <c r="AF29" t="n">
        <v>59</v>
      </c>
    </row>
    <row r="30">
      <c r="A30" t="s">
        <v>143</v>
      </c>
      <c r="B30" t="s">
        <v>330</v>
      </c>
      <c r="C30" t="s">
        <v>236</v>
      </c>
      <c r="D30" t="s">
        <v>331</v>
      </c>
      <c r="E30" t="s">
        <v>237</v>
      </c>
      <c r="F30" t="n">
        <v>4.81481481481482</v>
      </c>
      <c r="G30" t="n">
        <v>4.81481481481482</v>
      </c>
      <c r="H30" t="n">
        <v>6.01851851851852</v>
      </c>
      <c r="I30" t="n">
        <v>6.01851851851852</v>
      </c>
      <c r="J30" t="n">
        <v>7.22222222222222</v>
      </c>
      <c r="K30" t="n">
        <v>8.42592592592593</v>
      </c>
      <c r="L30" t="n">
        <v>9.62962962962963</v>
      </c>
      <c r="M30" t="n">
        <v>10.8333333333333</v>
      </c>
      <c r="N30" t="n">
        <v>10.8333333333333</v>
      </c>
      <c r="O30" t="n">
        <v>10.8333333333333</v>
      </c>
      <c r="P30" t="n">
        <v>11.9166666666667</v>
      </c>
      <c r="Q30" t="n">
        <v>11.9166666666667</v>
      </c>
      <c r="R30" t="n">
        <v>11.9166666666667</v>
      </c>
      <c r="S30" t="n">
        <v>13</v>
      </c>
      <c r="T30" t="n">
        <v>13</v>
      </c>
      <c r="U30" t="n">
        <v>13</v>
      </c>
      <c r="V30" t="n">
        <v>11</v>
      </c>
      <c r="W30" t="n">
        <v>10</v>
      </c>
      <c r="X30" t="n">
        <v>9</v>
      </c>
      <c r="Y30" t="n">
        <v>9</v>
      </c>
      <c r="Z30" t="n">
        <v>10</v>
      </c>
      <c r="AA30" t="n">
        <v>10</v>
      </c>
      <c r="AB30" t="n">
        <v>10</v>
      </c>
      <c r="AC30" t="n">
        <v>11</v>
      </c>
      <c r="AD30" t="n">
        <v>10</v>
      </c>
      <c r="AE30" t="n">
        <v>10</v>
      </c>
      <c r="AF30" t="n">
        <v>9</v>
      </c>
    </row>
    <row r="31">
      <c r="A31" t="s">
        <v>143</v>
      </c>
      <c r="B31" t="s">
        <v>332</v>
      </c>
      <c r="C31" t="s">
        <v>236</v>
      </c>
      <c r="D31" t="s">
        <v>333</v>
      </c>
      <c r="E31" t="s">
        <v>237</v>
      </c>
      <c r="F31" t="n">
        <v>34.3309959986187</v>
      </c>
      <c r="G31" t="n">
        <v>34.3309959986187</v>
      </c>
      <c r="H31" t="n">
        <v>35.5571029985694</v>
      </c>
      <c r="I31" t="n">
        <v>41.6876379983227</v>
      </c>
      <c r="J31" t="n">
        <v>47.818172998076</v>
      </c>
      <c r="K31" t="n">
        <v>53.9487079978294</v>
      </c>
      <c r="L31" t="n">
        <v>60.0792429975827</v>
      </c>
      <c r="M31" t="n">
        <v>63.7575639974347</v>
      </c>
      <c r="N31" t="n">
        <v>65.0077123111099</v>
      </c>
      <c r="O31" t="n">
        <v>81.2596403888874</v>
      </c>
      <c r="P31" t="n">
        <v>81.2596403888874</v>
      </c>
      <c r="Q31" t="n">
        <v>78.8339794817564</v>
      </c>
      <c r="R31" t="n">
        <v>71.7742201251812</v>
      </c>
      <c r="S31" t="n">
        <v>62.5130304316094</v>
      </c>
      <c r="T31" t="n">
        <v>56.9315098573586</v>
      </c>
      <c r="U31" t="n">
        <v>45.9831425770973</v>
      </c>
      <c r="V31" t="n">
        <v>40.5089589369667</v>
      </c>
      <c r="W31" t="n">
        <v>39.4141222089406</v>
      </c>
      <c r="X31" t="n">
        <v>38.348875662753</v>
      </c>
      <c r="Y31" t="n">
        <v>36.2183825703778</v>
      </c>
      <c r="Z31" t="n">
        <v>46.8708480322536</v>
      </c>
      <c r="AA31" t="n">
        <v>62.4944640430048</v>
      </c>
      <c r="AB31" t="n">
        <v>65.6191872451551</v>
      </c>
      <c r="AC31" t="n">
        <v>76.0349312523226</v>
      </c>
      <c r="AD31" t="n">
        <v>80.1449275362319</v>
      </c>
      <c r="AE31" t="n">
        <v>70</v>
      </c>
      <c r="AF31" t="n">
        <v>60</v>
      </c>
    </row>
    <row r="32">
      <c r="A32" t="s">
        <v>143</v>
      </c>
      <c r="B32" t="s">
        <v>334</v>
      </c>
      <c r="C32" t="s">
        <v>236</v>
      </c>
      <c r="D32" t="s">
        <v>335</v>
      </c>
      <c r="E32" t="s">
        <v>237</v>
      </c>
      <c r="F32" t="n">
        <v>20.2018835400119</v>
      </c>
      <c r="G32" t="n">
        <v>20.2018835400119</v>
      </c>
      <c r="H32" t="n">
        <v>18.9392658187611</v>
      </c>
      <c r="I32" t="n">
        <v>25.2523544250148</v>
      </c>
      <c r="J32" t="n">
        <v>29.0402075887671</v>
      </c>
      <c r="K32" t="n">
        <v>35.3532961950208</v>
      </c>
      <c r="L32" t="n">
        <v>37.8785316375223</v>
      </c>
      <c r="M32" t="n">
        <v>41.6663848012745</v>
      </c>
      <c r="N32" t="n">
        <v>40.4037670800237</v>
      </c>
      <c r="O32" t="n">
        <v>42.9290025225252</v>
      </c>
      <c r="P32" t="n">
        <v>44.1555454517402</v>
      </c>
      <c r="Q32" t="n">
        <v>45.3820883809552</v>
      </c>
      <c r="R32" t="n">
        <v>44.1878228972459</v>
      </c>
      <c r="S32" t="n">
        <v>47.7706193483739</v>
      </c>
      <c r="T32" t="n">
        <v>55.9265787493158</v>
      </c>
      <c r="U32" t="n">
        <v>54.7852199993298</v>
      </c>
      <c r="V32" t="n">
        <v>68.4815249991622</v>
      </c>
      <c r="W32" t="n">
        <v>70.7268209007741</v>
      </c>
      <c r="X32" t="n">
        <v>62.1538729128015</v>
      </c>
      <c r="Y32" t="n">
        <v>58.9935064935065</v>
      </c>
      <c r="Z32" t="n">
        <v>56.9235588972431</v>
      </c>
      <c r="AA32" t="n">
        <v>64.168375484165</v>
      </c>
      <c r="AB32" t="n">
        <v>79.6929824561404</v>
      </c>
      <c r="AC32" t="n">
        <v>78.6842105263158</v>
      </c>
      <c r="AD32" t="n">
        <v>92.8070175438597</v>
      </c>
      <c r="AE32" t="n">
        <v>115</v>
      </c>
      <c r="AF32" t="n">
        <v>119</v>
      </c>
    </row>
    <row r="33">
      <c r="A33" t="s">
        <v>143</v>
      </c>
      <c r="B33" t="s">
        <v>336</v>
      </c>
      <c r="C33" t="s">
        <v>236</v>
      </c>
      <c r="D33" t="s">
        <v>337</v>
      </c>
      <c r="E33" t="s">
        <v>237</v>
      </c>
      <c r="F33" t="n">
        <v>36.8345298009583</v>
      </c>
      <c r="G33" t="n">
        <v>52.0764042013548</v>
      </c>
      <c r="H33" t="n">
        <v>66.0481224017183</v>
      </c>
      <c r="I33" t="n">
        <v>83.830309202181</v>
      </c>
      <c r="J33" t="n">
        <v>99.3066739779682</v>
      </c>
      <c r="K33" t="n">
        <v>99.3066739779682</v>
      </c>
      <c r="L33" t="n">
        <v>86.2400063492882</v>
      </c>
      <c r="M33" t="n">
        <v>65.3333381434002</v>
      </c>
      <c r="N33" t="n">
        <v>58.6666709859103</v>
      </c>
      <c r="O33" t="n">
        <v>51.8449650573161</v>
      </c>
      <c r="P33" t="n">
        <v>47.856890822138</v>
      </c>
      <c r="Q33" t="n">
        <v>46.5275327437452</v>
      </c>
      <c r="R33" t="n">
        <v>41.3578068833291</v>
      </c>
      <c r="S33" t="n">
        <v>41.3578068833291</v>
      </c>
      <c r="T33" t="n">
        <v>46.2234312225443</v>
      </c>
      <c r="U33" t="n">
        <v>48.6562433921519</v>
      </c>
      <c r="V33" t="n">
        <v>52.3054616465633</v>
      </c>
      <c r="W33" t="n">
        <v>65.3818270582041</v>
      </c>
      <c r="X33" t="n">
        <v>67.7168923102828</v>
      </c>
      <c r="Y33" t="n">
        <v>68.8646362477452</v>
      </c>
      <c r="Z33" t="n">
        <v>64.3489223954341</v>
      </c>
      <c r="AA33" t="n">
        <v>52.1448164238862</v>
      </c>
      <c r="AB33" t="n">
        <v>38.8312462731067</v>
      </c>
      <c r="AC33" t="n">
        <v>42.0671834625323</v>
      </c>
      <c r="AD33" t="n">
        <v>37.8604651162791</v>
      </c>
      <c r="AE33" t="n">
        <v>44</v>
      </c>
      <c r="AF33" t="n">
        <v>55</v>
      </c>
    </row>
    <row r="34">
      <c r="A34" t="s">
        <v>143</v>
      </c>
      <c r="B34" t="s">
        <v>338</v>
      </c>
      <c r="C34" t="s">
        <v>236</v>
      </c>
      <c r="D34" t="s">
        <v>339</v>
      </c>
      <c r="E34" t="s">
        <v>237</v>
      </c>
      <c r="F34" t="n">
        <v>7.44166592891189</v>
      </c>
      <c r="G34" t="n">
        <v>6.37857079621019</v>
      </c>
      <c r="H34" t="n">
        <v>7.44166592891189</v>
      </c>
      <c r="I34" t="n">
        <v>8.50476106161359</v>
      </c>
      <c r="J34" t="n">
        <v>9.56785619431529</v>
      </c>
      <c r="K34" t="n">
        <v>12.7571415924204</v>
      </c>
      <c r="L34" t="n">
        <v>13.8202367251221</v>
      </c>
      <c r="M34" t="n">
        <v>14.8833318578238</v>
      </c>
      <c r="N34" t="n">
        <v>18.0726172559289</v>
      </c>
      <c r="O34" t="n">
        <v>20.4822995567194</v>
      </c>
      <c r="P34" t="n">
        <v>20.4822995567194</v>
      </c>
      <c r="Q34" t="n">
        <v>20.4822995567194</v>
      </c>
      <c r="R34" t="n">
        <v>22.8919818575099</v>
      </c>
      <c r="S34" t="n">
        <v>26.3257791361364</v>
      </c>
      <c r="T34" t="n">
        <v>30.9041755076384</v>
      </c>
      <c r="U34" t="n">
        <v>37.7717700648913</v>
      </c>
      <c r="V34" t="n">
        <v>41.2055673435178</v>
      </c>
      <c r="W34" t="n">
        <v>44.6393646221443</v>
      </c>
      <c r="X34" t="n">
        <v>45.7553487376979</v>
      </c>
      <c r="Y34" t="n">
        <v>43.6271929824561</v>
      </c>
      <c r="Z34" t="n">
        <v>43.6271929824561</v>
      </c>
      <c r="AA34" t="n">
        <v>46.7434210526316</v>
      </c>
      <c r="AB34" t="n">
        <v>48.8209064327485</v>
      </c>
      <c r="AC34" t="n">
        <v>49.859649122807</v>
      </c>
      <c r="AD34" t="n">
        <v>58</v>
      </c>
      <c r="AE34" t="n">
        <v>57</v>
      </c>
      <c r="AF34" t="n">
        <v>59</v>
      </c>
    </row>
    <row r="35">
      <c r="A35" t="s">
        <v>143</v>
      </c>
      <c r="B35" t="s">
        <v>340</v>
      </c>
      <c r="C35" t="s">
        <v>236</v>
      </c>
      <c r="D35" t="s">
        <v>341</v>
      </c>
      <c r="E35" t="s">
        <v>237</v>
      </c>
      <c r="F35" t="n">
        <v>335.546338910541</v>
      </c>
      <c r="G35" t="n">
        <v>354.998300586514</v>
      </c>
      <c r="H35" t="n">
        <v>375.737032923183</v>
      </c>
      <c r="I35" t="n">
        <v>431.853602775347</v>
      </c>
      <c r="J35" t="n">
        <v>502.58824460924</v>
      </c>
      <c r="K35" t="n">
        <v>589.5020011958</v>
      </c>
      <c r="L35" t="n">
        <v>675.156138121686</v>
      </c>
      <c r="M35" t="n">
        <v>708.214630760413</v>
      </c>
      <c r="N35" t="n">
        <v>822.150439731009</v>
      </c>
      <c r="O35" t="n">
        <v>801.035821696184</v>
      </c>
      <c r="P35" t="n">
        <v>907.166750753722</v>
      </c>
      <c r="Q35" t="n">
        <v>956.926952271859</v>
      </c>
      <c r="R35" t="n">
        <v>1040.99805402184</v>
      </c>
      <c r="S35" t="n">
        <v>1031.30307796576</v>
      </c>
      <c r="T35" t="n">
        <v>1032.47634654137</v>
      </c>
      <c r="U35" t="n">
        <v>1004.44531450858</v>
      </c>
      <c r="V35" t="n">
        <v>954.513350897168</v>
      </c>
      <c r="W35" t="n">
        <v>897.62936097481</v>
      </c>
      <c r="X35" t="n">
        <v>937.821720421443</v>
      </c>
      <c r="Y35" t="n">
        <v>994.858830903215</v>
      </c>
      <c r="Z35" t="n">
        <v>1044.44009441518</v>
      </c>
      <c r="AA35" t="n">
        <v>1096.50272374005</v>
      </c>
      <c r="AB35" t="n">
        <v>1117.54884127825</v>
      </c>
      <c r="AC35" t="n">
        <v>1268.28798731113</v>
      </c>
      <c r="AD35" t="n">
        <v>1366.87555555556</v>
      </c>
      <c r="AE35" t="n">
        <v>1374</v>
      </c>
      <c r="AF35" t="n">
        <v>1466</v>
      </c>
    </row>
    <row r="36">
      <c r="A36" t="s">
        <v>143</v>
      </c>
      <c r="B36" t="s">
        <v>342</v>
      </c>
      <c r="C36" t="s">
        <v>236</v>
      </c>
      <c r="D36" t="s">
        <v>343</v>
      </c>
      <c r="E36" t="s">
        <v>237</v>
      </c>
      <c r="F36" t="n">
        <v>60.4321614167337</v>
      </c>
      <c r="G36" t="n">
        <v>67.9861815938254</v>
      </c>
      <c r="H36" t="n">
        <v>69.245184956674</v>
      </c>
      <c r="I36" t="n">
        <v>75.5402017709171</v>
      </c>
      <c r="J36" t="n">
        <v>90.9043106056799</v>
      </c>
      <c r="K36" t="n">
        <v>98.6961086575953</v>
      </c>
      <c r="L36" t="n">
        <v>112.981071752774</v>
      </c>
      <c r="M36" t="n">
        <v>101.2933746749</v>
      </c>
      <c r="N36" t="n">
        <v>106.487906709511</v>
      </c>
      <c r="O36" t="n">
        <v>123.57855840363</v>
      </c>
      <c r="P36" t="n">
        <v>133.770604457537</v>
      </c>
      <c r="Q36" t="n">
        <v>131.22259294406</v>
      </c>
      <c r="R36" t="n">
        <v>159.695419714942</v>
      </c>
      <c r="S36" t="n">
        <v>162.11504728638</v>
      </c>
      <c r="T36" t="n">
        <v>190.308968553577</v>
      </c>
      <c r="U36" t="n">
        <v>210.279662784507</v>
      </c>
      <c r="V36" t="n">
        <v>217.288984877324</v>
      </c>
      <c r="W36" t="n">
        <v>229.868873475485</v>
      </c>
      <c r="X36" t="n">
        <v>224.234832458929</v>
      </c>
      <c r="Y36" t="n">
        <v>222.0146856029</v>
      </c>
      <c r="Z36" t="n">
        <v>225.295690808854</v>
      </c>
      <c r="AA36" t="n">
        <v>233.878383792049</v>
      </c>
      <c r="AB36" t="n">
        <v>231.752216666667</v>
      </c>
      <c r="AC36" t="n">
        <v>251.676615384615</v>
      </c>
      <c r="AD36" t="n">
        <v>257.865384615385</v>
      </c>
      <c r="AE36" t="n">
        <v>265</v>
      </c>
      <c r="AF36" t="n">
        <v>282</v>
      </c>
    </row>
    <row r="37">
      <c r="A37" t="s">
        <v>143</v>
      </c>
      <c r="B37" t="s">
        <v>344</v>
      </c>
      <c r="C37" t="s">
        <v>236</v>
      </c>
      <c r="D37" t="s">
        <v>345</v>
      </c>
      <c r="E37" t="s">
        <v>237</v>
      </c>
      <c r="F37" t="n">
        <v>109.09188927286</v>
      </c>
      <c r="G37" t="n">
        <v>106.72032646258</v>
      </c>
      <c r="H37" t="n">
        <v>110.277670677999</v>
      </c>
      <c r="I37" t="n">
        <v>126.878610349956</v>
      </c>
      <c r="J37" t="n">
        <v>143.795758396617</v>
      </c>
      <c r="K37" t="n">
        <v>179.437442101762</v>
      </c>
      <c r="L37" t="n">
        <v>202.788890046512</v>
      </c>
      <c r="M37" t="n">
        <v>220.100136757799</v>
      </c>
      <c r="N37" t="n">
        <v>304.851338842699</v>
      </c>
      <c r="O37" t="n">
        <v>255.765106317179</v>
      </c>
      <c r="P37" t="n">
        <v>283.079826409305</v>
      </c>
      <c r="Q37" t="n">
        <v>284.37242835638</v>
      </c>
      <c r="R37" t="n">
        <v>310.564625704994</v>
      </c>
      <c r="S37" t="n">
        <v>257.988724502967</v>
      </c>
      <c r="T37" t="n">
        <v>254.438420954761</v>
      </c>
      <c r="U37" t="n">
        <v>236.769086166236</v>
      </c>
      <c r="V37" t="n">
        <v>193.400491175391</v>
      </c>
      <c r="W37" t="n">
        <v>165.935332665276</v>
      </c>
      <c r="X37" t="n">
        <v>161.450593944593</v>
      </c>
      <c r="Y37" t="n">
        <v>164.745504025095</v>
      </c>
      <c r="Z37" t="n">
        <v>164.745504025095</v>
      </c>
      <c r="AA37" t="n">
        <v>176.437120439779</v>
      </c>
      <c r="AB37" t="n">
        <v>203.742865269745</v>
      </c>
      <c r="AC37" t="n">
        <v>221.324736892007</v>
      </c>
      <c r="AD37" t="n">
        <v>217.226130653266</v>
      </c>
      <c r="AE37" t="n">
        <v>202</v>
      </c>
      <c r="AF37" t="n">
        <v>263</v>
      </c>
    </row>
    <row r="38">
      <c r="A38" t="s">
        <v>143</v>
      </c>
      <c r="B38" t="s">
        <v>346</v>
      </c>
      <c r="C38" t="s">
        <v>236</v>
      </c>
      <c r="D38" t="s">
        <v>347</v>
      </c>
      <c r="E38" t="s">
        <v>237</v>
      </c>
      <c r="F38" t="n">
        <v>166.718078190808</v>
      </c>
      <c r="G38" t="n">
        <v>181.428496854702</v>
      </c>
      <c r="H38" t="n">
        <v>197.473193855458</v>
      </c>
      <c r="I38" t="n">
        <v>230.796795318567</v>
      </c>
      <c r="J38" t="n">
        <v>269.681038008108</v>
      </c>
      <c r="K38" t="n">
        <v>312.931770518842</v>
      </c>
      <c r="L38" t="n">
        <v>361.270824501428</v>
      </c>
      <c r="M38" t="n">
        <v>388.366136339035</v>
      </c>
      <c r="N38" t="n">
        <v>410.746557755183</v>
      </c>
      <c r="O38" t="n">
        <v>422.827338865629</v>
      </c>
      <c r="P38" t="n">
        <v>491.808234027998</v>
      </c>
      <c r="Q38" t="n">
        <v>542.641126433992</v>
      </c>
      <c r="R38" t="n">
        <v>572.239733330392</v>
      </c>
      <c r="S38" t="n">
        <v>612.163435655768</v>
      </c>
      <c r="T38" t="n">
        <v>588.753744043693</v>
      </c>
      <c r="U38" t="n">
        <v>558.501575377416</v>
      </c>
      <c r="V38" t="n">
        <v>544.625759840089</v>
      </c>
      <c r="W38" t="n">
        <v>502.644190852415</v>
      </c>
      <c r="X38" t="n">
        <v>552.686201003651</v>
      </c>
      <c r="Y38" t="n">
        <v>608.391727191767</v>
      </c>
      <c r="Z38" t="n">
        <v>654.530782340349</v>
      </c>
      <c r="AA38" t="n">
        <v>686.304121288909</v>
      </c>
      <c r="AB38" t="n">
        <v>682.10654256543</v>
      </c>
      <c r="AC38" t="n">
        <v>795.271859368522</v>
      </c>
      <c r="AD38" t="n">
        <v>891.73063973064</v>
      </c>
      <c r="AE38" t="n">
        <v>907</v>
      </c>
      <c r="AF38" t="n">
        <v>921</v>
      </c>
    </row>
    <row r="39">
      <c r="A39" t="s">
        <v>143</v>
      </c>
      <c r="B39" t="s">
        <v>348</v>
      </c>
      <c r="C39" t="s">
        <v>236</v>
      </c>
      <c r="D39" t="s">
        <v>349</v>
      </c>
      <c r="E39" t="s">
        <v>237</v>
      </c>
      <c r="F39" t="n">
        <v>439.555252654943</v>
      </c>
      <c r="G39" t="n">
        <v>413.331785877233</v>
      </c>
      <c r="H39" t="n">
        <v>395.74319924416</v>
      </c>
      <c r="I39" t="n">
        <v>403.281164944048</v>
      </c>
      <c r="J39" t="n">
        <v>432.449299515473</v>
      </c>
      <c r="K39" t="n">
        <v>464.43519445005</v>
      </c>
      <c r="L39" t="n">
        <v>518.171497940138</v>
      </c>
      <c r="M39" t="n">
        <v>525.905400894468</v>
      </c>
      <c r="N39" t="n">
        <v>589.849233757568</v>
      </c>
      <c r="O39" t="n">
        <v>661.587654079434</v>
      </c>
      <c r="P39" t="n">
        <v>703.735130111521</v>
      </c>
      <c r="Q39" t="n">
        <v>758.555076841223</v>
      </c>
      <c r="R39" t="n">
        <v>858.788292541287</v>
      </c>
      <c r="S39" t="n">
        <v>903.923472689054</v>
      </c>
      <c r="T39" t="n">
        <v>898.007743155748</v>
      </c>
      <c r="U39" t="n">
        <v>888.592196700642</v>
      </c>
      <c r="V39" t="n">
        <v>872.244902674612</v>
      </c>
      <c r="W39" t="n">
        <v>757.927091052775</v>
      </c>
      <c r="X39" t="n">
        <v>688.413067908882</v>
      </c>
      <c r="Y39" t="n">
        <v>724.58763994868</v>
      </c>
      <c r="Z39" t="n">
        <v>733.226538785624</v>
      </c>
      <c r="AA39" t="n">
        <v>741.740054475442</v>
      </c>
      <c r="AB39" t="n">
        <v>994.605982137525</v>
      </c>
      <c r="AC39" t="n">
        <v>871.84080861009</v>
      </c>
      <c r="AD39" t="n">
        <v>810.153958944281</v>
      </c>
      <c r="AE39" t="n">
        <v>695</v>
      </c>
      <c r="AF39" t="n">
        <v>607</v>
      </c>
    </row>
    <row r="40">
      <c r="A40" t="s">
        <v>143</v>
      </c>
      <c r="B40" t="s">
        <v>350</v>
      </c>
      <c r="C40" t="s">
        <v>236</v>
      </c>
      <c r="D40" t="s">
        <v>351</v>
      </c>
      <c r="E40" t="s">
        <v>237</v>
      </c>
      <c r="F40" t="n">
        <v>8.97664467675007</v>
      </c>
      <c r="G40" t="n">
        <v>8.97664467675007</v>
      </c>
      <c r="H40" t="n">
        <v>8.97664467675007</v>
      </c>
      <c r="I40" t="n">
        <v>8.97664467675007</v>
      </c>
      <c r="J40" t="n">
        <v>7.48053723062506</v>
      </c>
      <c r="K40" t="n">
        <v>7.48053723062506</v>
      </c>
      <c r="L40" t="n">
        <v>7.48053723062506</v>
      </c>
      <c r="M40" t="n">
        <v>8.97664467675007</v>
      </c>
      <c r="N40" t="n">
        <v>7.48053723062506</v>
      </c>
      <c r="O40" t="n">
        <v>5.98442978450005</v>
      </c>
      <c r="P40" t="n">
        <v>7.48053723062506</v>
      </c>
      <c r="Q40" t="n">
        <v>11.9688595690001</v>
      </c>
      <c r="R40" t="n">
        <v>11.9688595690001</v>
      </c>
      <c r="S40" t="n">
        <v>19.4493967996252</v>
      </c>
      <c r="T40" t="n">
        <v>27.7848525708931</v>
      </c>
      <c r="U40" t="n">
        <v>42.3388229651704</v>
      </c>
      <c r="V40" t="n">
        <v>41.0935634661948</v>
      </c>
      <c r="W40" t="n">
        <v>42.3021976857888</v>
      </c>
      <c r="X40" t="n">
        <v>45.7321056062581</v>
      </c>
      <c r="Y40" t="n">
        <v>55.7708604954368</v>
      </c>
      <c r="Z40" t="n">
        <v>57.9579530638853</v>
      </c>
      <c r="AA40" t="n">
        <v>56.864406779661</v>
      </c>
      <c r="AB40" t="n">
        <v>56.864406779661</v>
      </c>
      <c r="AC40" t="n">
        <v>62.0338983050847</v>
      </c>
      <c r="AD40" t="n">
        <v>57.9661016949152</v>
      </c>
      <c r="AE40" t="n">
        <v>60</v>
      </c>
      <c r="AF40" t="n">
        <v>66</v>
      </c>
    </row>
    <row r="41">
      <c r="A41" t="s">
        <v>143</v>
      </c>
      <c r="B41" t="s">
        <v>352</v>
      </c>
      <c r="C41" t="s">
        <v>236</v>
      </c>
      <c r="D41" t="s">
        <v>353</v>
      </c>
      <c r="E41" t="s">
        <v>237</v>
      </c>
      <c r="F41" t="e">
        <v>#NUM!</v>
      </c>
      <c r="G41" t="e">
        <v>#NUM!</v>
      </c>
      <c r="H41" t="e">
        <v>#NUM!</v>
      </c>
      <c r="I41" t="e">
        <v>#NUM!</v>
      </c>
      <c r="J41" t="e">
        <v>#NUM!</v>
      </c>
      <c r="K41" t="e">
        <v>#NUM!</v>
      </c>
      <c r="L41" t="e">
        <v>#NUM!</v>
      </c>
      <c r="M41" t="e">
        <v>#NUM!</v>
      </c>
      <c r="N41" t="e">
        <v>#NUM!</v>
      </c>
      <c r="O41" t="e">
        <v>#NUM!</v>
      </c>
      <c r="P41" t="e">
        <v>#NUM!</v>
      </c>
      <c r="Q41" t="e">
        <v>#NUM!</v>
      </c>
      <c r="R41" t="e">
        <v>#NUM!</v>
      </c>
      <c r="S41" t="e">
        <v>#NUM!</v>
      </c>
      <c r="T41" t="e">
        <v>#NUM!</v>
      </c>
      <c r="U41" t="e">
        <v>#NUM!</v>
      </c>
      <c r="V41" t="e">
        <v>#NUM!</v>
      </c>
      <c r="W41" t="e">
        <v>#NUM!</v>
      </c>
      <c r="X41" t="e">
        <v>#NUM!</v>
      </c>
      <c r="Y41" t="e">
        <v>#NUM!</v>
      </c>
      <c r="Z41" t="e">
        <v>#NUM!</v>
      </c>
      <c r="AA41" t="e">
        <v>#NUM!</v>
      </c>
      <c r="AB41" t="e">
        <v>#NUM!</v>
      </c>
      <c r="AC41" t="e">
        <v>#NUM!</v>
      </c>
      <c r="AD41" t="e">
        <v>#NUM!</v>
      </c>
      <c r="AE41" t="n">
        <v>0</v>
      </c>
      <c r="AF41" t="e">
        <v>#NUM!</v>
      </c>
    </row>
    <row r="42">
      <c r="A42" t="s">
        <v>143</v>
      </c>
      <c r="B42" t="s">
        <v>354</v>
      </c>
      <c r="C42" t="s">
        <v>236</v>
      </c>
      <c r="D42" t="s">
        <v>355</v>
      </c>
      <c r="E42" t="s">
        <v>237</v>
      </c>
      <c r="F42" t="n">
        <v>88.2223535292538</v>
      </c>
      <c r="G42" t="n">
        <v>86.9620341931216</v>
      </c>
      <c r="H42" t="n">
        <v>90.7429922015182</v>
      </c>
      <c r="I42" t="n">
        <v>104.606504898972</v>
      </c>
      <c r="J42" t="n">
        <v>124.771614277088</v>
      </c>
      <c r="K42" t="n">
        <v>150.235209027514</v>
      </c>
      <c r="L42" t="n">
        <v>169.332905090333</v>
      </c>
      <c r="M42" t="n">
        <v>182.259081051427</v>
      </c>
      <c r="N42" t="n">
        <v>207.352722645464</v>
      </c>
      <c r="O42" t="n">
        <v>218.054798652972</v>
      </c>
      <c r="P42" t="n">
        <v>245.150365349495</v>
      </c>
      <c r="Q42" t="n">
        <v>243.860100268708</v>
      </c>
      <c r="R42" t="n">
        <v>282.234024676475</v>
      </c>
      <c r="S42" t="n">
        <v>314.939255003792</v>
      </c>
      <c r="T42" t="n">
        <v>300.837497317055</v>
      </c>
      <c r="U42" t="n">
        <v>309.031514753706</v>
      </c>
      <c r="V42" t="n">
        <v>322.920571596569</v>
      </c>
      <c r="W42" t="n">
        <v>316.098305999458</v>
      </c>
      <c r="X42" t="n">
        <v>329.549297744116</v>
      </c>
      <c r="Y42" t="n">
        <v>343.974014480391</v>
      </c>
      <c r="Z42" t="n">
        <v>354.824929763684</v>
      </c>
      <c r="AA42" t="n">
        <v>355.890470093304</v>
      </c>
      <c r="AB42" t="n">
        <v>355.890470093304</v>
      </c>
      <c r="AC42" t="n">
        <v>345.453799416081</v>
      </c>
      <c r="AD42" t="n">
        <v>417.423340961098</v>
      </c>
      <c r="AE42" t="n">
        <v>446</v>
      </c>
      <c r="AF42" t="n">
        <v>488</v>
      </c>
    </row>
    <row r="43">
      <c r="A43" t="s">
        <v>143</v>
      </c>
      <c r="B43" t="s">
        <v>356</v>
      </c>
      <c r="C43" t="s">
        <v>236</v>
      </c>
      <c r="D43" t="s">
        <v>357</v>
      </c>
      <c r="E43" t="s">
        <v>237</v>
      </c>
      <c r="F43" t="n">
        <v>130.324918869066</v>
      </c>
      <c r="G43" t="n">
        <v>124.118970351491</v>
      </c>
      <c r="H43" t="n">
        <v>130.324918869066</v>
      </c>
      <c r="I43" t="n">
        <v>151.226085102784</v>
      </c>
      <c r="J43" t="n">
        <v>173.356731703192</v>
      </c>
      <c r="K43" t="n">
        <v>203.288829263455</v>
      </c>
      <c r="L43" t="n">
        <v>230.726585360363</v>
      </c>
      <c r="M43" t="n">
        <v>245.939327252255</v>
      </c>
      <c r="N43" t="n">
        <v>281.260400846994</v>
      </c>
      <c r="O43" t="n">
        <v>291.874000878956</v>
      </c>
      <c r="P43" t="n">
        <v>327.876080282528</v>
      </c>
      <c r="Q43" t="n">
        <v>334.305023033165</v>
      </c>
      <c r="R43" t="n">
        <v>375.31641991084</v>
      </c>
      <c r="S43" t="n">
        <v>414.31033366781</v>
      </c>
      <c r="T43" t="n">
        <v>407.207870804934</v>
      </c>
      <c r="U43" t="n">
        <v>422.507588494136</v>
      </c>
      <c r="V43" t="n">
        <v>439.966579754225</v>
      </c>
      <c r="W43" t="n">
        <v>447.94524829899</v>
      </c>
      <c r="X43" t="n">
        <v>467.030634817995</v>
      </c>
      <c r="Y43" t="n">
        <v>495.873381861387</v>
      </c>
      <c r="Z43" t="n">
        <v>505.681866337766</v>
      </c>
      <c r="AA43" t="n">
        <v>525.007287981247</v>
      </c>
      <c r="AB43" t="n">
        <v>541.90893105509</v>
      </c>
      <c r="AC43" t="n">
        <v>540.866798495369</v>
      </c>
      <c r="AD43" t="n">
        <v>635.467075038285</v>
      </c>
      <c r="AE43" t="n">
        <v>665</v>
      </c>
      <c r="AF43" t="n">
        <v>712</v>
      </c>
    </row>
    <row r="44">
      <c r="A44" t="s">
        <v>143</v>
      </c>
      <c r="B44" t="s">
        <v>358</v>
      </c>
      <c r="C44" t="s">
        <v>236</v>
      </c>
      <c r="D44" t="s">
        <v>359</v>
      </c>
      <c r="E44" t="s">
        <v>237</v>
      </c>
      <c r="F44" t="n">
        <v>1639.18671370679</v>
      </c>
      <c r="G44" t="n">
        <v>1661.47172945205</v>
      </c>
      <c r="H44" t="n">
        <v>1773.39722020855</v>
      </c>
      <c r="I44" t="n">
        <v>2056.34653176036</v>
      </c>
      <c r="J44" t="n">
        <v>2374.44154946264</v>
      </c>
      <c r="K44" t="n">
        <v>2732.63289194554</v>
      </c>
      <c r="L44" t="n">
        <v>3146.5147611749</v>
      </c>
      <c r="M44" t="n">
        <v>3304.03259415191</v>
      </c>
      <c r="N44" t="n">
        <v>3788.69352673256</v>
      </c>
      <c r="O44" t="n">
        <v>3965.06602902707</v>
      </c>
      <c r="P44" t="n">
        <v>4350.34593274849</v>
      </c>
      <c r="Q44" t="n">
        <v>4614.04186483603</v>
      </c>
      <c r="R44" t="n">
        <v>4880.52128804581</v>
      </c>
      <c r="S44" t="n">
        <v>5050.15211732248</v>
      </c>
      <c r="T44" t="n">
        <v>5162.89969947665</v>
      </c>
      <c r="U44" t="n">
        <v>5213.12700424532</v>
      </c>
      <c r="V44" t="n">
        <v>5201.53197087288</v>
      </c>
      <c r="W44" t="n">
        <v>5159.51086106452</v>
      </c>
      <c r="X44" t="n">
        <v>5155.0572478914</v>
      </c>
      <c r="Y44" t="n">
        <v>5353.16029712035</v>
      </c>
      <c r="Z44" t="n">
        <v>5380.0551941115</v>
      </c>
      <c r="AA44" t="n">
        <v>5404.47138777065</v>
      </c>
      <c r="AB44" t="n">
        <v>5792.00538351247</v>
      </c>
      <c r="AC44" t="n">
        <v>5951.79915439403</v>
      </c>
      <c r="AD44" t="n">
        <v>6213.2927423283</v>
      </c>
      <c r="AE44" t="n">
        <v>6258</v>
      </c>
      <c r="AF44" t="n">
        <v>6402</v>
      </c>
    </row>
    <row r="45">
      <c r="A45" t="s">
        <v>143</v>
      </c>
      <c r="B45" t="s">
        <v>360</v>
      </c>
      <c r="C45" t="s">
        <v>236</v>
      </c>
      <c r="D45" t="s">
        <v>361</v>
      </c>
      <c r="E45" t="s">
        <v>237</v>
      </c>
      <c r="F45" t="n">
        <v>1636.21910484765</v>
      </c>
      <c r="G45" t="n">
        <v>1658.51429325586</v>
      </c>
      <c r="H45" t="n">
        <v>1770.49200247794</v>
      </c>
      <c r="I45" t="n">
        <v>2053.57207019531</v>
      </c>
      <c r="J45" t="n">
        <v>2370.5664166013</v>
      </c>
      <c r="K45" t="n">
        <v>2727.67097294829</v>
      </c>
      <c r="L45" t="n">
        <v>3141.76029892512</v>
      </c>
      <c r="M45" t="n">
        <v>3299.36083594298</v>
      </c>
      <c r="N45" t="n">
        <v>3782.98899482676</v>
      </c>
      <c r="O45" t="n">
        <v>3959.46655929956</v>
      </c>
      <c r="P45" t="n">
        <v>4343.67011647208</v>
      </c>
      <c r="Q45" t="n">
        <v>4604.95309002748</v>
      </c>
      <c r="R45" t="n">
        <v>4871.54914133971</v>
      </c>
      <c r="S45" t="n">
        <v>5041.24729505644</v>
      </c>
      <c r="T45" t="n">
        <v>5152.85729110174</v>
      </c>
      <c r="U45" t="n">
        <v>5201.93212244556</v>
      </c>
      <c r="V45" t="n">
        <v>5190.33361158169</v>
      </c>
      <c r="W45" t="n">
        <v>5149.4380086014</v>
      </c>
      <c r="X45" t="n">
        <v>5143.86984466477</v>
      </c>
      <c r="Y45" t="n">
        <v>5343.10038557326</v>
      </c>
      <c r="Z45" t="n">
        <v>5369.99879669676</v>
      </c>
      <c r="AA45" t="n">
        <v>5394.41753381104</v>
      </c>
      <c r="AB45" t="n">
        <v>5781.98374681265</v>
      </c>
      <c r="AC45" t="n">
        <v>5941.78731770446</v>
      </c>
      <c r="AD45" t="n">
        <v>6203.2915921288</v>
      </c>
      <c r="AE45" t="n">
        <v>6248</v>
      </c>
      <c r="AF45" t="n">
        <v>6392</v>
      </c>
    </row>
    <row r="46">
      <c r="A46" t="s">
        <v>143</v>
      </c>
      <c r="B46" t="s">
        <v>362</v>
      </c>
      <c r="C46" t="s">
        <v>236</v>
      </c>
      <c r="D46" t="s">
        <v>363</v>
      </c>
      <c r="E46" t="s">
        <v>237</v>
      </c>
      <c r="F46" t="n">
        <v>41.3580760622172</v>
      </c>
      <c r="G46" t="n">
        <v>36.6314387979638</v>
      </c>
      <c r="H46" t="n">
        <v>38.9947574300905</v>
      </c>
      <c r="I46" t="n">
        <v>45.8761852118711</v>
      </c>
      <c r="J46" t="n">
        <v>48.1699944724647</v>
      </c>
      <c r="K46" t="n">
        <v>52.8695061283149</v>
      </c>
      <c r="L46" t="n">
        <v>61.0936515260528</v>
      </c>
      <c r="M46" t="n">
        <v>63.4894809976627</v>
      </c>
      <c r="N46" t="n">
        <v>73.6477979572887</v>
      </c>
      <c r="O46" t="n">
        <v>73.6477979572887</v>
      </c>
      <c r="P46" t="n">
        <v>82.5363252969615</v>
      </c>
      <c r="Q46" t="n">
        <v>90.155063016681</v>
      </c>
      <c r="R46" t="n">
        <v>92.6593703226999</v>
      </c>
      <c r="S46" t="n">
        <v>98.8366616775465</v>
      </c>
      <c r="T46" t="n">
        <v>106.068612532001</v>
      </c>
      <c r="U46" t="n">
        <v>113.219305511687</v>
      </c>
      <c r="V46" t="n">
        <v>116.757408808927</v>
      </c>
      <c r="W46" t="n">
        <v>131.638255029672</v>
      </c>
      <c r="X46" t="n">
        <v>137.263821483932</v>
      </c>
      <c r="Y46" t="n">
        <v>151.654383413699</v>
      </c>
      <c r="Z46" t="n">
        <v>150.555438606353</v>
      </c>
      <c r="AA46" t="n">
        <v>169.102123072353</v>
      </c>
      <c r="AB46" t="n">
        <v>186.012335379589</v>
      </c>
      <c r="AC46" t="n">
        <v>195.364910901468</v>
      </c>
      <c r="AD46" t="n">
        <v>217.986111111111</v>
      </c>
      <c r="AE46" t="n">
        <v>219</v>
      </c>
      <c r="AF46" t="n">
        <v>224</v>
      </c>
    </row>
    <row r="47">
      <c r="A47" t="s">
        <v>143</v>
      </c>
      <c r="B47" t="s">
        <v>364</v>
      </c>
      <c r="C47" t="s">
        <v>236</v>
      </c>
      <c r="D47" t="s">
        <v>365</v>
      </c>
      <c r="E47" t="s">
        <v>237</v>
      </c>
      <c r="F47" t="n">
        <v>110.209417429485</v>
      </c>
      <c r="G47" t="n">
        <v>117.475972424836</v>
      </c>
      <c r="H47" t="n">
        <v>122.320342421736</v>
      </c>
      <c r="I47" t="n">
        <v>135.642359913212</v>
      </c>
      <c r="J47" t="n">
        <v>149.084395580287</v>
      </c>
      <c r="K47" t="n">
        <v>171.262239550909</v>
      </c>
      <c r="L47" t="n">
        <v>213.153722606526</v>
      </c>
      <c r="M47" t="n">
        <v>239.330495558205</v>
      </c>
      <c r="N47" t="n">
        <v>283.650957698613</v>
      </c>
      <c r="O47" t="n">
        <v>314.594698538462</v>
      </c>
      <c r="P47" t="n">
        <v>335.733472748556</v>
      </c>
      <c r="Q47" t="n">
        <v>335.733472748556</v>
      </c>
      <c r="R47" t="n">
        <v>330.850076781305</v>
      </c>
      <c r="S47" t="n">
        <v>339.241201917062</v>
      </c>
      <c r="T47" t="n">
        <v>340.402986855135</v>
      </c>
      <c r="U47" t="n">
        <v>363.559652627593</v>
      </c>
      <c r="V47" t="n">
        <v>379.666725845271</v>
      </c>
      <c r="W47" t="n">
        <v>372.886962883748</v>
      </c>
      <c r="X47" t="n">
        <v>362.898919235076</v>
      </c>
      <c r="Y47" t="n">
        <v>357.449986513829</v>
      </c>
      <c r="Z47" t="n">
        <v>381.065300938166</v>
      </c>
      <c r="AA47" t="n">
        <v>403.356028848198</v>
      </c>
      <c r="AB47" t="n">
        <v>403.356028848198</v>
      </c>
      <c r="AC47" t="n">
        <v>425.019651880966</v>
      </c>
      <c r="AD47" t="n">
        <v>436.204379562044</v>
      </c>
      <c r="AE47" t="n">
        <v>415</v>
      </c>
      <c r="AF47" t="n">
        <v>384</v>
      </c>
    </row>
    <row r="48">
      <c r="A48" t="s">
        <v>143</v>
      </c>
      <c r="B48" t="s">
        <v>366</v>
      </c>
      <c r="C48" t="s">
        <v>236</v>
      </c>
      <c r="D48" t="s">
        <v>367</v>
      </c>
      <c r="E48" t="s">
        <v>237</v>
      </c>
      <c r="F48" t="n">
        <v>177.46740685087</v>
      </c>
      <c r="G48" t="n">
        <v>187.395653387982</v>
      </c>
      <c r="H48" t="n">
        <v>194.841838290815</v>
      </c>
      <c r="I48" t="n">
        <v>223.385547085011</v>
      </c>
      <c r="J48" t="n">
        <v>248.344826088923</v>
      </c>
      <c r="K48" t="n">
        <v>282.38193423309</v>
      </c>
      <c r="L48" t="n">
        <v>332.807279631857</v>
      </c>
      <c r="M48" t="n">
        <v>377.266267368937</v>
      </c>
      <c r="N48" t="n">
        <v>427.654570202459</v>
      </c>
      <c r="O48" t="n">
        <v>459.138342241904</v>
      </c>
      <c r="P48" t="n">
        <v>485.700064520361</v>
      </c>
      <c r="Q48" t="n">
        <v>501.037961294688</v>
      </c>
      <c r="R48" t="n">
        <v>498.56979399767</v>
      </c>
      <c r="S48" t="n">
        <v>505.830519152976</v>
      </c>
      <c r="T48" t="n">
        <v>499.975999255372</v>
      </c>
      <c r="U48" t="n">
        <v>537.270246286076</v>
      </c>
      <c r="V48" t="n">
        <v>555.836820671772</v>
      </c>
      <c r="W48" t="n">
        <v>570.674353872456</v>
      </c>
      <c r="X48" t="n">
        <v>581.864047085641</v>
      </c>
      <c r="Y48" t="n">
        <v>601.6254675527</v>
      </c>
      <c r="Z48" t="n">
        <v>615.616757495786</v>
      </c>
      <c r="AA48" t="n">
        <v>665.675559575894</v>
      </c>
      <c r="AB48" t="n">
        <v>698.327367086736</v>
      </c>
      <c r="AC48" t="n">
        <v>745.91708395487</v>
      </c>
      <c r="AD48" t="n">
        <v>788.774153074028</v>
      </c>
      <c r="AE48" t="n">
        <v>807</v>
      </c>
      <c r="AF48" t="n">
        <v>812</v>
      </c>
    </row>
    <row r="49">
      <c r="A49" t="s">
        <v>143</v>
      </c>
      <c r="B49" t="s">
        <v>368</v>
      </c>
      <c r="C49" t="s">
        <v>236</v>
      </c>
      <c r="D49" t="s">
        <v>369</v>
      </c>
      <c r="E49" t="s">
        <v>237</v>
      </c>
      <c r="F49" t="n">
        <v>33.7935017189054</v>
      </c>
      <c r="G49" t="n">
        <v>35.1452417876616</v>
      </c>
      <c r="H49" t="n">
        <v>36.4969818564178</v>
      </c>
      <c r="I49" t="n">
        <v>44.6074222689551</v>
      </c>
      <c r="J49" t="n">
        <v>51.3661226127361</v>
      </c>
      <c r="K49" t="n">
        <v>55.4213428190048</v>
      </c>
      <c r="L49" t="n">
        <v>56.773082887761</v>
      </c>
      <c r="M49" t="n">
        <v>68.9387435065669</v>
      </c>
      <c r="N49" t="n">
        <v>70.3175183766983</v>
      </c>
      <c r="O49" t="n">
        <v>67.5048176416303</v>
      </c>
      <c r="P49" t="n">
        <v>66.1271683020052</v>
      </c>
      <c r="Q49" t="n">
        <v>61.9942202831299</v>
      </c>
      <c r="R49" t="n">
        <v>54.2449427477387</v>
      </c>
      <c r="S49" t="n">
        <v>56.710621963545</v>
      </c>
      <c r="T49" t="n">
        <v>53.0907950297017</v>
      </c>
      <c r="U49" t="n">
        <v>57.9172309414927</v>
      </c>
      <c r="V49" t="n">
        <v>61.537057875336</v>
      </c>
      <c r="W49" t="n">
        <v>65.1568848091793</v>
      </c>
      <c r="X49" t="n">
        <v>66.3204006093432</v>
      </c>
      <c r="Y49" t="n">
        <v>77.7549524385403</v>
      </c>
      <c r="Z49" t="n">
        <v>82.1355131393031</v>
      </c>
      <c r="AA49" t="n">
        <v>98.3464696799551</v>
      </c>
      <c r="AB49" t="n">
        <v>111.174270072993</v>
      </c>
      <c r="AC49" t="n">
        <v>117.467153284672</v>
      </c>
      <c r="AD49" t="n">
        <v>123.649635036496</v>
      </c>
      <c r="AE49" t="n">
        <v>140</v>
      </c>
      <c r="AF49" t="n">
        <v>127</v>
      </c>
    </row>
    <row r="50">
      <c r="A50" t="s">
        <v>143</v>
      </c>
      <c r="B50" t="s">
        <v>370</v>
      </c>
      <c r="C50" t="s">
        <v>236</v>
      </c>
      <c r="D50" t="s">
        <v>371</v>
      </c>
      <c r="E50" t="s">
        <v>237</v>
      </c>
      <c r="F50" t="n">
        <v>34.4145402216844</v>
      </c>
      <c r="G50" t="n">
        <v>35.6891528224875</v>
      </c>
      <c r="H50" t="n">
        <v>36.9637654232906</v>
      </c>
      <c r="I50" t="n">
        <v>44.6114410281094</v>
      </c>
      <c r="J50" t="n">
        <v>49.7098914313219</v>
      </c>
      <c r="K50" t="n">
        <v>57.5588216573201</v>
      </c>
      <c r="L50" t="n">
        <v>64.0995968456519</v>
      </c>
      <c r="M50" t="n">
        <v>70.6403720339837</v>
      </c>
      <c r="N50" t="n">
        <v>74.6388836585488</v>
      </c>
      <c r="O50" t="n">
        <v>77.3045580749256</v>
      </c>
      <c r="P50" t="n">
        <v>83.6409972613949</v>
      </c>
      <c r="Q50" t="n">
        <v>102.650314820803</v>
      </c>
      <c r="R50" t="n">
        <v>112.544321068591</v>
      </c>
      <c r="S50" t="n">
        <v>108.874397555485</v>
      </c>
      <c r="T50" t="n">
        <v>105.362320214985</v>
      </c>
      <c r="U50" t="n">
        <v>114.624941772347</v>
      </c>
      <c r="V50" t="n">
        <v>113.467114077677</v>
      </c>
      <c r="W50" t="n">
        <v>131.621852330105</v>
      </c>
      <c r="X50" t="n">
        <v>151.699762007578</v>
      </c>
      <c r="Y50" t="n">
        <v>165.887509533467</v>
      </c>
      <c r="Z50" t="n">
        <v>151.974363572596</v>
      </c>
      <c r="AA50" t="n">
        <v>163.664699232026</v>
      </c>
      <c r="AB50" t="n">
        <v>183.598220292337</v>
      </c>
      <c r="AC50" t="n">
        <v>203.19578313253</v>
      </c>
      <c r="AD50" t="n">
        <v>228.722891566265</v>
      </c>
      <c r="AE50" t="n">
        <v>252</v>
      </c>
      <c r="AF50" t="n">
        <v>301</v>
      </c>
    </row>
    <row r="51">
      <c r="A51" t="s">
        <v>143</v>
      </c>
      <c r="B51" t="s">
        <v>372</v>
      </c>
      <c r="C51" t="s">
        <v>236</v>
      </c>
      <c r="D51" t="s">
        <v>373</v>
      </c>
      <c r="E51" t="s">
        <v>237</v>
      </c>
      <c r="F51" t="n">
        <v>31.6608861552292</v>
      </c>
      <c r="G51" t="n">
        <v>32.9273216014384</v>
      </c>
      <c r="H51" t="n">
        <v>34.1937570476476</v>
      </c>
      <c r="I51" t="n">
        <v>40.5259342786934</v>
      </c>
      <c r="J51" t="n">
        <v>45.5916760635301</v>
      </c>
      <c r="K51" t="n">
        <v>52.1047726440344</v>
      </c>
      <c r="L51" t="n">
        <v>58.6178692245387</v>
      </c>
      <c r="M51" t="n">
        <v>65.130965805043</v>
      </c>
      <c r="N51" t="n">
        <v>69.1185759563721</v>
      </c>
      <c r="O51" t="n">
        <v>70.4477793401485</v>
      </c>
      <c r="P51" t="n">
        <v>77.9957556980216</v>
      </c>
      <c r="Q51" t="n">
        <v>98.1236926523497</v>
      </c>
      <c r="R51" t="n">
        <v>109.302341182364</v>
      </c>
      <c r="S51" t="n">
        <v>106.846108796244</v>
      </c>
      <c r="T51" t="n">
        <v>103.284571836369</v>
      </c>
      <c r="U51" t="n">
        <v>109.153013417981</v>
      </c>
      <c r="V51" t="n">
        <v>107.979325101658</v>
      </c>
      <c r="W51" t="n">
        <v>124.061352244459</v>
      </c>
      <c r="X51" t="n">
        <v>142.106639843653</v>
      </c>
      <c r="Y51" t="n">
        <v>156.427464013943</v>
      </c>
      <c r="Z51" t="n">
        <v>139.166502467577</v>
      </c>
      <c r="AA51" t="n">
        <v>149.871618042006</v>
      </c>
      <c r="AB51" t="n">
        <v>164.647693060232</v>
      </c>
      <c r="AC51" t="n">
        <v>183.287054538749</v>
      </c>
      <c r="AD51" t="n">
        <v>203.766055045872</v>
      </c>
      <c r="AE51" t="n">
        <v>221</v>
      </c>
      <c r="AF51" t="n">
        <v>262</v>
      </c>
    </row>
    <row r="52">
      <c r="A52" t="s">
        <v>143</v>
      </c>
      <c r="B52" t="s">
        <v>374</v>
      </c>
      <c r="C52" t="s">
        <v>236</v>
      </c>
      <c r="D52" t="s">
        <v>375</v>
      </c>
      <c r="E52" t="s">
        <v>237</v>
      </c>
      <c r="F52" t="n">
        <v>4</v>
      </c>
      <c r="G52" t="n">
        <v>4</v>
      </c>
      <c r="H52" t="n">
        <v>4</v>
      </c>
      <c r="I52" t="n">
        <v>6</v>
      </c>
      <c r="J52" t="n">
        <v>6</v>
      </c>
      <c r="K52" t="n">
        <v>8</v>
      </c>
      <c r="L52" t="n">
        <v>8</v>
      </c>
      <c r="M52" t="n">
        <v>8</v>
      </c>
      <c r="N52" t="n">
        <v>8</v>
      </c>
      <c r="O52" t="n">
        <v>10</v>
      </c>
      <c r="P52" t="n">
        <v>8</v>
      </c>
      <c r="Q52" t="n">
        <v>6</v>
      </c>
      <c r="R52" t="n">
        <v>4.5</v>
      </c>
      <c r="S52" t="n">
        <v>3</v>
      </c>
      <c r="T52" t="n">
        <v>3</v>
      </c>
      <c r="U52" t="n">
        <v>6</v>
      </c>
      <c r="V52" t="n">
        <v>6</v>
      </c>
      <c r="W52" t="n">
        <v>8</v>
      </c>
      <c r="X52" t="n">
        <v>10</v>
      </c>
      <c r="Y52" t="n">
        <v>10</v>
      </c>
      <c r="Z52" t="n">
        <v>13</v>
      </c>
      <c r="AA52" t="n">
        <v>14</v>
      </c>
      <c r="AB52" t="n">
        <v>19</v>
      </c>
      <c r="AC52" t="n">
        <v>20</v>
      </c>
      <c r="AD52" t="n">
        <v>25</v>
      </c>
      <c r="AE52" t="n">
        <v>31</v>
      </c>
      <c r="AF52" t="n">
        <v>39</v>
      </c>
    </row>
    <row r="53">
      <c r="A53" t="s">
        <v>143</v>
      </c>
      <c r="B53" t="s">
        <v>376</v>
      </c>
      <c r="C53" t="s">
        <v>236</v>
      </c>
      <c r="D53" t="s">
        <v>377</v>
      </c>
      <c r="E53" t="s">
        <v>237</v>
      </c>
      <c r="F53" t="n">
        <v>18.9395159229841</v>
      </c>
      <c r="G53" t="n">
        <v>18.9395159229841</v>
      </c>
      <c r="H53" t="n">
        <v>21.3069554133571</v>
      </c>
      <c r="I53" t="n">
        <v>23.6743949037301</v>
      </c>
      <c r="J53" t="n">
        <v>26.0418343941031</v>
      </c>
      <c r="K53" t="n">
        <v>30.7767133748491</v>
      </c>
      <c r="L53" t="n">
        <v>31.9604331200356</v>
      </c>
      <c r="M53" t="n">
        <v>33.1441528652221</v>
      </c>
      <c r="N53" t="n">
        <v>31.9604331200356</v>
      </c>
      <c r="O53" t="n">
        <v>35.5115923555951</v>
      </c>
      <c r="P53" t="n">
        <v>43.7976305719007</v>
      </c>
      <c r="Q53" t="n">
        <v>61.5534267496982</v>
      </c>
      <c r="R53" t="n">
        <v>62.7148121600699</v>
      </c>
      <c r="S53" t="n">
        <v>82.0993904640915</v>
      </c>
      <c r="T53" t="n">
        <v>73.2237806841897</v>
      </c>
      <c r="U53" t="n">
        <v>86.5371953540424</v>
      </c>
      <c r="V53" t="n">
        <v>75.4426831291652</v>
      </c>
      <c r="W53" t="n">
        <v>62.509651735594</v>
      </c>
      <c r="X53" t="n">
        <v>61.4501661129568</v>
      </c>
      <c r="Y53" t="n">
        <v>58.3255813953488</v>
      </c>
      <c r="Z53" t="n">
        <v>44</v>
      </c>
      <c r="AA53" t="n">
        <v>40</v>
      </c>
      <c r="AB53" t="n">
        <v>53</v>
      </c>
      <c r="AC53" t="n">
        <v>49</v>
      </c>
      <c r="AD53" t="n">
        <v>56</v>
      </c>
      <c r="AE53" t="n">
        <v>55</v>
      </c>
      <c r="AF53" t="n">
        <v>62</v>
      </c>
    </row>
    <row r="54">
      <c r="A54" t="s">
        <v>143</v>
      </c>
      <c r="B54" t="s">
        <v>378</v>
      </c>
      <c r="C54" t="s">
        <v>236</v>
      </c>
      <c r="D54" t="s">
        <v>379</v>
      </c>
      <c r="E54" t="s">
        <v>237</v>
      </c>
      <c r="F54" t="n">
        <v>32.9419784746897</v>
      </c>
      <c r="G54" t="n">
        <v>34.1184777059286</v>
      </c>
      <c r="H54" t="n">
        <v>38.9925459496327</v>
      </c>
      <c r="I54" t="n">
        <v>45.0851312542628</v>
      </c>
      <c r="J54" t="n">
        <v>49.9591994979669</v>
      </c>
      <c r="K54" t="n">
        <v>58.488818924449</v>
      </c>
      <c r="L54" t="n">
        <v>63.3628871681531</v>
      </c>
      <c r="M54" t="n">
        <v>72.0597540343702</v>
      </c>
      <c r="N54" t="n">
        <v>67.0901158251033</v>
      </c>
      <c r="O54" t="n">
        <v>65.8477062727866</v>
      </c>
      <c r="P54" t="n">
        <v>75.6029220169031</v>
      </c>
      <c r="Q54" t="n">
        <v>85.3581377610196</v>
      </c>
      <c r="R54" t="n">
        <v>90.0352959945002</v>
      </c>
      <c r="S54" t="n">
        <v>111.966970659827</v>
      </c>
      <c r="T54" t="n">
        <v>109.727631246631</v>
      </c>
      <c r="U54" t="n">
        <v>126.522676845605</v>
      </c>
      <c r="V54" t="n">
        <v>114.206310073024</v>
      </c>
      <c r="W54" t="n">
        <v>102.126796507608</v>
      </c>
      <c r="X54" t="n">
        <v>103.190617304562</v>
      </c>
      <c r="Y54" t="n">
        <v>102.137651821862</v>
      </c>
      <c r="Z54" t="n">
        <v>87.5465587044534</v>
      </c>
      <c r="AA54" t="n">
        <v>84.4566801619433</v>
      </c>
      <c r="AB54" t="n">
        <v>97.8461538461538</v>
      </c>
      <c r="AC54" t="n">
        <v>100.903846153846</v>
      </c>
      <c r="AD54" t="n">
        <v>115.173076923077</v>
      </c>
      <c r="AE54" t="n">
        <v>106</v>
      </c>
      <c r="AF54" t="n">
        <v>130</v>
      </c>
    </row>
    <row r="55">
      <c r="A55" t="s">
        <v>143</v>
      </c>
      <c r="B55" t="s">
        <v>380</v>
      </c>
      <c r="C55" t="s">
        <v>236</v>
      </c>
      <c r="D55" t="s">
        <v>381</v>
      </c>
      <c r="E55" t="s">
        <v>237</v>
      </c>
      <c r="F55" t="n">
        <v>14.4441353494015</v>
      </c>
      <c r="G55" t="n">
        <v>15.647813295185</v>
      </c>
      <c r="H55" t="n">
        <v>18.2557821777158</v>
      </c>
      <c r="I55" t="n">
        <v>22.1677355015121</v>
      </c>
      <c r="J55" t="n">
        <v>24.7757043840429</v>
      </c>
      <c r="K55" t="n">
        <v>28.6876577078391</v>
      </c>
      <c r="L55" t="n">
        <v>32.5996110316354</v>
      </c>
      <c r="M55" t="n">
        <v>40.7495137895442</v>
      </c>
      <c r="N55" t="n">
        <v>36.6745624105898</v>
      </c>
      <c r="O55" t="n">
        <v>31.2412939053172</v>
      </c>
      <c r="P55" t="n">
        <v>32.5430144847055</v>
      </c>
      <c r="Q55" t="n">
        <v>23.4309704289879</v>
      </c>
      <c r="R55" t="n">
        <v>26.9456159933361</v>
      </c>
      <c r="S55" t="n">
        <v>29.2887130362349</v>
      </c>
      <c r="T55" t="n">
        <v>36.0476468138276</v>
      </c>
      <c r="U55" t="n">
        <v>39.4271137026239</v>
      </c>
      <c r="V55" t="n">
        <v>38.3006247396918</v>
      </c>
      <c r="W55" t="n">
        <v>39.4271137026239</v>
      </c>
      <c r="X55" t="n">
        <v>41.5583090379009</v>
      </c>
      <c r="Y55" t="n">
        <v>43.6895043731778</v>
      </c>
      <c r="Z55" t="n">
        <v>43.6895043731778</v>
      </c>
      <c r="AA55" t="n">
        <v>44.7551020408163</v>
      </c>
      <c r="AB55" t="n">
        <v>44.7551020408163</v>
      </c>
      <c r="AC55" t="n">
        <v>52.0408163265306</v>
      </c>
      <c r="AD55" t="n">
        <v>59.3265306122449</v>
      </c>
      <c r="AE55" t="n">
        <v>51</v>
      </c>
      <c r="AF55" t="n">
        <v>68</v>
      </c>
    </row>
    <row r="56">
      <c r="A56" t="s">
        <v>143</v>
      </c>
      <c r="B56" t="s">
        <v>382</v>
      </c>
      <c r="C56" t="s">
        <v>236</v>
      </c>
      <c r="D56" t="s">
        <v>383</v>
      </c>
      <c r="E56" t="s">
        <v>237</v>
      </c>
      <c r="F56" t="e">
        <v>#NUM!</v>
      </c>
      <c r="G56" t="e">
        <v>#NUM!</v>
      </c>
      <c r="H56" t="e">
        <v>#NUM!</v>
      </c>
      <c r="I56" t="e">
        <v>#NUM!</v>
      </c>
      <c r="J56" t="e">
        <v>#NUM!</v>
      </c>
      <c r="K56" t="e">
        <v>#NUM!</v>
      </c>
      <c r="L56" t="e">
        <v>#NUM!</v>
      </c>
      <c r="M56" t="e">
        <v>#NUM!</v>
      </c>
      <c r="N56" t="e">
        <v>#NUM!</v>
      </c>
      <c r="O56" t="e">
        <v>#NUM!</v>
      </c>
      <c r="P56" t="e">
        <v>#NUM!</v>
      </c>
      <c r="Q56" t="e">
        <v>#NUM!</v>
      </c>
      <c r="R56" t="e">
        <v>#NUM!</v>
      </c>
      <c r="S56" t="e">
        <v>#NUM!</v>
      </c>
      <c r="T56" t="e">
        <v>#NUM!</v>
      </c>
      <c r="U56" t="e">
        <v>#NUM!</v>
      </c>
      <c r="V56" t="e">
        <v>#NUM!</v>
      </c>
      <c r="W56" t="e">
        <v>#NUM!</v>
      </c>
      <c r="X56" t="e">
        <v>#NUM!</v>
      </c>
      <c r="Y56" t="e">
        <v>#NUM!</v>
      </c>
      <c r="Z56" t="e">
        <v>#NUM!</v>
      </c>
      <c r="AA56" t="e">
        <v>#NUM!</v>
      </c>
      <c r="AB56" t="e">
        <v>#NUM!</v>
      </c>
      <c r="AC56" t="e">
        <v>#NUM!</v>
      </c>
      <c r="AD56" t="e">
        <v>#NUM!</v>
      </c>
      <c r="AE56" t="n">
        <v>0</v>
      </c>
      <c r="AF56" t="e">
        <v>#NUM!</v>
      </c>
    </row>
    <row r="57">
      <c r="A57" t="s">
        <v>143</v>
      </c>
      <c r="B57" t="s">
        <v>384</v>
      </c>
      <c r="C57" t="s">
        <v>236</v>
      </c>
      <c r="D57" t="s">
        <v>385</v>
      </c>
      <c r="E57" t="s">
        <v>237</v>
      </c>
      <c r="F57" t="n">
        <v>1826.24853570861</v>
      </c>
      <c r="G57" t="n">
        <v>1858.48374407821</v>
      </c>
      <c r="H57" t="n">
        <v>1977.98437330226</v>
      </c>
      <c r="I57" t="n">
        <v>2289.83994974627</v>
      </c>
      <c r="J57" t="n">
        <v>2631.99994223709</v>
      </c>
      <c r="K57" t="n">
        <v>3024.64670936582</v>
      </c>
      <c r="L57" t="n">
        <v>3489.48981754725</v>
      </c>
      <c r="M57" t="n">
        <v>3693.1714919195</v>
      </c>
      <c r="N57" t="n">
        <v>4227.46941418027</v>
      </c>
      <c r="O57" t="n">
        <v>4434.33429141117</v>
      </c>
      <c r="P57" t="n">
        <v>4847.78013613555</v>
      </c>
      <c r="Q57" t="n">
        <v>5130.99255461505</v>
      </c>
      <c r="R57" t="n">
        <v>5395.32389950855</v>
      </c>
      <c r="S57" t="n">
        <v>5578.48350131291</v>
      </c>
      <c r="T57" t="n">
        <v>5692.4980187228</v>
      </c>
      <c r="U57" t="n">
        <v>5793.02262439224</v>
      </c>
      <c r="V57" t="n">
        <v>5798.82376861855</v>
      </c>
      <c r="W57" t="n">
        <v>5772.67733719761</v>
      </c>
      <c r="X57" t="n">
        <v>5782.70514959575</v>
      </c>
      <c r="Y57" t="n">
        <v>6010.4655493526</v>
      </c>
      <c r="Z57" t="n">
        <v>6053.50504487249</v>
      </c>
      <c r="AA57" t="n">
        <v>6126.79717473671</v>
      </c>
      <c r="AB57" t="n">
        <v>6547.08852611635</v>
      </c>
      <c r="AC57" t="n">
        <v>6759.72368895758</v>
      </c>
      <c r="AD57" t="n">
        <v>7059.99643620813</v>
      </c>
      <c r="AE57" t="n">
        <v>7125</v>
      </c>
      <c r="AF57" t="n">
        <v>7280</v>
      </c>
    </row>
    <row r="58">
      <c r="A58" t="s">
        <v>143</v>
      </c>
      <c r="B58" t="s">
        <v>386</v>
      </c>
      <c r="C58" t="s">
        <v>236</v>
      </c>
      <c r="D58" t="s">
        <v>387</v>
      </c>
      <c r="E58" t="s">
        <v>237</v>
      </c>
      <c r="F58" t="n">
        <v>1826.24853570861</v>
      </c>
      <c r="G58" t="n">
        <v>1858.48374407821</v>
      </c>
      <c r="H58" t="n">
        <v>1977.98437330226</v>
      </c>
      <c r="I58" t="n">
        <v>2289.83994974627</v>
      </c>
      <c r="J58" t="n">
        <v>2631.99994223709</v>
      </c>
      <c r="K58" t="n">
        <v>3024.64670936582</v>
      </c>
      <c r="L58" t="n">
        <v>3489.48981754725</v>
      </c>
      <c r="M58" t="n">
        <v>3693.1714919195</v>
      </c>
      <c r="N58" t="n">
        <v>4227.46941418027</v>
      </c>
      <c r="O58" t="n">
        <v>4434.33429141117</v>
      </c>
      <c r="P58" t="n">
        <v>4847.78013613555</v>
      </c>
      <c r="Q58" t="n">
        <v>5130.99255461505</v>
      </c>
      <c r="R58" t="n">
        <v>5395.32389950855</v>
      </c>
      <c r="S58" t="n">
        <v>5578.48350131291</v>
      </c>
      <c r="T58" t="n">
        <v>5692.4980187228</v>
      </c>
      <c r="U58" t="n">
        <v>5793.02262439224</v>
      </c>
      <c r="V58" t="n">
        <v>5798.82376861855</v>
      </c>
      <c r="W58" t="n">
        <v>5772.67733719761</v>
      </c>
      <c r="X58" t="n">
        <v>5782.70514959575</v>
      </c>
      <c r="Y58" t="n">
        <v>6010.4655493526</v>
      </c>
      <c r="Z58" t="n">
        <v>6053.50504487249</v>
      </c>
      <c r="AA58" t="n">
        <v>6126.79717473671</v>
      </c>
      <c r="AB58" t="n">
        <v>6547.08852611635</v>
      </c>
      <c r="AC58" t="n">
        <v>6759.72368895758</v>
      </c>
      <c r="AD58" t="n">
        <v>7059.99643620813</v>
      </c>
      <c r="AE58" t="n">
        <v>7125</v>
      </c>
      <c r="AF58" t="n">
        <v>7280</v>
      </c>
    </row>
    <row r="59">
      <c r="A59" t="s">
        <v>143</v>
      </c>
      <c r="B59" t="s">
        <v>388</v>
      </c>
      <c r="C59" t="s">
        <v>236</v>
      </c>
      <c r="D59" t="s">
        <v>389</v>
      </c>
      <c r="E59" t="s">
        <v>237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144</v>
      </c>
      <c r="B2" t="s">
        <v>197</v>
      </c>
      <c r="C2" t="s">
        <v>236</v>
      </c>
      <c r="D2" t="s">
        <v>199</v>
      </c>
      <c r="E2" t="s">
        <v>237</v>
      </c>
      <c r="F2" t="n">
        <v>2619.10034730127</v>
      </c>
      <c r="G2" t="n">
        <v>2560.09115403451</v>
      </c>
      <c r="H2" t="n">
        <v>2549.34092123413</v>
      </c>
      <c r="I2" t="n">
        <v>2512.30449138569</v>
      </c>
      <c r="J2" t="n">
        <v>2510.77725461281</v>
      </c>
      <c r="K2" t="n">
        <v>2525.43444815988</v>
      </c>
      <c r="L2" t="n">
        <v>2542.33640765677</v>
      </c>
      <c r="M2" t="n">
        <v>2580.69062070331</v>
      </c>
      <c r="N2" t="n">
        <v>2599.31416126509</v>
      </c>
      <c r="O2" t="n">
        <v>2591.54341638836</v>
      </c>
      <c r="P2" t="n">
        <v>2551.42276359473</v>
      </c>
      <c r="Q2" t="n">
        <v>2478.55966706181</v>
      </c>
      <c r="R2" t="n">
        <v>2436.09561505624</v>
      </c>
      <c r="S2" t="n">
        <v>2447.17885261336</v>
      </c>
      <c r="T2" t="n">
        <v>2448.29424862641</v>
      </c>
      <c r="U2" t="n">
        <v>2422.9176070228</v>
      </c>
      <c r="V2" t="n">
        <v>2415.27777673038</v>
      </c>
      <c r="W2" t="n">
        <v>2400.21591086213</v>
      </c>
      <c r="X2" t="n">
        <v>2404.31534025728</v>
      </c>
      <c r="Y2" t="n">
        <v>2407.39647909572</v>
      </c>
      <c r="Z2" t="n">
        <v>2394.99787061969</v>
      </c>
      <c r="AA2" t="n">
        <v>2329.31227501198</v>
      </c>
      <c r="AB2" t="n">
        <v>2273.75625804508</v>
      </c>
      <c r="AC2" t="n">
        <v>2219.78891291459</v>
      </c>
      <c r="AD2" t="n">
        <v>2183.46509433962</v>
      </c>
      <c r="AE2" t="n">
        <v>2154</v>
      </c>
      <c r="AF2" t="n">
        <v>2122</v>
      </c>
    </row>
    <row r="3">
      <c r="A3" t="s">
        <v>144</v>
      </c>
      <c r="B3" t="s">
        <v>276</v>
      </c>
      <c r="C3" t="s">
        <v>236</v>
      </c>
      <c r="D3" t="s">
        <v>277</v>
      </c>
      <c r="E3" t="s">
        <v>237</v>
      </c>
      <c r="F3" t="n">
        <v>11.5031475731963</v>
      </c>
      <c r="G3" t="n">
        <v>13.8037770878356</v>
      </c>
      <c r="H3" t="n">
        <v>12.6534623305159</v>
      </c>
      <c r="I3" t="n">
        <v>13.8037770878356</v>
      </c>
      <c r="J3" t="n">
        <v>17.2547213597945</v>
      </c>
      <c r="K3" t="n">
        <v>17.2547213597945</v>
      </c>
      <c r="L3" t="n">
        <v>16.1044066024748</v>
      </c>
      <c r="M3" t="n">
        <v>17.1780337093065</v>
      </c>
      <c r="N3" t="n">
        <v>18.2516608161381</v>
      </c>
      <c r="O3" t="n">
        <v>20.3989150298014</v>
      </c>
      <c r="P3" t="n">
        <v>22.5461692434648</v>
      </c>
      <c r="Q3" t="n">
        <v>22.5461692434648</v>
      </c>
      <c r="R3" t="n">
        <v>24.6934234571281</v>
      </c>
      <c r="S3" t="n">
        <v>30.0615589912863</v>
      </c>
      <c r="T3" t="n">
        <v>27.914304777623</v>
      </c>
      <c r="U3" t="n">
        <v>25.8465784977991</v>
      </c>
      <c r="V3" t="n">
        <v>28.8288760167759</v>
      </c>
      <c r="W3" t="n">
        <v>52.6872561685905</v>
      </c>
      <c r="X3" t="n">
        <v>66.3469151752621</v>
      </c>
      <c r="Y3" t="n">
        <v>70.249674891454</v>
      </c>
      <c r="Z3" t="n">
        <v>69.273984962406</v>
      </c>
      <c r="AA3" t="n">
        <v>63.5011528822055</v>
      </c>
      <c r="AB3" t="n">
        <v>60.6147368421053</v>
      </c>
      <c r="AC3" t="n">
        <v>56.64</v>
      </c>
      <c r="AD3" t="n">
        <v>48</v>
      </c>
      <c r="AE3" t="n">
        <v>46</v>
      </c>
      <c r="AF3" t="n">
        <v>49</v>
      </c>
    </row>
    <row r="4">
      <c r="A4" t="s">
        <v>144</v>
      </c>
      <c r="B4" t="s">
        <v>278</v>
      </c>
      <c r="C4" t="s">
        <v>236</v>
      </c>
      <c r="D4" t="s">
        <v>279</v>
      </c>
      <c r="E4" t="s">
        <v>237</v>
      </c>
      <c r="F4" t="n">
        <v>550.654322571875</v>
      </c>
      <c r="G4" t="n">
        <v>518.690219414668</v>
      </c>
      <c r="H4" t="n">
        <v>508.850567555853</v>
      </c>
      <c r="I4" t="n">
        <v>525.090479286359</v>
      </c>
      <c r="J4" t="n">
        <v>529.140020257719</v>
      </c>
      <c r="K4" t="n">
        <v>539.722820662874</v>
      </c>
      <c r="L4" t="n">
        <v>531.232798764806</v>
      </c>
      <c r="M4" t="n">
        <v>506.206842506079</v>
      </c>
      <c r="N4" t="n">
        <v>499.632727668337</v>
      </c>
      <c r="O4" t="n">
        <v>497.446151179636</v>
      </c>
      <c r="P4" t="n">
        <v>507.221293888406</v>
      </c>
      <c r="Q4" t="n">
        <v>578.90567375272</v>
      </c>
      <c r="R4" t="n">
        <v>617.570987769599</v>
      </c>
      <c r="S4" t="n">
        <v>710.688277086679</v>
      </c>
      <c r="T4" t="n">
        <v>695.613071209083</v>
      </c>
      <c r="U4" t="n">
        <v>649.16849589315</v>
      </c>
      <c r="V4" t="n">
        <v>611.352855355685</v>
      </c>
      <c r="W4" t="n">
        <v>588.55664718988</v>
      </c>
      <c r="X4" t="n">
        <v>541.35159186919</v>
      </c>
      <c r="Y4" t="n">
        <v>516.2425198901</v>
      </c>
      <c r="Z4" t="n">
        <v>521.283950748401</v>
      </c>
      <c r="AA4" t="n">
        <v>511.316762397572</v>
      </c>
      <c r="AB4" t="n">
        <v>530.365818251599</v>
      </c>
      <c r="AC4" t="n">
        <v>528.333765308106</v>
      </c>
      <c r="AD4" t="n">
        <v>509.213114754098</v>
      </c>
      <c r="AE4" t="n">
        <v>496</v>
      </c>
      <c r="AF4" t="n">
        <v>608</v>
      </c>
    </row>
    <row r="5">
      <c r="A5" t="s">
        <v>144</v>
      </c>
      <c r="B5" t="s">
        <v>280</v>
      </c>
      <c r="C5" t="s">
        <v>236</v>
      </c>
      <c r="D5" t="s">
        <v>281</v>
      </c>
      <c r="E5" t="s">
        <v>237</v>
      </c>
      <c r="F5" t="n">
        <v>70.3228419054506</v>
      </c>
      <c r="G5" t="n">
        <v>62.9975458736328</v>
      </c>
      <c r="H5" t="n">
        <v>61.5657834674139</v>
      </c>
      <c r="I5" t="n">
        <v>56.0932693814215</v>
      </c>
      <c r="J5" t="n">
        <v>54.7251408599234</v>
      </c>
      <c r="K5" t="n">
        <v>53.3570123384254</v>
      </c>
      <c r="L5" t="n">
        <v>53.3570123384254</v>
      </c>
      <c r="M5" t="n">
        <v>48.506374853114</v>
      </c>
      <c r="N5" t="n">
        <v>45.0416337921773</v>
      </c>
      <c r="O5" t="n">
        <v>42.7318064182194</v>
      </c>
      <c r="P5" t="n">
        <v>42.7318064182194</v>
      </c>
      <c r="Q5" t="n">
        <v>47.2298913043478</v>
      </c>
      <c r="R5" t="n">
        <v>48.3544125258799</v>
      </c>
      <c r="S5" t="n">
        <v>50.6034549689441</v>
      </c>
      <c r="T5" t="n">
        <v>48.3544125258799</v>
      </c>
      <c r="U5" t="n">
        <v>46.1564846837945</v>
      </c>
      <c r="V5" t="n">
        <v>42.9362648221344</v>
      </c>
      <c r="W5" t="n">
        <v>42.9362648221344</v>
      </c>
      <c r="X5" t="n">
        <v>41.9139728025598</v>
      </c>
      <c r="Y5" t="n">
        <v>43.958556841709</v>
      </c>
      <c r="Z5" t="n">
        <v>42.9362648221344</v>
      </c>
      <c r="AA5" t="n">
        <v>43.9347826086956</v>
      </c>
      <c r="AB5" t="n">
        <v>55.1739130434783</v>
      </c>
      <c r="AC5" t="n">
        <v>53.1304347826087</v>
      </c>
      <c r="AD5" t="n">
        <v>49.0434782608696</v>
      </c>
      <c r="AE5" t="n">
        <v>47</v>
      </c>
      <c r="AF5" t="n">
        <v>46</v>
      </c>
    </row>
    <row r="6">
      <c r="A6" t="s">
        <v>144</v>
      </c>
      <c r="B6" t="s">
        <v>282</v>
      </c>
      <c r="C6" t="s">
        <v>236</v>
      </c>
      <c r="D6" t="s">
        <v>283</v>
      </c>
      <c r="E6" t="s">
        <v>237</v>
      </c>
      <c r="F6" t="e">
        <v>#NUM!</v>
      </c>
      <c r="G6" t="e">
        <v>#NUM!</v>
      </c>
      <c r="H6" t="e">
        <v>#NUM!</v>
      </c>
      <c r="I6" t="e">
        <v>#NUM!</v>
      </c>
      <c r="J6" t="e">
        <v>#NUM!</v>
      </c>
      <c r="K6" t="e">
        <v>#NUM!</v>
      </c>
      <c r="L6" t="e">
        <v>#NUM!</v>
      </c>
      <c r="M6" t="e">
        <v>#NUM!</v>
      </c>
      <c r="N6" t="e">
        <v>#NUM!</v>
      </c>
      <c r="O6" t="e">
        <v>#NUM!</v>
      </c>
      <c r="P6" t="e">
        <v>#NUM!</v>
      </c>
      <c r="Q6" t="e">
        <v>#NUM!</v>
      </c>
      <c r="R6" t="e">
        <v>#NUM!</v>
      </c>
      <c r="S6" t="e">
        <v>#NUM!</v>
      </c>
      <c r="T6" t="e">
        <v>#NUM!</v>
      </c>
      <c r="U6" t="e">
        <v>#NUM!</v>
      </c>
      <c r="V6" t="e">
        <v>#NUM!</v>
      </c>
      <c r="W6" t="e">
        <v>#NUM!</v>
      </c>
      <c r="X6" t="e">
        <v>#NUM!</v>
      </c>
      <c r="Y6" t="e">
        <v>#NUM!</v>
      </c>
      <c r="Z6" t="e">
        <v>#NUM!</v>
      </c>
      <c r="AA6" t="e">
        <v>#NUM!</v>
      </c>
      <c r="AB6" t="e">
        <v>#NUM!</v>
      </c>
      <c r="AC6" t="e">
        <v>#NUM!</v>
      </c>
      <c r="AD6" t="e">
        <v>#NUM!</v>
      </c>
      <c r="AE6" t="n">
        <v>0</v>
      </c>
      <c r="AF6" t="e">
        <v>#NUM!</v>
      </c>
    </row>
    <row r="7">
      <c r="A7" t="s">
        <v>144</v>
      </c>
      <c r="B7" t="s">
        <v>284</v>
      </c>
      <c r="C7" t="s">
        <v>236</v>
      </c>
      <c r="D7" t="s">
        <v>285</v>
      </c>
      <c r="E7" t="s">
        <v>237</v>
      </c>
      <c r="F7" t="n">
        <v>130.66875825802</v>
      </c>
      <c r="G7" t="n">
        <v>127.828133078498</v>
      </c>
      <c r="H7" t="n">
        <v>127.828133078498</v>
      </c>
      <c r="I7" t="n">
        <v>133.154305290102</v>
      </c>
      <c r="J7" t="n">
        <v>137.148934448805</v>
      </c>
      <c r="K7" t="n">
        <v>139.761295104973</v>
      </c>
      <c r="L7" t="n">
        <v>137.351617603163</v>
      </c>
      <c r="M7" t="n">
        <v>131.675930925346</v>
      </c>
      <c r="N7" t="n">
        <v>127.323007588971</v>
      </c>
      <c r="O7" t="n">
        <v>126.243999050082</v>
      </c>
      <c r="P7" t="n">
        <v>125.174134651352</v>
      </c>
      <c r="Q7" t="n">
        <v>140.152236233565</v>
      </c>
      <c r="R7" t="n">
        <v>145.501558227213</v>
      </c>
      <c r="S7" t="n">
        <v>152.990609018319</v>
      </c>
      <c r="T7" t="n">
        <v>136.942643037377</v>
      </c>
      <c r="U7" t="n">
        <v>123.35291510237</v>
      </c>
      <c r="V7" t="n">
        <v>117.133440391326</v>
      </c>
      <c r="W7" t="n">
        <v>108.985027146712</v>
      </c>
      <c r="X7" t="n">
        <v>100.986126071724</v>
      </c>
      <c r="Y7" t="n">
        <v>91.9873623623623</v>
      </c>
      <c r="Z7" t="n">
        <v>89.9656620906621</v>
      </c>
      <c r="AA7" t="n">
        <v>92.9982124982125</v>
      </c>
      <c r="AB7" t="n">
        <v>112.204365079365</v>
      </c>
      <c r="AC7" t="n">
        <v>107.104166666667</v>
      </c>
      <c r="AD7" t="n">
        <v>103.0625</v>
      </c>
      <c r="AE7" t="n">
        <v>97</v>
      </c>
      <c r="AF7" t="n">
        <v>93</v>
      </c>
    </row>
    <row r="8">
      <c r="A8" t="s">
        <v>144</v>
      </c>
      <c r="B8" t="s">
        <v>286</v>
      </c>
      <c r="C8" t="s">
        <v>236</v>
      </c>
      <c r="D8" t="s">
        <v>287</v>
      </c>
      <c r="E8" t="s">
        <v>237</v>
      </c>
      <c r="F8" t="e">
        <v>#NUM!</v>
      </c>
      <c r="G8" t="e">
        <v>#NUM!</v>
      </c>
      <c r="H8" t="e">
        <v>#NUM!</v>
      </c>
      <c r="I8" t="e">
        <v>#NUM!</v>
      </c>
      <c r="J8" t="e">
        <v>#NUM!</v>
      </c>
      <c r="K8" t="e">
        <v>#NUM!</v>
      </c>
      <c r="L8" t="e">
        <v>#NUM!</v>
      </c>
      <c r="M8" t="e">
        <v>#NUM!</v>
      </c>
      <c r="N8" t="e">
        <v>#NUM!</v>
      </c>
      <c r="O8" t="e">
        <v>#NUM!</v>
      </c>
      <c r="P8" t="e">
        <v>#NUM!</v>
      </c>
      <c r="Q8" t="e">
        <v>#NUM!</v>
      </c>
      <c r="R8" t="e">
        <v>#NUM!</v>
      </c>
      <c r="S8" t="e">
        <v>#NUM!</v>
      </c>
      <c r="T8" t="e">
        <v>#NUM!</v>
      </c>
      <c r="U8" t="e">
        <v>#NUM!</v>
      </c>
      <c r="V8" t="e">
        <v>#NUM!</v>
      </c>
      <c r="W8" t="e">
        <v>#NUM!</v>
      </c>
      <c r="X8" t="e">
        <v>#NUM!</v>
      </c>
      <c r="Y8" t="e">
        <v>#NUM!</v>
      </c>
      <c r="Z8" t="e">
        <v>#NUM!</v>
      </c>
      <c r="AA8" t="e">
        <v>#NUM!</v>
      </c>
      <c r="AB8" t="e">
        <v>#NUM!</v>
      </c>
      <c r="AC8" t="e">
        <v>#NUM!</v>
      </c>
      <c r="AD8" t="n">
        <v>0</v>
      </c>
      <c r="AE8" t="n">
        <v>1</v>
      </c>
      <c r="AF8" t="n">
        <v>117</v>
      </c>
    </row>
    <row r="9">
      <c r="A9" t="s">
        <v>144</v>
      </c>
      <c r="B9" t="s">
        <v>288</v>
      </c>
      <c r="C9" t="s">
        <v>236</v>
      </c>
      <c r="D9" t="s">
        <v>289</v>
      </c>
      <c r="E9" t="s">
        <v>237</v>
      </c>
      <c r="F9" t="n">
        <v>39.3388408183662</v>
      </c>
      <c r="G9" t="n">
        <v>37.8818467139823</v>
      </c>
      <c r="H9" t="n">
        <v>37.8818467139823</v>
      </c>
      <c r="I9" t="n">
        <v>37.8818467139823</v>
      </c>
      <c r="J9" t="n">
        <v>36.575576137638</v>
      </c>
      <c r="K9" t="n">
        <v>35.3143493742712</v>
      </c>
      <c r="L9" t="n">
        <v>34.1751768138109</v>
      </c>
      <c r="M9" t="n">
        <v>33.1072025383793</v>
      </c>
      <c r="N9" t="n">
        <v>30.0034023004062</v>
      </c>
      <c r="O9" t="n">
        <v>30.0034023004062</v>
      </c>
      <c r="P9" t="n">
        <v>30.0034023004062</v>
      </c>
      <c r="Q9" t="n">
        <v>28.9688022210819</v>
      </c>
      <c r="R9" t="n">
        <v>31.0380023797306</v>
      </c>
      <c r="S9" t="n">
        <v>31.0380023797306</v>
      </c>
      <c r="T9" t="n">
        <v>27.9342021417575</v>
      </c>
      <c r="U9" t="n">
        <v>24.9412519122835</v>
      </c>
      <c r="V9" t="n">
        <v>22.9459517593008</v>
      </c>
      <c r="W9" t="n">
        <v>22.9459517593008</v>
      </c>
      <c r="X9" t="n">
        <v>24.9412519122835</v>
      </c>
      <c r="Y9" t="n">
        <v>23.9436018357922</v>
      </c>
      <c r="Z9" t="n">
        <v>27.9342021417575</v>
      </c>
      <c r="AA9" t="n">
        <v>34.9177526771969</v>
      </c>
      <c r="AB9" t="n">
        <v>43.8966033656189</v>
      </c>
      <c r="AC9" t="n">
        <v>47.9800083298626</v>
      </c>
      <c r="AD9" t="n">
        <v>48.9795918367347</v>
      </c>
      <c r="AE9" t="n">
        <v>50</v>
      </c>
      <c r="AF9" t="n">
        <v>55</v>
      </c>
    </row>
    <row r="10">
      <c r="A10" t="s">
        <v>144</v>
      </c>
      <c r="B10" t="s">
        <v>290</v>
      </c>
      <c r="C10" t="s">
        <v>236</v>
      </c>
      <c r="D10" t="s">
        <v>291</v>
      </c>
      <c r="E10" t="s">
        <v>237</v>
      </c>
      <c r="F10" t="n">
        <v>45.5620946432156</v>
      </c>
      <c r="G10" t="n">
        <v>44.1382791856151</v>
      </c>
      <c r="H10" t="n">
        <v>42.7589579610646</v>
      </c>
      <c r="I10" t="n">
        <v>44.0546839598848</v>
      </c>
      <c r="J10" t="n">
        <v>42.7589579610646</v>
      </c>
      <c r="K10" t="n">
        <v>41.5013415504451</v>
      </c>
      <c r="L10" t="n">
        <v>39.1957114643092</v>
      </c>
      <c r="M10" t="n">
        <v>38.1069417014118</v>
      </c>
      <c r="N10" t="n">
        <v>35.0171896715676</v>
      </c>
      <c r="O10" t="n">
        <v>33.9872723282862</v>
      </c>
      <c r="P10" t="n">
        <v>33.9872723282862</v>
      </c>
      <c r="Q10" t="n">
        <v>32.9573549850048</v>
      </c>
      <c r="R10" t="n">
        <v>33.9872723282862</v>
      </c>
      <c r="S10" t="n">
        <v>36.047107014849</v>
      </c>
      <c r="T10" t="n">
        <v>31.9274376417234</v>
      </c>
      <c r="U10" t="n">
        <v>27.9365079365079</v>
      </c>
      <c r="V10" t="n">
        <v>25.9410430839002</v>
      </c>
      <c r="W10" t="n">
        <v>24.9433106575964</v>
      </c>
      <c r="X10" t="n">
        <v>26.9387755102041</v>
      </c>
      <c r="Y10" t="n">
        <v>24.9433106575964</v>
      </c>
      <c r="Z10" t="n">
        <v>28.9342403628118</v>
      </c>
      <c r="AA10" t="n">
        <v>35.9183673469388</v>
      </c>
      <c r="AB10" t="n">
        <v>44.8979591836735</v>
      </c>
      <c r="AC10" t="n">
        <v>48.9795918367347</v>
      </c>
      <c r="AD10" t="n">
        <v>48.9795918367347</v>
      </c>
      <c r="AE10" t="n">
        <v>50</v>
      </c>
      <c r="AF10" t="n">
        <v>55</v>
      </c>
    </row>
    <row r="11">
      <c r="A11" t="s">
        <v>144</v>
      </c>
      <c r="B11" t="s">
        <v>292</v>
      </c>
      <c r="C11" t="s">
        <v>236</v>
      </c>
      <c r="D11" t="s">
        <v>293</v>
      </c>
      <c r="E11" t="s">
        <v>237</v>
      </c>
      <c r="F11" t="e">
        <v>#NUM!</v>
      </c>
      <c r="G11" t="e">
        <v>#NUM!</v>
      </c>
      <c r="H11" t="e">
        <v>#NUM!</v>
      </c>
      <c r="I11" t="e">
        <v>#NUM!</v>
      </c>
      <c r="J11" t="e">
        <v>#NUM!</v>
      </c>
      <c r="K11" t="e">
        <v>#NUM!</v>
      </c>
      <c r="L11" t="e">
        <v>#NUM!</v>
      </c>
      <c r="M11" t="e">
        <v>#NUM!</v>
      </c>
      <c r="N11" t="e">
        <v>#NUM!</v>
      </c>
      <c r="O11" t="e">
        <v>#NUM!</v>
      </c>
      <c r="P11" t="e">
        <v>#NUM!</v>
      </c>
      <c r="Q11" t="e">
        <v>#NUM!</v>
      </c>
      <c r="R11" t="e">
        <v>#NUM!</v>
      </c>
      <c r="S11" t="e">
        <v>#NUM!</v>
      </c>
      <c r="T11" t="e">
        <v>#NUM!</v>
      </c>
      <c r="U11" t="e">
        <v>#NUM!</v>
      </c>
      <c r="V11" t="e">
        <v>#NUM!</v>
      </c>
      <c r="W11" t="e">
        <v>#NUM!</v>
      </c>
      <c r="X11" t="e">
        <v>#NUM!</v>
      </c>
      <c r="Y11" t="e">
        <v>#NUM!</v>
      </c>
      <c r="Z11" t="e">
        <v>#NUM!</v>
      </c>
      <c r="AA11" t="e">
        <v>#NUM!</v>
      </c>
      <c r="AB11" t="e">
        <v>#NUM!</v>
      </c>
      <c r="AC11" t="e">
        <v>#NUM!</v>
      </c>
      <c r="AD11" t="e">
        <v>#NUM!</v>
      </c>
      <c r="AE11" t="n">
        <v>0</v>
      </c>
      <c r="AF11" t="e">
        <v>#NUM!</v>
      </c>
    </row>
    <row r="12">
      <c r="A12" t="s">
        <v>144</v>
      </c>
      <c r="B12" t="s">
        <v>294</v>
      </c>
      <c r="C12" t="s">
        <v>236</v>
      </c>
      <c r="D12" t="s">
        <v>295</v>
      </c>
      <c r="E12" t="s">
        <v>237</v>
      </c>
      <c r="F12" t="n">
        <v>58.6807469263542</v>
      </c>
      <c r="G12" t="n">
        <v>54.5867413268411</v>
      </c>
      <c r="H12" t="n">
        <v>50.6876883749239</v>
      </c>
      <c r="I12" t="n">
        <v>54.4892650030432</v>
      </c>
      <c r="J12" t="n">
        <v>51.954880584297</v>
      </c>
      <c r="K12" t="n">
        <v>53.2220727936701</v>
      </c>
      <c r="L12" t="n">
        <v>49.8249192110954</v>
      </c>
      <c r="M12" t="n">
        <v>46.710861760402</v>
      </c>
      <c r="N12" t="n">
        <v>44.679954727341</v>
      </c>
      <c r="O12" t="n">
        <v>43.6645012108105</v>
      </c>
      <c r="P12" t="n">
        <v>42.64904769428</v>
      </c>
      <c r="Q12" t="n">
        <v>47.7263152769324</v>
      </c>
      <c r="R12" t="n">
        <v>46.7523088427093</v>
      </c>
      <c r="S12" t="n">
        <v>51.6223410138249</v>
      </c>
      <c r="T12" t="n">
        <v>49.636866359447</v>
      </c>
      <c r="U12" t="n">
        <v>45.7437788018433</v>
      </c>
      <c r="V12" t="n">
        <v>41.8506912442396</v>
      </c>
      <c r="W12" t="n">
        <v>39.9483870967742</v>
      </c>
      <c r="X12" t="n">
        <v>36.2322580645161</v>
      </c>
      <c r="Y12" t="n">
        <v>34.3741935483871</v>
      </c>
      <c r="Z12" t="n">
        <v>34.3741935483871</v>
      </c>
      <c r="AA12" t="n">
        <v>31.5870967741935</v>
      </c>
      <c r="AB12" t="n">
        <v>28.8</v>
      </c>
      <c r="AC12" t="n">
        <v>26.88</v>
      </c>
      <c r="AD12" t="n">
        <v>24</v>
      </c>
      <c r="AE12" t="n">
        <v>22</v>
      </c>
      <c r="AF12" t="n">
        <v>23</v>
      </c>
    </row>
    <row r="13">
      <c r="A13" t="s">
        <v>144</v>
      </c>
      <c r="B13" t="s">
        <v>296</v>
      </c>
      <c r="C13" t="s">
        <v>236</v>
      </c>
      <c r="D13" t="s">
        <v>297</v>
      </c>
      <c r="E13" t="s">
        <v>237</v>
      </c>
      <c r="F13" t="n">
        <v>62.2104303078618</v>
      </c>
      <c r="G13" t="n">
        <v>53.7271898113352</v>
      </c>
      <c r="H13" t="n">
        <v>48.3544708302017</v>
      </c>
      <c r="I13" t="n">
        <v>52.2751036002181</v>
      </c>
      <c r="J13" t="n">
        <v>51.0001010733835</v>
      </c>
      <c r="K13" t="n">
        <v>54.7318157860701</v>
      </c>
      <c r="L13" t="n">
        <v>54.7318157860701</v>
      </c>
      <c r="M13" t="n">
        <v>52.4978641213325</v>
      </c>
      <c r="N13" t="n">
        <v>53.5692491034005</v>
      </c>
      <c r="O13" t="n">
        <v>53.5692491034005</v>
      </c>
      <c r="P13" t="n">
        <v>52.4978641213325</v>
      </c>
      <c r="Q13" t="n">
        <v>67.4972538702847</v>
      </c>
      <c r="R13" t="n">
        <v>85.426211929579</v>
      </c>
      <c r="S13" t="n">
        <v>106.519103764043</v>
      </c>
      <c r="T13" t="n">
        <v>120.366587253369</v>
      </c>
      <c r="U13" t="n">
        <v>117.199045483543</v>
      </c>
      <c r="V13" t="n">
        <v>111.919809200501</v>
      </c>
      <c r="W13" t="n">
        <v>119.241665877169</v>
      </c>
      <c r="X13" t="n">
        <v>107.115394771016</v>
      </c>
      <c r="Y13" t="n">
        <v>100.04173662576</v>
      </c>
      <c r="Z13" t="n">
        <v>97.0101688492222</v>
      </c>
      <c r="AA13" t="n">
        <v>92.0096446817365</v>
      </c>
      <c r="AB13" t="n">
        <v>89.0093301812451</v>
      </c>
      <c r="AC13" t="n">
        <v>91.0322695035461</v>
      </c>
      <c r="AD13" t="n">
        <v>94.0333333333333</v>
      </c>
      <c r="AE13" t="n">
        <v>91</v>
      </c>
      <c r="AF13" t="n">
        <v>88</v>
      </c>
    </row>
    <row r="14">
      <c r="A14" t="s">
        <v>144</v>
      </c>
      <c r="B14" t="s">
        <v>298</v>
      </c>
      <c r="C14" t="s">
        <v>236</v>
      </c>
      <c r="D14" t="s">
        <v>299</v>
      </c>
      <c r="E14" t="s">
        <v>237</v>
      </c>
      <c r="F14" t="n">
        <v>11.7613146781755</v>
      </c>
      <c r="G14" t="n">
        <v>15.681752904234</v>
      </c>
      <c r="H14" t="n">
        <v>20.909003872312</v>
      </c>
      <c r="I14" t="n">
        <v>27.4430675824095</v>
      </c>
      <c r="J14" t="n">
        <v>33.9771312925071</v>
      </c>
      <c r="K14" t="n">
        <v>40.5111950026046</v>
      </c>
      <c r="L14" t="n">
        <v>44.1940309119323</v>
      </c>
      <c r="M14" t="n">
        <v>46.3498372978802</v>
      </c>
      <c r="N14" t="n">
        <v>52.8172564557239</v>
      </c>
      <c r="O14" t="n">
        <v>59.2846756135677</v>
      </c>
      <c r="P14" t="n">
        <v>65.7520947714114</v>
      </c>
      <c r="Q14" t="n">
        <v>77.609029894125</v>
      </c>
      <c r="R14" t="n">
        <v>80.7984420815548</v>
      </c>
      <c r="S14" t="n">
        <v>112.278354580862</v>
      </c>
      <c r="T14" t="n">
        <v>101.686056978894</v>
      </c>
      <c r="U14" t="n">
        <v>98.5411273816083</v>
      </c>
      <c r="V14" t="n">
        <v>94.3478879185612</v>
      </c>
      <c r="W14" t="n">
        <v>88.1271480557989</v>
      </c>
      <c r="X14" t="n">
        <v>80.0235022575645</v>
      </c>
      <c r="Y14" t="n">
        <v>77.9975908080059</v>
      </c>
      <c r="Z14" t="n">
        <v>77.9975908080059</v>
      </c>
      <c r="AA14" t="n">
        <v>74.9976834692365</v>
      </c>
      <c r="AB14" t="n">
        <v>75.9976525821596</v>
      </c>
      <c r="AC14" t="n">
        <v>73.943661971831</v>
      </c>
      <c r="AD14" t="n">
        <v>71.9178082191781</v>
      </c>
      <c r="AE14" t="n">
        <v>75</v>
      </c>
      <c r="AF14" t="n">
        <v>75</v>
      </c>
    </row>
    <row r="15">
      <c r="A15" t="s">
        <v>144</v>
      </c>
      <c r="B15" t="s">
        <v>300</v>
      </c>
      <c r="C15" t="s">
        <v>236</v>
      </c>
      <c r="D15" t="s">
        <v>301</v>
      </c>
      <c r="E15" t="s">
        <v>237</v>
      </c>
      <c r="F15" t="n">
        <v>27.4998222373805</v>
      </c>
      <c r="G15" t="n">
        <v>28.9471813025058</v>
      </c>
      <c r="H15" t="n">
        <v>34.4609301220308</v>
      </c>
      <c r="I15" t="n">
        <v>41.0880320685751</v>
      </c>
      <c r="J15" t="n">
        <v>49.0405544044284</v>
      </c>
      <c r="K15" t="n">
        <v>55.6676563509728</v>
      </c>
      <c r="L15" t="n">
        <v>58.0879892357977</v>
      </c>
      <c r="M15" t="n">
        <v>58.0879892357977</v>
      </c>
      <c r="N15" t="n">
        <v>66.5371513064591</v>
      </c>
      <c r="O15" t="n">
        <v>73.9301681182879</v>
      </c>
      <c r="P15" t="n">
        <v>80.267039671284</v>
      </c>
      <c r="Q15" t="n">
        <v>92.9407827772763</v>
      </c>
      <c r="R15" t="n">
        <v>96.0736181517912</v>
      </c>
      <c r="S15" t="n">
        <v>129.801590481675</v>
      </c>
      <c r="T15" t="n">
        <v>119.417463243141</v>
      </c>
      <c r="U15" t="n">
        <v>115.299619683033</v>
      </c>
      <c r="V15" t="n">
        <v>109.122854342871</v>
      </c>
      <c r="W15" t="n">
        <v>101.983976021374</v>
      </c>
      <c r="X15" t="n">
        <v>93.9852328040116</v>
      </c>
      <c r="Y15" t="n">
        <v>88.9860182931599</v>
      </c>
      <c r="Z15" t="n">
        <v>87.9748135398286</v>
      </c>
      <c r="AA15" t="n">
        <v>84.0208893357913</v>
      </c>
      <c r="AB15" t="n">
        <v>85.0211380183603</v>
      </c>
      <c r="AC15" t="n">
        <v>82.9724358974359</v>
      </c>
      <c r="AD15" t="n">
        <v>78.925</v>
      </c>
      <c r="AE15" t="n">
        <v>82</v>
      </c>
      <c r="AF15" t="n">
        <v>82</v>
      </c>
    </row>
    <row r="16">
      <c r="A16" t="s">
        <v>144</v>
      </c>
      <c r="B16" t="s">
        <v>302</v>
      </c>
      <c r="C16" t="s">
        <v>236</v>
      </c>
      <c r="D16" t="s">
        <v>303</v>
      </c>
      <c r="E16" t="s">
        <v>237</v>
      </c>
      <c r="F16" t="n">
        <v>15.8601175103306</v>
      </c>
      <c r="G16" t="n">
        <v>12.6880940082645</v>
      </c>
      <c r="H16" t="n">
        <v>12.6880940082645</v>
      </c>
      <c r="I16" t="n">
        <v>12.6880940082645</v>
      </c>
      <c r="J16" t="n">
        <v>13.9569034090909</v>
      </c>
      <c r="K16" t="n">
        <v>13.9569034090909</v>
      </c>
      <c r="L16" t="n">
        <v>12.8832954545455</v>
      </c>
      <c r="M16" t="n">
        <v>10.90125</v>
      </c>
      <c r="N16" t="n">
        <v>12.718125</v>
      </c>
      <c r="O16" t="n">
        <v>13.6265625</v>
      </c>
      <c r="P16" t="n">
        <v>13.6265625</v>
      </c>
      <c r="Q16" t="n">
        <v>14.535</v>
      </c>
      <c r="R16" t="n">
        <v>14.535</v>
      </c>
      <c r="S16" t="n">
        <v>17.1</v>
      </c>
      <c r="T16" t="n">
        <v>17.1</v>
      </c>
      <c r="U16" t="n">
        <v>16.2</v>
      </c>
      <c r="V16" t="n">
        <v>14.4</v>
      </c>
      <c r="W16" t="n">
        <v>13.5</v>
      </c>
      <c r="X16" t="n">
        <v>13.5</v>
      </c>
      <c r="Y16" t="n">
        <v>10.8</v>
      </c>
      <c r="Z16" t="n">
        <v>9.9</v>
      </c>
      <c r="AA16" t="n">
        <v>9</v>
      </c>
      <c r="AB16" t="n">
        <v>9</v>
      </c>
      <c r="AC16" t="n">
        <v>9</v>
      </c>
      <c r="AD16" t="n">
        <v>7</v>
      </c>
      <c r="AE16" t="n">
        <v>7</v>
      </c>
      <c r="AF16" t="n">
        <v>7</v>
      </c>
    </row>
    <row r="17">
      <c r="A17" t="s">
        <v>144</v>
      </c>
      <c r="B17" t="s">
        <v>304</v>
      </c>
      <c r="C17" t="s">
        <v>236</v>
      </c>
      <c r="D17" t="s">
        <v>305</v>
      </c>
      <c r="E17" t="s">
        <v>237</v>
      </c>
      <c r="F17" t="n">
        <v>55.3215443276959</v>
      </c>
      <c r="G17" t="n">
        <v>53.8657142138092</v>
      </c>
      <c r="H17" t="n">
        <v>51.0306766236087</v>
      </c>
      <c r="I17" t="n">
        <v>52.4098840999224</v>
      </c>
      <c r="J17" t="n">
        <v>53.7890915762362</v>
      </c>
      <c r="K17" t="n">
        <v>51.0996369974244</v>
      </c>
      <c r="L17" t="n">
        <v>52.2880006485273</v>
      </c>
      <c r="M17" t="n">
        <v>49.9640895085927</v>
      </c>
      <c r="N17" t="n">
        <v>51.12604507856</v>
      </c>
      <c r="O17" t="n">
        <v>49.9640895085927</v>
      </c>
      <c r="P17" t="n">
        <v>54.5062794639193</v>
      </c>
      <c r="Q17" t="n">
        <v>66.9973018410675</v>
      </c>
      <c r="R17" t="n">
        <v>73.8105867740574</v>
      </c>
      <c r="S17" t="n">
        <v>88.5727041288689</v>
      </c>
      <c r="T17" t="n">
        <v>97.6570840395221</v>
      </c>
      <c r="U17" t="n">
        <v>85.5871073604801</v>
      </c>
      <c r="V17" t="n">
        <v>82.3369640429935</v>
      </c>
      <c r="W17" t="n">
        <v>78.1145556305323</v>
      </c>
      <c r="X17" t="n">
        <v>71.104274997023</v>
      </c>
      <c r="Y17" t="n">
        <v>68.0998690112333</v>
      </c>
      <c r="Z17" t="n">
        <v>67.0984003493034</v>
      </c>
      <c r="AA17" t="n">
        <v>64.0939943635137</v>
      </c>
      <c r="AB17" t="n">
        <v>59.0866510538642</v>
      </c>
      <c r="AC17" t="n">
        <v>61.1241217798595</v>
      </c>
      <c r="AD17" t="n">
        <v>62.1428571428571</v>
      </c>
      <c r="AE17" t="n">
        <v>58</v>
      </c>
      <c r="AF17" t="n">
        <v>54</v>
      </c>
    </row>
    <row r="18">
      <c r="A18" t="s">
        <v>144</v>
      </c>
      <c r="B18" t="s">
        <v>306</v>
      </c>
      <c r="C18" t="s">
        <v>236</v>
      </c>
      <c r="D18" t="s">
        <v>307</v>
      </c>
      <c r="E18" t="s">
        <v>237</v>
      </c>
      <c r="F18" t="e">
        <v>#NUM!</v>
      </c>
      <c r="G18" t="e">
        <v>#NUM!</v>
      </c>
      <c r="H18" t="e">
        <v>#NUM!</v>
      </c>
      <c r="I18" t="e">
        <v>#NUM!</v>
      </c>
      <c r="J18" t="e">
        <v>#NUM!</v>
      </c>
      <c r="K18" t="e">
        <v>#NUM!</v>
      </c>
      <c r="L18" t="e">
        <v>#NUM!</v>
      </c>
      <c r="M18" t="e">
        <v>#NUM!</v>
      </c>
      <c r="N18" t="e">
        <v>#NUM!</v>
      </c>
      <c r="O18" t="e">
        <v>#NUM!</v>
      </c>
      <c r="P18" t="e">
        <v>#NUM!</v>
      </c>
      <c r="Q18" t="e">
        <v>#NUM!</v>
      </c>
      <c r="R18" t="e">
        <v>#NUM!</v>
      </c>
      <c r="S18" t="e">
        <v>#NUM!</v>
      </c>
      <c r="T18" t="e">
        <v>#NUM!</v>
      </c>
      <c r="U18" t="e">
        <v>#NUM!</v>
      </c>
      <c r="V18" t="e">
        <v>#NUM!</v>
      </c>
      <c r="W18" t="e">
        <v>#NUM!</v>
      </c>
      <c r="X18" t="e">
        <v>#NUM!</v>
      </c>
      <c r="Y18" t="e">
        <v>#NUM!</v>
      </c>
      <c r="Z18" t="e">
        <v>#NUM!</v>
      </c>
      <c r="AA18" t="e">
        <v>#NUM!</v>
      </c>
      <c r="AB18" t="e">
        <v>#NUM!</v>
      </c>
      <c r="AC18" t="e">
        <v>#NUM!</v>
      </c>
      <c r="AD18" t="e">
        <v>#NUM!</v>
      </c>
      <c r="AE18" t="n">
        <v>0</v>
      </c>
      <c r="AF18" t="e">
        <v>#NUM!</v>
      </c>
    </row>
    <row r="19">
      <c r="A19" t="s">
        <v>144</v>
      </c>
      <c r="B19" t="s">
        <v>308</v>
      </c>
      <c r="C19" t="s">
        <v>236</v>
      </c>
      <c r="D19" t="s">
        <v>309</v>
      </c>
      <c r="E19" t="s">
        <v>237</v>
      </c>
      <c r="F19" t="n">
        <v>26.7372176143185</v>
      </c>
      <c r="G19" t="n">
        <v>25.2518166357452</v>
      </c>
      <c r="H19" t="n">
        <v>25.2518166357452</v>
      </c>
      <c r="I19" t="n">
        <v>26.5808596165739</v>
      </c>
      <c r="J19" t="n">
        <v>26.5808596165739</v>
      </c>
      <c r="K19" t="n">
        <v>27.9099025974026</v>
      </c>
      <c r="L19" t="n">
        <v>26.6964285714286</v>
      </c>
      <c r="M19" t="n">
        <v>26.6964285714286</v>
      </c>
      <c r="N19" t="n">
        <v>26.6964285714286</v>
      </c>
      <c r="O19" t="n">
        <v>26.6964285714286</v>
      </c>
      <c r="P19" t="n">
        <v>27.7642857142857</v>
      </c>
      <c r="Q19" t="n">
        <v>30.9678571428572</v>
      </c>
      <c r="R19" t="n">
        <v>33.032380952381</v>
      </c>
      <c r="S19" t="n">
        <v>37.1614285714286</v>
      </c>
      <c r="T19" t="n">
        <v>35.0969047619048</v>
      </c>
      <c r="U19" t="n">
        <v>34.0646428571429</v>
      </c>
      <c r="V19" t="n">
        <v>32.0001190476191</v>
      </c>
      <c r="W19" t="n">
        <v>28.9033333333333</v>
      </c>
      <c r="X19" t="n">
        <v>24.9166666666667</v>
      </c>
      <c r="Y19" t="n">
        <v>28.9033333333333</v>
      </c>
      <c r="Z19" t="n">
        <v>37.8733333333333</v>
      </c>
      <c r="AA19" t="n">
        <v>39.8666666666667</v>
      </c>
      <c r="AB19" t="n">
        <v>44.9777777777778</v>
      </c>
      <c r="AC19" t="n">
        <v>46</v>
      </c>
      <c r="AD19" t="n">
        <v>49</v>
      </c>
      <c r="AE19" t="n">
        <v>48</v>
      </c>
      <c r="AF19" t="n">
        <v>50</v>
      </c>
    </row>
    <row r="20">
      <c r="A20" t="s">
        <v>144</v>
      </c>
      <c r="B20" t="s">
        <v>310</v>
      </c>
      <c r="C20" t="s">
        <v>236</v>
      </c>
      <c r="D20" t="s">
        <v>311</v>
      </c>
      <c r="E20" t="s">
        <v>237</v>
      </c>
      <c r="F20" t="n">
        <v>104.648080171819</v>
      </c>
      <c r="G20" t="n">
        <v>96.163100698428</v>
      </c>
      <c r="H20" t="n">
        <v>92.0418249542097</v>
      </c>
      <c r="I20" t="n">
        <v>90.7269417405781</v>
      </c>
      <c r="J20" t="n">
        <v>88.097175313315</v>
      </c>
      <c r="K20" t="n">
        <v>85.5436339998856</v>
      </c>
      <c r="L20" t="n">
        <v>81.979315916557</v>
      </c>
      <c r="M20" t="n">
        <v>77.5480015426891</v>
      </c>
      <c r="N20" t="n">
        <v>75.3635507950077</v>
      </c>
      <c r="O20" t="n">
        <v>74.271325421167</v>
      </c>
      <c r="P20" t="n">
        <v>72.0868746734856</v>
      </c>
      <c r="Q20" t="n">
        <v>70.9946492996449</v>
      </c>
      <c r="R20" t="n">
        <v>68.8432962905648</v>
      </c>
      <c r="S20" t="n">
        <v>74.2216788132651</v>
      </c>
      <c r="T20" t="n">
        <v>73.1460023087251</v>
      </c>
      <c r="U20" t="n">
        <v>102.828438028208</v>
      </c>
      <c r="V20" t="n">
        <v>93.3850100460254</v>
      </c>
      <c r="W20" t="n">
        <v>114.137234500698</v>
      </c>
      <c r="X20" t="n">
        <v>138.378771031819</v>
      </c>
      <c r="Y20" t="n">
        <v>166.660563651461</v>
      </c>
      <c r="Z20" t="n">
        <v>197.147252124289</v>
      </c>
      <c r="AA20" t="n">
        <v>234.363825229385</v>
      </c>
      <c r="AB20" t="n">
        <v>251.463331791186</v>
      </c>
      <c r="AC20" t="n">
        <v>261.644033483136</v>
      </c>
      <c r="AD20" t="n">
        <v>259.623616236162</v>
      </c>
      <c r="AE20" t="n">
        <v>277</v>
      </c>
      <c r="AF20" t="n">
        <v>284</v>
      </c>
    </row>
    <row r="21">
      <c r="A21" t="s">
        <v>144</v>
      </c>
      <c r="B21" t="s">
        <v>312</v>
      </c>
      <c r="C21" t="s">
        <v>236</v>
      </c>
      <c r="D21" t="s">
        <v>313</v>
      </c>
      <c r="E21" t="s">
        <v>237</v>
      </c>
      <c r="F21" t="n">
        <v>296.671444411678</v>
      </c>
      <c r="G21" t="n">
        <v>279.305311080262</v>
      </c>
      <c r="H21" t="n">
        <v>267.962963422181</v>
      </c>
      <c r="I21" t="n">
        <v>277.388796306378</v>
      </c>
      <c r="J21" t="n">
        <v>282.774986525919</v>
      </c>
      <c r="K21" t="n">
        <v>278.847556157504</v>
      </c>
      <c r="L21" t="n">
        <v>271.635981429292</v>
      </c>
      <c r="M21" t="n">
        <v>242.208750107786</v>
      </c>
      <c r="N21" t="n">
        <v>216.654615922102</v>
      </c>
      <c r="O21" t="n">
        <v>197.958532314611</v>
      </c>
      <c r="P21" t="n">
        <v>187.081689879742</v>
      </c>
      <c r="Q21" t="n">
        <v>177.29253168836</v>
      </c>
      <c r="R21" t="n">
        <v>170.80621955342</v>
      </c>
      <c r="S21" t="n">
        <v>172.9683235984</v>
      </c>
      <c r="T21" t="n">
        <v>165.40095944097</v>
      </c>
      <c r="U21" t="n">
        <v>197.621925565835</v>
      </c>
      <c r="V21" t="n">
        <v>179.559706562506</v>
      </c>
      <c r="W21" t="n">
        <v>220.511920339919</v>
      </c>
      <c r="X21" t="n">
        <v>240.835599633921</v>
      </c>
      <c r="Y21" t="n">
        <v>268.272566680823</v>
      </c>
      <c r="Z21" t="n">
        <v>298.990799506872</v>
      </c>
      <c r="AA21" t="n">
        <v>345.613093667266</v>
      </c>
      <c r="AB21" t="n">
        <v>366.897184479619</v>
      </c>
      <c r="AC21" t="n">
        <v>372.021446832686</v>
      </c>
      <c r="AD21" t="n">
        <v>358.843575418994</v>
      </c>
      <c r="AE21" t="n">
        <v>366</v>
      </c>
      <c r="AF21" t="n">
        <v>364</v>
      </c>
    </row>
    <row r="22">
      <c r="A22" t="s">
        <v>144</v>
      </c>
      <c r="B22" t="s">
        <v>314</v>
      </c>
      <c r="C22" t="s">
        <v>236</v>
      </c>
      <c r="D22" t="s">
        <v>315</v>
      </c>
      <c r="E22" t="s">
        <v>237</v>
      </c>
      <c r="F22" t="n">
        <v>194.678606957807</v>
      </c>
      <c r="G22" t="n">
        <v>185.762029539893</v>
      </c>
      <c r="H22" t="n">
        <v>178.448563809976</v>
      </c>
      <c r="I22" t="n">
        <v>189.515141410594</v>
      </c>
      <c r="J22" t="n">
        <v>197.815074611058</v>
      </c>
      <c r="K22" t="n">
        <v>196.469393831391</v>
      </c>
      <c r="L22" t="n">
        <v>192.785592697052</v>
      </c>
      <c r="M22" t="n">
        <v>167.235694869732</v>
      </c>
      <c r="N22" t="n">
        <v>143.344881316913</v>
      </c>
      <c r="O22" t="n">
        <v>125.426771152299</v>
      </c>
      <c r="P22" t="n">
        <v>116.624892474945</v>
      </c>
      <c r="Q22" t="n">
        <v>107.823013797591</v>
      </c>
      <c r="R22" t="n">
        <v>103.422074458913</v>
      </c>
      <c r="S22" t="n">
        <v>100.121369954905</v>
      </c>
      <c r="T22" t="n">
        <v>93.5199609468897</v>
      </c>
      <c r="U22" t="n">
        <v>95.7204306162283</v>
      </c>
      <c r="V22" t="n">
        <v>87.0185732874803</v>
      </c>
      <c r="W22" t="n">
        <v>107.430337391951</v>
      </c>
      <c r="X22" t="n">
        <v>103.298401338414</v>
      </c>
      <c r="Y22" t="n">
        <v>102.26541732503</v>
      </c>
      <c r="Z22" t="n">
        <v>102.26541732503</v>
      </c>
      <c r="AA22" t="n">
        <v>111.562273445488</v>
      </c>
      <c r="AB22" t="n">
        <v>115.694209499024</v>
      </c>
      <c r="AC22" t="n">
        <v>110.48275862069</v>
      </c>
      <c r="AD22" t="n">
        <v>99.2298850574713</v>
      </c>
      <c r="AE22" t="n">
        <v>89</v>
      </c>
      <c r="AF22" t="n">
        <v>80</v>
      </c>
    </row>
    <row r="23">
      <c r="A23" t="s">
        <v>144</v>
      </c>
      <c r="B23" t="s">
        <v>316</v>
      </c>
      <c r="C23" t="s">
        <v>236</v>
      </c>
      <c r="D23" t="s">
        <v>317</v>
      </c>
      <c r="E23" t="s">
        <v>237</v>
      </c>
      <c r="F23" t="n">
        <v>323.543391223296</v>
      </c>
      <c r="G23" t="n">
        <v>367.30771467379</v>
      </c>
      <c r="H23" t="n">
        <v>408.629832574591</v>
      </c>
      <c r="I23" t="n">
        <v>467.214754807507</v>
      </c>
      <c r="J23" t="n">
        <v>528.536691375993</v>
      </c>
      <c r="K23" t="n">
        <v>579.685403444637</v>
      </c>
      <c r="L23" t="n">
        <v>608.279750699754</v>
      </c>
      <c r="M23" t="n">
        <v>630.399014361563</v>
      </c>
      <c r="N23" t="n">
        <v>655.614974936025</v>
      </c>
      <c r="O23" t="n">
        <v>686.607682842092</v>
      </c>
      <c r="P23" t="n">
        <v>717.280878295519</v>
      </c>
      <c r="Q23" t="n">
        <v>750.044115803308</v>
      </c>
      <c r="R23" t="n">
        <v>797.28191725943</v>
      </c>
      <c r="S23" t="n">
        <v>836.751319103956</v>
      </c>
      <c r="T23" t="n">
        <v>832.216081602038</v>
      </c>
      <c r="U23" t="n">
        <v>887.17374736821</v>
      </c>
      <c r="V23" t="n">
        <v>882.732326855729</v>
      </c>
      <c r="W23" t="n">
        <v>865.25247879918</v>
      </c>
      <c r="X23" t="n">
        <v>825.301574553288</v>
      </c>
      <c r="Y23" t="n">
        <v>790.518749572115</v>
      </c>
      <c r="Z23" t="n">
        <v>778.893473843113</v>
      </c>
      <c r="AA23" t="n">
        <v>767.530306452829</v>
      </c>
      <c r="AB23" t="n">
        <v>762.433823674258</v>
      </c>
      <c r="AC23" t="n">
        <v>745.059326351922</v>
      </c>
      <c r="AD23" t="n">
        <v>702.714953271028</v>
      </c>
      <c r="AE23" t="n">
        <v>651</v>
      </c>
      <c r="AF23" t="n">
        <v>617</v>
      </c>
    </row>
    <row r="24">
      <c r="A24" t="s">
        <v>144</v>
      </c>
      <c r="B24" t="s">
        <v>318</v>
      </c>
      <c r="C24" t="s">
        <v>236</v>
      </c>
      <c r="D24" t="s">
        <v>319</v>
      </c>
      <c r="E24" t="s">
        <v>237</v>
      </c>
      <c r="F24" t="n">
        <v>2168.09333454895</v>
      </c>
      <c r="G24" t="n">
        <v>2008.99583805687</v>
      </c>
      <c r="H24" t="n">
        <v>1871.74462089233</v>
      </c>
      <c r="I24" t="n">
        <v>1803.21392539055</v>
      </c>
      <c r="J24" t="n">
        <v>1740.35983813836</v>
      </c>
      <c r="K24" t="n">
        <v>1707.80439299781</v>
      </c>
      <c r="L24" t="n">
        <v>1705.31124789855</v>
      </c>
      <c r="M24" t="n">
        <v>1648.85956520949</v>
      </c>
      <c r="N24" t="n">
        <v>1612.93922331104</v>
      </c>
      <c r="O24" t="n">
        <v>1569.34627132966</v>
      </c>
      <c r="P24" t="n">
        <v>1545.46491502682</v>
      </c>
      <c r="Q24" t="n">
        <v>1497.73732206276</v>
      </c>
      <c r="R24" t="n">
        <v>1504.45865634277</v>
      </c>
      <c r="S24" t="n">
        <v>1542.12551519082</v>
      </c>
      <c r="T24" t="n">
        <v>1508.6737686574</v>
      </c>
      <c r="U24" t="n">
        <v>1551.77873347618</v>
      </c>
      <c r="V24" t="n">
        <v>1523.38587839498</v>
      </c>
      <c r="W24" t="n">
        <v>1519.07948721931</v>
      </c>
      <c r="X24" t="n">
        <v>1424.59128944969</v>
      </c>
      <c r="Y24" t="n">
        <v>1334.19052928767</v>
      </c>
      <c r="Z24" t="n">
        <v>1263.20073586704</v>
      </c>
      <c r="AA24" t="n">
        <v>1170.04735907296</v>
      </c>
      <c r="AB24" t="n">
        <v>1053.24575638772</v>
      </c>
      <c r="AC24" t="n">
        <v>950.066492182914</v>
      </c>
      <c r="AD24" t="n">
        <v>836.987377279102</v>
      </c>
      <c r="AE24" t="n">
        <v>726</v>
      </c>
      <c r="AF24" t="n">
        <v>631</v>
      </c>
    </row>
    <row r="25">
      <c r="A25" t="s">
        <v>144</v>
      </c>
      <c r="B25" t="s">
        <v>320</v>
      </c>
      <c r="C25" t="s">
        <v>236</v>
      </c>
      <c r="D25" t="s">
        <v>321</v>
      </c>
      <c r="E25" t="s">
        <v>237</v>
      </c>
      <c r="F25" t="n">
        <v>184.09222908007</v>
      </c>
      <c r="G25" t="n">
        <v>178.248031331497</v>
      </c>
      <c r="H25" t="n">
        <v>172.544094328889</v>
      </c>
      <c r="I25" t="n">
        <v>171.185479412913</v>
      </c>
      <c r="J25" t="n">
        <v>168.468249580962</v>
      </c>
      <c r="K25" t="n">
        <v>184.386509383888</v>
      </c>
      <c r="L25" t="n">
        <v>192.877993368672</v>
      </c>
      <c r="M25" t="n">
        <v>191.736703467082</v>
      </c>
      <c r="N25" t="n">
        <v>191.736703467082</v>
      </c>
      <c r="O25" t="n">
        <v>192.851451743054</v>
      </c>
      <c r="P25" t="n">
        <v>186.201401682949</v>
      </c>
      <c r="Q25" t="n">
        <v>191.74311006637</v>
      </c>
      <c r="R25" t="n">
        <v>187.335222478637</v>
      </c>
      <c r="S25" t="n">
        <v>201.660857138768</v>
      </c>
      <c r="T25" t="n">
        <v>198.336777076041</v>
      </c>
      <c r="U25" t="n">
        <v>214.864841832378</v>
      </c>
      <c r="V25" t="n">
        <v>223.502624418604</v>
      </c>
      <c r="W25" t="n">
        <v>220.309729784053</v>
      </c>
      <c r="X25" t="n">
        <v>197.661065974477</v>
      </c>
      <c r="Y25" t="n">
        <v>182.218795195221</v>
      </c>
      <c r="Z25" t="n">
        <v>171.865454559129</v>
      </c>
      <c r="AA25" t="n">
        <v>164.746767092183</v>
      </c>
      <c r="AB25" t="n">
        <v>148.575305291723</v>
      </c>
      <c r="AC25" t="n">
        <v>136.363636363636</v>
      </c>
      <c r="AD25" t="n">
        <v>122.222222222222</v>
      </c>
      <c r="AE25" t="n">
        <v>110</v>
      </c>
      <c r="AF25" t="n">
        <v>97</v>
      </c>
    </row>
    <row r="26">
      <c r="A26" t="s">
        <v>144</v>
      </c>
      <c r="B26" t="s">
        <v>322</v>
      </c>
      <c r="C26" t="s">
        <v>236</v>
      </c>
      <c r="D26" t="s">
        <v>323</v>
      </c>
      <c r="E26" t="s">
        <v>237</v>
      </c>
      <c r="F26" t="n">
        <v>1567.1870155389</v>
      </c>
      <c r="G26" t="n">
        <v>1439.47861688834</v>
      </c>
      <c r="H26" t="n">
        <v>1331.66956435767</v>
      </c>
      <c r="I26" t="n">
        <v>1274.27001416984</v>
      </c>
      <c r="J26" t="n">
        <v>1211.66941303705</v>
      </c>
      <c r="K26" t="n">
        <v>1154.9989059685</v>
      </c>
      <c r="L26" t="n">
        <v>1122.84690216209</v>
      </c>
      <c r="M26" t="n">
        <v>1064.30431080849</v>
      </c>
      <c r="N26" t="n">
        <v>1001.96978501277</v>
      </c>
      <c r="O26" t="n">
        <v>947.19239357699</v>
      </c>
      <c r="P26" t="n">
        <v>915.468246423693</v>
      </c>
      <c r="Q26" t="n">
        <v>858.465242287722</v>
      </c>
      <c r="R26" t="n">
        <v>856.217951077545</v>
      </c>
      <c r="S26" t="n">
        <v>865.14851640821</v>
      </c>
      <c r="T26" t="n">
        <v>828.070722847859</v>
      </c>
      <c r="U26" t="n">
        <v>816.940740013882</v>
      </c>
      <c r="V26" t="n">
        <v>785.011789258622</v>
      </c>
      <c r="W26" t="n">
        <v>774.169084987094</v>
      </c>
      <c r="X26" t="n">
        <v>722.975717693751</v>
      </c>
      <c r="Y26" t="n">
        <v>669.61571537482</v>
      </c>
      <c r="Z26" t="n">
        <v>618.106814192141</v>
      </c>
      <c r="AA26" t="n">
        <v>560.416844867541</v>
      </c>
      <c r="AB26" t="n">
        <v>500.189897969208</v>
      </c>
      <c r="AC26" t="n">
        <v>442.791057218643</v>
      </c>
      <c r="AD26" t="n">
        <v>381.12380952381</v>
      </c>
      <c r="AE26" t="n">
        <v>321</v>
      </c>
      <c r="AF26" t="n">
        <v>270</v>
      </c>
    </row>
    <row r="27">
      <c r="A27" t="s">
        <v>144</v>
      </c>
      <c r="B27" t="s">
        <v>324</v>
      </c>
      <c r="C27" t="s">
        <v>236</v>
      </c>
      <c r="D27" t="s">
        <v>325</v>
      </c>
      <c r="E27" t="s">
        <v>237</v>
      </c>
      <c r="F27" t="n">
        <v>416.18535512509</v>
      </c>
      <c r="G27" t="n">
        <v>389.981092024621</v>
      </c>
      <c r="H27" t="n">
        <v>365.889595992212</v>
      </c>
      <c r="I27" t="n">
        <v>355.8848023518</v>
      </c>
      <c r="J27" t="n">
        <v>358.743314820489</v>
      </c>
      <c r="K27" t="n">
        <v>367.086182607012</v>
      </c>
      <c r="L27" t="n">
        <v>389.059651284193</v>
      </c>
      <c r="M27" t="n">
        <v>392.684430643983</v>
      </c>
      <c r="N27" t="n">
        <v>420.136533698122</v>
      </c>
      <c r="O27" t="n">
        <v>430.757962920827</v>
      </c>
      <c r="P27" t="n">
        <v>445.892702158586</v>
      </c>
      <c r="Q27" t="n">
        <v>449.331463357752</v>
      </c>
      <c r="R27" t="n">
        <v>462.845191579038</v>
      </c>
      <c r="S27" t="n">
        <v>477.137323385517</v>
      </c>
      <c r="T27" t="n">
        <v>483.779606309677</v>
      </c>
      <c r="U27" t="n">
        <v>521.077807249652</v>
      </c>
      <c r="V27" t="n">
        <v>515.649913424135</v>
      </c>
      <c r="W27" t="n">
        <v>525.298248602549</v>
      </c>
      <c r="X27" t="n">
        <v>504.617215193</v>
      </c>
      <c r="Y27" t="n">
        <v>482.902130112973</v>
      </c>
      <c r="Z27" t="n">
        <v>473.555637272077</v>
      </c>
      <c r="AA27" t="n">
        <v>445.040459113758</v>
      </c>
      <c r="AB27" t="n">
        <v>404.582235557962</v>
      </c>
      <c r="AC27" t="n">
        <v>370.951974163975</v>
      </c>
      <c r="AD27" t="n">
        <v>333.655172413793</v>
      </c>
      <c r="AE27" t="n">
        <v>295</v>
      </c>
      <c r="AF27" t="n">
        <v>264</v>
      </c>
    </row>
    <row r="28">
      <c r="A28" t="s">
        <v>144</v>
      </c>
      <c r="B28" t="s">
        <v>326</v>
      </c>
      <c r="C28" t="s">
        <v>236</v>
      </c>
      <c r="D28" t="s">
        <v>327</v>
      </c>
      <c r="E28" t="s">
        <v>237</v>
      </c>
      <c r="F28" t="n">
        <v>10279.6687035808</v>
      </c>
      <c r="G28" t="n">
        <v>9810.70273347627</v>
      </c>
      <c r="H28" t="n">
        <v>9756.63175066898</v>
      </c>
      <c r="I28" t="n">
        <v>9761.14383564694</v>
      </c>
      <c r="J28" t="n">
        <v>9764.06502189133</v>
      </c>
      <c r="K28" t="n">
        <v>9409.62676786594</v>
      </c>
      <c r="L28" t="n">
        <v>9318.5742555974</v>
      </c>
      <c r="M28" t="n">
        <v>8877.88078353613</v>
      </c>
      <c r="N28" t="n">
        <v>8347.24325853765</v>
      </c>
      <c r="O28" t="n">
        <v>8454.33633191373</v>
      </c>
      <c r="P28" t="n">
        <v>8453.14187919659</v>
      </c>
      <c r="Q28" t="n">
        <v>8543.46084205599</v>
      </c>
      <c r="R28" t="n">
        <v>8670.53205558115</v>
      </c>
      <c r="S28" t="n">
        <v>8430.47231645363</v>
      </c>
      <c r="T28" t="n">
        <v>8484.03313167887</v>
      </c>
      <c r="U28" t="n">
        <v>8155.59616154728</v>
      </c>
      <c r="V28" t="n">
        <v>8053.15647239282</v>
      </c>
      <c r="W28" t="n">
        <v>7951.01439942104</v>
      </c>
      <c r="X28" t="n">
        <v>7913.20537989932</v>
      </c>
      <c r="Y28" t="n">
        <v>7556.00045373656</v>
      </c>
      <c r="Z28" t="n">
        <v>7401.31068066794</v>
      </c>
      <c r="AA28" t="n">
        <v>7574.99697684788</v>
      </c>
      <c r="AB28" t="n">
        <v>7658.2725950787</v>
      </c>
      <c r="AC28" t="n">
        <v>7335.41982909238</v>
      </c>
      <c r="AD28" t="n">
        <v>7744.48097679439</v>
      </c>
      <c r="AE28" t="n">
        <v>7483</v>
      </c>
      <c r="AF28" t="n">
        <v>6961</v>
      </c>
    </row>
    <row r="29">
      <c r="A29" t="s">
        <v>144</v>
      </c>
      <c r="B29" t="s">
        <v>328</v>
      </c>
      <c r="C29" t="s">
        <v>236</v>
      </c>
      <c r="D29" t="s">
        <v>329</v>
      </c>
      <c r="E29" t="s">
        <v>237</v>
      </c>
      <c r="F29" t="n">
        <v>2943.34593586572</v>
      </c>
      <c r="G29" t="n">
        <v>2923.99161256463</v>
      </c>
      <c r="H29" t="n">
        <v>2932.65957189042</v>
      </c>
      <c r="I29" t="n">
        <v>2991.31276332823</v>
      </c>
      <c r="J29" t="n">
        <v>3058.9655131862</v>
      </c>
      <c r="K29" t="n">
        <v>3016.58689776423</v>
      </c>
      <c r="L29" t="n">
        <v>2983.54134489357</v>
      </c>
      <c r="M29" t="n">
        <v>2923.31284671628</v>
      </c>
      <c r="N29" t="n">
        <v>2895.80708037533</v>
      </c>
      <c r="O29" t="n">
        <v>2943.70764862214</v>
      </c>
      <c r="P29" t="n">
        <v>3024.81641924913</v>
      </c>
      <c r="Q29" t="n">
        <v>2961.97997500971</v>
      </c>
      <c r="R29" t="n">
        <v>2878.11992490055</v>
      </c>
      <c r="S29" t="n">
        <v>2906.96522481603</v>
      </c>
      <c r="T29" t="n">
        <v>2820.96033650786</v>
      </c>
      <c r="U29" t="n">
        <v>2752.88286232366</v>
      </c>
      <c r="V29" t="n">
        <v>2757.09055489122</v>
      </c>
      <c r="W29" t="n">
        <v>2660.62350387358</v>
      </c>
      <c r="X29" t="n">
        <v>2581.70670502987</v>
      </c>
      <c r="Y29" t="n">
        <v>2577.41637398703</v>
      </c>
      <c r="Z29" t="n">
        <v>2651.63239462837</v>
      </c>
      <c r="AA29" t="n">
        <v>2792.18569402718</v>
      </c>
      <c r="AB29" t="n">
        <v>2951.50269916989</v>
      </c>
      <c r="AC29" t="n">
        <v>2711.66759048908</v>
      </c>
      <c r="AD29" t="n">
        <v>3064.65366509751</v>
      </c>
      <c r="AE29" t="n">
        <v>3028</v>
      </c>
      <c r="AF29" t="n">
        <v>3063</v>
      </c>
    </row>
    <row r="30">
      <c r="A30" t="s">
        <v>144</v>
      </c>
      <c r="B30" t="s">
        <v>330</v>
      </c>
      <c r="C30" t="s">
        <v>236</v>
      </c>
      <c r="D30" t="s">
        <v>331</v>
      </c>
      <c r="E30" t="s">
        <v>237</v>
      </c>
      <c r="F30" t="n">
        <v>5311.12501168264</v>
      </c>
      <c r="G30" t="n">
        <v>4935.27053937186</v>
      </c>
      <c r="H30" t="n">
        <v>4935.27053937186</v>
      </c>
      <c r="I30" t="n">
        <v>4853.26010904402</v>
      </c>
      <c r="J30" t="n">
        <v>4652.99388856547</v>
      </c>
      <c r="K30" t="n">
        <v>4351.99903167904</v>
      </c>
      <c r="L30" t="n">
        <v>4247.11636047423</v>
      </c>
      <c r="M30" t="n">
        <v>4013.56089225864</v>
      </c>
      <c r="N30" t="n">
        <v>3661.57703531542</v>
      </c>
      <c r="O30" t="n">
        <v>3759.14072518097</v>
      </c>
      <c r="P30" t="n">
        <v>3578.07583630494</v>
      </c>
      <c r="Q30" t="n">
        <v>3538.93343655128</v>
      </c>
      <c r="R30" t="n">
        <v>3633.79860222543</v>
      </c>
      <c r="S30" t="n">
        <v>3348.86264833664</v>
      </c>
      <c r="T30" t="n">
        <v>3195.58599452928</v>
      </c>
      <c r="U30" t="n">
        <v>2972.74498700279</v>
      </c>
      <c r="V30" t="n">
        <v>2969.33717845827</v>
      </c>
      <c r="W30" t="n">
        <v>3079.0638162746</v>
      </c>
      <c r="X30" t="n">
        <v>3042.21475969124</v>
      </c>
      <c r="Y30" t="n">
        <v>2797.35608102823</v>
      </c>
      <c r="Z30" t="n">
        <v>2624.99271249804</v>
      </c>
      <c r="AA30" t="n">
        <v>2482.14285820926</v>
      </c>
      <c r="AB30" t="n">
        <v>2260.36020380378</v>
      </c>
      <c r="AC30" t="n">
        <v>2214.8292238704</v>
      </c>
      <c r="AD30" t="n">
        <v>2132.20138203356</v>
      </c>
      <c r="AE30" t="n">
        <v>2030</v>
      </c>
      <c r="AF30" t="n">
        <v>1889</v>
      </c>
    </row>
    <row r="31">
      <c r="A31" t="s">
        <v>144</v>
      </c>
      <c r="B31" t="s">
        <v>332</v>
      </c>
      <c r="C31" t="s">
        <v>236</v>
      </c>
      <c r="D31" t="s">
        <v>333</v>
      </c>
      <c r="E31" t="s">
        <v>237</v>
      </c>
      <c r="F31" t="n">
        <v>1612.57853790443</v>
      </c>
      <c r="G31" t="n">
        <v>1561.00776055448</v>
      </c>
      <c r="H31" t="n">
        <v>1439.02424813019</v>
      </c>
      <c r="I31" t="n">
        <v>1389.96660330757</v>
      </c>
      <c r="J31" t="n">
        <v>1589.03659845809</v>
      </c>
      <c r="K31" t="n">
        <v>1597.57980597668</v>
      </c>
      <c r="L31" t="n">
        <v>1681.08249800505</v>
      </c>
      <c r="M31" t="n">
        <v>1546.83456116347</v>
      </c>
      <c r="N31" t="n">
        <v>1401.4553730842</v>
      </c>
      <c r="O31" t="n">
        <v>1344.99177850746</v>
      </c>
      <c r="P31" t="n">
        <v>1480.63319990683</v>
      </c>
      <c r="Q31" t="n">
        <v>1676.99984887802</v>
      </c>
      <c r="R31" t="n">
        <v>1836.64563209025</v>
      </c>
      <c r="S31" t="n">
        <v>1869.59637275958</v>
      </c>
      <c r="T31" t="n">
        <v>2212.93274368302</v>
      </c>
      <c r="U31" t="n">
        <v>2114.48505876095</v>
      </c>
      <c r="V31" t="n">
        <v>1979.0677367856</v>
      </c>
      <c r="W31" t="n">
        <v>1883.10450850857</v>
      </c>
      <c r="X31" t="n">
        <v>1999.08810799457</v>
      </c>
      <c r="Y31" t="n">
        <v>1871.16824267701</v>
      </c>
      <c r="Z31" t="n">
        <v>1813.46161052096</v>
      </c>
      <c r="AA31" t="n">
        <v>1905.16506696208</v>
      </c>
      <c r="AB31" t="n">
        <v>2024.94780287948</v>
      </c>
      <c r="AC31" t="n">
        <v>2005.12605725624</v>
      </c>
      <c r="AD31" t="n">
        <v>2129.45862412762</v>
      </c>
      <c r="AE31" t="n">
        <v>2014</v>
      </c>
      <c r="AF31" t="n">
        <v>1538</v>
      </c>
    </row>
    <row r="32">
      <c r="A32" t="s">
        <v>144</v>
      </c>
      <c r="B32" t="s">
        <v>334</v>
      </c>
      <c r="C32" t="s">
        <v>236</v>
      </c>
      <c r="D32" t="s">
        <v>335</v>
      </c>
      <c r="E32" t="s">
        <v>237</v>
      </c>
      <c r="F32" t="n">
        <v>188.564443434332</v>
      </c>
      <c r="G32" t="n">
        <v>175.99348053871</v>
      </c>
      <c r="H32" t="n">
        <v>217.676146982089</v>
      </c>
      <c r="I32" t="n">
        <v>282.830912065163</v>
      </c>
      <c r="J32" t="n">
        <v>253.822613391813</v>
      </c>
      <c r="K32" t="n">
        <v>233.970565417034</v>
      </c>
      <c r="L32" t="n">
        <v>217.166049668849</v>
      </c>
      <c r="M32" t="n">
        <v>193.036488594533</v>
      </c>
      <c r="N32" t="n">
        <v>177.734815718137</v>
      </c>
      <c r="O32" t="n">
        <v>170.6725051598</v>
      </c>
      <c r="P32" t="n">
        <v>160.151597307484</v>
      </c>
      <c r="Q32" t="n">
        <v>174.179474443906</v>
      </c>
      <c r="R32" t="n">
        <v>163.797916364468</v>
      </c>
      <c r="S32" t="n">
        <v>159.183890551384</v>
      </c>
      <c r="T32" t="n">
        <v>169.641226427023</v>
      </c>
      <c r="U32" t="n">
        <v>198.104519451691</v>
      </c>
      <c r="V32" t="n">
        <v>202.606894893775</v>
      </c>
      <c r="W32" t="n">
        <v>183.785489357194</v>
      </c>
      <c r="X32" t="n">
        <v>172.03176620063</v>
      </c>
      <c r="Y32" t="n">
        <v>186.991050218076</v>
      </c>
      <c r="Z32" t="n">
        <v>200.961645924024</v>
      </c>
      <c r="AA32" t="n">
        <v>296.154004519614</v>
      </c>
      <c r="AB32" t="n">
        <v>322.041592327273</v>
      </c>
      <c r="AC32" t="n">
        <v>312.781610439268</v>
      </c>
      <c r="AD32" t="n">
        <v>335.987987987988</v>
      </c>
      <c r="AE32" t="n">
        <v>337</v>
      </c>
      <c r="AF32" t="n">
        <v>405</v>
      </c>
    </row>
    <row r="33">
      <c r="A33" t="s">
        <v>144</v>
      </c>
      <c r="B33" t="s">
        <v>336</v>
      </c>
      <c r="C33" t="s">
        <v>236</v>
      </c>
      <c r="D33" t="s">
        <v>337</v>
      </c>
      <c r="E33" t="s">
        <v>237</v>
      </c>
      <c r="F33" t="n">
        <v>47.063191294848</v>
      </c>
      <c r="G33" t="n">
        <v>42.651017110956</v>
      </c>
      <c r="H33" t="n">
        <v>38.3859153998604</v>
      </c>
      <c r="I33" t="n">
        <v>37.0149898498654</v>
      </c>
      <c r="J33" t="n">
        <v>35.6440642998704</v>
      </c>
      <c r="K33" t="n">
        <v>49.3533197998205</v>
      </c>
      <c r="L33" t="n">
        <v>50.6187895382775</v>
      </c>
      <c r="M33" t="n">
        <v>51.8239988129984</v>
      </c>
      <c r="N33" t="n">
        <v>49.5207099768651</v>
      </c>
      <c r="O33" t="n">
        <v>57.5822209033315</v>
      </c>
      <c r="P33" t="n">
        <v>49.5207099768651</v>
      </c>
      <c r="Q33" t="n">
        <v>71.4019539201311</v>
      </c>
      <c r="R33" t="n">
        <v>72.5353182680697</v>
      </c>
      <c r="S33" t="n">
        <v>70.2685895721925</v>
      </c>
      <c r="T33" t="n">
        <v>81.6022330515784</v>
      </c>
      <c r="U33" t="n">
        <v>107.31252565687</v>
      </c>
      <c r="V33" t="n">
        <v>110.631469749351</v>
      </c>
      <c r="W33" t="n">
        <v>101.868581056333</v>
      </c>
      <c r="X33" t="n">
        <v>100.807450003663</v>
      </c>
      <c r="Y33" t="n">
        <v>102.929712109003</v>
      </c>
      <c r="Z33" t="n">
        <v>93.3795326349718</v>
      </c>
      <c r="AA33" t="n">
        <v>89.2293311845286</v>
      </c>
      <c r="AB33" t="n">
        <v>94.3574536663981</v>
      </c>
      <c r="AC33" t="n">
        <v>87.1780821917808</v>
      </c>
      <c r="AD33" t="n">
        <v>81.0958904109589</v>
      </c>
      <c r="AE33" t="n">
        <v>74</v>
      </c>
      <c r="AF33" t="n">
        <v>66</v>
      </c>
    </row>
    <row r="34">
      <c r="A34" t="s">
        <v>144</v>
      </c>
      <c r="B34" t="s">
        <v>338</v>
      </c>
      <c r="C34" t="s">
        <v>236</v>
      </c>
      <c r="D34" t="s">
        <v>339</v>
      </c>
      <c r="E34" t="s">
        <v>237</v>
      </c>
      <c r="F34" t="n">
        <v>72.4031765811438</v>
      </c>
      <c r="G34" t="n">
        <v>78.1954307076353</v>
      </c>
      <c r="H34" t="n">
        <v>73.8512401127667</v>
      </c>
      <c r="I34" t="n">
        <v>77.9540867856982</v>
      </c>
      <c r="J34" t="n">
        <v>82.0569334586297</v>
      </c>
      <c r="K34" t="n">
        <v>84.6619154731894</v>
      </c>
      <c r="L34" t="n">
        <v>84.6619154731894</v>
      </c>
      <c r="M34" t="n">
        <v>85.775888045205</v>
      </c>
      <c r="N34" t="n">
        <v>87.9474295147038</v>
      </c>
      <c r="O34" t="n">
        <v>90.09248877116</v>
      </c>
      <c r="P34" t="n">
        <v>94.3321353015676</v>
      </c>
      <c r="Q34" t="n">
        <v>100.691605097179</v>
      </c>
      <c r="R34" t="n">
        <v>98.5717818319751</v>
      </c>
      <c r="S34" t="n">
        <v>95.3920469341695</v>
      </c>
      <c r="T34" t="n">
        <v>93.2484054300308</v>
      </c>
      <c r="U34" t="n">
        <v>97.486969313214</v>
      </c>
      <c r="V34" t="n">
        <v>96.4387223313515</v>
      </c>
      <c r="W34" t="n">
        <v>102.660575384987</v>
      </c>
      <c r="X34" t="n">
        <v>98.6346704679288</v>
      </c>
      <c r="Y34" t="n">
        <v>94.6087655508704</v>
      </c>
      <c r="Z34" t="n">
        <v>90.5395713336287</v>
      </c>
      <c r="AA34" t="n">
        <v>87.5215856225078</v>
      </c>
      <c r="AB34" t="n">
        <v>80.4796189632255</v>
      </c>
      <c r="AC34" t="n">
        <v>76.3524590163934</v>
      </c>
      <c r="AD34" t="n">
        <v>71.2622950819672</v>
      </c>
      <c r="AE34" t="n">
        <v>63</v>
      </c>
      <c r="AF34" t="n">
        <v>56</v>
      </c>
    </row>
    <row r="35">
      <c r="A35" t="s">
        <v>144</v>
      </c>
      <c r="B35" t="s">
        <v>340</v>
      </c>
      <c r="C35" t="s">
        <v>236</v>
      </c>
      <c r="D35" t="s">
        <v>341</v>
      </c>
      <c r="E35" t="s">
        <v>237</v>
      </c>
      <c r="F35" t="n">
        <v>204.980326938762</v>
      </c>
      <c r="G35" t="n">
        <v>202.072804570836</v>
      </c>
      <c r="H35" t="n">
        <v>203.485901106296</v>
      </c>
      <c r="I35" t="n">
        <v>208.912191802464</v>
      </c>
      <c r="J35" t="n">
        <v>215.695055172674</v>
      </c>
      <c r="K35" t="n">
        <v>232.897728284605</v>
      </c>
      <c r="L35" t="n">
        <v>242.601800296464</v>
      </c>
      <c r="M35" t="n">
        <v>240.323849119971</v>
      </c>
      <c r="N35" t="n">
        <v>231.463983714626</v>
      </c>
      <c r="O35" t="n">
        <v>271.333378038677</v>
      </c>
      <c r="P35" t="n">
        <v>294.309188275823</v>
      </c>
      <c r="Q35" t="n">
        <v>304.155964091743</v>
      </c>
      <c r="R35" t="n">
        <v>313.932405794692</v>
      </c>
      <c r="S35" t="n">
        <v>349.28998050877</v>
      </c>
      <c r="T35" t="n">
        <v>365.460812939731</v>
      </c>
      <c r="U35" t="n">
        <v>423.165151824952</v>
      </c>
      <c r="V35" t="n">
        <v>398.893833889855</v>
      </c>
      <c r="W35" t="n">
        <v>383.312043503532</v>
      </c>
      <c r="X35" t="n">
        <v>352.12392447831</v>
      </c>
      <c r="Y35" t="n">
        <v>319.929737097436</v>
      </c>
      <c r="Z35" t="n">
        <v>289.652474911559</v>
      </c>
      <c r="AA35" t="n">
        <v>265.845422179102</v>
      </c>
      <c r="AB35" t="n">
        <v>241.859369050161</v>
      </c>
      <c r="AC35" t="n">
        <v>226.616131504983</v>
      </c>
      <c r="AD35" t="n">
        <v>200.429378531073</v>
      </c>
      <c r="AE35" t="n">
        <v>181</v>
      </c>
      <c r="AF35" t="n">
        <v>169</v>
      </c>
    </row>
    <row r="36">
      <c r="A36" t="s">
        <v>144</v>
      </c>
      <c r="B36" t="s">
        <v>342</v>
      </c>
      <c r="C36" t="s">
        <v>236</v>
      </c>
      <c r="D36" t="s">
        <v>343</v>
      </c>
      <c r="E36" t="s">
        <v>237</v>
      </c>
      <c r="F36" t="n">
        <v>42.0956332959515</v>
      </c>
      <c r="G36" t="n">
        <v>42.0956332959515</v>
      </c>
      <c r="H36" t="n">
        <v>43.5990487708069</v>
      </c>
      <c r="I36" t="n">
        <v>47.9589536478876</v>
      </c>
      <c r="J36" t="n">
        <v>49.4122552735812</v>
      </c>
      <c r="K36" t="n">
        <v>53.7721601506619</v>
      </c>
      <c r="L36" t="n">
        <v>56.460768158195</v>
      </c>
      <c r="M36" t="n">
        <v>53.9514006844974</v>
      </c>
      <c r="N36" t="n">
        <v>52.7524806692863</v>
      </c>
      <c r="O36" t="n">
        <v>50.3546406388642</v>
      </c>
      <c r="P36" t="n">
        <v>52.6967169476486</v>
      </c>
      <c r="Q36" t="n">
        <v>55.038793256433</v>
      </c>
      <c r="R36" t="n">
        <v>55.038793256433</v>
      </c>
      <c r="S36" t="n">
        <v>53.8677551020408</v>
      </c>
      <c r="T36" t="n">
        <v>53.8677551020408</v>
      </c>
      <c r="U36" t="n">
        <v>56.16</v>
      </c>
      <c r="V36" t="n">
        <v>56.16</v>
      </c>
      <c r="W36" t="n">
        <v>55.0588235294118</v>
      </c>
      <c r="X36" t="n">
        <v>47.6470588235294</v>
      </c>
      <c r="Y36" t="n">
        <v>40.2352941176471</v>
      </c>
      <c r="Z36" t="n">
        <v>33.8823529411765</v>
      </c>
      <c r="AA36" t="n">
        <v>29.6470588235294</v>
      </c>
      <c r="AB36" t="n">
        <v>26.4705882352941</v>
      </c>
      <c r="AC36" t="n">
        <v>24.3529411764706</v>
      </c>
      <c r="AD36" t="n">
        <v>21.1764705882353</v>
      </c>
      <c r="AE36" t="n">
        <v>18</v>
      </c>
      <c r="AF36" t="n">
        <v>16</v>
      </c>
    </row>
    <row r="37">
      <c r="A37" t="s">
        <v>144</v>
      </c>
      <c r="B37" t="s">
        <v>344</v>
      </c>
      <c r="C37" t="s">
        <v>236</v>
      </c>
      <c r="D37" t="s">
        <v>345</v>
      </c>
      <c r="E37" t="s">
        <v>237</v>
      </c>
      <c r="F37" t="n">
        <v>75.759107192742</v>
      </c>
      <c r="G37" t="n">
        <v>72.9002729590536</v>
      </c>
      <c r="H37" t="n">
        <v>77.1060579374606</v>
      </c>
      <c r="I37" t="n">
        <v>81.1642715131164</v>
      </c>
      <c r="J37" t="n">
        <v>83.8697472302203</v>
      </c>
      <c r="K37" t="n">
        <v>95.66393043447</v>
      </c>
      <c r="L37" t="n">
        <v>100.447126956194</v>
      </c>
      <c r="M37" t="n">
        <v>99.3185075521913</v>
      </c>
      <c r="N37" t="n">
        <v>94.9043516609828</v>
      </c>
      <c r="O37" t="n">
        <v>139.045910573068</v>
      </c>
      <c r="P37" t="n">
        <v>162.037754053654</v>
      </c>
      <c r="Q37" t="n">
        <v>167.512002501412</v>
      </c>
      <c r="R37" t="n">
        <v>195.793249676976</v>
      </c>
      <c r="S37" t="n">
        <v>231.972437117286</v>
      </c>
      <c r="T37" t="n">
        <v>261.904364487259</v>
      </c>
      <c r="U37" t="n">
        <v>314.921442318688</v>
      </c>
      <c r="V37" t="n">
        <v>299.175370202753</v>
      </c>
      <c r="W37" t="n">
        <v>280.541610120921</v>
      </c>
      <c r="X37" t="n">
        <v>258.499055039991</v>
      </c>
      <c r="Y37" t="n">
        <v>237.458434280922</v>
      </c>
      <c r="Z37" t="n">
        <v>214.316298736595</v>
      </c>
      <c r="AA37" t="n">
        <v>196.538909901302</v>
      </c>
      <c r="AB37" t="n">
        <v>178.581039961081</v>
      </c>
      <c r="AC37" t="n">
        <v>165.390394963956</v>
      </c>
      <c r="AD37" t="n">
        <v>148.246268656716</v>
      </c>
      <c r="AE37" t="n">
        <v>137</v>
      </c>
      <c r="AF37" t="n">
        <v>129</v>
      </c>
    </row>
    <row r="38">
      <c r="A38" t="s">
        <v>144</v>
      </c>
      <c r="B38" t="s">
        <v>346</v>
      </c>
      <c r="C38" t="s">
        <v>236</v>
      </c>
      <c r="D38" t="s">
        <v>347</v>
      </c>
      <c r="E38" t="s">
        <v>237</v>
      </c>
      <c r="F38" t="n">
        <v>86.9070645790944</v>
      </c>
      <c r="G38" t="n">
        <v>86.9070645790944</v>
      </c>
      <c r="H38" t="n">
        <v>82.7686329324708</v>
      </c>
      <c r="I38" t="n">
        <v>80.141057283821</v>
      </c>
      <c r="J38" t="n">
        <v>82.7686329324708</v>
      </c>
      <c r="K38" t="n">
        <v>84.0419965160473</v>
      </c>
      <c r="L38" t="n">
        <v>86.3764964192708</v>
      </c>
      <c r="M38" t="n">
        <v>87.4698697916667</v>
      </c>
      <c r="N38" t="n">
        <v>84.2697526041667</v>
      </c>
      <c r="O38" t="n">
        <v>82.1363411458333</v>
      </c>
      <c r="P38" t="n">
        <v>80.030281116453</v>
      </c>
      <c r="Q38" t="n">
        <v>82.1363411458333</v>
      </c>
      <c r="R38" t="n">
        <v>64.4614322916667</v>
      </c>
      <c r="S38" t="n">
        <v>64.4614322916667</v>
      </c>
      <c r="T38" t="n">
        <v>50.72375</v>
      </c>
      <c r="U38" t="n">
        <v>52.8372395833333</v>
      </c>
      <c r="V38" t="n">
        <v>44.5490451388889</v>
      </c>
      <c r="W38" t="n">
        <v>48.5989583333333</v>
      </c>
      <c r="X38" t="n">
        <v>46.6153273809524</v>
      </c>
      <c r="Y38" t="n">
        <v>42.6480654761905</v>
      </c>
      <c r="Z38" t="n">
        <v>41.65625</v>
      </c>
      <c r="AA38" t="n">
        <v>39.71875</v>
      </c>
      <c r="AB38" t="n">
        <v>36.8125</v>
      </c>
      <c r="AC38" t="n">
        <v>36.8125</v>
      </c>
      <c r="AD38" t="n">
        <v>31</v>
      </c>
      <c r="AE38" t="n">
        <v>26</v>
      </c>
      <c r="AF38" t="n">
        <v>24</v>
      </c>
    </row>
    <row r="39">
      <c r="A39" t="s">
        <v>144</v>
      </c>
      <c r="B39" t="s">
        <v>348</v>
      </c>
      <c r="C39" t="s">
        <v>236</v>
      </c>
      <c r="D39" t="s">
        <v>349</v>
      </c>
      <c r="E39" t="s">
        <v>237</v>
      </c>
      <c r="F39" t="e">
        <v>#NUM!</v>
      </c>
      <c r="G39" t="e">
        <v>#NUM!</v>
      </c>
      <c r="H39" t="e">
        <v>#NUM!</v>
      </c>
      <c r="I39" t="e">
        <v>#NUM!</v>
      </c>
      <c r="J39" t="e">
        <v>#NUM!</v>
      </c>
      <c r="K39" t="e">
        <v>#NUM!</v>
      </c>
      <c r="L39" t="e">
        <v>#NUM!</v>
      </c>
      <c r="M39" t="e">
        <v>#NUM!</v>
      </c>
      <c r="N39" t="e">
        <v>#NUM!</v>
      </c>
      <c r="O39" t="e">
        <v>#NUM!</v>
      </c>
      <c r="P39" t="e">
        <v>#NUM!</v>
      </c>
      <c r="Q39" t="e">
        <v>#NUM!</v>
      </c>
      <c r="R39" t="e">
        <v>#NUM!</v>
      </c>
      <c r="S39" t="e">
        <v>#NUM!</v>
      </c>
      <c r="T39" t="e">
        <v>#NUM!</v>
      </c>
      <c r="U39" t="e">
        <v>#NUM!</v>
      </c>
      <c r="V39" t="e">
        <v>#NUM!</v>
      </c>
      <c r="W39" t="e">
        <v>#NUM!</v>
      </c>
      <c r="X39" t="e">
        <v>#NUM!</v>
      </c>
      <c r="Y39" t="e">
        <v>#NUM!</v>
      </c>
      <c r="Z39" t="e">
        <v>#NUM!</v>
      </c>
      <c r="AA39" t="e">
        <v>#NUM!</v>
      </c>
      <c r="AB39" t="e">
        <v>#NUM!</v>
      </c>
      <c r="AC39" t="e">
        <v>#NUM!</v>
      </c>
      <c r="AD39" t="e">
        <v>#NUM!</v>
      </c>
      <c r="AE39" t="n">
        <v>0</v>
      </c>
      <c r="AF39" t="e">
        <v>#NUM!</v>
      </c>
    </row>
    <row r="40">
      <c r="A40" t="s">
        <v>144</v>
      </c>
      <c r="B40" t="s">
        <v>350</v>
      </c>
      <c r="C40" t="s">
        <v>236</v>
      </c>
      <c r="D40" t="s">
        <v>351</v>
      </c>
      <c r="E40" t="s">
        <v>237</v>
      </c>
      <c r="F40" t="n">
        <v>82.6250395405194</v>
      </c>
      <c r="G40" t="n">
        <v>84.1273129867106</v>
      </c>
      <c r="H40" t="n">
        <v>78.2236418999239</v>
      </c>
      <c r="I40" t="n">
        <v>69.8425374106464</v>
      </c>
      <c r="J40" t="n">
        <v>67.0488359142205</v>
      </c>
      <c r="K40" t="n">
        <v>63.1806338422463</v>
      </c>
      <c r="L40" t="n">
        <v>57.3305751531494</v>
      </c>
      <c r="M40" t="n">
        <v>61.8270908514356</v>
      </c>
      <c r="N40" t="n">
        <v>67.1570124765594</v>
      </c>
      <c r="O40" t="n">
        <v>70.3049974363981</v>
      </c>
      <c r="P40" t="n">
        <v>84.9955939156455</v>
      </c>
      <c r="Q40" t="n">
        <v>98.4705051461746</v>
      </c>
      <c r="R40" t="n">
        <v>108.835821477351</v>
      </c>
      <c r="S40" t="n">
        <v>131.639517405939</v>
      </c>
      <c r="T40" t="n">
        <v>156.914304747879</v>
      </c>
      <c r="U40" t="n">
        <v>169.467449127709</v>
      </c>
      <c r="V40" t="n">
        <v>165.359147330674</v>
      </c>
      <c r="W40" t="n">
        <v>174.545766626822</v>
      </c>
      <c r="X40" t="n">
        <v>184.4071093741</v>
      </c>
      <c r="Y40" t="n">
        <v>190.323915022467</v>
      </c>
      <c r="Z40" t="n">
        <v>192.306455803951</v>
      </c>
      <c r="AA40" t="n">
        <v>197.187330316742</v>
      </c>
      <c r="AB40" t="n">
        <v>189.299837104072</v>
      </c>
      <c r="AC40" t="n">
        <v>183.258352941176</v>
      </c>
      <c r="AD40" t="n">
        <v>170.24</v>
      </c>
      <c r="AE40" t="n">
        <v>152</v>
      </c>
      <c r="AF40" t="n">
        <v>135</v>
      </c>
    </row>
    <row r="41">
      <c r="A41" t="s">
        <v>144</v>
      </c>
      <c r="B41" t="s">
        <v>352</v>
      </c>
      <c r="C41" t="s">
        <v>236</v>
      </c>
      <c r="D41" t="s">
        <v>353</v>
      </c>
      <c r="E41" t="s">
        <v>237</v>
      </c>
      <c r="F41" t="e">
        <v>#NUM!</v>
      </c>
      <c r="G41" t="e">
        <v>#NUM!</v>
      </c>
      <c r="H41" t="e">
        <v>#NUM!</v>
      </c>
      <c r="I41" t="e">
        <v>#NUM!</v>
      </c>
      <c r="J41" t="e">
        <v>#NUM!</v>
      </c>
      <c r="K41" t="e">
        <v>#NUM!</v>
      </c>
      <c r="L41" t="e">
        <v>#NUM!</v>
      </c>
      <c r="M41" t="e">
        <v>#NUM!</v>
      </c>
      <c r="N41" t="e">
        <v>#NUM!</v>
      </c>
      <c r="O41" t="e">
        <v>#NUM!</v>
      </c>
      <c r="P41" t="e">
        <v>#NUM!</v>
      </c>
      <c r="Q41" t="e">
        <v>#NUM!</v>
      </c>
      <c r="R41" t="e">
        <v>#NUM!</v>
      </c>
      <c r="S41" t="e">
        <v>#NUM!</v>
      </c>
      <c r="T41" t="e">
        <v>#NUM!</v>
      </c>
      <c r="U41" t="e">
        <v>#NUM!</v>
      </c>
      <c r="V41" t="e">
        <v>#NUM!</v>
      </c>
      <c r="W41" t="e">
        <v>#NUM!</v>
      </c>
      <c r="X41" t="e">
        <v>#NUM!</v>
      </c>
      <c r="Y41" t="e">
        <v>#NUM!</v>
      </c>
      <c r="Z41" t="e">
        <v>#NUM!</v>
      </c>
      <c r="AA41" t="e">
        <v>#NUM!</v>
      </c>
      <c r="AB41" t="e">
        <v>#NUM!</v>
      </c>
      <c r="AC41" t="e">
        <v>#NUM!</v>
      </c>
      <c r="AD41" t="e">
        <v>#NUM!</v>
      </c>
      <c r="AE41" t="n">
        <v>0</v>
      </c>
      <c r="AF41" t="e">
        <v>#NUM!</v>
      </c>
    </row>
    <row r="42">
      <c r="A42" t="s">
        <v>144</v>
      </c>
      <c r="B42" t="s">
        <v>354</v>
      </c>
      <c r="C42" t="s">
        <v>236</v>
      </c>
      <c r="D42" t="s">
        <v>355</v>
      </c>
      <c r="E42" t="s">
        <v>237</v>
      </c>
      <c r="F42" t="n">
        <v>163.558054588839</v>
      </c>
      <c r="G42" t="n">
        <v>174.93600621241</v>
      </c>
      <c r="H42" t="n">
        <v>201.526279156697</v>
      </c>
      <c r="I42" t="n">
        <v>216.20700147937</v>
      </c>
      <c r="J42" t="n">
        <v>233.556946042529</v>
      </c>
      <c r="K42" t="n">
        <v>241.34217757728</v>
      </c>
      <c r="L42" t="n">
        <v>242.542884928411</v>
      </c>
      <c r="M42" t="n">
        <v>235.836630045598</v>
      </c>
      <c r="N42" t="n">
        <v>238.02030254602</v>
      </c>
      <c r="O42" t="n">
        <v>242.367705332249</v>
      </c>
      <c r="P42" t="n">
        <v>241.28570664773</v>
      </c>
      <c r="Q42" t="n">
        <v>240.203707963211</v>
      </c>
      <c r="R42" t="n">
        <v>250.927087782997</v>
      </c>
      <c r="S42" t="n">
        <v>262.622841874577</v>
      </c>
      <c r="T42" t="n">
        <v>233.680732770032</v>
      </c>
      <c r="U42" t="n">
        <v>222.049565075596</v>
      </c>
      <c r="V42" t="n">
        <v>225.191775902137</v>
      </c>
      <c r="W42" t="n">
        <v>207.550023872938</v>
      </c>
      <c r="X42" t="n">
        <v>188.313680196909</v>
      </c>
      <c r="Y42" t="n">
        <v>172.114653943412</v>
      </c>
      <c r="Z42" t="n">
        <v>153.782915653581</v>
      </c>
      <c r="AA42" t="n">
        <v>138.706159216955</v>
      </c>
      <c r="AB42" t="n">
        <v>127.64987116343</v>
      </c>
      <c r="AC42" t="n">
        <v>113.353085593126</v>
      </c>
      <c r="AD42" t="n">
        <v>103.32183908046</v>
      </c>
      <c r="AE42" t="n">
        <v>89</v>
      </c>
      <c r="AF42" t="n">
        <v>79</v>
      </c>
    </row>
    <row r="43">
      <c r="A43" t="s">
        <v>144</v>
      </c>
      <c r="B43" t="s">
        <v>356</v>
      </c>
      <c r="C43" t="s">
        <v>236</v>
      </c>
      <c r="D43" t="s">
        <v>357</v>
      </c>
      <c r="E43" t="s">
        <v>237</v>
      </c>
      <c r="F43" t="n">
        <v>644.315033019476</v>
      </c>
      <c r="G43" t="n">
        <v>671.366427535561</v>
      </c>
      <c r="H43" t="n">
        <v>753.47599061545</v>
      </c>
      <c r="I43" t="n">
        <v>820.502995915597</v>
      </c>
      <c r="J43" t="n">
        <v>871.208237236224</v>
      </c>
      <c r="K43" t="n">
        <v>916.23191874714</v>
      </c>
      <c r="L43" t="n">
        <v>892.02956617646</v>
      </c>
      <c r="M43" t="n">
        <v>862.078208480025</v>
      </c>
      <c r="N43" t="n">
        <v>878.572051754515</v>
      </c>
      <c r="O43" t="n">
        <v>899.282807316966</v>
      </c>
      <c r="P43" t="n">
        <v>915.495838698883</v>
      </c>
      <c r="Q43" t="n">
        <v>1064.2774874554</v>
      </c>
      <c r="R43" t="n">
        <v>1090.31485717908</v>
      </c>
      <c r="S43" t="n">
        <v>1078.45188642837</v>
      </c>
      <c r="T43" t="n">
        <v>990.569992262679</v>
      </c>
      <c r="U43" t="n">
        <v>945.495301390488</v>
      </c>
      <c r="V43" t="n">
        <v>938.058821491911</v>
      </c>
      <c r="W43" t="n">
        <v>926.529606926088</v>
      </c>
      <c r="X43" t="n">
        <v>894.126385700258</v>
      </c>
      <c r="Y43" t="n">
        <v>891.088583710336</v>
      </c>
      <c r="Z43" t="n">
        <v>895.157481352849</v>
      </c>
      <c r="AA43" t="n">
        <v>890.128506738507</v>
      </c>
      <c r="AB43" t="n">
        <v>1002.7901535435</v>
      </c>
      <c r="AC43" t="n">
        <v>983.407637859542</v>
      </c>
      <c r="AD43" t="n">
        <v>969.214125560538</v>
      </c>
      <c r="AE43" t="n">
        <v>911</v>
      </c>
      <c r="AF43" t="n">
        <v>865</v>
      </c>
    </row>
    <row r="44">
      <c r="A44" t="s">
        <v>144</v>
      </c>
      <c r="B44" t="s">
        <v>358</v>
      </c>
      <c r="C44" t="s">
        <v>236</v>
      </c>
      <c r="D44" t="s">
        <v>359</v>
      </c>
      <c r="E44" t="s">
        <v>237</v>
      </c>
      <c r="F44" t="n">
        <v>17345.0995136806</v>
      </c>
      <c r="G44" t="n">
        <v>16674.3749238392</v>
      </c>
      <c r="H44" t="n">
        <v>16536.6486712641</v>
      </c>
      <c r="I44" t="n">
        <v>16585.1032777544</v>
      </c>
      <c r="J44" t="n">
        <v>16650.2881410167</v>
      </c>
      <c r="K44" t="n">
        <v>16384.4468269502</v>
      </c>
      <c r="L44" t="n">
        <v>16307.9825594926</v>
      </c>
      <c r="M44" t="n">
        <v>15776.9674158097</v>
      </c>
      <c r="N44" t="n">
        <v>15241.2367404922</v>
      </c>
      <c r="O44" t="n">
        <v>15387.8100101623</v>
      </c>
      <c r="P44" t="n">
        <v>15420.7830476066</v>
      </c>
      <c r="Q44" t="n">
        <v>15678.96433954</v>
      </c>
      <c r="R44" t="n">
        <v>15904.2136989588</v>
      </c>
      <c r="S44" t="n">
        <v>15893.9381840061</v>
      </c>
      <c r="T44" t="n">
        <v>15807.7766109089</v>
      </c>
      <c r="U44" t="n">
        <v>15556.7152648067</v>
      </c>
      <c r="V44" t="n">
        <v>15321.8757205421</v>
      </c>
      <c r="W44" t="n">
        <v>15203.3333704265</v>
      </c>
      <c r="X44" t="n">
        <v>14937.0959409845</v>
      </c>
      <c r="Y44" t="n">
        <v>14418.2904558437</v>
      </c>
      <c r="Z44" t="n">
        <v>14164.4845507973</v>
      </c>
      <c r="AA44" t="n">
        <v>14156.2916597261</v>
      </c>
      <c r="AB44" t="n">
        <v>14168.5393525824</v>
      </c>
      <c r="AC44" t="n">
        <v>13619.347376811</v>
      </c>
      <c r="AD44" t="n">
        <v>13724.2212389381</v>
      </c>
      <c r="AE44" t="n">
        <v>13165</v>
      </c>
      <c r="AF44" t="n">
        <v>12520</v>
      </c>
    </row>
    <row r="45">
      <c r="A45" t="s">
        <v>144</v>
      </c>
      <c r="B45" t="s">
        <v>360</v>
      </c>
      <c r="C45" t="s">
        <v>236</v>
      </c>
      <c r="D45" t="s">
        <v>361</v>
      </c>
      <c r="E45" t="s">
        <v>237</v>
      </c>
      <c r="F45" t="n">
        <v>14718.5061778961</v>
      </c>
      <c r="G45" t="n">
        <v>14103.6680129268</v>
      </c>
      <c r="H45" t="n">
        <v>13976.4073044862</v>
      </c>
      <c r="I45" t="n">
        <v>14060.8477844788</v>
      </c>
      <c r="J45" t="n">
        <v>14127.1030881753</v>
      </c>
      <c r="K45" t="n">
        <v>13848.1092556662</v>
      </c>
      <c r="L45" t="n">
        <v>13756.9604406313</v>
      </c>
      <c r="M45" t="n">
        <v>13201.5287840036</v>
      </c>
      <c r="N45" t="n">
        <v>12658.8058362331</v>
      </c>
      <c r="O45" t="n">
        <v>12810.2466182858</v>
      </c>
      <c r="P45" t="n">
        <v>12880.1206907492</v>
      </c>
      <c r="Q45" t="n">
        <v>13206.2143851451</v>
      </c>
      <c r="R45" t="n">
        <v>13476.6961502326</v>
      </c>
      <c r="S45" t="n">
        <v>13454.8706109507</v>
      </c>
      <c r="T45" t="n">
        <v>13367.0284868693</v>
      </c>
      <c r="U45" t="n">
        <v>13140.739871924</v>
      </c>
      <c r="V45" t="n">
        <v>12912.4018543645</v>
      </c>
      <c r="W45" t="n">
        <v>12808.7459741353</v>
      </c>
      <c r="X45" t="n">
        <v>12535.898223739</v>
      </c>
      <c r="Y45" t="n">
        <v>12009.3342738545</v>
      </c>
      <c r="Z45" t="n">
        <v>11767.1077863776</v>
      </c>
      <c r="AA45" t="n">
        <v>11825.6301791726</v>
      </c>
      <c r="AB45" t="n">
        <v>11894.1460233446</v>
      </c>
      <c r="AC45" t="n">
        <v>11398.7698358135</v>
      </c>
      <c r="AD45" t="n">
        <v>11540.5405057471</v>
      </c>
      <c r="AE45" t="n">
        <v>11011</v>
      </c>
      <c r="AF45" t="n">
        <v>10398</v>
      </c>
    </row>
    <row r="46">
      <c r="A46" t="s">
        <v>144</v>
      </c>
      <c r="B46" t="s">
        <v>362</v>
      </c>
      <c r="C46" t="s">
        <v>236</v>
      </c>
      <c r="D46" t="s">
        <v>363</v>
      </c>
      <c r="E46" t="s">
        <v>237</v>
      </c>
      <c r="F46" t="n">
        <v>492.915105918308</v>
      </c>
      <c r="G46" t="n">
        <v>502.974597875824</v>
      </c>
      <c r="H46" t="n">
        <v>552.285832961689</v>
      </c>
      <c r="I46" t="n">
        <v>609.092375780606</v>
      </c>
      <c r="J46" t="n">
        <v>637.349238574551</v>
      </c>
      <c r="K46" t="n">
        <v>680.454984178627</v>
      </c>
      <c r="L46" t="n">
        <v>649.431200705438</v>
      </c>
      <c r="M46" t="n">
        <v>625.840751107163</v>
      </c>
      <c r="N46" t="n">
        <v>640.164571114898</v>
      </c>
      <c r="O46" t="n">
        <v>656.523120632314</v>
      </c>
      <c r="P46" t="n">
        <v>673.80004485948</v>
      </c>
      <c r="Q46" t="n">
        <v>823.77489355401</v>
      </c>
      <c r="R46" t="n">
        <v>839.009832140213</v>
      </c>
      <c r="S46" t="n">
        <v>815.192778840749</v>
      </c>
      <c r="T46" t="n">
        <v>756.420535773459</v>
      </c>
      <c r="U46" t="n">
        <v>723.017349720785</v>
      </c>
      <c r="V46" t="n">
        <v>712.353377011039</v>
      </c>
      <c r="W46" t="n">
        <v>718.657389196977</v>
      </c>
      <c r="X46" t="n">
        <v>705.498873620131</v>
      </c>
      <c r="Y46" t="n">
        <v>718.657389196977</v>
      </c>
      <c r="Z46" t="n">
        <v>741.020136809896</v>
      </c>
      <c r="AA46" t="n">
        <v>751.074684120749</v>
      </c>
      <c r="AB46" t="n">
        <v>875.06806905002</v>
      </c>
      <c r="AC46" t="n">
        <v>869.968604778167</v>
      </c>
      <c r="AD46" t="n">
        <v>865.908074534161</v>
      </c>
      <c r="AE46" t="n">
        <v>822</v>
      </c>
      <c r="AF46" t="n">
        <v>786</v>
      </c>
    </row>
    <row r="47">
      <c r="A47" t="s">
        <v>144</v>
      </c>
      <c r="B47" t="s">
        <v>364</v>
      </c>
      <c r="C47" t="s">
        <v>236</v>
      </c>
      <c r="D47" t="s">
        <v>365</v>
      </c>
      <c r="E47" t="s">
        <v>237</v>
      </c>
      <c r="F47" t="n">
        <v>201.024481020317</v>
      </c>
      <c r="G47" t="n">
        <v>227.436456628826</v>
      </c>
      <c r="H47" t="n">
        <v>230.315399117798</v>
      </c>
      <c r="I47" t="n">
        <v>237.170024091542</v>
      </c>
      <c r="J47" t="n">
        <v>260.475749002272</v>
      </c>
      <c r="K47" t="n">
        <v>285.725949160655</v>
      </c>
      <c r="L47" t="n">
        <v>283.294238955032</v>
      </c>
      <c r="M47" t="n">
        <v>302.792223012666</v>
      </c>
      <c r="N47" t="n">
        <v>311.730738821158</v>
      </c>
      <c r="O47" t="n">
        <v>320.637331358906</v>
      </c>
      <c r="P47" t="n">
        <v>341.644604792765</v>
      </c>
      <c r="Q47" t="n">
        <v>342.739619551716</v>
      </c>
      <c r="R47" t="n">
        <v>328.63957191193</v>
      </c>
      <c r="S47" t="n">
        <v>329.720623135325</v>
      </c>
      <c r="T47" t="n">
        <v>327.544249385257</v>
      </c>
      <c r="U47" t="n">
        <v>365.254935992112</v>
      </c>
      <c r="V47" t="n">
        <v>390.812132679607</v>
      </c>
      <c r="W47" t="n">
        <v>416.025818658936</v>
      </c>
      <c r="X47" t="n">
        <v>438.862558107995</v>
      </c>
      <c r="Y47" t="n">
        <v>442.807390090988</v>
      </c>
      <c r="Z47" t="n">
        <v>464.748296807208</v>
      </c>
      <c r="AA47" t="n">
        <v>490.622934316817</v>
      </c>
      <c r="AB47" t="n">
        <v>487.619120433244</v>
      </c>
      <c r="AC47" t="n">
        <v>477.460388757552</v>
      </c>
      <c r="AD47" t="n">
        <v>474.432098765432</v>
      </c>
      <c r="AE47" t="n">
        <v>498</v>
      </c>
      <c r="AF47" t="n">
        <v>524</v>
      </c>
    </row>
    <row r="48">
      <c r="A48" t="s">
        <v>144</v>
      </c>
      <c r="B48" t="s">
        <v>366</v>
      </c>
      <c r="C48" t="s">
        <v>236</v>
      </c>
      <c r="D48" t="s">
        <v>367</v>
      </c>
      <c r="E48" t="s">
        <v>237</v>
      </c>
      <c r="F48" t="n">
        <v>347.518064768184</v>
      </c>
      <c r="G48" t="n">
        <v>377.22046346632</v>
      </c>
      <c r="H48" t="n">
        <v>375.769615529911</v>
      </c>
      <c r="I48" t="n">
        <v>386.821663045496</v>
      </c>
      <c r="J48" t="n">
        <v>414.45178183446</v>
      </c>
      <c r="K48" t="n">
        <v>442.618407784375</v>
      </c>
      <c r="L48" t="n">
        <v>438.940138467607</v>
      </c>
      <c r="M48" t="n">
        <v>463.325701715808</v>
      </c>
      <c r="N48" t="n">
        <v>482.583738217443</v>
      </c>
      <c r="O48" t="n">
        <v>507.389444387498</v>
      </c>
      <c r="P48" t="n">
        <v>543.152577031551</v>
      </c>
      <c r="Q48" t="n">
        <v>557.592216093739</v>
      </c>
      <c r="R48" t="n">
        <v>568.568440819994</v>
      </c>
      <c r="S48" t="n">
        <v>585.001054716526</v>
      </c>
      <c r="T48" t="n">
        <v>590.509539224214</v>
      </c>
      <c r="U48" t="n">
        <v>634.089579019359</v>
      </c>
      <c r="V48" t="n">
        <v>666.276867294454</v>
      </c>
      <c r="W48" t="n">
        <v>687.42851387523</v>
      </c>
      <c r="X48" t="n">
        <v>703.508713030206</v>
      </c>
      <c r="Y48" t="n">
        <v>697.512900135063</v>
      </c>
      <c r="Z48" t="n">
        <v>714.648332652831</v>
      </c>
      <c r="AA48" t="n">
        <v>729.661953086714</v>
      </c>
      <c r="AB48" t="n">
        <v>706.545940798843</v>
      </c>
      <c r="AC48" t="n">
        <v>678.080780593998</v>
      </c>
      <c r="AD48" t="n">
        <v>660.901386748844</v>
      </c>
      <c r="AE48" t="n">
        <v>665</v>
      </c>
      <c r="AF48" t="n">
        <v>684</v>
      </c>
    </row>
    <row r="49">
      <c r="A49" t="s">
        <v>144</v>
      </c>
      <c r="B49" t="s">
        <v>368</v>
      </c>
      <c r="C49" t="s">
        <v>236</v>
      </c>
      <c r="D49" t="s">
        <v>369</v>
      </c>
      <c r="E49" t="s">
        <v>237</v>
      </c>
      <c r="F49" t="n">
        <v>121.537717304126</v>
      </c>
      <c r="G49" t="n">
        <v>118.536786012666</v>
      </c>
      <c r="H49" t="n">
        <v>114.146534678864</v>
      </c>
      <c r="I49" t="n">
        <v>111.362472857428</v>
      </c>
      <c r="J49" t="n">
        <v>111.362472857428</v>
      </c>
      <c r="K49" t="n">
        <v>112.720551794714</v>
      </c>
      <c r="L49" t="n">
        <v>107.765802265276</v>
      </c>
      <c r="M49" t="n">
        <v>108.937169681203</v>
      </c>
      <c r="N49" t="n">
        <v>106.643755582651</v>
      </c>
      <c r="O49" t="n">
        <v>105.509247544538</v>
      </c>
      <c r="P49" t="n">
        <v>105.509247544538</v>
      </c>
      <c r="Q49" t="n">
        <v>105.509247544538</v>
      </c>
      <c r="R49" t="n">
        <v>108.841118519628</v>
      </c>
      <c r="S49" t="n">
        <v>113.283613153083</v>
      </c>
      <c r="T49" t="n">
        <v>115.5268530175</v>
      </c>
      <c r="U49" t="n">
        <v>111.083512516827</v>
      </c>
      <c r="V49" t="n">
        <v>108.926551108733</v>
      </c>
      <c r="W49" t="n">
        <v>105.7228290173</v>
      </c>
      <c r="X49" t="n">
        <v>99.6234350355327</v>
      </c>
      <c r="Y49" t="n">
        <v>96.6045430647589</v>
      </c>
      <c r="Z49" t="n">
        <v>95.5876531377615</v>
      </c>
      <c r="AA49" t="n">
        <v>91.5629098477505</v>
      </c>
      <c r="AB49" t="n">
        <v>85.4587158579004</v>
      </c>
      <c r="AC49" t="n">
        <v>78.2513542795233</v>
      </c>
      <c r="AD49" t="n">
        <v>72.1538461538461</v>
      </c>
      <c r="AE49" t="n">
        <v>67</v>
      </c>
      <c r="AF49" t="n">
        <v>70</v>
      </c>
    </row>
    <row r="50">
      <c r="A50" t="s">
        <v>144</v>
      </c>
      <c r="B50" t="s">
        <v>370</v>
      </c>
      <c r="C50" t="s">
        <v>236</v>
      </c>
      <c r="D50" t="s">
        <v>371</v>
      </c>
      <c r="E50" t="s">
        <v>237</v>
      </c>
      <c r="F50" t="n">
        <v>24.5196507933925</v>
      </c>
      <c r="G50" t="n">
        <v>30.6495634917406</v>
      </c>
      <c r="H50" t="n">
        <v>30.6495634917406</v>
      </c>
      <c r="I50" t="n">
        <v>37.6153733762271</v>
      </c>
      <c r="J50" t="n">
        <v>41.794859306919</v>
      </c>
      <c r="K50" t="n">
        <v>43.1430805748841</v>
      </c>
      <c r="L50" t="n">
        <v>46.8410589098742</v>
      </c>
      <c r="M50" t="n">
        <v>50.4442172875568</v>
      </c>
      <c r="N50" t="n">
        <v>63.3485519425132</v>
      </c>
      <c r="O50" t="n">
        <v>80.9453719265447</v>
      </c>
      <c r="P50" t="n">
        <v>95.9780838557601</v>
      </c>
      <c r="Q50" t="n">
        <v>109.854433328882</v>
      </c>
      <c r="R50" t="n">
        <v>132.504831953394</v>
      </c>
      <c r="S50" t="n">
        <v>143.83003126565</v>
      </c>
      <c r="T50" t="n">
        <v>149.492630921778</v>
      </c>
      <c r="U50" t="n">
        <v>159.533180759807</v>
      </c>
      <c r="V50" t="n">
        <v>168.335011422418</v>
      </c>
      <c r="W50" t="n">
        <v>167.255940836376</v>
      </c>
      <c r="X50" t="n">
        <v>166.217084060995</v>
      </c>
      <c r="Y50" t="n">
        <v>158.945086633327</v>
      </c>
      <c r="Z50" t="n">
        <v>154.789659531802</v>
      </c>
      <c r="AA50" t="n">
        <v>147.661188369153</v>
      </c>
      <c r="AB50" t="n">
        <v>133.501896333755</v>
      </c>
      <c r="AC50" t="n">
        <v>122.376738305942</v>
      </c>
      <c r="AD50" t="n">
        <v>114.285714285714</v>
      </c>
      <c r="AE50" t="n">
        <v>100</v>
      </c>
      <c r="AF50" t="n">
        <v>90</v>
      </c>
    </row>
    <row r="51">
      <c r="A51" t="s">
        <v>144</v>
      </c>
      <c r="B51" t="s">
        <v>372</v>
      </c>
      <c r="C51" t="s">
        <v>236</v>
      </c>
      <c r="D51" t="s">
        <v>373</v>
      </c>
      <c r="E51" t="s">
        <v>237</v>
      </c>
      <c r="F51" t="n">
        <v>23.8955083023785</v>
      </c>
      <c r="G51" t="n">
        <v>27.0815760760289</v>
      </c>
      <c r="H51" t="n">
        <v>27.0815760760289</v>
      </c>
      <c r="I51" t="n">
        <v>29.9322682945583</v>
      </c>
      <c r="J51" t="n">
        <v>32.7829605130877</v>
      </c>
      <c r="K51" t="n">
        <v>32.7829605130877</v>
      </c>
      <c r="L51" t="n">
        <v>32.7829605130877</v>
      </c>
      <c r="M51" t="n">
        <v>33.9537805314122</v>
      </c>
      <c r="N51" t="n">
        <v>42.1495206596841</v>
      </c>
      <c r="O51" t="n">
        <v>52.6869008246052</v>
      </c>
      <c r="P51" t="n">
        <v>61.8498400984496</v>
      </c>
      <c r="Q51" t="n">
        <v>68.7220445538328</v>
      </c>
      <c r="R51" t="n">
        <v>82.2411352857344</v>
      </c>
      <c r="S51" t="n">
        <v>89.0006806516852</v>
      </c>
      <c r="T51" t="n">
        <v>94.6336351233108</v>
      </c>
      <c r="U51" t="n">
        <v>102.426993309936</v>
      </c>
      <c r="V51" t="n">
        <v>109.035186426706</v>
      </c>
      <c r="W51" t="n">
        <v>107.955630125452</v>
      </c>
      <c r="X51" t="n">
        <v>109.003743039291</v>
      </c>
      <c r="Y51" t="n">
        <v>103.763178470095</v>
      </c>
      <c r="Z51" t="n">
        <v>101.666952642416</v>
      </c>
      <c r="AA51" t="n">
        <v>96.5322580645161</v>
      </c>
      <c r="AB51" t="n">
        <v>89.4193548387097</v>
      </c>
      <c r="AC51" t="n">
        <v>81.2903225806452</v>
      </c>
      <c r="AD51" t="n">
        <v>73.1612903225806</v>
      </c>
      <c r="AE51" t="n">
        <v>63</v>
      </c>
      <c r="AF51" t="n">
        <v>57</v>
      </c>
    </row>
    <row r="52">
      <c r="A52" t="s">
        <v>144</v>
      </c>
      <c r="B52" t="s">
        <v>374</v>
      </c>
      <c r="C52" t="s">
        <v>236</v>
      </c>
      <c r="D52" t="s">
        <v>375</v>
      </c>
      <c r="E52" t="s">
        <v>237</v>
      </c>
      <c r="F52" t="n">
        <v>1.26557902247365</v>
      </c>
      <c r="G52" t="n">
        <v>3.79673706742095</v>
      </c>
      <c r="H52" t="n">
        <v>3.79673706742095</v>
      </c>
      <c r="I52" t="n">
        <v>7.5934741348419</v>
      </c>
      <c r="J52" t="n">
        <v>8.85905315731555</v>
      </c>
      <c r="K52" t="n">
        <v>10.1246321797892</v>
      </c>
      <c r="L52" t="n">
        <v>13.9213692472102</v>
      </c>
      <c r="M52" t="n">
        <v>16.4525272921575</v>
      </c>
      <c r="N52" t="n">
        <v>21.153249375631</v>
      </c>
      <c r="O52" t="n">
        <v>28.2043325008413</v>
      </c>
      <c r="P52" t="n">
        <v>34.0802351051833</v>
      </c>
      <c r="Q52" t="n">
        <v>41.1313182303936</v>
      </c>
      <c r="R52" t="n">
        <v>50.2716111704811</v>
      </c>
      <c r="S52" t="n">
        <v>54.8417576405248</v>
      </c>
      <c r="T52" t="n">
        <v>54.8417576405248</v>
      </c>
      <c r="U52" t="n">
        <v>57.0801967278932</v>
      </c>
      <c r="V52" t="n">
        <v>59.2755889097352</v>
      </c>
      <c r="W52" t="n">
        <v>59.2755889097352</v>
      </c>
      <c r="X52" t="n">
        <v>57.2316030852616</v>
      </c>
      <c r="Y52" t="n">
        <v>55.187617260788</v>
      </c>
      <c r="Z52" t="n">
        <v>53.1436314363144</v>
      </c>
      <c r="AA52" t="n">
        <v>51.1382113821138</v>
      </c>
      <c r="AB52" t="n">
        <v>44.1192411924119</v>
      </c>
      <c r="AC52" t="n">
        <v>41.1111111111111</v>
      </c>
      <c r="AD52" t="n">
        <v>41.1111111111111</v>
      </c>
      <c r="AE52" t="n">
        <v>37</v>
      </c>
      <c r="AF52" t="n">
        <v>33</v>
      </c>
    </row>
    <row r="53">
      <c r="A53" t="s">
        <v>144</v>
      </c>
      <c r="B53" t="s">
        <v>376</v>
      </c>
      <c r="C53" t="s">
        <v>236</v>
      </c>
      <c r="D53" t="s">
        <v>377</v>
      </c>
      <c r="E53" t="s">
        <v>237</v>
      </c>
      <c r="F53" t="n">
        <v>39.7657847312584</v>
      </c>
      <c r="G53" t="n">
        <v>44.1842052569538</v>
      </c>
      <c r="H53" t="n">
        <v>47.0347991444992</v>
      </c>
      <c r="I53" t="n">
        <v>51.1849284807786</v>
      </c>
      <c r="J53" t="n">
        <v>55.2258438871558</v>
      </c>
      <c r="K53" t="n">
        <v>59.2667592935331</v>
      </c>
      <c r="L53" t="n">
        <v>59.2667592935331</v>
      </c>
      <c r="M53" t="n">
        <v>59.2667592935331</v>
      </c>
      <c r="N53" t="n">
        <v>68.2126852246324</v>
      </c>
      <c r="O53" t="n">
        <v>78.2768518971191</v>
      </c>
      <c r="P53" t="n">
        <v>90.4042514868137</v>
      </c>
      <c r="Q53" t="n">
        <v>100.326669332927</v>
      </c>
      <c r="R53" t="n">
        <v>117.774785738654</v>
      </c>
      <c r="S53" t="n">
        <v>118.865293014012</v>
      </c>
      <c r="T53" t="n">
        <v>123.227322115443</v>
      </c>
      <c r="U53" t="n">
        <v>115.660732160986</v>
      </c>
      <c r="V53" t="n">
        <v>117.802597571375</v>
      </c>
      <c r="W53" t="n">
        <v>116.74131290857</v>
      </c>
      <c r="X53" t="n">
        <v>114.728531651526</v>
      </c>
      <c r="Y53" t="n">
        <v>109.696578508915</v>
      </c>
      <c r="Z53" t="n">
        <v>102.586615087041</v>
      </c>
      <c r="AA53" t="n">
        <v>100.575112830432</v>
      </c>
      <c r="AB53" t="n">
        <v>94.5406060606061</v>
      </c>
      <c r="AC53" t="n">
        <v>86.4080808080808</v>
      </c>
      <c r="AD53" t="n">
        <v>76.2424242424242</v>
      </c>
      <c r="AE53" t="n">
        <v>68</v>
      </c>
      <c r="AF53" t="n">
        <v>60</v>
      </c>
    </row>
    <row r="54">
      <c r="A54" t="s">
        <v>144</v>
      </c>
      <c r="B54" t="s">
        <v>378</v>
      </c>
      <c r="C54" t="s">
        <v>236</v>
      </c>
      <c r="D54" t="s">
        <v>379</v>
      </c>
      <c r="E54" t="s">
        <v>237</v>
      </c>
      <c r="F54" t="n">
        <v>95.7042982713158</v>
      </c>
      <c r="G54" t="n">
        <v>101.504558772608</v>
      </c>
      <c r="H54" t="n">
        <v>104.324129849625</v>
      </c>
      <c r="I54" t="n">
        <v>111.187559444995</v>
      </c>
      <c r="J54" t="n">
        <v>119.323234526336</v>
      </c>
      <c r="K54" t="n">
        <v>123.391072067006</v>
      </c>
      <c r="L54" t="n">
        <v>123.391072067006</v>
      </c>
      <c r="M54" t="n">
        <v>125.676091920099</v>
      </c>
      <c r="N54" t="n">
        <v>134.57351435692</v>
      </c>
      <c r="O54" t="n">
        <v>147.810253473994</v>
      </c>
      <c r="P54" t="n">
        <v>164.112854960096</v>
      </c>
      <c r="Q54" t="n">
        <v>174.909753312734</v>
      </c>
      <c r="R54" t="n">
        <v>193.151874823879</v>
      </c>
      <c r="S54" t="n">
        <v>195.298006766366</v>
      </c>
      <c r="T54" t="n">
        <v>199.590270651341</v>
      </c>
      <c r="U54" t="n">
        <v>192.198038404995</v>
      </c>
      <c r="V54" t="n">
        <v>189.081313457887</v>
      </c>
      <c r="W54" t="n">
        <v>183.91515735248</v>
      </c>
      <c r="X54" t="n">
        <v>174.027245666863</v>
      </c>
      <c r="Y54" t="n">
        <v>160.184169306999</v>
      </c>
      <c r="Z54" t="n">
        <v>150.23484202085</v>
      </c>
      <c r="AA54" t="n">
        <v>143.316132190942</v>
      </c>
      <c r="AB54" t="n">
        <v>132.368372093023</v>
      </c>
      <c r="AC54" t="n">
        <v>120.33488372093</v>
      </c>
      <c r="AD54" t="n">
        <v>100.279069767442</v>
      </c>
      <c r="AE54" t="n">
        <v>88</v>
      </c>
      <c r="AF54" t="n">
        <v>78</v>
      </c>
    </row>
    <row r="55">
      <c r="A55" t="s">
        <v>144</v>
      </c>
      <c r="B55" t="s">
        <v>380</v>
      </c>
      <c r="C55" t="s">
        <v>236</v>
      </c>
      <c r="D55" t="s">
        <v>381</v>
      </c>
      <c r="E55" t="s">
        <v>237</v>
      </c>
      <c r="F55" t="n">
        <v>53.9211874005674</v>
      </c>
      <c r="G55" t="n">
        <v>55.3037819492999</v>
      </c>
      <c r="H55" t="n">
        <v>55.3037819492999</v>
      </c>
      <c r="I55" t="n">
        <v>57.937295375457</v>
      </c>
      <c r="J55" t="n">
        <v>61.8875655146928</v>
      </c>
      <c r="K55" t="n">
        <v>61.8875655146928</v>
      </c>
      <c r="L55" t="n">
        <v>61.8875655146928</v>
      </c>
      <c r="M55" t="n">
        <v>64.0590590415241</v>
      </c>
      <c r="N55" t="n">
        <v>64.0590590415241</v>
      </c>
      <c r="O55" t="n">
        <v>67.2095045681564</v>
      </c>
      <c r="P55" t="n">
        <v>71.345474080043</v>
      </c>
      <c r="Q55" t="n">
        <v>72.3646951383293</v>
      </c>
      <c r="R55" t="n">
        <v>73.3839161966156</v>
      </c>
      <c r="S55" t="n">
        <v>74.403137254902</v>
      </c>
      <c r="T55" t="n">
        <v>74.403137254902</v>
      </c>
      <c r="U55" t="n">
        <v>74.403137254902</v>
      </c>
      <c r="V55" t="n">
        <v>69.5717647058823</v>
      </c>
      <c r="W55" t="n">
        <v>65.7066666666667</v>
      </c>
      <c r="X55" t="n">
        <v>58.1973333333333</v>
      </c>
      <c r="Y55" t="n">
        <v>49.7493333333333</v>
      </c>
      <c r="Z55" t="n">
        <v>46.9333333333333</v>
      </c>
      <c r="AA55" t="n">
        <v>42.24</v>
      </c>
      <c r="AB55" t="n">
        <v>37.44</v>
      </c>
      <c r="AC55" t="n">
        <v>33.6</v>
      </c>
      <c r="AD55" t="n">
        <v>24</v>
      </c>
      <c r="AE55" t="n">
        <v>20</v>
      </c>
      <c r="AF55" t="n">
        <v>18</v>
      </c>
    </row>
    <row r="56">
      <c r="A56" t="s">
        <v>144</v>
      </c>
      <c r="B56" t="s">
        <v>382</v>
      </c>
      <c r="C56" t="s">
        <v>236</v>
      </c>
      <c r="D56" t="s">
        <v>383</v>
      </c>
      <c r="E56" t="s">
        <v>237</v>
      </c>
      <c r="F56" t="e">
        <v>#NUM!</v>
      </c>
      <c r="G56" t="e">
        <v>#NUM!</v>
      </c>
      <c r="H56" t="e">
        <v>#NUM!</v>
      </c>
      <c r="I56" t="e">
        <v>#NUM!</v>
      </c>
      <c r="J56" t="e">
        <v>#NUM!</v>
      </c>
      <c r="K56" t="e">
        <v>#NUM!</v>
      </c>
      <c r="L56" t="e">
        <v>#NUM!</v>
      </c>
      <c r="M56" t="e">
        <v>#NUM!</v>
      </c>
      <c r="N56" t="e">
        <v>#NUM!</v>
      </c>
      <c r="O56" t="e">
        <v>#NUM!</v>
      </c>
      <c r="P56" t="e">
        <v>#NUM!</v>
      </c>
      <c r="Q56" t="e">
        <v>#NUM!</v>
      </c>
      <c r="R56" t="e">
        <v>#NUM!</v>
      </c>
      <c r="S56" t="e">
        <v>#NUM!</v>
      </c>
      <c r="T56" t="e">
        <v>#NUM!</v>
      </c>
      <c r="U56" t="e">
        <v>#NUM!</v>
      </c>
      <c r="V56" t="e">
        <v>#NUM!</v>
      </c>
      <c r="W56" t="e">
        <v>#NUM!</v>
      </c>
      <c r="X56" t="e">
        <v>#NUM!</v>
      </c>
      <c r="Y56" t="e">
        <v>#NUM!</v>
      </c>
      <c r="Z56" t="e">
        <v>#NUM!</v>
      </c>
      <c r="AA56" t="e">
        <v>#NUM!</v>
      </c>
      <c r="AB56" t="e">
        <v>#NUM!</v>
      </c>
      <c r="AC56" t="e">
        <v>#NUM!</v>
      </c>
      <c r="AD56" t="e">
        <v>#NUM!</v>
      </c>
      <c r="AE56" t="n">
        <v>0</v>
      </c>
      <c r="AF56" t="e">
        <v>#NUM!</v>
      </c>
    </row>
    <row r="57">
      <c r="A57" t="s">
        <v>144</v>
      </c>
      <c r="B57" t="s">
        <v>384</v>
      </c>
      <c r="C57" t="s">
        <v>236</v>
      </c>
      <c r="D57" t="s">
        <v>385</v>
      </c>
      <c r="E57" t="s">
        <v>237</v>
      </c>
      <c r="F57" t="n">
        <v>17732.0810837609</v>
      </c>
      <c r="G57" t="n">
        <v>17098.1603917183</v>
      </c>
      <c r="H57" t="n">
        <v>16953.180598535</v>
      </c>
      <c r="I57" t="n">
        <v>17004.4214324181</v>
      </c>
      <c r="J57" t="n">
        <v>17095.8985802541</v>
      </c>
      <c r="K57" t="n">
        <v>16856.9451936703</v>
      </c>
      <c r="L57" t="n">
        <v>16770.3175846395</v>
      </c>
      <c r="M57" t="n">
        <v>16272.2869830375</v>
      </c>
      <c r="N57" t="n">
        <v>15765.126844972</v>
      </c>
      <c r="O57" t="n">
        <v>15940.7960795041</v>
      </c>
      <c r="P57" t="n">
        <v>16027.6093640113</v>
      </c>
      <c r="Q57" t="n">
        <v>16315.0844575347</v>
      </c>
      <c r="R57" t="n">
        <v>16562.4562280547</v>
      </c>
      <c r="S57" t="n">
        <v>16594.3202361889</v>
      </c>
      <c r="T57" t="n">
        <v>16541.6434898729</v>
      </c>
      <c r="U57" t="n">
        <v>16350.2600607096</v>
      </c>
      <c r="V57" t="n">
        <v>16145.3359054387</v>
      </c>
      <c r="W57" t="n">
        <v>16059.209780379</v>
      </c>
      <c r="X57" t="n">
        <v>15821.7294235471</v>
      </c>
      <c r="Y57" t="n">
        <v>15305.2234852632</v>
      </c>
      <c r="Z57" t="n">
        <v>15072.2399895859</v>
      </c>
      <c r="AA57" t="n">
        <v>15084.5088052062</v>
      </c>
      <c r="AB57" t="n">
        <v>15065.1383221501</v>
      </c>
      <c r="AC57" t="n">
        <v>14481.4242703113</v>
      </c>
      <c r="AD57" t="n">
        <v>14555.7140785849</v>
      </c>
      <c r="AE57" t="n">
        <v>13982</v>
      </c>
      <c r="AF57" t="n">
        <v>13339</v>
      </c>
    </row>
    <row r="58">
      <c r="A58" t="s">
        <v>144</v>
      </c>
      <c r="B58" t="s">
        <v>386</v>
      </c>
      <c r="C58" t="s">
        <v>236</v>
      </c>
      <c r="D58" t="s">
        <v>387</v>
      </c>
      <c r="E58" t="s">
        <v>237</v>
      </c>
      <c r="F58" t="n">
        <v>17732.0810837609</v>
      </c>
      <c r="G58" t="n">
        <v>17098.1603917183</v>
      </c>
      <c r="H58" t="n">
        <v>16953.180598535</v>
      </c>
      <c r="I58" t="n">
        <v>17004.4214324181</v>
      </c>
      <c r="J58" t="n">
        <v>17095.8985802541</v>
      </c>
      <c r="K58" t="n">
        <v>16856.9451936703</v>
      </c>
      <c r="L58" t="n">
        <v>16770.3175846395</v>
      </c>
      <c r="M58" t="n">
        <v>16272.2869830375</v>
      </c>
      <c r="N58" t="n">
        <v>15765.126844972</v>
      </c>
      <c r="O58" t="n">
        <v>15940.7960795041</v>
      </c>
      <c r="P58" t="n">
        <v>16027.6093640113</v>
      </c>
      <c r="Q58" t="n">
        <v>16315.0844575347</v>
      </c>
      <c r="R58" t="n">
        <v>16562.4562280547</v>
      </c>
      <c r="S58" t="n">
        <v>16594.3202361889</v>
      </c>
      <c r="T58" t="n">
        <v>16541.6434898729</v>
      </c>
      <c r="U58" t="n">
        <v>16350.2600607096</v>
      </c>
      <c r="V58" t="n">
        <v>16145.3359054387</v>
      </c>
      <c r="W58" t="n">
        <v>16059.209780379</v>
      </c>
      <c r="X58" t="n">
        <v>15821.7294235471</v>
      </c>
      <c r="Y58" t="n">
        <v>15305.2234852632</v>
      </c>
      <c r="Z58" t="n">
        <v>15072.2399895859</v>
      </c>
      <c r="AA58" t="n">
        <v>15084.5088052062</v>
      </c>
      <c r="AB58" t="n">
        <v>15065.1383221501</v>
      </c>
      <c r="AC58" t="n">
        <v>14481.4242703113</v>
      </c>
      <c r="AD58" t="n">
        <v>14555.7140785849</v>
      </c>
      <c r="AE58" t="n">
        <v>13982</v>
      </c>
      <c r="AF58" t="n">
        <v>13339</v>
      </c>
    </row>
    <row r="59">
      <c r="A59" t="s">
        <v>144</v>
      </c>
      <c r="B59" t="s">
        <v>388</v>
      </c>
      <c r="C59" t="s">
        <v>236</v>
      </c>
      <c r="D59" t="s">
        <v>389</v>
      </c>
      <c r="E59" t="s">
        <v>237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145</v>
      </c>
      <c r="B2" t="s">
        <v>197</v>
      </c>
      <c r="C2" t="s">
        <v>236</v>
      </c>
      <c r="D2" t="s">
        <v>199</v>
      </c>
      <c r="E2" t="s">
        <v>237</v>
      </c>
      <c r="F2" t="n">
        <v>886.376173337014</v>
      </c>
      <c r="G2" t="n">
        <v>854.320516942151</v>
      </c>
      <c r="H2" t="n">
        <v>895.302681961516</v>
      </c>
      <c r="I2" t="n">
        <v>954.821867747348</v>
      </c>
      <c r="J2" t="n">
        <v>1046.45544430659</v>
      </c>
      <c r="K2" t="n">
        <v>1121.92098115563</v>
      </c>
      <c r="L2" t="n">
        <v>1206.0916910429</v>
      </c>
      <c r="M2" t="n">
        <v>1317.58816737042</v>
      </c>
      <c r="N2" t="n">
        <v>1437.06995625842</v>
      </c>
      <c r="O2" t="n">
        <v>1546.57175182563</v>
      </c>
      <c r="P2" t="n">
        <v>1628.03151302036</v>
      </c>
      <c r="Q2" t="n">
        <v>1740.63311622638</v>
      </c>
      <c r="R2" t="n">
        <v>1898.10752107835</v>
      </c>
      <c r="S2" t="n">
        <v>1953.8273334393</v>
      </c>
      <c r="T2" t="n">
        <v>1998.44598648659</v>
      </c>
      <c r="U2" t="n">
        <v>2007.73028839826</v>
      </c>
      <c r="V2" t="n">
        <v>2055.14788161504</v>
      </c>
      <c r="W2" t="n">
        <v>2069.81139558924</v>
      </c>
      <c r="X2" t="n">
        <v>2084.16208793199</v>
      </c>
      <c r="Y2" t="n">
        <v>2080.91741420921</v>
      </c>
      <c r="Z2" t="n">
        <v>2047.69988597004</v>
      </c>
      <c r="AA2" t="n">
        <v>1975.70216505692</v>
      </c>
      <c r="AB2" t="n">
        <v>1939.76108768296</v>
      </c>
      <c r="AC2" t="n">
        <v>1990.889809198</v>
      </c>
      <c r="AD2" t="n">
        <v>2008.38987473904</v>
      </c>
      <c r="AE2" t="n">
        <v>1925</v>
      </c>
      <c r="AF2" t="n">
        <v>1868</v>
      </c>
    </row>
    <row r="3">
      <c r="A3" t="s">
        <v>145</v>
      </c>
      <c r="B3" t="s">
        <v>276</v>
      </c>
      <c r="C3" t="s">
        <v>236</v>
      </c>
      <c r="D3" t="s">
        <v>277</v>
      </c>
      <c r="E3" t="s">
        <v>237</v>
      </c>
      <c r="F3" t="n">
        <v>515.115558690756</v>
      </c>
      <c r="G3" t="n">
        <v>517.833846599414</v>
      </c>
      <c r="H3" t="n">
        <v>496.5893810979</v>
      </c>
      <c r="I3" t="n">
        <v>500.468985637727</v>
      </c>
      <c r="J3" t="n">
        <v>509.498065275521</v>
      </c>
      <c r="K3" t="n">
        <v>500.446069191946</v>
      </c>
      <c r="L3" t="n">
        <v>523.484507159861</v>
      </c>
      <c r="M3" t="n">
        <v>540.123379025578</v>
      </c>
      <c r="N3" t="n">
        <v>595.29037498306</v>
      </c>
      <c r="O3" t="n">
        <v>604.290445447166</v>
      </c>
      <c r="P3" t="n">
        <v>617.120391210376</v>
      </c>
      <c r="Q3" t="n">
        <v>648.80008275095</v>
      </c>
      <c r="R3" t="n">
        <v>670.258451246604</v>
      </c>
      <c r="S3" t="n">
        <v>1030.21206395311</v>
      </c>
      <c r="T3" t="n">
        <v>1106.12242656018</v>
      </c>
      <c r="U3" t="n">
        <v>1126.36363350477</v>
      </c>
      <c r="V3" t="n">
        <v>1225.9578916252</v>
      </c>
      <c r="W3" t="n">
        <v>1295.41726225552</v>
      </c>
      <c r="X3" t="n">
        <v>1346.50733833045</v>
      </c>
      <c r="Y3" t="n">
        <v>1368.87456986418</v>
      </c>
      <c r="Z3" t="n">
        <v>1387.80936863366</v>
      </c>
      <c r="AA3" t="n">
        <v>1373.49070054458</v>
      </c>
      <c r="AB3" t="n">
        <v>1362.55526503069</v>
      </c>
      <c r="AC3" t="n">
        <v>1365.82017381271</v>
      </c>
      <c r="AD3" t="n">
        <v>1339.59474804826</v>
      </c>
      <c r="AE3" t="n">
        <v>1431</v>
      </c>
      <c r="AF3" t="n">
        <v>1567</v>
      </c>
    </row>
    <row r="4">
      <c r="A4" t="s">
        <v>145</v>
      </c>
      <c r="B4" t="s">
        <v>278</v>
      </c>
      <c r="C4" t="s">
        <v>236</v>
      </c>
      <c r="D4" t="s">
        <v>279</v>
      </c>
      <c r="E4" t="s">
        <v>237</v>
      </c>
      <c r="F4" t="n">
        <v>29635.7155154481</v>
      </c>
      <c r="G4" t="n">
        <v>30022.6187823769</v>
      </c>
      <c r="H4" t="n">
        <v>30336.4030661277</v>
      </c>
      <c r="I4" t="n">
        <v>30758.1654538143</v>
      </c>
      <c r="J4" t="n">
        <v>30681.2857942083</v>
      </c>
      <c r="K4" t="n">
        <v>30635.9681768206</v>
      </c>
      <c r="L4" t="n">
        <v>31441.1331297143</v>
      </c>
      <c r="M4" t="n">
        <v>31327.3638377601</v>
      </c>
      <c r="N4" t="n">
        <v>31077.4180483918</v>
      </c>
      <c r="O4" t="n">
        <v>30605.6475377361</v>
      </c>
      <c r="P4" t="n">
        <v>30162.6387662396</v>
      </c>
      <c r="Q4" t="n">
        <v>29416.6304115937</v>
      </c>
      <c r="R4" t="n">
        <v>29402.215794217</v>
      </c>
      <c r="S4" t="n">
        <v>28970.8129230288</v>
      </c>
      <c r="T4" t="n">
        <v>28028.238201161</v>
      </c>
      <c r="U4" t="n">
        <v>26783.0128119659</v>
      </c>
      <c r="V4" t="n">
        <v>25722.8751858388</v>
      </c>
      <c r="W4" t="n">
        <v>25020.1717150795</v>
      </c>
      <c r="X4" t="n">
        <v>24183.315907608</v>
      </c>
      <c r="Y4" t="n">
        <v>23355.6256831804</v>
      </c>
      <c r="Z4" t="n">
        <v>22951.6035818134</v>
      </c>
      <c r="AA4" t="n">
        <v>22819.2342361131</v>
      </c>
      <c r="AB4" t="n">
        <v>23524.32293442</v>
      </c>
      <c r="AC4" t="n">
        <v>23461.7227643288</v>
      </c>
      <c r="AD4" t="n">
        <v>23282.4710299961</v>
      </c>
      <c r="AE4" t="n">
        <v>22934</v>
      </c>
      <c r="AF4" t="n">
        <v>23170</v>
      </c>
    </row>
    <row r="5">
      <c r="A5" t="s">
        <v>145</v>
      </c>
      <c r="B5" t="s">
        <v>280</v>
      </c>
      <c r="C5" t="s">
        <v>236</v>
      </c>
      <c r="D5" t="s">
        <v>281</v>
      </c>
      <c r="E5" t="s">
        <v>237</v>
      </c>
      <c r="F5" t="n">
        <v>2711.72838055788</v>
      </c>
      <c r="G5" t="n">
        <v>2691.93474274359</v>
      </c>
      <c r="H5" t="n">
        <v>2658.39842108027</v>
      </c>
      <c r="I5" t="n">
        <v>2672.25080508401</v>
      </c>
      <c r="J5" t="n">
        <v>2658.4698585974</v>
      </c>
      <c r="K5" t="n">
        <v>2624.53194550893</v>
      </c>
      <c r="L5" t="n">
        <v>2649.46811601257</v>
      </c>
      <c r="M5" t="n">
        <v>2701.88340610797</v>
      </c>
      <c r="N5" t="n">
        <v>2755.79569680989</v>
      </c>
      <c r="O5" t="n">
        <v>2718.14821461304</v>
      </c>
      <c r="P5" t="n">
        <v>2699.38511142887</v>
      </c>
      <c r="Q5" t="n">
        <v>2653.67469993099</v>
      </c>
      <c r="R5" t="n">
        <v>2658.59574712604</v>
      </c>
      <c r="S5" t="n">
        <v>2668.25458726092</v>
      </c>
      <c r="T5" t="n">
        <v>2645.98983664258</v>
      </c>
      <c r="U5" t="n">
        <v>2565.00195357963</v>
      </c>
      <c r="V5" t="n">
        <v>2486.68128324132</v>
      </c>
      <c r="W5" t="n">
        <v>2412.55257290079</v>
      </c>
      <c r="X5" t="n">
        <v>2382.8359125594</v>
      </c>
      <c r="Y5" t="n">
        <v>2367.60317156587</v>
      </c>
      <c r="Z5" t="n">
        <v>2335.12576180502</v>
      </c>
      <c r="AA5" t="n">
        <v>2305.8582947815</v>
      </c>
      <c r="AB5" t="n">
        <v>2404.26644303139</v>
      </c>
      <c r="AC5" t="n">
        <v>2396.10601386539</v>
      </c>
      <c r="AD5" t="n">
        <v>2347.94307891332</v>
      </c>
      <c r="AE5" t="n">
        <v>2315</v>
      </c>
      <c r="AF5" t="n">
        <v>2296</v>
      </c>
    </row>
    <row r="6">
      <c r="A6" t="s">
        <v>145</v>
      </c>
      <c r="B6" t="s">
        <v>282</v>
      </c>
      <c r="C6" t="s">
        <v>236</v>
      </c>
      <c r="D6" t="s">
        <v>283</v>
      </c>
      <c r="E6" t="s">
        <v>237</v>
      </c>
      <c r="F6" t="n">
        <v>509.571160943935</v>
      </c>
      <c r="G6" t="n">
        <v>480.343887373584</v>
      </c>
      <c r="H6" t="n">
        <v>467.83493197323</v>
      </c>
      <c r="I6" t="n">
        <v>449.512415055219</v>
      </c>
      <c r="J6" t="n">
        <v>423.930407694353</v>
      </c>
      <c r="K6" t="n">
        <v>404.326689419469</v>
      </c>
      <c r="L6" t="n">
        <v>397.041523844344</v>
      </c>
      <c r="M6" t="n">
        <v>384.899581219135</v>
      </c>
      <c r="N6" t="n">
        <v>367.847068127148</v>
      </c>
      <c r="O6" t="n">
        <v>348.358481736305</v>
      </c>
      <c r="P6" t="n">
        <v>336.220555543403</v>
      </c>
      <c r="Q6" t="n">
        <v>319.409527766233</v>
      </c>
      <c r="R6" t="n">
        <v>311.066741593234</v>
      </c>
      <c r="S6" t="n">
        <v>290.017112462865</v>
      </c>
      <c r="T6" t="n">
        <v>266.039319700187</v>
      </c>
      <c r="U6" t="n">
        <v>247.848596985644</v>
      </c>
      <c r="V6" t="n">
        <v>233.068634780078</v>
      </c>
      <c r="W6" t="n">
        <v>214.110898936723</v>
      </c>
      <c r="X6" t="n">
        <v>192.262848024812</v>
      </c>
      <c r="Y6" t="n">
        <v>176.240944022744</v>
      </c>
      <c r="Z6" t="n">
        <v>167.747404551769</v>
      </c>
      <c r="AA6" t="n">
        <v>179.137660416395</v>
      </c>
      <c r="AB6" t="n">
        <v>178.108133632393</v>
      </c>
      <c r="AC6" t="n">
        <v>176.060913705584</v>
      </c>
      <c r="AD6" t="n">
        <v>182.131979695431</v>
      </c>
      <c r="AE6" t="n">
        <v>195</v>
      </c>
      <c r="AF6" t="n">
        <v>194</v>
      </c>
    </row>
    <row r="7">
      <c r="A7" t="s">
        <v>145</v>
      </c>
      <c r="B7" t="s">
        <v>284</v>
      </c>
      <c r="C7" t="s">
        <v>236</v>
      </c>
      <c r="D7" t="s">
        <v>285</v>
      </c>
      <c r="E7" t="s">
        <v>237</v>
      </c>
      <c r="F7" t="n">
        <v>14222.1635647672</v>
      </c>
      <c r="G7" t="n">
        <v>14506.8508537388</v>
      </c>
      <c r="H7" t="n">
        <v>14280.2224843616</v>
      </c>
      <c r="I7" t="n">
        <v>14255.9515990228</v>
      </c>
      <c r="J7" t="n">
        <v>13930.7736846757</v>
      </c>
      <c r="K7" t="n">
        <v>13589.2157665949</v>
      </c>
      <c r="L7" t="n">
        <v>14007.4597047764</v>
      </c>
      <c r="M7" t="n">
        <v>13560.2951745826</v>
      </c>
      <c r="N7" t="n">
        <v>13385.7043762517</v>
      </c>
      <c r="O7" t="n">
        <v>12936.6847918999</v>
      </c>
      <c r="P7" t="n">
        <v>12543.9270902566</v>
      </c>
      <c r="Q7" t="n">
        <v>12122.8938808945</v>
      </c>
      <c r="R7" t="n">
        <v>11656.3547803078</v>
      </c>
      <c r="S7" t="n">
        <v>11428.7953816634</v>
      </c>
      <c r="T7" t="n">
        <v>10714.2156625825</v>
      </c>
      <c r="U7" t="n">
        <v>10102.4488828811</v>
      </c>
      <c r="V7" t="n">
        <v>9594.57222693694</v>
      </c>
      <c r="W7" t="n">
        <v>9138.91601902685</v>
      </c>
      <c r="X7" t="n">
        <v>8794.70667345881</v>
      </c>
      <c r="Y7" t="n">
        <v>8391.78470046294</v>
      </c>
      <c r="Z7" t="n">
        <v>8095.14198473035</v>
      </c>
      <c r="AA7" t="n">
        <v>8139.28797145748</v>
      </c>
      <c r="AB7" t="n">
        <v>8418.02361300071</v>
      </c>
      <c r="AC7" t="n">
        <v>8192.84379484422</v>
      </c>
      <c r="AD7" t="n">
        <v>8018.54952982095</v>
      </c>
      <c r="AE7" t="n">
        <v>7781</v>
      </c>
      <c r="AF7" t="n">
        <v>7642</v>
      </c>
    </row>
    <row r="8">
      <c r="A8" t="s">
        <v>145</v>
      </c>
      <c r="B8" t="s">
        <v>286</v>
      </c>
      <c r="C8" t="s">
        <v>236</v>
      </c>
      <c r="D8" t="s">
        <v>287</v>
      </c>
      <c r="E8" t="s">
        <v>237</v>
      </c>
      <c r="F8" t="n">
        <v>907.470940026202</v>
      </c>
      <c r="G8" t="n">
        <v>876.822141758063</v>
      </c>
      <c r="H8" t="n">
        <v>944.570657911732</v>
      </c>
      <c r="I8" t="n">
        <v>900.254340181289</v>
      </c>
      <c r="J8" t="n">
        <v>890.167456817913</v>
      </c>
      <c r="K8" t="n">
        <v>854.712707470969</v>
      </c>
      <c r="L8" t="n">
        <v>896.191412392355</v>
      </c>
      <c r="M8" t="n">
        <v>847.376517024614</v>
      </c>
      <c r="N8" t="n">
        <v>847.376517024614</v>
      </c>
      <c r="O8" t="n">
        <v>812.173931747628</v>
      </c>
      <c r="P8" t="n">
        <v>911.036398015829</v>
      </c>
      <c r="Q8" t="n">
        <v>1038.01440748218</v>
      </c>
      <c r="R8" t="n">
        <v>1611.8463158438</v>
      </c>
      <c r="S8" t="n">
        <v>1534.29634505931</v>
      </c>
      <c r="T8" t="n">
        <v>1450.98613627781</v>
      </c>
      <c r="U8" t="n">
        <v>1431.5481817335</v>
      </c>
      <c r="V8" t="n">
        <v>1355.24449981135</v>
      </c>
      <c r="W8" t="n">
        <v>1321.91881538976</v>
      </c>
      <c r="X8" t="n">
        <v>1274.04685828923</v>
      </c>
      <c r="Y8" t="n">
        <v>1238.62685296189</v>
      </c>
      <c r="Z8" t="n">
        <v>1336.86277578301</v>
      </c>
      <c r="AA8" t="n">
        <v>1303.46729660654</v>
      </c>
      <c r="AB8" t="n">
        <v>1657.72699352598</v>
      </c>
      <c r="AC8" t="n">
        <v>1662.89125207279</v>
      </c>
      <c r="AD8" t="n">
        <v>1582.83737704918</v>
      </c>
      <c r="AE8" t="n">
        <v>1521</v>
      </c>
      <c r="AF8" t="n">
        <v>1756</v>
      </c>
    </row>
    <row r="9">
      <c r="A9" t="s">
        <v>145</v>
      </c>
      <c r="B9" t="s">
        <v>288</v>
      </c>
      <c r="C9" t="s">
        <v>236</v>
      </c>
      <c r="D9" t="s">
        <v>289</v>
      </c>
      <c r="E9" t="s">
        <v>237</v>
      </c>
      <c r="F9" t="n">
        <v>2086.63521778104</v>
      </c>
      <c r="G9" t="n">
        <v>2048.81917499925</v>
      </c>
      <c r="H9" t="n">
        <v>2113.69628630385</v>
      </c>
      <c r="I9" t="n">
        <v>2128.78513546247</v>
      </c>
      <c r="J9" t="n">
        <v>2151.28550682966</v>
      </c>
      <c r="K9" t="n">
        <v>2103.97714498966</v>
      </c>
      <c r="L9" t="n">
        <v>2090.51364958833</v>
      </c>
      <c r="M9" t="n">
        <v>2173.2099428821</v>
      </c>
      <c r="N9" t="n">
        <v>2147.64276708349</v>
      </c>
      <c r="O9" t="n">
        <v>2124.49743947454</v>
      </c>
      <c r="P9" t="n">
        <v>2076.37745217047</v>
      </c>
      <c r="Q9" t="n">
        <v>2020.77076256818</v>
      </c>
      <c r="R9" t="n">
        <v>2093.95288130605</v>
      </c>
      <c r="S9" t="n">
        <v>2089.3228030721</v>
      </c>
      <c r="T9" t="n">
        <v>2089.3228030721</v>
      </c>
      <c r="U9" t="n">
        <v>1960.88536525738</v>
      </c>
      <c r="V9" t="n">
        <v>1896.95543204495</v>
      </c>
      <c r="W9" t="n">
        <v>1860.392799001</v>
      </c>
      <c r="X9" t="n">
        <v>1863.55314916917</v>
      </c>
      <c r="Y9" t="n">
        <v>1805.3820363746</v>
      </c>
      <c r="Z9" t="n">
        <v>1782.62077287875</v>
      </c>
      <c r="AA9" t="n">
        <v>1785.67146444672</v>
      </c>
      <c r="AB9" t="n">
        <v>1836.66151197518</v>
      </c>
      <c r="AC9" t="n">
        <v>1854.92665408322</v>
      </c>
      <c r="AD9" t="n">
        <v>1840.87417943107</v>
      </c>
      <c r="AE9" t="n">
        <v>1818</v>
      </c>
      <c r="AF9" t="n">
        <v>1904</v>
      </c>
    </row>
    <row r="10">
      <c r="A10" t="s">
        <v>145</v>
      </c>
      <c r="B10" t="s">
        <v>290</v>
      </c>
      <c r="C10" t="s">
        <v>236</v>
      </c>
      <c r="D10" t="s">
        <v>291</v>
      </c>
      <c r="E10" t="s">
        <v>237</v>
      </c>
      <c r="F10" t="n">
        <v>2362.95084996153</v>
      </c>
      <c r="G10" t="n">
        <v>2318.77103237018</v>
      </c>
      <c r="H10" t="n">
        <v>2378.06145343134</v>
      </c>
      <c r="I10" t="n">
        <v>2396.81588129752</v>
      </c>
      <c r="J10" t="n">
        <v>2415.47298468074</v>
      </c>
      <c r="K10" t="n">
        <v>2370.83385354701</v>
      </c>
      <c r="L10" t="n">
        <v>2345.19661826149</v>
      </c>
      <c r="M10" t="n">
        <v>2449.69760746899</v>
      </c>
      <c r="N10" t="n">
        <v>2418.05720121256</v>
      </c>
      <c r="O10" t="n">
        <v>2386.40086323093</v>
      </c>
      <c r="P10" t="n">
        <v>2329.83967282656</v>
      </c>
      <c r="Q10" t="n">
        <v>2264.72728359615</v>
      </c>
      <c r="R10" t="n">
        <v>2334.39303423857</v>
      </c>
      <c r="S10" t="n">
        <v>2321.6557706589</v>
      </c>
      <c r="T10" t="n">
        <v>2330.63703089356</v>
      </c>
      <c r="U10" t="n">
        <v>2204.41725819908</v>
      </c>
      <c r="V10" t="n">
        <v>2137.18253182401</v>
      </c>
      <c r="W10" t="n">
        <v>2103.83947269641</v>
      </c>
      <c r="X10" t="n">
        <v>2120.69547247765</v>
      </c>
      <c r="Y10" t="n">
        <v>2065.62596731287</v>
      </c>
      <c r="Z10" t="n">
        <v>2040.78878133316</v>
      </c>
      <c r="AA10" t="n">
        <v>2039.77194586663</v>
      </c>
      <c r="AB10" t="n">
        <v>2081.58727075689</v>
      </c>
      <c r="AC10" t="n">
        <v>2101.88553765847</v>
      </c>
      <c r="AD10" t="n">
        <v>2089.84034833091</v>
      </c>
      <c r="AE10" t="n">
        <v>2057</v>
      </c>
      <c r="AF10" t="n">
        <v>2145</v>
      </c>
    </row>
    <row r="11">
      <c r="A11" t="s">
        <v>145</v>
      </c>
      <c r="B11" t="s">
        <v>292</v>
      </c>
      <c r="C11" t="s">
        <v>236</v>
      </c>
      <c r="D11" t="s">
        <v>293</v>
      </c>
      <c r="E11" t="s">
        <v>237</v>
      </c>
      <c r="F11" t="n">
        <v>275.537446685147</v>
      </c>
      <c r="G11" t="n">
        <v>269.275231987757</v>
      </c>
      <c r="H11" t="n">
        <v>264.379318678889</v>
      </c>
      <c r="I11" t="n">
        <v>267.968178208467</v>
      </c>
      <c r="J11" t="n">
        <v>264.379318678889</v>
      </c>
      <c r="K11" t="n">
        <v>266.782767030515</v>
      </c>
      <c r="L11" t="n">
        <v>254.819414248878</v>
      </c>
      <c r="M11" t="n">
        <v>276.557563331721</v>
      </c>
      <c r="N11" t="n">
        <v>270.492704486727</v>
      </c>
      <c r="O11" t="n">
        <v>262.001902103735</v>
      </c>
      <c r="P11" t="n">
        <v>253.550227842324</v>
      </c>
      <c r="Q11" t="n">
        <v>244.027214590031</v>
      </c>
      <c r="R11" t="n">
        <v>240.473420202797</v>
      </c>
      <c r="S11" t="n">
        <v>232.341468794973</v>
      </c>
      <c r="T11" t="n">
        <v>241.320849231494</v>
      </c>
      <c r="U11" t="n">
        <v>243.534801976737</v>
      </c>
      <c r="V11" t="n">
        <v>240.22889968746</v>
      </c>
      <c r="W11" t="n">
        <v>243.460678607022</v>
      </c>
      <c r="X11" t="n">
        <v>257.16192891824</v>
      </c>
      <c r="Y11" t="n">
        <v>260.285353156113</v>
      </c>
      <c r="Z11" t="n">
        <v>258.211366278375</v>
      </c>
      <c r="AA11" t="n">
        <v>254.145045549582</v>
      </c>
      <c r="AB11" t="n">
        <v>244.95908004779</v>
      </c>
      <c r="AC11" t="n">
        <v>246.991935483871</v>
      </c>
      <c r="AD11" t="n">
        <v>249</v>
      </c>
      <c r="AE11" t="n">
        <v>239</v>
      </c>
      <c r="AF11" t="n">
        <v>241</v>
      </c>
    </row>
    <row r="12">
      <c r="A12" t="s">
        <v>145</v>
      </c>
      <c r="B12" t="s">
        <v>294</v>
      </c>
      <c r="C12" t="s">
        <v>236</v>
      </c>
      <c r="D12" t="s">
        <v>295</v>
      </c>
      <c r="E12" t="s">
        <v>237</v>
      </c>
      <c r="F12" t="n">
        <v>1822.18578287001</v>
      </c>
      <c r="G12" t="n">
        <v>1806.23667317312</v>
      </c>
      <c r="H12" t="n">
        <v>1812.69674711151</v>
      </c>
      <c r="I12" t="n">
        <v>1883.04395282062</v>
      </c>
      <c r="J12" t="n">
        <v>1932.95896813727</v>
      </c>
      <c r="K12" t="n">
        <v>1997.93237883096</v>
      </c>
      <c r="L12" t="n">
        <v>2030.01776601416</v>
      </c>
      <c r="M12" t="n">
        <v>2046.06045960576</v>
      </c>
      <c r="N12" t="n">
        <v>2065.84110453246</v>
      </c>
      <c r="O12" t="n">
        <v>2060.8929821264</v>
      </c>
      <c r="P12" t="n">
        <v>2084.32623566344</v>
      </c>
      <c r="Q12" t="n">
        <v>2070.92612544001</v>
      </c>
      <c r="R12" t="n">
        <v>2060.02013648216</v>
      </c>
      <c r="S12" t="n">
        <v>2048.14682157448</v>
      </c>
      <c r="T12" t="n">
        <v>2020.50029529901</v>
      </c>
      <c r="U12" t="n">
        <v>1931.71211330841</v>
      </c>
      <c r="V12" t="n">
        <v>1880.66863409591</v>
      </c>
      <c r="W12" t="n">
        <v>1799.8153889316</v>
      </c>
      <c r="X12" t="n">
        <v>1737.97724717807</v>
      </c>
      <c r="Y12" t="n">
        <v>1687.70959756739</v>
      </c>
      <c r="Z12" t="n">
        <v>1691.9688015991</v>
      </c>
      <c r="AA12" t="n">
        <v>1716.07988117579</v>
      </c>
      <c r="AB12" t="n">
        <v>1732.77123564316</v>
      </c>
      <c r="AC12" t="n">
        <v>1793.87912739626</v>
      </c>
      <c r="AD12" t="n">
        <v>1837.80669144981</v>
      </c>
      <c r="AE12" t="n">
        <v>1890</v>
      </c>
      <c r="AF12" t="n">
        <v>1915</v>
      </c>
    </row>
    <row r="13">
      <c r="A13" t="s">
        <v>145</v>
      </c>
      <c r="B13" t="s">
        <v>296</v>
      </c>
      <c r="C13" t="s">
        <v>236</v>
      </c>
      <c r="D13" t="s">
        <v>297</v>
      </c>
      <c r="E13" t="s">
        <v>237</v>
      </c>
      <c r="F13" t="n">
        <v>3347.15785772357</v>
      </c>
      <c r="G13" t="n">
        <v>3497.8206810031</v>
      </c>
      <c r="H13" t="n">
        <v>3783.68116798632</v>
      </c>
      <c r="I13" t="n">
        <v>3973.05846852905</v>
      </c>
      <c r="J13" t="n">
        <v>3962.87113912257</v>
      </c>
      <c r="K13" t="n">
        <v>4097.76656004324</v>
      </c>
      <c r="L13" t="n">
        <v>4178.21351091526</v>
      </c>
      <c r="M13" t="n">
        <v>4450.84162985555</v>
      </c>
      <c r="N13" t="n">
        <v>4448.33904811259</v>
      </c>
      <c r="O13" t="n">
        <v>4735.20743505086</v>
      </c>
      <c r="P13" t="n">
        <v>4668.11186919078</v>
      </c>
      <c r="Q13" t="n">
        <v>4535.08593618639</v>
      </c>
      <c r="R13" t="n">
        <v>4508.35893629459</v>
      </c>
      <c r="S13" t="n">
        <v>4549.57956397753</v>
      </c>
      <c r="T13" t="n">
        <v>4600.99369767392</v>
      </c>
      <c r="U13" t="n">
        <v>4525.38256749384</v>
      </c>
      <c r="V13" t="n">
        <v>4387.16005549937</v>
      </c>
      <c r="W13" t="n">
        <v>4532.92380453295</v>
      </c>
      <c r="X13" t="n">
        <v>4338.64030734601</v>
      </c>
      <c r="Y13" t="n">
        <v>4215.82862465881</v>
      </c>
      <c r="Z13" t="n">
        <v>4151.53723813276</v>
      </c>
      <c r="AA13" t="n">
        <v>4033.12962113323</v>
      </c>
      <c r="AB13" t="n">
        <v>3960.21080190724</v>
      </c>
      <c r="AC13" t="n">
        <v>3962.25478167597</v>
      </c>
      <c r="AD13" t="n">
        <v>4011.77033492823</v>
      </c>
      <c r="AE13" t="n">
        <v>3955</v>
      </c>
      <c r="AF13" t="n">
        <v>3884</v>
      </c>
    </row>
    <row r="14">
      <c r="A14" t="s">
        <v>145</v>
      </c>
      <c r="B14" t="s">
        <v>298</v>
      </c>
      <c r="C14" t="s">
        <v>236</v>
      </c>
      <c r="D14" t="s">
        <v>299</v>
      </c>
      <c r="E14" t="s">
        <v>237</v>
      </c>
      <c r="F14" t="n">
        <v>987.657906541887</v>
      </c>
      <c r="G14" t="n">
        <v>1027.71675869533</v>
      </c>
      <c r="H14" t="n">
        <v>1135.47212002643</v>
      </c>
      <c r="I14" t="n">
        <v>1293.5758329415</v>
      </c>
      <c r="J14" t="n">
        <v>1529.47843975048</v>
      </c>
      <c r="K14" t="n">
        <v>1767.77143967773</v>
      </c>
      <c r="L14" t="n">
        <v>1986.67474250319</v>
      </c>
      <c r="M14" t="n">
        <v>1952.46541976876</v>
      </c>
      <c r="N14" t="n">
        <v>1864.98482628562</v>
      </c>
      <c r="O14" t="n">
        <v>1788.86299664131</v>
      </c>
      <c r="P14" t="n">
        <v>1803.87443437536</v>
      </c>
      <c r="Q14" t="n">
        <v>1658.18163269412</v>
      </c>
      <c r="R14" t="n">
        <v>1524.49687088668</v>
      </c>
      <c r="S14" t="n">
        <v>1323.55687290872</v>
      </c>
      <c r="T14" t="n">
        <v>1167.29553284725</v>
      </c>
      <c r="U14" t="n">
        <v>1061.3870624114</v>
      </c>
      <c r="V14" t="n">
        <v>967.296533635474</v>
      </c>
      <c r="W14" t="n">
        <v>881.190368213588</v>
      </c>
      <c r="X14" t="n">
        <v>767.347140518913</v>
      </c>
      <c r="Y14" t="n">
        <v>712.305362507008</v>
      </c>
      <c r="Z14" t="n">
        <v>694.068628828365</v>
      </c>
      <c r="AA14" t="n">
        <v>663.197478159619</v>
      </c>
      <c r="AB14" t="n">
        <v>644.188633244215</v>
      </c>
      <c r="AC14" t="n">
        <v>627.456460952158</v>
      </c>
      <c r="AD14" t="n">
        <v>605.855500821018</v>
      </c>
      <c r="AE14" t="n">
        <v>617</v>
      </c>
      <c r="AF14" t="n">
        <v>628</v>
      </c>
    </row>
    <row r="15">
      <c r="A15" t="s">
        <v>145</v>
      </c>
      <c r="B15" t="s">
        <v>300</v>
      </c>
      <c r="C15" t="s">
        <v>236</v>
      </c>
      <c r="D15" t="s">
        <v>301</v>
      </c>
      <c r="E15" t="s">
        <v>237</v>
      </c>
      <c r="F15" t="n">
        <v>1377.27003246778</v>
      </c>
      <c r="G15" t="n">
        <v>1418.96473071632</v>
      </c>
      <c r="H15" t="n">
        <v>1534.47712322606</v>
      </c>
      <c r="I15" t="n">
        <v>1710.50193037918</v>
      </c>
      <c r="J15" t="n">
        <v>1933.66600728558</v>
      </c>
      <c r="K15" t="n">
        <v>2160.63401732107</v>
      </c>
      <c r="L15" t="n">
        <v>2372.95065486129</v>
      </c>
      <c r="M15" t="n">
        <v>2319.41609129411</v>
      </c>
      <c r="N15" t="n">
        <v>2225.89124890322</v>
      </c>
      <c r="O15" t="n">
        <v>2127.32319471973</v>
      </c>
      <c r="P15" t="n">
        <v>2144.57842341386</v>
      </c>
      <c r="Q15" t="n">
        <v>1980.26622865741</v>
      </c>
      <c r="R15" t="n">
        <v>1843.57100334385</v>
      </c>
      <c r="S15" t="n">
        <v>1653.63451877527</v>
      </c>
      <c r="T15" t="n">
        <v>1492.52885932604</v>
      </c>
      <c r="U15" t="n">
        <v>1381.21392156809</v>
      </c>
      <c r="V15" t="n">
        <v>1278.10443275537</v>
      </c>
      <c r="W15" t="n">
        <v>1180.89337823293</v>
      </c>
      <c r="X15" t="n">
        <v>1060.8575128631</v>
      </c>
      <c r="Y15" t="n">
        <v>984.014715150678</v>
      </c>
      <c r="Z15" t="n">
        <v>975.531829675241</v>
      </c>
      <c r="AA15" t="n">
        <v>981.812077505768</v>
      </c>
      <c r="AB15" t="n">
        <v>964.112390000362</v>
      </c>
      <c r="AC15" t="n">
        <v>944.43662693913</v>
      </c>
      <c r="AD15" t="n">
        <v>928.029475982533</v>
      </c>
      <c r="AE15" t="n">
        <v>925</v>
      </c>
      <c r="AF15" t="n">
        <v>943</v>
      </c>
    </row>
    <row r="16">
      <c r="A16" t="s">
        <v>145</v>
      </c>
      <c r="B16" t="s">
        <v>302</v>
      </c>
      <c r="C16" t="s">
        <v>236</v>
      </c>
      <c r="D16" t="s">
        <v>303</v>
      </c>
      <c r="E16" t="s">
        <v>237</v>
      </c>
      <c r="F16" t="n">
        <v>385.064772741498</v>
      </c>
      <c r="G16" t="n">
        <v>387.557101367657</v>
      </c>
      <c r="H16" t="n">
        <v>397.306965553007</v>
      </c>
      <c r="I16" t="n">
        <v>417.529176374567</v>
      </c>
      <c r="J16" t="n">
        <v>410.391925496369</v>
      </c>
      <c r="K16" t="n">
        <v>404.426926579271</v>
      </c>
      <c r="L16" t="n">
        <v>402.054921144788</v>
      </c>
      <c r="M16" t="n">
        <v>383.022735528467</v>
      </c>
      <c r="N16" t="n">
        <v>375.841059237308</v>
      </c>
      <c r="O16" t="n">
        <v>353.099084315306</v>
      </c>
      <c r="P16" t="n">
        <v>355.484888939058</v>
      </c>
      <c r="Q16" t="n">
        <v>335.407669297981</v>
      </c>
      <c r="R16" t="n">
        <v>330.700193237659</v>
      </c>
      <c r="S16" t="n">
        <v>338.794253911308</v>
      </c>
      <c r="T16" t="n">
        <v>332.063242244196</v>
      </c>
      <c r="U16" t="n">
        <v>325.421977399312</v>
      </c>
      <c r="V16" t="n">
        <v>315.460080131986</v>
      </c>
      <c r="W16" t="n">
        <v>303.576309990027</v>
      </c>
      <c r="X16" t="n">
        <v>296.172009746368</v>
      </c>
      <c r="Y16" t="n">
        <v>274.194581461302</v>
      </c>
      <c r="Z16" t="n">
        <v>283.542124011119</v>
      </c>
      <c r="AA16" t="n">
        <v>318.984889512509</v>
      </c>
      <c r="AB16" t="n">
        <v>319.997539955406</v>
      </c>
      <c r="AC16" t="n">
        <v>316.949944336783</v>
      </c>
      <c r="AD16" t="n">
        <v>322.045602605863</v>
      </c>
      <c r="AE16" t="n">
        <v>308</v>
      </c>
      <c r="AF16" t="n">
        <v>315</v>
      </c>
    </row>
    <row r="17">
      <c r="A17" t="s">
        <v>145</v>
      </c>
      <c r="B17" t="s">
        <v>304</v>
      </c>
      <c r="C17" t="s">
        <v>236</v>
      </c>
      <c r="D17" t="s">
        <v>305</v>
      </c>
      <c r="E17" t="s">
        <v>237</v>
      </c>
      <c r="F17" t="n">
        <v>1036.12994323601</v>
      </c>
      <c r="G17" t="n">
        <v>1084.73850847425</v>
      </c>
      <c r="H17" t="n">
        <v>1108.53762124678</v>
      </c>
      <c r="I17" t="n">
        <v>1119.53744328781</v>
      </c>
      <c r="J17" t="n">
        <v>1109.79174193166</v>
      </c>
      <c r="K17" t="n">
        <v>1114.68608257965</v>
      </c>
      <c r="L17" t="n">
        <v>1109.8237659708</v>
      </c>
      <c r="M17" t="n">
        <v>1080.61787739262</v>
      </c>
      <c r="N17" t="n">
        <v>1101.3989904194</v>
      </c>
      <c r="O17" t="n">
        <v>1056.06888736543</v>
      </c>
      <c r="P17" t="n">
        <v>1035.33774292523</v>
      </c>
      <c r="Q17" t="n">
        <v>1036.54302551304</v>
      </c>
      <c r="R17" t="n">
        <v>1048.54005127129</v>
      </c>
      <c r="S17" t="n">
        <v>1116.79518367728</v>
      </c>
      <c r="T17" t="n">
        <v>1203.49225615887</v>
      </c>
      <c r="U17" t="n">
        <v>1140.44682459208</v>
      </c>
      <c r="V17" t="n">
        <v>1128.12372530867</v>
      </c>
      <c r="W17" t="n">
        <v>1122.65800958527</v>
      </c>
      <c r="X17" t="n">
        <v>1082.984326343</v>
      </c>
      <c r="Y17" t="n">
        <v>1090.38753951136</v>
      </c>
      <c r="Z17" t="n">
        <v>1070.39008463616</v>
      </c>
      <c r="AA17" t="n">
        <v>1041.43267171846</v>
      </c>
      <c r="AB17" t="n">
        <v>994.001084689701</v>
      </c>
      <c r="AC17" t="n">
        <v>997.094449061142</v>
      </c>
      <c r="AD17" t="n">
        <v>1036.11565304088</v>
      </c>
      <c r="AE17" t="n">
        <v>1032</v>
      </c>
      <c r="AF17" t="n">
        <v>1030</v>
      </c>
    </row>
    <row r="18">
      <c r="A18" t="s">
        <v>145</v>
      </c>
      <c r="B18" t="s">
        <v>306</v>
      </c>
      <c r="C18" t="s">
        <v>236</v>
      </c>
      <c r="D18" t="s">
        <v>307</v>
      </c>
      <c r="E18" t="s">
        <v>237</v>
      </c>
      <c r="F18" t="n">
        <v>513.123869061691</v>
      </c>
      <c r="G18" t="n">
        <v>506.820136026535</v>
      </c>
      <c r="H18" t="n">
        <v>501.88757995815</v>
      </c>
      <c r="I18" t="n">
        <v>495.840741645402</v>
      </c>
      <c r="J18" t="n">
        <v>487.395765510322</v>
      </c>
      <c r="K18" t="n">
        <v>467.9969290721</v>
      </c>
      <c r="L18" t="n">
        <v>477.62154458001</v>
      </c>
      <c r="M18" t="n">
        <v>471.590969522181</v>
      </c>
      <c r="N18" t="n">
        <v>465.529388937063</v>
      </c>
      <c r="O18" t="n">
        <v>464.313907503807</v>
      </c>
      <c r="P18" t="n">
        <v>465.523058304598</v>
      </c>
      <c r="Q18" t="n">
        <v>461.942111702255</v>
      </c>
      <c r="R18" t="n">
        <v>456.019776936842</v>
      </c>
      <c r="S18" t="n">
        <v>458.346408451826</v>
      </c>
      <c r="T18" t="n">
        <v>460.604272532869</v>
      </c>
      <c r="U18" t="n">
        <v>458.379131119667</v>
      </c>
      <c r="V18" t="n">
        <v>477.201462590764</v>
      </c>
      <c r="W18" t="n">
        <v>473.940404759848</v>
      </c>
      <c r="X18" t="n">
        <v>536.636556959021</v>
      </c>
      <c r="Y18" t="n">
        <v>523.011019379983</v>
      </c>
      <c r="Z18" t="n">
        <v>502.090578604784</v>
      </c>
      <c r="AA18" t="n">
        <v>496.903692462172</v>
      </c>
      <c r="AB18" t="n">
        <v>552.805357864167</v>
      </c>
      <c r="AC18" t="n">
        <v>639.982455115473</v>
      </c>
      <c r="AD18" t="n">
        <v>642.007716049383</v>
      </c>
      <c r="AE18" t="n">
        <v>647</v>
      </c>
      <c r="AF18" t="n">
        <v>682</v>
      </c>
    </row>
    <row r="19">
      <c r="A19" t="s">
        <v>145</v>
      </c>
      <c r="B19" t="s">
        <v>308</v>
      </c>
      <c r="C19" t="s">
        <v>236</v>
      </c>
      <c r="D19" t="s">
        <v>309</v>
      </c>
      <c r="E19" t="s">
        <v>237</v>
      </c>
      <c r="F19" t="n">
        <v>754.052520221438</v>
      </c>
      <c r="G19" t="n">
        <v>765.574545148421</v>
      </c>
      <c r="H19" t="n">
        <v>798.152185367503</v>
      </c>
      <c r="I19" t="n">
        <v>834.764670934819</v>
      </c>
      <c r="J19" t="n">
        <v>868.787102937985</v>
      </c>
      <c r="K19" t="n">
        <v>889.501521942117</v>
      </c>
      <c r="L19" t="n">
        <v>914.846884168419</v>
      </c>
      <c r="M19" t="n">
        <v>954.675310524036</v>
      </c>
      <c r="N19" t="n">
        <v>937.670915680096</v>
      </c>
      <c r="O19" t="n">
        <v>908.520524519057</v>
      </c>
      <c r="P19" t="n">
        <v>898.84254289968</v>
      </c>
      <c r="Q19" t="n">
        <v>892.858238353077</v>
      </c>
      <c r="R19" t="n">
        <v>884.513768835759</v>
      </c>
      <c r="S19" t="n">
        <v>872.813851258566</v>
      </c>
      <c r="T19" t="n">
        <v>820.603919973919</v>
      </c>
      <c r="U19" t="n">
        <v>778.062379784275</v>
      </c>
      <c r="V19" t="n">
        <v>750.154833880965</v>
      </c>
      <c r="W19" t="n">
        <v>706.477696537095</v>
      </c>
      <c r="X19" t="n">
        <v>648.762423295033</v>
      </c>
      <c r="Y19" t="n">
        <v>605.581807458837</v>
      </c>
      <c r="Z19" t="n">
        <v>580.479970880233</v>
      </c>
      <c r="AA19" t="n">
        <v>577.386827163287</v>
      </c>
      <c r="AB19" t="n">
        <v>579.445247224475</v>
      </c>
      <c r="AC19" t="n">
        <v>592.730587989763</v>
      </c>
      <c r="AD19" t="n">
        <v>604.909983633388</v>
      </c>
      <c r="AE19" t="n">
        <v>616</v>
      </c>
      <c r="AF19" t="n">
        <v>683</v>
      </c>
    </row>
    <row r="20">
      <c r="A20" t="s">
        <v>145</v>
      </c>
      <c r="B20" t="s">
        <v>310</v>
      </c>
      <c r="C20" t="s">
        <v>236</v>
      </c>
      <c r="D20" t="s">
        <v>311</v>
      </c>
      <c r="E20" t="s">
        <v>237</v>
      </c>
      <c r="F20" t="n">
        <v>7773.20191916487</v>
      </c>
      <c r="G20" t="n">
        <v>7607.60739206487</v>
      </c>
      <c r="H20" t="n">
        <v>7571.14273742511</v>
      </c>
      <c r="I20" t="n">
        <v>7391.62619969108</v>
      </c>
      <c r="J20" t="n">
        <v>7211.53223969861</v>
      </c>
      <c r="K20" t="n">
        <v>7147.15505491287</v>
      </c>
      <c r="L20" t="n">
        <v>7061.04475304645</v>
      </c>
      <c r="M20" t="n">
        <v>7079.94813896393</v>
      </c>
      <c r="N20" t="n">
        <v>7016.95927651764</v>
      </c>
      <c r="O20" t="n">
        <v>7028.30541979623</v>
      </c>
      <c r="P20" t="n">
        <v>7053.18437703445</v>
      </c>
      <c r="Q20" t="n">
        <v>7026.25448180801</v>
      </c>
      <c r="R20" t="n">
        <v>7043.32329366733</v>
      </c>
      <c r="S20" t="n">
        <v>7238.87240076057</v>
      </c>
      <c r="T20" t="n">
        <v>7727.28655702716</v>
      </c>
      <c r="U20" t="n">
        <v>7988.3435353051</v>
      </c>
      <c r="V20" t="n">
        <v>8138.7043745629</v>
      </c>
      <c r="W20" t="n">
        <v>8366.98510702015</v>
      </c>
      <c r="X20" t="n">
        <v>8668.39102630467</v>
      </c>
      <c r="Y20" t="n">
        <v>9208.89948164061</v>
      </c>
      <c r="Z20" t="n">
        <v>9872.13550100283</v>
      </c>
      <c r="AA20" t="n">
        <v>10616.7366159863</v>
      </c>
      <c r="AB20" t="n">
        <v>11301.0907184105</v>
      </c>
      <c r="AC20" t="n">
        <v>11671.0821121036</v>
      </c>
      <c r="AD20" t="n">
        <v>11804.6509380788</v>
      </c>
      <c r="AE20" t="n">
        <v>12360</v>
      </c>
      <c r="AF20" t="n">
        <v>12658</v>
      </c>
    </row>
    <row r="21">
      <c r="A21" t="s">
        <v>145</v>
      </c>
      <c r="B21" t="s">
        <v>312</v>
      </c>
      <c r="C21" t="s">
        <v>236</v>
      </c>
      <c r="D21" t="s">
        <v>313</v>
      </c>
      <c r="E21" t="s">
        <v>237</v>
      </c>
      <c r="F21" t="n">
        <v>8121.80110185352</v>
      </c>
      <c r="G21" t="n">
        <v>7959.83574836505</v>
      </c>
      <c r="H21" t="n">
        <v>7930.26027353579</v>
      </c>
      <c r="I21" t="n">
        <v>7748.90025740854</v>
      </c>
      <c r="J21" t="n">
        <v>7577.24740360518</v>
      </c>
      <c r="K21" t="n">
        <v>7513.08781509032</v>
      </c>
      <c r="L21" t="n">
        <v>7424.71339952045</v>
      </c>
      <c r="M21" t="n">
        <v>7462.4278258641</v>
      </c>
      <c r="N21" t="n">
        <v>7410.89345819349</v>
      </c>
      <c r="O21" t="n">
        <v>7414.66810681396</v>
      </c>
      <c r="P21" t="n">
        <v>7445.72300757964</v>
      </c>
      <c r="Q21" t="n">
        <v>7427.3867992208</v>
      </c>
      <c r="R21" t="n">
        <v>7501.66066721301</v>
      </c>
      <c r="S21" t="n">
        <v>7719.54631248013</v>
      </c>
      <c r="T21" t="n">
        <v>8256.91767559789</v>
      </c>
      <c r="U21" t="n">
        <v>8522.31860088496</v>
      </c>
      <c r="V21" t="n">
        <v>8700.78464978355</v>
      </c>
      <c r="W21" t="n">
        <v>9017.03657411079</v>
      </c>
      <c r="X21" t="n">
        <v>9337.60873864405</v>
      </c>
      <c r="Y21" t="n">
        <v>9873.40809930318</v>
      </c>
      <c r="Z21" t="n">
        <v>10542.4502503621</v>
      </c>
      <c r="AA21" t="n">
        <v>11306.3512193516</v>
      </c>
      <c r="AB21" t="n">
        <v>12015.1811613244</v>
      </c>
      <c r="AC21" t="n">
        <v>12405.4702092518</v>
      </c>
      <c r="AD21" t="n">
        <v>12541.9940926992</v>
      </c>
      <c r="AE21" t="n">
        <v>13138</v>
      </c>
      <c r="AF21" t="n">
        <v>13585</v>
      </c>
    </row>
    <row r="22">
      <c r="A22" t="s">
        <v>145</v>
      </c>
      <c r="B22" t="s">
        <v>314</v>
      </c>
      <c r="C22" t="s">
        <v>236</v>
      </c>
      <c r="D22" t="s">
        <v>315</v>
      </c>
      <c r="E22" t="s">
        <v>237</v>
      </c>
      <c r="F22" t="n">
        <v>354.96676058093</v>
      </c>
      <c r="G22" t="n">
        <v>357.493214392894</v>
      </c>
      <c r="H22" t="n">
        <v>363.699693809437</v>
      </c>
      <c r="I22" t="n">
        <v>361.275029184041</v>
      </c>
      <c r="J22" t="n">
        <v>368.524695321513</v>
      </c>
      <c r="K22" t="n">
        <v>368.524695321513</v>
      </c>
      <c r="L22" t="n">
        <v>366.123882974142</v>
      </c>
      <c r="M22" t="n">
        <v>384.248827675832</v>
      </c>
      <c r="N22" t="n">
        <v>395.158100385871</v>
      </c>
      <c r="O22" t="n">
        <v>387.840357786133</v>
      </c>
      <c r="P22" t="n">
        <v>393.91936025927</v>
      </c>
      <c r="Q22" t="n">
        <v>402.30062324351</v>
      </c>
      <c r="R22" t="n">
        <v>458.407831826432</v>
      </c>
      <c r="S22" t="n">
        <v>480.626578777203</v>
      </c>
      <c r="T22" t="n">
        <v>529.369368606023</v>
      </c>
      <c r="U22" t="n">
        <v>533.855549695905</v>
      </c>
      <c r="V22" t="n">
        <v>561.718574210305</v>
      </c>
      <c r="W22" t="n">
        <v>648.806725250662</v>
      </c>
      <c r="X22" t="n">
        <v>667.983278706347</v>
      </c>
      <c r="Y22" t="n">
        <v>663.775510021583</v>
      </c>
      <c r="Z22" t="n">
        <v>670.05729718267</v>
      </c>
      <c r="AA22" t="n">
        <v>689.494073742167</v>
      </c>
      <c r="AB22" t="n">
        <v>714.045791501532</v>
      </c>
      <c r="AC22" t="n">
        <v>734.360038770424</v>
      </c>
      <c r="AD22" t="n">
        <v>737.365605095541</v>
      </c>
      <c r="AE22" t="n">
        <v>778</v>
      </c>
      <c r="AF22" t="n">
        <v>927</v>
      </c>
    </row>
    <row r="23">
      <c r="A23" t="s">
        <v>145</v>
      </c>
      <c r="B23" t="s">
        <v>316</v>
      </c>
      <c r="C23" t="s">
        <v>236</v>
      </c>
      <c r="D23" t="s">
        <v>317</v>
      </c>
      <c r="E23" t="s">
        <v>237</v>
      </c>
      <c r="F23" t="n">
        <v>1268.09302435458</v>
      </c>
      <c r="G23" t="n">
        <v>1243.28250866068</v>
      </c>
      <c r="H23" t="n">
        <v>1256.65113778607</v>
      </c>
      <c r="I23" t="n">
        <v>1229.47330679378</v>
      </c>
      <c r="J23" t="n">
        <v>1302.32151727949</v>
      </c>
      <c r="K23" t="n">
        <v>1412.12509618736</v>
      </c>
      <c r="L23" t="n">
        <v>1486.3151056932</v>
      </c>
      <c r="M23" t="n">
        <v>1542.75745147902</v>
      </c>
      <c r="N23" t="n">
        <v>1650.44993591668</v>
      </c>
      <c r="O23" t="n">
        <v>1728.20669581549</v>
      </c>
      <c r="P23" t="n">
        <v>1862.96938400904</v>
      </c>
      <c r="Q23" t="n">
        <v>2016.67972922431</v>
      </c>
      <c r="R23" t="n">
        <v>2218.71282219428</v>
      </c>
      <c r="S23" t="n">
        <v>2433.92558790551</v>
      </c>
      <c r="T23" t="n">
        <v>2415.48675769411</v>
      </c>
      <c r="U23" t="n">
        <v>2329.0569113736</v>
      </c>
      <c r="V23" t="n">
        <v>2401.52149198999</v>
      </c>
      <c r="W23" t="n">
        <v>2469.94719626544</v>
      </c>
      <c r="X23" t="n">
        <v>2506.73134198293</v>
      </c>
      <c r="Y23" t="n">
        <v>2512.06481292332</v>
      </c>
      <c r="Z23" t="n">
        <v>2492.97778606278</v>
      </c>
      <c r="AA23" t="n">
        <v>2591.53496029331</v>
      </c>
      <c r="AB23" t="n">
        <v>2728.74600715597</v>
      </c>
      <c r="AC23" t="n">
        <v>2964.77894496939</v>
      </c>
      <c r="AD23" t="n">
        <v>3245.68488002313</v>
      </c>
      <c r="AE23" t="n">
        <v>3464</v>
      </c>
      <c r="AF23" t="n">
        <v>3730</v>
      </c>
    </row>
    <row r="24">
      <c r="A24" t="s">
        <v>145</v>
      </c>
      <c r="B24" t="s">
        <v>318</v>
      </c>
      <c r="C24" t="s">
        <v>236</v>
      </c>
      <c r="D24" t="s">
        <v>319</v>
      </c>
      <c r="E24" t="s">
        <v>237</v>
      </c>
      <c r="F24" t="n">
        <v>5034.47204771899</v>
      </c>
      <c r="G24" t="n">
        <v>4806.56848624603</v>
      </c>
      <c r="H24" t="n">
        <v>4805.22848945588</v>
      </c>
      <c r="I24" t="n">
        <v>4784.43226120831</v>
      </c>
      <c r="J24" t="n">
        <v>4763.87616126756</v>
      </c>
      <c r="K24" t="n">
        <v>4731.90383803758</v>
      </c>
      <c r="L24" t="n">
        <v>4704.23188576835</v>
      </c>
      <c r="M24" t="n">
        <v>4667.94924622386</v>
      </c>
      <c r="N24" t="n">
        <v>4636.69623841572</v>
      </c>
      <c r="O24" t="n">
        <v>4491.68228218595</v>
      </c>
      <c r="P24" t="n">
        <v>4377.21281682276</v>
      </c>
      <c r="Q24" t="n">
        <v>4211.87321685884</v>
      </c>
      <c r="R24" t="n">
        <v>4209.44841938223</v>
      </c>
      <c r="S24" t="n">
        <v>4230.79811550759</v>
      </c>
      <c r="T24" t="n">
        <v>4222.74821422774</v>
      </c>
      <c r="U24" t="n">
        <v>4100.08635109256</v>
      </c>
      <c r="V24" t="n">
        <v>4169.09994585433</v>
      </c>
      <c r="W24" t="n">
        <v>4333.61156977708</v>
      </c>
      <c r="X24" t="n">
        <v>4327.12088844441</v>
      </c>
      <c r="Y24" t="n">
        <v>4429.56320787491</v>
      </c>
      <c r="Z24" t="n">
        <v>4383.9085535272</v>
      </c>
      <c r="AA24" t="n">
        <v>4613.33516806823</v>
      </c>
      <c r="AB24" t="n">
        <v>4843.48819204313</v>
      </c>
      <c r="AC24" t="n">
        <v>5150.80057522293</v>
      </c>
      <c r="AD24" t="n">
        <v>5368.02735507246</v>
      </c>
      <c r="AE24" t="n">
        <v>5519</v>
      </c>
      <c r="AF24" t="n">
        <v>5726</v>
      </c>
    </row>
    <row r="25">
      <c r="A25" t="s">
        <v>145</v>
      </c>
      <c r="B25" t="s">
        <v>320</v>
      </c>
      <c r="C25" t="s">
        <v>236</v>
      </c>
      <c r="D25" t="s">
        <v>321</v>
      </c>
      <c r="E25" t="s">
        <v>237</v>
      </c>
      <c r="F25" t="n">
        <v>688.199721924739</v>
      </c>
      <c r="G25" t="n">
        <v>653.522991750237</v>
      </c>
      <c r="H25" t="n">
        <v>650.914117531673</v>
      </c>
      <c r="I25" t="n">
        <v>657.320752546749</v>
      </c>
      <c r="J25" t="n">
        <v>658.582404662961</v>
      </c>
      <c r="K25" t="n">
        <v>654.80468532455</v>
      </c>
      <c r="L25" t="n">
        <v>649.853421163306</v>
      </c>
      <c r="M25" t="n">
        <v>644.920947378385</v>
      </c>
      <c r="N25" t="n">
        <v>636.305591211117</v>
      </c>
      <c r="O25" t="n">
        <v>625.228704710343</v>
      </c>
      <c r="P25" t="n">
        <v>599.483993339917</v>
      </c>
      <c r="Q25" t="n">
        <v>593.428599467797</v>
      </c>
      <c r="R25" t="n">
        <v>570.464967309165</v>
      </c>
      <c r="S25" t="n">
        <v>544.318656307495</v>
      </c>
      <c r="T25" t="n">
        <v>543.165438815318</v>
      </c>
      <c r="U25" t="n">
        <v>547.729854267548</v>
      </c>
      <c r="V25" t="n">
        <v>601.139196903595</v>
      </c>
      <c r="W25" t="n">
        <v>613.339438907174</v>
      </c>
      <c r="X25" t="n">
        <v>603.552107435251</v>
      </c>
      <c r="Y25" t="n">
        <v>619.63253658539</v>
      </c>
      <c r="Z25" t="n">
        <v>610.050590143348</v>
      </c>
      <c r="AA25" t="n">
        <v>656.817671159448</v>
      </c>
      <c r="AB25" t="n">
        <v>670.264332143815</v>
      </c>
      <c r="AC25" t="n">
        <v>702.132728304027</v>
      </c>
      <c r="AD25" t="n">
        <v>743.853658536585</v>
      </c>
      <c r="AE25" t="n">
        <v>782</v>
      </c>
      <c r="AF25" t="n">
        <v>825</v>
      </c>
    </row>
    <row r="26">
      <c r="A26" t="s">
        <v>145</v>
      </c>
      <c r="B26" t="s">
        <v>322</v>
      </c>
      <c r="C26" t="s">
        <v>236</v>
      </c>
      <c r="D26" t="s">
        <v>323</v>
      </c>
      <c r="E26" t="s">
        <v>237</v>
      </c>
      <c r="F26" t="n">
        <v>1988.23112723515</v>
      </c>
      <c r="G26" t="n">
        <v>1905.44565351266</v>
      </c>
      <c r="H26" t="n">
        <v>1953.85499968518</v>
      </c>
      <c r="I26" t="n">
        <v>1948.62379486674</v>
      </c>
      <c r="J26" t="n">
        <v>1920.17673216796</v>
      </c>
      <c r="K26" t="n">
        <v>1909.89466131298</v>
      </c>
      <c r="L26" t="n">
        <v>1901.05255639949</v>
      </c>
      <c r="M26" t="n">
        <v>1893.5186625168</v>
      </c>
      <c r="N26" t="n">
        <v>1860.89342379881</v>
      </c>
      <c r="O26" t="n">
        <v>1783.09477762516</v>
      </c>
      <c r="P26" t="n">
        <v>1723.15881871339</v>
      </c>
      <c r="Q26" t="n">
        <v>1617.53397309019</v>
      </c>
      <c r="R26" t="n">
        <v>1669.79089333277</v>
      </c>
      <c r="S26" t="n">
        <v>1745.79844466513</v>
      </c>
      <c r="T26" t="n">
        <v>1757.30667435969</v>
      </c>
      <c r="U26" t="n">
        <v>1705.01941238004</v>
      </c>
      <c r="V26" t="n">
        <v>1744.64469752831</v>
      </c>
      <c r="W26" t="n">
        <v>1829.7223680221</v>
      </c>
      <c r="X26" t="n">
        <v>1844.87983142583</v>
      </c>
      <c r="Y26" t="n">
        <v>1915.38479313637</v>
      </c>
      <c r="Z26" t="n">
        <v>1887.7488305273</v>
      </c>
      <c r="AA26" t="n">
        <v>2014.90825339414</v>
      </c>
      <c r="AB26" t="n">
        <v>2198.82899656475</v>
      </c>
      <c r="AC26" t="n">
        <v>2394.82489597999</v>
      </c>
      <c r="AD26" t="n">
        <v>2510.98046875</v>
      </c>
      <c r="AE26" t="n">
        <v>2561</v>
      </c>
      <c r="AF26" t="n">
        <v>2593</v>
      </c>
    </row>
    <row r="27">
      <c r="A27" t="s">
        <v>145</v>
      </c>
      <c r="B27" t="s">
        <v>324</v>
      </c>
      <c r="C27" t="s">
        <v>236</v>
      </c>
      <c r="D27" t="s">
        <v>325</v>
      </c>
      <c r="E27" t="s">
        <v>237</v>
      </c>
      <c r="F27" t="n">
        <v>2357.05273380311</v>
      </c>
      <c r="G27" t="n">
        <v>2246.78126087665</v>
      </c>
      <c r="H27" t="n">
        <v>2199.66481741908</v>
      </c>
      <c r="I27" t="n">
        <v>2177.60328237712</v>
      </c>
      <c r="J27" t="n">
        <v>2184.02310337469</v>
      </c>
      <c r="K27" t="n">
        <v>2166.1212746585</v>
      </c>
      <c r="L27" t="n">
        <v>2152.27622293204</v>
      </c>
      <c r="M27" t="n">
        <v>2128.48724780946</v>
      </c>
      <c r="N27" t="n">
        <v>2138.49776984502</v>
      </c>
      <c r="O27" t="n">
        <v>2082.18858339503</v>
      </c>
      <c r="P27" t="n">
        <v>2053.54603709235</v>
      </c>
      <c r="Q27" t="n">
        <v>1999.63432728801</v>
      </c>
      <c r="R27" t="n">
        <v>1968.16308484886</v>
      </c>
      <c r="S27" t="n">
        <v>1939.75904754496</v>
      </c>
      <c r="T27" t="n">
        <v>1921.39446484631</v>
      </c>
      <c r="U27" t="n">
        <v>1846.62321798319</v>
      </c>
      <c r="V27" t="n">
        <v>1822.91961921935</v>
      </c>
      <c r="W27" t="n">
        <v>1890.10880155916</v>
      </c>
      <c r="X27" t="n">
        <v>1878.24168008818</v>
      </c>
      <c r="Y27" t="n">
        <v>1894.20407396995</v>
      </c>
      <c r="Z27" t="n">
        <v>1885.72888795666</v>
      </c>
      <c r="AA27" t="n">
        <v>1941.40377037856</v>
      </c>
      <c r="AB27" t="n">
        <v>1974.20467885381</v>
      </c>
      <c r="AC27" t="n">
        <v>2053.66183311108</v>
      </c>
      <c r="AD27" t="n">
        <v>2113.14442916094</v>
      </c>
      <c r="AE27" t="n">
        <v>2176</v>
      </c>
      <c r="AF27" t="n">
        <v>2308</v>
      </c>
    </row>
    <row r="28">
      <c r="A28" t="s">
        <v>145</v>
      </c>
      <c r="B28" t="s">
        <v>326</v>
      </c>
      <c r="C28" t="s">
        <v>236</v>
      </c>
      <c r="D28" t="s">
        <v>327</v>
      </c>
      <c r="E28" t="s">
        <v>237</v>
      </c>
      <c r="F28" t="n">
        <v>993.023121375626</v>
      </c>
      <c r="G28" t="n">
        <v>1030.71640739643</v>
      </c>
      <c r="H28" t="n">
        <v>1077.62478018077</v>
      </c>
      <c r="I28" t="n">
        <v>1169.3902965598</v>
      </c>
      <c r="J28" t="n">
        <v>1191.6173560509</v>
      </c>
      <c r="K28" t="n">
        <v>1221.22275620123</v>
      </c>
      <c r="L28" t="n">
        <v>1254.16283054433</v>
      </c>
      <c r="M28" t="n">
        <v>1309.06295444948</v>
      </c>
      <c r="N28" t="n">
        <v>1388.73438894312</v>
      </c>
      <c r="O28" t="n">
        <v>1398.54010395773</v>
      </c>
      <c r="P28" t="n">
        <v>1386.33643812912</v>
      </c>
      <c r="Q28" t="n">
        <v>1334.63438536282</v>
      </c>
      <c r="R28" t="n">
        <v>1314.35843848957</v>
      </c>
      <c r="S28" t="n">
        <v>1295.54829983498</v>
      </c>
      <c r="T28" t="n">
        <v>1343.44709261056</v>
      </c>
      <c r="U28" t="n">
        <v>1354.70817469447</v>
      </c>
      <c r="V28" t="n">
        <v>1425.47651217851</v>
      </c>
      <c r="W28" t="n">
        <v>1406.84999357203</v>
      </c>
      <c r="X28" t="n">
        <v>1355.37987185598</v>
      </c>
      <c r="Y28" t="n">
        <v>1413.61885072479</v>
      </c>
      <c r="Z28" t="n">
        <v>1398.84969855304</v>
      </c>
      <c r="AA28" t="n">
        <v>1466.05238177991</v>
      </c>
      <c r="AB28" t="n">
        <v>1469.15623297634</v>
      </c>
      <c r="AC28" t="n">
        <v>1493.59126387823</v>
      </c>
      <c r="AD28" t="n">
        <v>1605.83813611281</v>
      </c>
      <c r="AE28" t="n">
        <v>1639</v>
      </c>
      <c r="AF28" t="n">
        <v>1729</v>
      </c>
    </row>
    <row r="29">
      <c r="A29" t="s">
        <v>145</v>
      </c>
      <c r="B29" t="s">
        <v>328</v>
      </c>
      <c r="C29" t="s">
        <v>236</v>
      </c>
      <c r="D29" t="s">
        <v>329</v>
      </c>
      <c r="E29" t="s">
        <v>237</v>
      </c>
      <c r="F29" t="n">
        <v>398.14126909487</v>
      </c>
      <c r="G29" t="n">
        <v>420.260228489029</v>
      </c>
      <c r="H29" t="n">
        <v>447.199986725505</v>
      </c>
      <c r="I29" t="n">
        <v>507.703514341309</v>
      </c>
      <c r="J29" t="n">
        <v>492.00134379467</v>
      </c>
      <c r="K29" t="n">
        <v>489.391257090189</v>
      </c>
      <c r="L29" t="n">
        <v>491.967000548559</v>
      </c>
      <c r="M29" t="n">
        <v>516.372674205015</v>
      </c>
      <c r="N29" t="n">
        <v>558.973419826928</v>
      </c>
      <c r="O29" t="n">
        <v>570.591804996541</v>
      </c>
      <c r="P29" t="n">
        <v>555.135593574513</v>
      </c>
      <c r="Q29" t="n">
        <v>501.781600599388</v>
      </c>
      <c r="R29" t="n">
        <v>455.482550170018</v>
      </c>
      <c r="S29" t="n">
        <v>444.373219678066</v>
      </c>
      <c r="T29" t="n">
        <v>422.871289693644</v>
      </c>
      <c r="U29" t="n">
        <v>409.95022250856</v>
      </c>
      <c r="V29" t="n">
        <v>428.690804108952</v>
      </c>
      <c r="W29" t="n">
        <v>409.256820989346</v>
      </c>
      <c r="X29" t="n">
        <v>383.538496173075</v>
      </c>
      <c r="Y29" t="n">
        <v>396.802075291453</v>
      </c>
      <c r="Z29" t="n">
        <v>347.201815880021</v>
      </c>
      <c r="AA29" t="n">
        <v>343.977031212405</v>
      </c>
      <c r="AB29" t="n">
        <v>340.731964880212</v>
      </c>
      <c r="AC29" t="n">
        <v>334.647465507351</v>
      </c>
      <c r="AD29" t="n">
        <v>370.033149171271</v>
      </c>
      <c r="AE29" t="n">
        <v>364</v>
      </c>
      <c r="AF29" t="n">
        <v>357</v>
      </c>
    </row>
    <row r="30">
      <c r="A30" t="s">
        <v>145</v>
      </c>
      <c r="B30" t="s">
        <v>330</v>
      </c>
      <c r="C30" t="s">
        <v>236</v>
      </c>
      <c r="D30" t="s">
        <v>331</v>
      </c>
      <c r="E30" t="s">
        <v>237</v>
      </c>
      <c r="F30" t="n">
        <v>10.0686531170702</v>
      </c>
      <c r="G30" t="n">
        <v>7.83117464661015</v>
      </c>
      <c r="H30" t="n">
        <v>6.71243541138013</v>
      </c>
      <c r="I30" t="n">
        <v>5.5936961761501</v>
      </c>
      <c r="J30" t="n">
        <v>2.23747847046004</v>
      </c>
      <c r="K30" t="n">
        <v>1.11873923523002</v>
      </c>
      <c r="L30" t="n">
        <v>8.94991388184017</v>
      </c>
      <c r="M30" t="n">
        <v>14.5436100579903</v>
      </c>
      <c r="N30" t="n">
        <v>21.8154150869854</v>
      </c>
      <c r="O30" t="n">
        <v>27.875252611148</v>
      </c>
      <c r="P30" t="n">
        <v>36.3590251449757</v>
      </c>
      <c r="Q30" t="n">
        <v>53.9521018280284</v>
      </c>
      <c r="R30" t="n">
        <v>69.1994349533408</v>
      </c>
      <c r="S30" t="n">
        <v>78.4260262804529</v>
      </c>
      <c r="T30" t="n">
        <v>77.3056544764464</v>
      </c>
      <c r="U30" t="n">
        <v>72.8881885063638</v>
      </c>
      <c r="V30" t="n">
        <v>92.7667853717357</v>
      </c>
      <c r="W30" t="n">
        <v>112.18308928675</v>
      </c>
      <c r="X30" t="n">
        <v>123.824730627828</v>
      </c>
      <c r="Y30" t="n">
        <v>119.662554808405</v>
      </c>
      <c r="Z30" t="n">
        <v>122.75727605345</v>
      </c>
      <c r="AA30" t="n">
        <v>129.858936651584</v>
      </c>
      <c r="AB30" t="n">
        <v>124.746380090498</v>
      </c>
      <c r="AC30" t="n">
        <v>132.926470588235</v>
      </c>
      <c r="AD30" t="n">
        <v>141.044117647059</v>
      </c>
      <c r="AE30" t="n">
        <v>138</v>
      </c>
      <c r="AF30" t="n">
        <v>139</v>
      </c>
    </row>
    <row r="31">
      <c r="A31" t="s">
        <v>145</v>
      </c>
      <c r="B31" t="s">
        <v>332</v>
      </c>
      <c r="C31" t="s">
        <v>236</v>
      </c>
      <c r="D31" t="s">
        <v>333</v>
      </c>
      <c r="E31" t="s">
        <v>237</v>
      </c>
      <c r="F31" t="n">
        <v>113.615169771491</v>
      </c>
      <c r="G31" t="n">
        <v>112.380222273975</v>
      </c>
      <c r="H31" t="n">
        <v>111.171832787158</v>
      </c>
      <c r="I31" t="n">
        <v>117.085228148177</v>
      </c>
      <c r="J31" t="n">
        <v>120.633265364788</v>
      </c>
      <c r="K31" t="n">
        <v>115.855710300836</v>
      </c>
      <c r="L31" t="n">
        <v>118.244487832812</v>
      </c>
      <c r="M31" t="n">
        <v>111.078155236884</v>
      </c>
      <c r="N31" t="n">
        <v>103.833927721435</v>
      </c>
      <c r="O31" t="n">
        <v>97.7970714585612</v>
      </c>
      <c r="P31" t="n">
        <v>95.4117770327426</v>
      </c>
      <c r="Q31" t="n">
        <v>96.5897002059864</v>
      </c>
      <c r="R31" t="n">
        <v>98.9455465524739</v>
      </c>
      <c r="S31" t="n">
        <v>100.109611806032</v>
      </c>
      <c r="T31" t="n">
        <v>102.359266003921</v>
      </c>
      <c r="U31" t="n">
        <v>91.2332588295815</v>
      </c>
      <c r="V31" t="n">
        <v>80.1072516552423</v>
      </c>
      <c r="W31" t="n">
        <v>68.1994169497333</v>
      </c>
      <c r="X31" t="n">
        <v>59.80564255592</v>
      </c>
      <c r="Y31" t="n">
        <v>53.51031176056</v>
      </c>
      <c r="Z31" t="n">
        <v>48.2642027644267</v>
      </c>
      <c r="AA31" t="n">
        <v>44.1566110397946</v>
      </c>
      <c r="AB31" t="n">
        <v>43.1052631578947</v>
      </c>
      <c r="AC31" t="n">
        <v>41.0526315789474</v>
      </c>
      <c r="AD31" t="n">
        <v>41.0526315789474</v>
      </c>
      <c r="AE31" t="n">
        <v>39</v>
      </c>
      <c r="AF31" t="n">
        <v>36</v>
      </c>
    </row>
    <row r="32">
      <c r="A32" t="s">
        <v>145</v>
      </c>
      <c r="B32" t="s">
        <v>334</v>
      </c>
      <c r="C32" t="s">
        <v>236</v>
      </c>
      <c r="D32" t="s">
        <v>335</v>
      </c>
      <c r="E32" t="s">
        <v>237</v>
      </c>
      <c r="F32" t="n">
        <v>347.917515534552</v>
      </c>
      <c r="G32" t="n">
        <v>373.784988808496</v>
      </c>
      <c r="H32" t="n">
        <v>391.464008549439</v>
      </c>
      <c r="I32" t="n">
        <v>413.69224878253</v>
      </c>
      <c r="J32" t="n">
        <v>438.243717553006</v>
      </c>
      <c r="K32" t="n">
        <v>463.950751264216</v>
      </c>
      <c r="L32" t="n">
        <v>476.032802078389</v>
      </c>
      <c r="M32" t="n">
        <v>497.835831181216</v>
      </c>
      <c r="N32" t="n">
        <v>536.596771808464</v>
      </c>
      <c r="O32" t="n">
        <v>551.132124543682</v>
      </c>
      <c r="P32" t="n">
        <v>564.368922294731</v>
      </c>
      <c r="Q32" t="n">
        <v>559.636268858297</v>
      </c>
      <c r="R32" t="n">
        <v>578.447572013198</v>
      </c>
      <c r="S32" t="n">
        <v>572.651504157354</v>
      </c>
      <c r="T32" t="n">
        <v>648.178375768658</v>
      </c>
      <c r="U32" t="n">
        <v>693.919018464898</v>
      </c>
      <c r="V32" t="n">
        <v>747.297404500659</v>
      </c>
      <c r="W32" t="n">
        <v>749.466627735784</v>
      </c>
      <c r="X32" t="n">
        <v>725.050576123995</v>
      </c>
      <c r="Y32" t="n">
        <v>782.677428272579</v>
      </c>
      <c r="Z32" t="n">
        <v>816.071665212209</v>
      </c>
      <c r="AA32" t="n">
        <v>880.660251780511</v>
      </c>
      <c r="AB32" t="n">
        <v>890.864889692221</v>
      </c>
      <c r="AC32" t="n">
        <v>912.270110153933</v>
      </c>
      <c r="AD32" t="n">
        <v>979.957925636008</v>
      </c>
      <c r="AE32" t="n">
        <v>1023</v>
      </c>
      <c r="AF32" t="n">
        <v>1124</v>
      </c>
    </row>
    <row r="33">
      <c r="A33" t="s">
        <v>145</v>
      </c>
      <c r="B33" t="s">
        <v>336</v>
      </c>
      <c r="C33" t="s">
        <v>236</v>
      </c>
      <c r="D33" t="s">
        <v>337</v>
      </c>
      <c r="E33" t="s">
        <v>237</v>
      </c>
      <c r="F33" t="n">
        <v>129.864157149812</v>
      </c>
      <c r="G33" t="n">
        <v>124.963622917744</v>
      </c>
      <c r="H33" t="n">
        <v>130.914271628113</v>
      </c>
      <c r="I33" t="n">
        <v>137.927536179619</v>
      </c>
      <c r="J33" t="n">
        <v>149.616310432129</v>
      </c>
      <c r="K33" t="n">
        <v>161.305084684639</v>
      </c>
      <c r="L33" t="n">
        <v>168.267894095487</v>
      </c>
      <c r="M33" t="n">
        <v>178.712108211758</v>
      </c>
      <c r="N33" t="n">
        <v>178.712108211758</v>
      </c>
      <c r="O33" t="n">
        <v>163.527419278733</v>
      </c>
      <c r="P33" t="n">
        <v>147.17467735086</v>
      </c>
      <c r="Q33" t="n">
        <v>132.109552897622</v>
      </c>
      <c r="R33" t="n">
        <v>119.362139898729</v>
      </c>
      <c r="S33" t="n">
        <v>106.857534766481</v>
      </c>
      <c r="T33" t="n">
        <v>98.0445422084207</v>
      </c>
      <c r="U33" t="n">
        <v>91.508239394526</v>
      </c>
      <c r="V33" t="n">
        <v>81.7037851736839</v>
      </c>
      <c r="W33" t="n">
        <v>72.1539921014351</v>
      </c>
      <c r="X33" t="n">
        <v>66.9254419491572</v>
      </c>
      <c r="Y33" t="n">
        <v>64.8661975814909</v>
      </c>
      <c r="Z33" t="n">
        <v>65.895819765324</v>
      </c>
      <c r="AA33" t="n">
        <v>67.8926627885157</v>
      </c>
      <c r="AB33" t="n">
        <v>69.9193094389191</v>
      </c>
      <c r="AC33" t="n">
        <v>72.9592794145243</v>
      </c>
      <c r="AD33" t="n">
        <v>73.972602739726</v>
      </c>
      <c r="AE33" t="n">
        <v>75</v>
      </c>
      <c r="AF33" t="n">
        <v>73</v>
      </c>
    </row>
    <row r="34">
      <c r="A34" t="s">
        <v>145</v>
      </c>
      <c r="B34" t="s">
        <v>338</v>
      </c>
      <c r="C34" t="s">
        <v>236</v>
      </c>
      <c r="D34" t="s">
        <v>339</v>
      </c>
      <c r="E34" t="s">
        <v>237</v>
      </c>
      <c r="F34" t="n">
        <v>580.111115707271</v>
      </c>
      <c r="G34" t="n">
        <v>564.641485955078</v>
      </c>
      <c r="H34" t="n">
        <v>573.444359900925</v>
      </c>
      <c r="I34" t="n">
        <v>602.789060620802</v>
      </c>
      <c r="J34" t="n">
        <v>611.330606014214</v>
      </c>
      <c r="K34" t="n">
        <v>621.151177998378</v>
      </c>
      <c r="L34" t="n">
        <v>623.59185060348</v>
      </c>
      <c r="M34" t="n">
        <v>626.032523208582</v>
      </c>
      <c r="N34" t="n">
        <v>637.0585363375</v>
      </c>
      <c r="O34" t="n">
        <v>635.83342376762</v>
      </c>
      <c r="P34" t="n">
        <v>649.283746193473</v>
      </c>
      <c r="Q34" t="n">
        <v>678.302014179774</v>
      </c>
      <c r="R34" t="n">
        <v>698.63911160668</v>
      </c>
      <c r="S34" t="n">
        <v>726.86695449988</v>
      </c>
      <c r="T34" t="n">
        <v>728.009827069848</v>
      </c>
      <c r="U34" t="n">
        <v>706.564576349961</v>
      </c>
      <c r="V34" t="n">
        <v>712.181146909182</v>
      </c>
      <c r="W34" t="n">
        <v>725.308909985849</v>
      </c>
      <c r="X34" t="n">
        <v>717.809408700914</v>
      </c>
      <c r="Y34" t="n">
        <v>720.980878842449</v>
      </c>
      <c r="Z34" t="n">
        <v>733.611200807573</v>
      </c>
      <c r="AA34" t="n">
        <v>776.764800855077</v>
      </c>
      <c r="AB34" t="n">
        <v>798.284670008054</v>
      </c>
      <c r="AC34" t="n">
        <v>861.414325034201</v>
      </c>
      <c r="AD34" t="n">
        <v>916.76220806794</v>
      </c>
      <c r="AE34" t="n">
        <v>949</v>
      </c>
      <c r="AF34" t="n">
        <v>999</v>
      </c>
    </row>
    <row r="35">
      <c r="A35" t="s">
        <v>145</v>
      </c>
      <c r="B35" t="s">
        <v>340</v>
      </c>
      <c r="C35" t="s">
        <v>236</v>
      </c>
      <c r="D35" t="s">
        <v>341</v>
      </c>
      <c r="E35" t="s">
        <v>237</v>
      </c>
      <c r="F35" t="n">
        <v>2062.06651745227</v>
      </c>
      <c r="G35" t="n">
        <v>2048.31940733592</v>
      </c>
      <c r="H35" t="n">
        <v>2117.7539635168</v>
      </c>
      <c r="I35" t="n">
        <v>2160.70779313945</v>
      </c>
      <c r="J35" t="n">
        <v>2178.78902990213</v>
      </c>
      <c r="K35" t="n">
        <v>2321.63934432572</v>
      </c>
      <c r="L35" t="n">
        <v>2511.41912724063</v>
      </c>
      <c r="M35" t="n">
        <v>2628.78695580011</v>
      </c>
      <c r="N35" t="n">
        <v>2531.56476771336</v>
      </c>
      <c r="O35" t="n">
        <v>2446.92662428183</v>
      </c>
      <c r="P35" t="n">
        <v>2355.22968199611</v>
      </c>
      <c r="Q35" t="n">
        <v>2239.8866801922</v>
      </c>
      <c r="R35" t="n">
        <v>2133.22540970685</v>
      </c>
      <c r="S35" t="n">
        <v>2087.63341557364</v>
      </c>
      <c r="T35" t="n">
        <v>2023.59558074009</v>
      </c>
      <c r="U35" t="n">
        <v>1998.3149999472</v>
      </c>
      <c r="V35" t="n">
        <v>2013.18511729082</v>
      </c>
      <c r="W35" t="n">
        <v>2075.67866860362</v>
      </c>
      <c r="X35" t="n">
        <v>2078.95778182416</v>
      </c>
      <c r="Y35" t="n">
        <v>2075.72121029045</v>
      </c>
      <c r="Z35" t="n">
        <v>2075.72121029045</v>
      </c>
      <c r="AA35" t="n">
        <v>2097.91578534956</v>
      </c>
      <c r="AB35" t="n">
        <v>2080.0745805717</v>
      </c>
      <c r="AC35" t="n">
        <v>2113.42246963898</v>
      </c>
      <c r="AD35" t="n">
        <v>2119.6384180791</v>
      </c>
      <c r="AE35" t="n">
        <v>2208</v>
      </c>
      <c r="AF35" t="n">
        <v>2365</v>
      </c>
    </row>
    <row r="36">
      <c r="A36" t="s">
        <v>145</v>
      </c>
      <c r="B36" t="s">
        <v>342</v>
      </c>
      <c r="C36" t="s">
        <v>236</v>
      </c>
      <c r="D36" t="s">
        <v>343</v>
      </c>
      <c r="E36" t="s">
        <v>237</v>
      </c>
      <c r="F36" t="n">
        <v>644.255068323582</v>
      </c>
      <c r="G36" t="n">
        <v>626.799881743387</v>
      </c>
      <c r="H36" t="n">
        <v>656.278094003596</v>
      </c>
      <c r="I36" t="n">
        <v>662.354743022148</v>
      </c>
      <c r="J36" t="n">
        <v>597.180248857497</v>
      </c>
      <c r="K36" t="n">
        <v>603.258419329329</v>
      </c>
      <c r="L36" t="n">
        <v>606.282271055291</v>
      </c>
      <c r="M36" t="n">
        <v>592.606731106675</v>
      </c>
      <c r="N36" t="n">
        <v>568.169340133204</v>
      </c>
      <c r="O36" t="n">
        <v>533.040590608839</v>
      </c>
      <c r="P36" t="n">
        <v>516.335614834773</v>
      </c>
      <c r="Q36" t="n">
        <v>486.403115424062</v>
      </c>
      <c r="R36" t="n">
        <v>453.578365303419</v>
      </c>
      <c r="S36" t="n">
        <v>427.241556995479</v>
      </c>
      <c r="T36" t="n">
        <v>407.303617669023</v>
      </c>
      <c r="U36" t="n">
        <v>410.102955247504</v>
      </c>
      <c r="V36" t="n">
        <v>404.54223721025</v>
      </c>
      <c r="W36" t="n">
        <v>419.475004355595</v>
      </c>
      <c r="X36" t="n">
        <v>410.153337592137</v>
      </c>
      <c r="Y36" t="n">
        <v>406.209555499905</v>
      </c>
      <c r="Z36" t="n">
        <v>406.209555499905</v>
      </c>
      <c r="AA36" t="n">
        <v>404.890693306724</v>
      </c>
      <c r="AB36" t="n">
        <v>403.584594296057</v>
      </c>
      <c r="AC36" t="n">
        <v>386.660079051383</v>
      </c>
      <c r="AD36" t="n">
        <v>357.114624505929</v>
      </c>
      <c r="AE36" t="n">
        <v>325</v>
      </c>
      <c r="AF36" t="n">
        <v>315</v>
      </c>
    </row>
    <row r="37">
      <c r="A37" t="s">
        <v>145</v>
      </c>
      <c r="B37" t="s">
        <v>344</v>
      </c>
      <c r="C37" t="s">
        <v>236</v>
      </c>
      <c r="D37" t="s">
        <v>345</v>
      </c>
      <c r="E37" t="s">
        <v>237</v>
      </c>
      <c r="F37" t="n">
        <v>1224.54275559717</v>
      </c>
      <c r="G37" t="n">
        <v>1236.78818315314</v>
      </c>
      <c r="H37" t="n">
        <v>1268.36575378684</v>
      </c>
      <c r="I37" t="n">
        <v>1281.1516988855</v>
      </c>
      <c r="J37" t="n">
        <v>1311.59490757188</v>
      </c>
      <c r="K37" t="n">
        <v>1399.79053055943</v>
      </c>
      <c r="L37" t="n">
        <v>1488.74456251025</v>
      </c>
      <c r="M37" t="n">
        <v>1589.55137846883</v>
      </c>
      <c r="N37" t="n">
        <v>1508.47688775867</v>
      </c>
      <c r="O37" t="n">
        <v>1471.59481226335</v>
      </c>
      <c r="P37" t="n">
        <v>1398.25952261567</v>
      </c>
      <c r="Q37" t="n">
        <v>1322.12266010505</v>
      </c>
      <c r="R37" t="n">
        <v>1255.30057620083</v>
      </c>
      <c r="S37" t="n">
        <v>1257.62951975593</v>
      </c>
      <c r="T37" t="n">
        <v>1256.50058840965</v>
      </c>
      <c r="U37" t="n">
        <v>1247.58132957444</v>
      </c>
      <c r="V37" t="n">
        <v>1274.22007682514</v>
      </c>
      <c r="W37" t="n">
        <v>1285.04607577863</v>
      </c>
      <c r="X37" t="n">
        <v>1279.74473058152</v>
      </c>
      <c r="Y37" t="n">
        <v>1278.69833260067</v>
      </c>
      <c r="Z37" t="n">
        <v>1266.19272543587</v>
      </c>
      <c r="AA37" t="n">
        <v>1297.87309225469</v>
      </c>
      <c r="AB37" t="n">
        <v>1313.1063445112</v>
      </c>
      <c r="AC37" t="n">
        <v>1338.28092933695</v>
      </c>
      <c r="AD37" t="n">
        <v>1364.34482758621</v>
      </c>
      <c r="AE37" t="n">
        <v>1460</v>
      </c>
      <c r="AF37" t="n">
        <v>1581</v>
      </c>
    </row>
    <row r="38">
      <c r="A38" t="s">
        <v>145</v>
      </c>
      <c r="B38" t="s">
        <v>346</v>
      </c>
      <c r="C38" t="s">
        <v>236</v>
      </c>
      <c r="D38" t="s">
        <v>347</v>
      </c>
      <c r="E38" t="s">
        <v>237</v>
      </c>
      <c r="F38" t="n">
        <v>258.972040843729</v>
      </c>
      <c r="G38" t="n">
        <v>248.292781427492</v>
      </c>
      <c r="H38" t="n">
        <v>260.054018442479</v>
      </c>
      <c r="I38" t="n">
        <v>284.394049725272</v>
      </c>
      <c r="J38" t="n">
        <v>325.920614508166</v>
      </c>
      <c r="K38" t="n">
        <v>372.480702295047</v>
      </c>
      <c r="L38" t="n">
        <v>465.908205180933</v>
      </c>
      <c r="M38" t="n">
        <v>490.42968966414</v>
      </c>
      <c r="N38" t="n">
        <v>496.560060784942</v>
      </c>
      <c r="O38" t="n">
        <v>479.395021646697</v>
      </c>
      <c r="P38" t="n">
        <v>476.95535232534</v>
      </c>
      <c r="Q38" t="n">
        <v>464.94136360178</v>
      </c>
      <c r="R38" t="n">
        <v>454.293851458228</v>
      </c>
      <c r="S38" t="n">
        <v>428.667018811866</v>
      </c>
      <c r="T38" t="n">
        <v>383.425117090297</v>
      </c>
      <c r="U38" t="n">
        <v>365.539397342645</v>
      </c>
      <c r="V38" t="n">
        <v>357.738251667649</v>
      </c>
      <c r="W38" t="n">
        <v>395.795512483357</v>
      </c>
      <c r="X38" t="n">
        <v>411.75500895446</v>
      </c>
      <c r="Y38" t="n">
        <v>412.805404385466</v>
      </c>
      <c r="Z38" t="n">
        <v>425.346328062999</v>
      </c>
      <c r="AA38" t="n">
        <v>416.1661914861</v>
      </c>
      <c r="AB38" t="n">
        <v>384.776527408073</v>
      </c>
      <c r="AC38" t="n">
        <v>404.921895335197</v>
      </c>
      <c r="AD38" t="n">
        <v>407.928741092637</v>
      </c>
      <c r="AE38" t="n">
        <v>423</v>
      </c>
      <c r="AF38" t="n">
        <v>469</v>
      </c>
    </row>
    <row r="39">
      <c r="A39" t="s">
        <v>145</v>
      </c>
      <c r="B39" t="s">
        <v>348</v>
      </c>
      <c r="C39" t="s">
        <v>236</v>
      </c>
      <c r="D39" t="s">
        <v>349</v>
      </c>
      <c r="E39" t="s">
        <v>237</v>
      </c>
      <c r="F39" t="n">
        <v>760.25047851244</v>
      </c>
      <c r="G39" t="n">
        <v>668.782842816412</v>
      </c>
      <c r="H39" t="n">
        <v>556.157954356009</v>
      </c>
      <c r="I39" t="n">
        <v>465.35665568564</v>
      </c>
      <c r="J39" t="n">
        <v>392.892358936538</v>
      </c>
      <c r="K39" t="n">
        <v>323.625208950617</v>
      </c>
      <c r="L39" t="n">
        <v>257.326989061428</v>
      </c>
      <c r="M39" t="n">
        <v>312.38822252872</v>
      </c>
      <c r="N39" t="n">
        <v>250.361680149371</v>
      </c>
      <c r="O39" t="n">
        <v>192.846159033975</v>
      </c>
      <c r="P39" t="n">
        <v>156.967803864864</v>
      </c>
      <c r="Q39" t="n">
        <v>179.075945254281</v>
      </c>
      <c r="R39" t="n">
        <v>175.759724045868</v>
      </c>
      <c r="S39" t="n">
        <v>182.229407139581</v>
      </c>
      <c r="T39" t="n">
        <v>171.695915397409</v>
      </c>
      <c r="U39" t="n">
        <v>91.5711548786181</v>
      </c>
      <c r="V39" t="n">
        <v>43.7044148284314</v>
      </c>
      <c r="W39" t="n">
        <v>57.9337591911765</v>
      </c>
      <c r="X39" t="n">
        <v>65.048431372549</v>
      </c>
      <c r="Y39" t="n">
        <v>63.0469411764706</v>
      </c>
      <c r="Z39" t="n">
        <v>55.0409803921569</v>
      </c>
      <c r="AA39" t="n">
        <v>58.0432156862745</v>
      </c>
      <c r="AB39" t="n">
        <v>90.0670588235294</v>
      </c>
      <c r="AC39" t="n">
        <v>103.923529411765</v>
      </c>
      <c r="AD39" t="n">
        <v>135.9</v>
      </c>
      <c r="AE39" t="n">
        <v>151</v>
      </c>
      <c r="AF39" t="n">
        <v>154</v>
      </c>
    </row>
    <row r="40">
      <c r="A40" t="s">
        <v>145</v>
      </c>
      <c r="B40" t="s">
        <v>350</v>
      </c>
      <c r="C40" t="s">
        <v>236</v>
      </c>
      <c r="D40" t="s">
        <v>351</v>
      </c>
      <c r="E40" t="s">
        <v>237</v>
      </c>
      <c r="F40" t="n">
        <v>349.93681686046</v>
      </c>
      <c r="G40" t="n">
        <v>324.300420020866</v>
      </c>
      <c r="H40" t="n">
        <v>308.022792761131</v>
      </c>
      <c r="I40" t="n">
        <v>278.687288688643</v>
      </c>
      <c r="J40" t="n">
        <v>255.463347964589</v>
      </c>
      <c r="K40" t="n">
        <v>268.908787331146</v>
      </c>
      <c r="L40" t="n">
        <v>265.307330357961</v>
      </c>
      <c r="M40" t="n">
        <v>287.014293750885</v>
      </c>
      <c r="N40" t="n">
        <v>346.105471876068</v>
      </c>
      <c r="O40" t="n">
        <v>365.468015757246</v>
      </c>
      <c r="P40" t="n">
        <v>417.162504828173</v>
      </c>
      <c r="Q40" t="n">
        <v>467.079385747783</v>
      </c>
      <c r="R40" t="n">
        <v>478.844609570145</v>
      </c>
      <c r="S40" t="n">
        <v>562.32357298189</v>
      </c>
      <c r="T40" t="n">
        <v>624.179166009898</v>
      </c>
      <c r="U40" t="n">
        <v>599.745106130507</v>
      </c>
      <c r="V40" t="n">
        <v>576.507749619915</v>
      </c>
      <c r="W40" t="n">
        <v>560.313711709243</v>
      </c>
      <c r="X40" t="n">
        <v>557.13612922318</v>
      </c>
      <c r="Y40" t="n">
        <v>562.352759646618</v>
      </c>
      <c r="Z40" t="n">
        <v>575.8409254684</v>
      </c>
      <c r="AA40" t="n">
        <v>601.230736996989</v>
      </c>
      <c r="AB40" t="n">
        <v>646.701969206845</v>
      </c>
      <c r="AC40" t="n">
        <v>803.600114146608</v>
      </c>
      <c r="AD40" t="n">
        <v>905.30890052356</v>
      </c>
      <c r="AE40" t="n">
        <v>966</v>
      </c>
      <c r="AF40" t="n">
        <v>1041</v>
      </c>
    </row>
    <row r="41">
      <c r="A41" t="s">
        <v>145</v>
      </c>
      <c r="B41" t="s">
        <v>352</v>
      </c>
      <c r="C41" t="s">
        <v>236</v>
      </c>
      <c r="D41" t="s">
        <v>353</v>
      </c>
      <c r="E41" t="s">
        <v>237</v>
      </c>
      <c r="F41" t="e">
        <v>#NUM!</v>
      </c>
      <c r="G41" t="e">
        <v>#NUM!</v>
      </c>
      <c r="H41" t="e">
        <v>#NUM!</v>
      </c>
      <c r="I41" t="e">
        <v>#NUM!</v>
      </c>
      <c r="J41" t="e">
        <v>#NUM!</v>
      </c>
      <c r="K41" t="e">
        <v>#NUM!</v>
      </c>
      <c r="L41" t="e">
        <v>#NUM!</v>
      </c>
      <c r="M41" t="e">
        <v>#NUM!</v>
      </c>
      <c r="N41" t="e">
        <v>#NUM!</v>
      </c>
      <c r="O41" t="e">
        <v>#NUM!</v>
      </c>
      <c r="P41" t="e">
        <v>#NUM!</v>
      </c>
      <c r="Q41" t="e">
        <v>#NUM!</v>
      </c>
      <c r="R41" t="e">
        <v>#NUM!</v>
      </c>
      <c r="S41" t="e">
        <v>#NUM!</v>
      </c>
      <c r="T41" t="e">
        <v>#NUM!</v>
      </c>
      <c r="U41" t="e">
        <v>#NUM!</v>
      </c>
      <c r="V41" t="e">
        <v>#NUM!</v>
      </c>
      <c r="W41" t="e">
        <v>#NUM!</v>
      </c>
      <c r="X41" t="e">
        <v>#NUM!</v>
      </c>
      <c r="Y41" t="e">
        <v>#NUM!</v>
      </c>
      <c r="Z41" t="e">
        <v>#NUM!</v>
      </c>
      <c r="AA41" t="e">
        <v>#NUM!</v>
      </c>
      <c r="AB41" t="e">
        <v>#NUM!</v>
      </c>
      <c r="AC41" t="e">
        <v>#NUM!</v>
      </c>
      <c r="AD41" t="e">
        <v>#NUM!</v>
      </c>
      <c r="AE41" t="n">
        <v>0</v>
      </c>
      <c r="AF41" t="e">
        <v>#NUM!</v>
      </c>
    </row>
    <row r="42">
      <c r="A42" t="s">
        <v>145</v>
      </c>
      <c r="B42" t="s">
        <v>354</v>
      </c>
      <c r="C42" t="s">
        <v>236</v>
      </c>
      <c r="D42" t="s">
        <v>355</v>
      </c>
      <c r="E42" t="s">
        <v>237</v>
      </c>
      <c r="F42" t="n">
        <v>698.157170476649</v>
      </c>
      <c r="G42" t="n">
        <v>724.431902698888</v>
      </c>
      <c r="H42" t="n">
        <v>764.814086464198</v>
      </c>
      <c r="I42" t="n">
        <v>811.41994485811</v>
      </c>
      <c r="J42" t="n">
        <v>853.245715211621</v>
      </c>
      <c r="K42" t="n">
        <v>896.44802990588</v>
      </c>
      <c r="L42" t="n">
        <v>927.524894942617</v>
      </c>
      <c r="M42" t="n">
        <v>980.252408350207</v>
      </c>
      <c r="N42" t="n">
        <v>1004.27820267252</v>
      </c>
      <c r="O42" t="n">
        <v>1033.14368394694</v>
      </c>
      <c r="P42" t="n">
        <v>1037.93785417407</v>
      </c>
      <c r="Q42" t="n">
        <v>1015.50233741718</v>
      </c>
      <c r="R42" t="n">
        <v>1088.54310878593</v>
      </c>
      <c r="S42" t="n">
        <v>1088.54310878593</v>
      </c>
      <c r="T42" t="n">
        <v>1024.57717352737</v>
      </c>
      <c r="U42" t="n">
        <v>1022.35947401758</v>
      </c>
      <c r="V42" t="n">
        <v>1049.99081115319</v>
      </c>
      <c r="W42" t="n">
        <v>1086.64346780535</v>
      </c>
      <c r="X42" t="n">
        <v>1086.64346780535</v>
      </c>
      <c r="Y42" t="n">
        <v>1100.17446884124</v>
      </c>
      <c r="Z42" t="n">
        <v>1096.03458372801</v>
      </c>
      <c r="AA42" t="n">
        <v>1092.97303461145</v>
      </c>
      <c r="AB42" t="n">
        <v>1100.12332549209</v>
      </c>
      <c r="AC42" t="n">
        <v>1139.7034082358</v>
      </c>
      <c r="AD42" t="n">
        <v>1212.6444263629</v>
      </c>
      <c r="AE42" t="n">
        <v>1263</v>
      </c>
      <c r="AF42" t="n">
        <v>1357</v>
      </c>
    </row>
    <row r="43">
      <c r="A43" t="s">
        <v>145</v>
      </c>
      <c r="B43" t="s">
        <v>356</v>
      </c>
      <c r="C43" t="s">
        <v>236</v>
      </c>
      <c r="D43" t="s">
        <v>357</v>
      </c>
      <c r="E43" t="s">
        <v>237</v>
      </c>
      <c r="F43" t="n">
        <v>1183.43744206645</v>
      </c>
      <c r="G43" t="n">
        <v>1252.67545622875</v>
      </c>
      <c r="H43" t="n">
        <v>1291.20329652839</v>
      </c>
      <c r="I43" t="n">
        <v>1354.18882318831</v>
      </c>
      <c r="J43" t="n">
        <v>1415.92687865505</v>
      </c>
      <c r="K43" t="n">
        <v>1523.5170214059</v>
      </c>
      <c r="L43" t="n">
        <v>1579.30778557005</v>
      </c>
      <c r="M43" t="n">
        <v>1741.40682514469</v>
      </c>
      <c r="N43" t="n">
        <v>1854.76710323583</v>
      </c>
      <c r="O43" t="n">
        <v>1934.41227487771</v>
      </c>
      <c r="P43" t="n">
        <v>2000.49468178347</v>
      </c>
      <c r="Q43" t="n">
        <v>2025.39710520816</v>
      </c>
      <c r="R43" t="n">
        <v>2158.6934784688</v>
      </c>
      <c r="S43" t="n">
        <v>2295.27569319229</v>
      </c>
      <c r="T43" t="n">
        <v>2221.16209448843</v>
      </c>
      <c r="U43" t="n">
        <v>2183.4400609157</v>
      </c>
      <c r="V43" t="n">
        <v>2236.50594594049</v>
      </c>
      <c r="W43" t="n">
        <v>2305.52059422409</v>
      </c>
      <c r="X43" t="n">
        <v>2316.10608822879</v>
      </c>
      <c r="Y43" t="n">
        <v>2389.00511078995</v>
      </c>
      <c r="Z43" t="n">
        <v>2308.1624215745</v>
      </c>
      <c r="AA43" t="n">
        <v>2339.80905362616</v>
      </c>
      <c r="AB43" t="n">
        <v>2366.36297566644</v>
      </c>
      <c r="AC43" t="n">
        <v>2493.2593171329</v>
      </c>
      <c r="AD43" t="n">
        <v>2676.11180351906</v>
      </c>
      <c r="AE43" t="n">
        <v>2779</v>
      </c>
      <c r="AF43" t="n">
        <v>2949</v>
      </c>
    </row>
    <row r="44">
      <c r="A44" t="s">
        <v>145</v>
      </c>
      <c r="B44" t="s">
        <v>358</v>
      </c>
      <c r="C44" t="s">
        <v>236</v>
      </c>
      <c r="D44" t="s">
        <v>359</v>
      </c>
      <c r="E44" t="s">
        <v>237</v>
      </c>
      <c r="F44" t="n">
        <v>51552.2595083697</v>
      </c>
      <c r="G44" t="n">
        <v>51484.9657987478</v>
      </c>
      <c r="H44" t="n">
        <v>51918.802557035</v>
      </c>
      <c r="I44" t="n">
        <v>52371.5135476654</v>
      </c>
      <c r="J44" t="n">
        <v>52299.2013116571</v>
      </c>
      <c r="K44" t="n">
        <v>52617.338151697</v>
      </c>
      <c r="L44" t="n">
        <v>53743.2652374396</v>
      </c>
      <c r="M44" t="n">
        <v>54250.4634466838</v>
      </c>
      <c r="N44" t="n">
        <v>54285.1021937823</v>
      </c>
      <c r="O44" t="n">
        <v>53842.7626182509</v>
      </c>
      <c r="P44" t="n">
        <v>53498.2791721968</v>
      </c>
      <c r="Q44" t="n">
        <v>52800.1277198613</v>
      </c>
      <c r="R44" t="n">
        <v>53299.5280734292</v>
      </c>
      <c r="S44" t="n">
        <v>53853.748829945</v>
      </c>
      <c r="T44" t="n">
        <v>53455.7724736811</v>
      </c>
      <c r="U44" t="n">
        <v>52127.5945685228</v>
      </c>
      <c r="V44" t="n">
        <v>51641.6402989155</v>
      </c>
      <c r="W44" t="n">
        <v>51717.3660067175</v>
      </c>
      <c r="X44" t="n">
        <v>51252.8097903263</v>
      </c>
      <c r="Y44" t="n">
        <v>51223.1195312154</v>
      </c>
      <c r="Z44" t="n">
        <v>51340.2383288334</v>
      </c>
      <c r="AA44" t="n">
        <v>52448.5467068505</v>
      </c>
      <c r="AB44" t="n">
        <v>54296.0614630877</v>
      </c>
      <c r="AC44" t="n">
        <v>55535.4961131645</v>
      </c>
      <c r="AD44" t="n">
        <v>56428.2355790247</v>
      </c>
      <c r="AE44" t="n">
        <v>57361</v>
      </c>
      <c r="AF44" t="n">
        <v>59087</v>
      </c>
    </row>
    <row r="45">
      <c r="A45" t="s">
        <v>145</v>
      </c>
      <c r="B45" t="s">
        <v>360</v>
      </c>
      <c r="C45" t="s">
        <v>236</v>
      </c>
      <c r="D45" t="s">
        <v>361</v>
      </c>
      <c r="E45" t="s">
        <v>237</v>
      </c>
      <c r="F45" t="n">
        <v>50800.2352389093</v>
      </c>
      <c r="G45" t="n">
        <v>50789.5068557644</v>
      </c>
      <c r="H45" t="n">
        <v>51161.5289959863</v>
      </c>
      <c r="I45" t="n">
        <v>51529.3876578472</v>
      </c>
      <c r="J45" t="n">
        <v>51330.6364799851</v>
      </c>
      <c r="K45" t="n">
        <v>51556.6520026465</v>
      </c>
      <c r="L45" t="n">
        <v>52589.8439847045</v>
      </c>
      <c r="M45" t="n">
        <v>52970.3998386422</v>
      </c>
      <c r="N45" t="n">
        <v>52869.8019068954</v>
      </c>
      <c r="O45" t="n">
        <v>52305.5458109428</v>
      </c>
      <c r="P45" t="n">
        <v>51874.1344515972</v>
      </c>
      <c r="Q45" t="n">
        <v>51058.7094609194</v>
      </c>
      <c r="R45" t="n">
        <v>51400.1222808386</v>
      </c>
      <c r="S45" t="n">
        <v>51899.5986369699</v>
      </c>
      <c r="T45" t="n">
        <v>51458.6000001709</v>
      </c>
      <c r="U45" t="n">
        <v>50122.7456205484</v>
      </c>
      <c r="V45" t="n">
        <v>49591.2224683979</v>
      </c>
      <c r="W45" t="n">
        <v>49652.6180967717</v>
      </c>
      <c r="X45" t="n">
        <v>49174.5486205273</v>
      </c>
      <c r="Y45" t="n">
        <v>49148.0582801654</v>
      </c>
      <c r="Z45" t="n">
        <v>49297.8066821777</v>
      </c>
      <c r="AA45" t="n">
        <v>50475.5029322511</v>
      </c>
      <c r="AB45" t="n">
        <v>52356.5904009065</v>
      </c>
      <c r="AC45" t="n">
        <v>53545.0214286122</v>
      </c>
      <c r="AD45" t="n">
        <v>54420.0494255993</v>
      </c>
      <c r="AE45" t="n">
        <v>55436</v>
      </c>
      <c r="AF45" t="n">
        <v>57219</v>
      </c>
    </row>
    <row r="46">
      <c r="A46" t="s">
        <v>145</v>
      </c>
      <c r="B46" t="s">
        <v>362</v>
      </c>
      <c r="C46" t="s">
        <v>236</v>
      </c>
      <c r="D46" t="s">
        <v>363</v>
      </c>
      <c r="E46" t="s">
        <v>237</v>
      </c>
      <c r="F46" t="n">
        <v>487.825594288357</v>
      </c>
      <c r="G46" t="n">
        <v>526.639927287792</v>
      </c>
      <c r="H46" t="n">
        <v>530.087651852687</v>
      </c>
      <c r="I46" t="n">
        <v>549.409388766494</v>
      </c>
      <c r="J46" t="n">
        <v>571.08563172238</v>
      </c>
      <c r="K46" t="n">
        <v>629.53006771736</v>
      </c>
      <c r="L46" t="n">
        <v>653.959592733258</v>
      </c>
      <c r="M46" t="n">
        <v>760.366577313584</v>
      </c>
      <c r="N46" t="n">
        <v>849.963912856905</v>
      </c>
      <c r="O46" t="n">
        <v>900.816454651763</v>
      </c>
      <c r="P46" t="n">
        <v>962.235758378019</v>
      </c>
      <c r="Q46" t="n">
        <v>1009.87119196109</v>
      </c>
      <c r="R46" t="n">
        <v>1070.10912270965</v>
      </c>
      <c r="S46" t="n">
        <v>1206.7680799388</v>
      </c>
      <c r="T46" t="n">
        <v>1196.65549826333</v>
      </c>
      <c r="U46" t="n">
        <v>1161.1332571275</v>
      </c>
      <c r="V46" t="n">
        <v>1186.56760466458</v>
      </c>
      <c r="W46" t="n">
        <v>1218.92853933725</v>
      </c>
      <c r="X46" t="n">
        <v>1229.50951624122</v>
      </c>
      <c r="Y46" t="n">
        <v>1288.90107761898</v>
      </c>
      <c r="Z46" t="n">
        <v>1212.10664948387</v>
      </c>
      <c r="AA46" t="n">
        <v>1246.82579529891</v>
      </c>
      <c r="AB46" t="n">
        <v>1266.22767090143</v>
      </c>
      <c r="AC46" t="n">
        <v>1353.55371717049</v>
      </c>
      <c r="AD46" t="n">
        <v>1463.41027351568</v>
      </c>
      <c r="AE46" t="n">
        <v>1516</v>
      </c>
      <c r="AF46" t="n">
        <v>1592</v>
      </c>
    </row>
    <row r="47">
      <c r="A47" t="s">
        <v>145</v>
      </c>
      <c r="B47" t="s">
        <v>364</v>
      </c>
      <c r="C47" t="s">
        <v>236</v>
      </c>
      <c r="D47" t="s">
        <v>365</v>
      </c>
      <c r="E47" t="s">
        <v>237</v>
      </c>
      <c r="F47" t="n">
        <v>6702.81133562452</v>
      </c>
      <c r="G47" t="n">
        <v>6928.94424400632</v>
      </c>
      <c r="H47" t="n">
        <v>7182.67393321255</v>
      </c>
      <c r="I47" t="n">
        <v>7567.09263459812</v>
      </c>
      <c r="J47" t="n">
        <v>7794.2974176781</v>
      </c>
      <c r="K47" t="n">
        <v>7946.6910128099</v>
      </c>
      <c r="L47" t="n">
        <v>7901.02633936551</v>
      </c>
      <c r="M47" t="n">
        <v>7961.65930276235</v>
      </c>
      <c r="N47" t="n">
        <v>8117.00296803817</v>
      </c>
      <c r="O47" t="n">
        <v>8308.606042391</v>
      </c>
      <c r="P47" t="n">
        <v>8583.40192061208</v>
      </c>
      <c r="Q47" t="n">
        <v>8563.85809953199</v>
      </c>
      <c r="R47" t="n">
        <v>8582.24863231552</v>
      </c>
      <c r="S47" t="n">
        <v>8765.86992357656</v>
      </c>
      <c r="T47" t="n">
        <v>8798.3575950339</v>
      </c>
      <c r="U47" t="n">
        <v>8711.52027175089</v>
      </c>
      <c r="V47" t="n">
        <v>8691.90232968972</v>
      </c>
      <c r="W47" t="n">
        <v>8888.12045503747</v>
      </c>
      <c r="X47" t="n">
        <v>9035.46774453085</v>
      </c>
      <c r="Y47" t="n">
        <v>9085.50765739485</v>
      </c>
      <c r="Z47" t="n">
        <v>8970.50123135188</v>
      </c>
      <c r="AA47" t="n">
        <v>8923.50851336507</v>
      </c>
      <c r="AB47" t="n">
        <v>9094.42966605522</v>
      </c>
      <c r="AC47" t="n">
        <v>9212.9469606563</v>
      </c>
      <c r="AD47" t="n">
        <v>9426.3743033742</v>
      </c>
      <c r="AE47" t="n">
        <v>9836</v>
      </c>
      <c r="AF47" t="n">
        <v>9880</v>
      </c>
    </row>
    <row r="48">
      <c r="A48" t="s">
        <v>145</v>
      </c>
      <c r="B48" t="s">
        <v>366</v>
      </c>
      <c r="C48" t="s">
        <v>236</v>
      </c>
      <c r="D48" t="s">
        <v>367</v>
      </c>
      <c r="E48" t="s">
        <v>237</v>
      </c>
      <c r="F48" t="n">
        <v>8324.90181470163</v>
      </c>
      <c r="G48" t="n">
        <v>8583.19232446564</v>
      </c>
      <c r="H48" t="n">
        <v>8897.11515911917</v>
      </c>
      <c r="I48" t="n">
        <v>9327.56773298767</v>
      </c>
      <c r="J48" t="n">
        <v>9602.22599918045</v>
      </c>
      <c r="K48" t="n">
        <v>9841.95913821059</v>
      </c>
      <c r="L48" t="n">
        <v>9896.88903787647</v>
      </c>
      <c r="M48" t="n">
        <v>10103.236012548</v>
      </c>
      <c r="N48" t="n">
        <v>10357.3166946659</v>
      </c>
      <c r="O48" t="n">
        <v>10591.76668351</v>
      </c>
      <c r="P48" t="n">
        <v>10910.4697800389</v>
      </c>
      <c r="Q48" t="n">
        <v>10962.0360803843</v>
      </c>
      <c r="R48" t="n">
        <v>11060.5442402299</v>
      </c>
      <c r="S48" t="n">
        <v>11268.2106596772</v>
      </c>
      <c r="T48" t="n">
        <v>11333.0882362026</v>
      </c>
      <c r="U48" t="n">
        <v>11261.7111934274</v>
      </c>
      <c r="V48" t="n">
        <v>11304.6215539358</v>
      </c>
      <c r="W48" t="n">
        <v>11576.9426948174</v>
      </c>
      <c r="X48" t="n">
        <v>11763.737237459</v>
      </c>
      <c r="Y48" t="n">
        <v>11831.9575331456</v>
      </c>
      <c r="Z48" t="n">
        <v>11767.0273360262</v>
      </c>
      <c r="AA48" t="n">
        <v>11788.2857302155</v>
      </c>
      <c r="AB48" t="n">
        <v>12005.6698482356</v>
      </c>
      <c r="AC48" t="n">
        <v>12159.7048576092</v>
      </c>
      <c r="AD48" t="n">
        <v>12468.5419829768</v>
      </c>
      <c r="AE48" t="n">
        <v>12976</v>
      </c>
      <c r="AF48" t="n">
        <v>13091</v>
      </c>
    </row>
    <row r="49">
      <c r="A49" t="s">
        <v>145</v>
      </c>
      <c r="B49" t="s">
        <v>368</v>
      </c>
      <c r="C49" t="s">
        <v>236</v>
      </c>
      <c r="D49" t="s">
        <v>369</v>
      </c>
      <c r="E49" t="s">
        <v>237</v>
      </c>
      <c r="F49" t="n">
        <v>1020.36506104043</v>
      </c>
      <c r="G49" t="n">
        <v>1045.72324598936</v>
      </c>
      <c r="H49" t="n">
        <v>1085.80733884577</v>
      </c>
      <c r="I49" t="n">
        <v>1118.04764158987</v>
      </c>
      <c r="J49" t="n">
        <v>1150.18864155344</v>
      </c>
      <c r="K49" t="n">
        <v>1198.54492077791</v>
      </c>
      <c r="L49" t="n">
        <v>1260.2431340496</v>
      </c>
      <c r="M49" t="n">
        <v>1342.65685398745</v>
      </c>
      <c r="N49" t="n">
        <v>1396.73129455078</v>
      </c>
      <c r="O49" t="n">
        <v>1424.38933998743</v>
      </c>
      <c r="P49" t="n">
        <v>1420.94323674553</v>
      </c>
      <c r="Q49" t="n">
        <v>1405.06677599977</v>
      </c>
      <c r="R49" t="n">
        <v>1387.02418497569</v>
      </c>
      <c r="S49" t="n">
        <v>1353.84178820594</v>
      </c>
      <c r="T49" t="n">
        <v>1349.55408658058</v>
      </c>
      <c r="U49" t="n">
        <v>1317.79987277869</v>
      </c>
      <c r="V49" t="n">
        <v>1325.17955206625</v>
      </c>
      <c r="W49" t="n">
        <v>1322.09534829883</v>
      </c>
      <c r="X49" t="n">
        <v>1303.73291290579</v>
      </c>
      <c r="Y49" t="n">
        <v>1287.73619004805</v>
      </c>
      <c r="Z49" t="n">
        <v>1272.84332740293</v>
      </c>
      <c r="AA49" t="n">
        <v>1282.64196733675</v>
      </c>
      <c r="AB49" t="n">
        <v>1297.41894852727</v>
      </c>
      <c r="AC49" t="n">
        <v>1279.78032233883</v>
      </c>
      <c r="AD49" t="n">
        <v>1315.275</v>
      </c>
      <c r="AE49" t="n">
        <v>1349</v>
      </c>
      <c r="AF49" t="n">
        <v>1364</v>
      </c>
    </row>
    <row r="50">
      <c r="A50" t="s">
        <v>145</v>
      </c>
      <c r="B50" t="s">
        <v>370</v>
      </c>
      <c r="C50" t="s">
        <v>236</v>
      </c>
      <c r="D50" t="s">
        <v>371</v>
      </c>
      <c r="E50" t="s">
        <v>237</v>
      </c>
      <c r="F50" t="n">
        <v>606.232608628282</v>
      </c>
      <c r="G50" t="n">
        <v>612.319281405674</v>
      </c>
      <c r="H50" t="n">
        <v>632.531762539454</v>
      </c>
      <c r="I50" t="n">
        <v>644.09541450544</v>
      </c>
      <c r="J50" t="n">
        <v>659.101221653416</v>
      </c>
      <c r="K50" t="n">
        <v>702.035632218868</v>
      </c>
      <c r="L50" t="n">
        <v>750.293400718365</v>
      </c>
      <c r="M50" t="n">
        <v>818.084075515276</v>
      </c>
      <c r="N50" t="n">
        <v>861.992542845192</v>
      </c>
      <c r="O50" t="n">
        <v>878.169346598319</v>
      </c>
      <c r="P50" t="n">
        <v>927.595108252413</v>
      </c>
      <c r="Q50" t="n">
        <v>1010.37560079817</v>
      </c>
      <c r="R50" t="n">
        <v>1104.18004695728</v>
      </c>
      <c r="S50" t="n">
        <v>1162.99566754898</v>
      </c>
      <c r="T50" t="n">
        <v>1198.46596055186</v>
      </c>
      <c r="U50" t="n">
        <v>1243.05016811889</v>
      </c>
      <c r="V50" t="n">
        <v>1293.87334364675</v>
      </c>
      <c r="W50" t="n">
        <v>1372.28990992837</v>
      </c>
      <c r="X50" t="n">
        <v>1430.53304087842</v>
      </c>
      <c r="Y50" t="n">
        <v>1464.64112179698</v>
      </c>
      <c r="Z50" t="n">
        <v>1525.46012004722</v>
      </c>
      <c r="AA50" t="n">
        <v>1581.77568147384</v>
      </c>
      <c r="AB50" t="n">
        <v>1613.69044932199</v>
      </c>
      <c r="AC50" t="n">
        <v>1667.38070456745</v>
      </c>
      <c r="AD50" t="n">
        <v>1726.75331125828</v>
      </c>
      <c r="AE50" t="n">
        <v>1791</v>
      </c>
      <c r="AF50" t="n">
        <v>1847</v>
      </c>
    </row>
    <row r="51">
      <c r="A51" t="s">
        <v>145</v>
      </c>
      <c r="B51" t="s">
        <v>372</v>
      </c>
      <c r="C51" t="s">
        <v>236</v>
      </c>
      <c r="D51" t="s">
        <v>373</v>
      </c>
      <c r="E51" t="s">
        <v>237</v>
      </c>
      <c r="F51" t="n">
        <v>456.57256496478</v>
      </c>
      <c r="G51" t="n">
        <v>461.442672324404</v>
      </c>
      <c r="H51" t="n">
        <v>484.097480526378</v>
      </c>
      <c r="I51" t="n">
        <v>500.389222659477</v>
      </c>
      <c r="J51" t="n">
        <v>517.804160803078</v>
      </c>
      <c r="K51" t="n">
        <v>557.545337930177</v>
      </c>
      <c r="L51" t="n">
        <v>596.874262182513</v>
      </c>
      <c r="M51" t="n">
        <v>655.867648561017</v>
      </c>
      <c r="N51" t="n">
        <v>694.242883317247</v>
      </c>
      <c r="O51" t="n">
        <v>707.03462823599</v>
      </c>
      <c r="P51" t="n">
        <v>751.007321972435</v>
      </c>
      <c r="Q51" t="n">
        <v>820.629581304226</v>
      </c>
      <c r="R51" t="n">
        <v>897.918793947837</v>
      </c>
      <c r="S51" t="n">
        <v>943.651303950149</v>
      </c>
      <c r="T51" t="n">
        <v>968.512678510119</v>
      </c>
      <c r="U51" t="n">
        <v>1001.61509640848</v>
      </c>
      <c r="V51" t="n">
        <v>1042.06288988725</v>
      </c>
      <c r="W51" t="n">
        <v>1106.34935672606</v>
      </c>
      <c r="X51" t="n">
        <v>1152.61861420996</v>
      </c>
      <c r="Y51" t="n">
        <v>1169.77668464916</v>
      </c>
      <c r="Z51" t="n">
        <v>1215.88613408692</v>
      </c>
      <c r="AA51" t="n">
        <v>1245.68726482435</v>
      </c>
      <c r="AB51" t="n">
        <v>1278.73202345715</v>
      </c>
      <c r="AC51" t="n">
        <v>1319.69140858351</v>
      </c>
      <c r="AD51" t="n">
        <v>1350.45113314448</v>
      </c>
      <c r="AE51" t="n">
        <v>1399</v>
      </c>
      <c r="AF51" t="n">
        <v>1442</v>
      </c>
    </row>
    <row r="52">
      <c r="A52" t="s">
        <v>145</v>
      </c>
      <c r="B52" t="s">
        <v>374</v>
      </c>
      <c r="C52" t="s">
        <v>236</v>
      </c>
      <c r="D52" t="s">
        <v>375</v>
      </c>
      <c r="E52" t="s">
        <v>237</v>
      </c>
      <c r="F52" t="n">
        <v>149.117830291181</v>
      </c>
      <c r="G52" t="n">
        <v>150.330170374849</v>
      </c>
      <c r="H52" t="n">
        <v>147.981261462742</v>
      </c>
      <c r="I52" t="n">
        <v>143.462749662353</v>
      </c>
      <c r="J52" t="n">
        <v>141.203493762158</v>
      </c>
      <c r="K52" t="n">
        <v>144.59237761245</v>
      </c>
      <c r="L52" t="n">
        <v>153.55934676671</v>
      </c>
      <c r="M52" t="n">
        <v>162.526315920971</v>
      </c>
      <c r="N52" t="n">
        <v>168.169590779338</v>
      </c>
      <c r="O52" t="n">
        <v>171.555555694358</v>
      </c>
      <c r="P52" t="n">
        <v>177.161946403324</v>
      </c>
      <c r="Q52" t="n">
        <v>190.449092383574</v>
      </c>
      <c r="R52" t="n">
        <v>207.058024858885</v>
      </c>
      <c r="S52" t="n">
        <v>220.135373797341</v>
      </c>
      <c r="T52" t="n">
        <v>230.668166801998</v>
      </c>
      <c r="U52" t="n">
        <v>242.097670562458</v>
      </c>
      <c r="V52" t="n">
        <v>252.488128526512</v>
      </c>
      <c r="W52" t="n">
        <v>266.684248202701</v>
      </c>
      <c r="X52" t="n">
        <v>278.670057110688</v>
      </c>
      <c r="Y52" t="n">
        <v>295.351011233511</v>
      </c>
      <c r="Z52" t="n">
        <v>310.020763447096</v>
      </c>
      <c r="AA52" t="n">
        <v>336.178765362944</v>
      </c>
      <c r="AB52" t="n">
        <v>335.195786516854</v>
      </c>
      <c r="AC52" t="n">
        <v>347.9</v>
      </c>
      <c r="AD52" t="n">
        <v>376.32</v>
      </c>
      <c r="AE52" t="n">
        <v>392</v>
      </c>
      <c r="AF52" t="n">
        <v>405</v>
      </c>
    </row>
    <row r="53">
      <c r="A53" t="s">
        <v>145</v>
      </c>
      <c r="B53" t="s">
        <v>376</v>
      </c>
      <c r="C53" t="s">
        <v>236</v>
      </c>
      <c r="D53" t="s">
        <v>377</v>
      </c>
      <c r="E53" t="s">
        <v>237</v>
      </c>
      <c r="F53" t="n">
        <v>307.541866702086</v>
      </c>
      <c r="G53" t="n">
        <v>313.792717651316</v>
      </c>
      <c r="H53" t="n">
        <v>345.415239585169</v>
      </c>
      <c r="I53" t="n">
        <v>354.911191188885</v>
      </c>
      <c r="J53" t="n">
        <v>289.099844478364</v>
      </c>
      <c r="K53" t="n">
        <v>308.057211329404</v>
      </c>
      <c r="L53" t="n">
        <v>326.86986545639</v>
      </c>
      <c r="M53" t="n">
        <v>332.748819871074</v>
      </c>
      <c r="N53" t="n">
        <v>338.648621641837</v>
      </c>
      <c r="O53" t="n">
        <v>350.489482538405</v>
      </c>
      <c r="P53" t="n">
        <v>355.209879609629</v>
      </c>
      <c r="Q53" t="n">
        <v>365.760668112886</v>
      </c>
      <c r="R53" t="n">
        <v>376.277748026675</v>
      </c>
      <c r="S53" t="n">
        <v>378.558219226836</v>
      </c>
      <c r="T53" t="n">
        <v>381.878905360405</v>
      </c>
      <c r="U53" t="n">
        <v>377.514575013429</v>
      </c>
      <c r="V53" t="n">
        <v>386.218081065612</v>
      </c>
      <c r="W53" t="n">
        <v>406.489195817674</v>
      </c>
      <c r="X53" t="n">
        <v>421.270621120135</v>
      </c>
      <c r="Y53" t="n">
        <v>442.022868465955</v>
      </c>
      <c r="Z53" t="n">
        <v>453.35678817021</v>
      </c>
      <c r="AA53" t="n">
        <v>498.183077337601</v>
      </c>
      <c r="AB53" t="n">
        <v>528.62196189998</v>
      </c>
      <c r="AC53" t="n">
        <v>576.127186009539</v>
      </c>
      <c r="AD53" t="n">
        <v>614.670906200318</v>
      </c>
      <c r="AE53" t="n">
        <v>638</v>
      </c>
      <c r="AF53" t="n">
        <v>645</v>
      </c>
    </row>
    <row r="54">
      <c r="A54" t="s">
        <v>145</v>
      </c>
      <c r="B54" t="s">
        <v>378</v>
      </c>
      <c r="C54" t="s">
        <v>236</v>
      </c>
      <c r="D54" t="s">
        <v>379</v>
      </c>
      <c r="E54" t="s">
        <v>237</v>
      </c>
      <c r="F54" t="n">
        <v>644.084477402334</v>
      </c>
      <c r="G54" t="n">
        <v>653.936630020342</v>
      </c>
      <c r="H54" t="n">
        <v>699.700151089906</v>
      </c>
      <c r="I54" t="n">
        <v>720.796638057441</v>
      </c>
      <c r="J54" t="n">
        <v>664.812433159776</v>
      </c>
      <c r="K54" t="n">
        <v>693.052253329394</v>
      </c>
      <c r="L54" t="n">
        <v>724.60775221623</v>
      </c>
      <c r="M54" t="n">
        <v>737.505301203898</v>
      </c>
      <c r="N54" t="n">
        <v>763.382680193508</v>
      </c>
      <c r="O54" t="n">
        <v>782.26076811174</v>
      </c>
      <c r="P54" t="n">
        <v>792.863700209641</v>
      </c>
      <c r="Q54" t="n">
        <v>812.743763489233</v>
      </c>
      <c r="R54" t="n">
        <v>847.725561056919</v>
      </c>
      <c r="S54" t="n">
        <v>876.210962974154</v>
      </c>
      <c r="T54" t="n">
        <v>901.528616426925</v>
      </c>
      <c r="U54" t="n">
        <v>901.528616426925</v>
      </c>
      <c r="V54" t="n">
        <v>928.585297592199</v>
      </c>
      <c r="W54" t="n">
        <v>942.318641015064</v>
      </c>
      <c r="X54" t="n">
        <v>945.456216956291</v>
      </c>
      <c r="Y54" t="n">
        <v>958.786944527258</v>
      </c>
      <c r="Z54" t="n">
        <v>987.285919523822</v>
      </c>
      <c r="AA54" t="n">
        <v>1045.83661822769</v>
      </c>
      <c r="AB54" t="n">
        <v>1084.3834576968</v>
      </c>
      <c r="AC54" t="n">
        <v>1131.70566987112</v>
      </c>
      <c r="AD54" t="n">
        <v>1186.41659751037</v>
      </c>
      <c r="AE54" t="n">
        <v>1224</v>
      </c>
      <c r="AF54" t="n">
        <v>1245</v>
      </c>
    </row>
    <row r="55">
      <c r="A55" t="s">
        <v>145</v>
      </c>
      <c r="B55" t="s">
        <v>380</v>
      </c>
      <c r="C55" t="s">
        <v>236</v>
      </c>
      <c r="D55" t="s">
        <v>381</v>
      </c>
      <c r="E55" t="s">
        <v>237</v>
      </c>
      <c r="F55" t="n">
        <v>336.073502349737</v>
      </c>
      <c r="G55" t="n">
        <v>339.713287573741</v>
      </c>
      <c r="H55" t="n">
        <v>354.017004945267</v>
      </c>
      <c r="I55" t="n">
        <v>365.586188113413</v>
      </c>
      <c r="J55" t="n">
        <v>374.84153464793</v>
      </c>
      <c r="K55" t="n">
        <v>384.18337974819</v>
      </c>
      <c r="L55" t="n">
        <v>396.950803244353</v>
      </c>
      <c r="M55" t="n">
        <v>403.955817419253</v>
      </c>
      <c r="N55" t="n">
        <v>423.86088668339</v>
      </c>
      <c r="O55" t="n">
        <v>430.905665963447</v>
      </c>
      <c r="P55" t="n">
        <v>436.776315363494</v>
      </c>
      <c r="Q55" t="n">
        <v>446.094210091248</v>
      </c>
      <c r="R55" t="n">
        <v>470.489987205614</v>
      </c>
      <c r="S55" t="n">
        <v>496.628319828148</v>
      </c>
      <c r="T55" t="n">
        <v>518.506219380048</v>
      </c>
      <c r="U55" t="n">
        <v>522.827104541549</v>
      </c>
      <c r="V55" t="n">
        <v>541.11529544115</v>
      </c>
      <c r="W55" t="n">
        <v>534.835427408951</v>
      </c>
      <c r="X55" t="n">
        <v>523.433896979691</v>
      </c>
      <c r="Y55" t="n">
        <v>516.333049540044</v>
      </c>
      <c r="Z55" t="n">
        <v>533.443501474119</v>
      </c>
      <c r="AA55" t="n">
        <v>547.455150668561</v>
      </c>
      <c r="AB55" t="n">
        <v>555.565597345133</v>
      </c>
      <c r="AC55" t="n">
        <v>555.565597345133</v>
      </c>
      <c r="AD55" t="n">
        <v>571.756944444444</v>
      </c>
      <c r="AE55" t="n">
        <v>586</v>
      </c>
      <c r="AF55" t="n">
        <v>600</v>
      </c>
    </row>
    <row r="56">
      <c r="A56" t="s">
        <v>145</v>
      </c>
      <c r="B56" t="s">
        <v>382</v>
      </c>
      <c r="C56" t="s">
        <v>236</v>
      </c>
      <c r="D56" t="s">
        <v>383</v>
      </c>
      <c r="E56" t="s">
        <v>237</v>
      </c>
      <c r="F56" t="e">
        <v>#NUM!</v>
      </c>
      <c r="G56" t="e">
        <v>#NUM!</v>
      </c>
      <c r="H56" t="e">
        <v>#NUM!</v>
      </c>
      <c r="I56" t="e">
        <v>#NUM!</v>
      </c>
      <c r="J56" t="e">
        <v>#NUM!</v>
      </c>
      <c r="K56" t="e">
        <v>#NUM!</v>
      </c>
      <c r="L56" t="e">
        <v>#NUM!</v>
      </c>
      <c r="M56" t="e">
        <v>#NUM!</v>
      </c>
      <c r="N56" t="e">
        <v>#NUM!</v>
      </c>
      <c r="O56" t="e">
        <v>#NUM!</v>
      </c>
      <c r="P56" t="e">
        <v>#NUM!</v>
      </c>
      <c r="Q56" t="e">
        <v>#NUM!</v>
      </c>
      <c r="R56" t="e">
        <v>#NUM!</v>
      </c>
      <c r="S56" t="e">
        <v>#NUM!</v>
      </c>
      <c r="T56" t="e">
        <v>#NUM!</v>
      </c>
      <c r="U56" t="e">
        <v>#NUM!</v>
      </c>
      <c r="V56" t="e">
        <v>#NUM!</v>
      </c>
      <c r="W56" t="e">
        <v>#NUM!</v>
      </c>
      <c r="X56" t="e">
        <v>#NUM!</v>
      </c>
      <c r="Y56" t="e">
        <v>#NUM!</v>
      </c>
      <c r="Z56" t="e">
        <v>#NUM!</v>
      </c>
      <c r="AA56" t="e">
        <v>#NUM!</v>
      </c>
      <c r="AB56" t="e">
        <v>#NUM!</v>
      </c>
      <c r="AC56" t="e">
        <v>#NUM!</v>
      </c>
      <c r="AD56" t="e">
        <v>#NUM!</v>
      </c>
      <c r="AE56" t="n">
        <v>0</v>
      </c>
      <c r="AF56" t="e">
        <v>#NUM!</v>
      </c>
    </row>
    <row r="57">
      <c r="A57" t="s">
        <v>145</v>
      </c>
      <c r="B57" t="s">
        <v>384</v>
      </c>
      <c r="C57" t="s">
        <v>236</v>
      </c>
      <c r="D57" t="s">
        <v>385</v>
      </c>
      <c r="E57" t="s">
        <v>237</v>
      </c>
      <c r="F57" t="n">
        <v>60058.9188769334</v>
      </c>
      <c r="G57" t="n">
        <v>60252.7990867974</v>
      </c>
      <c r="H57" t="n">
        <v>61010.7909587856</v>
      </c>
      <c r="I57" t="n">
        <v>61905.5570589125</v>
      </c>
      <c r="J57" t="n">
        <v>62120.9971611427</v>
      </c>
      <c r="K57" t="n">
        <v>62715.9163286442</v>
      </c>
      <c r="L57" t="n">
        <v>63871.377220725</v>
      </c>
      <c r="M57" t="n">
        <v>64616.8725992668</v>
      </c>
      <c r="N57" t="n">
        <v>64976.2640888565</v>
      </c>
      <c r="O57" t="n">
        <v>64792.1358395367</v>
      </c>
      <c r="P57" t="n">
        <v>64826.446568681</v>
      </c>
      <c r="Q57" t="n">
        <v>64232.4632282211</v>
      </c>
      <c r="R57" t="n">
        <v>64842.3299347957</v>
      </c>
      <c r="S57" t="n">
        <v>65690.4488154646</v>
      </c>
      <c r="T57" t="n">
        <v>65420.790157232</v>
      </c>
      <c r="U57" t="n">
        <v>63995.8969627407</v>
      </c>
      <c r="V57" t="n">
        <v>63528.7736272463</v>
      </c>
      <c r="W57" t="n">
        <v>63860.2242808885</v>
      </c>
      <c r="X57" t="n">
        <v>63578.2854368336</v>
      </c>
      <c r="Y57" t="n">
        <v>63621.7994958088</v>
      </c>
      <c r="Z57" t="n">
        <v>63687.1207001863</v>
      </c>
      <c r="AA57" t="n">
        <v>64838.1734617368</v>
      </c>
      <c r="AB57" t="n">
        <v>66945.4938440331</v>
      </c>
      <c r="AC57" t="n">
        <v>68496.2797123948</v>
      </c>
      <c r="AD57" t="n">
        <v>69800.5557334907</v>
      </c>
      <c r="AE57" t="n">
        <v>71303</v>
      </c>
      <c r="AF57" t="n">
        <v>73219</v>
      </c>
    </row>
    <row r="58">
      <c r="A58" t="s">
        <v>145</v>
      </c>
      <c r="B58" t="s">
        <v>386</v>
      </c>
      <c r="C58" t="s">
        <v>236</v>
      </c>
      <c r="D58" t="s">
        <v>387</v>
      </c>
      <c r="E58" t="s">
        <v>237</v>
      </c>
      <c r="F58" t="n">
        <v>60058.9188769334</v>
      </c>
      <c r="G58" t="n">
        <v>60252.7990867974</v>
      </c>
      <c r="H58" t="n">
        <v>61010.7909587856</v>
      </c>
      <c r="I58" t="n">
        <v>61905.5570589125</v>
      </c>
      <c r="J58" t="n">
        <v>62120.9971611427</v>
      </c>
      <c r="K58" t="n">
        <v>62715.9163286442</v>
      </c>
      <c r="L58" t="n">
        <v>63871.377220725</v>
      </c>
      <c r="M58" t="n">
        <v>64616.8725992668</v>
      </c>
      <c r="N58" t="n">
        <v>64976.2640888565</v>
      </c>
      <c r="O58" t="n">
        <v>64792.1358395367</v>
      </c>
      <c r="P58" t="n">
        <v>64826.446568681</v>
      </c>
      <c r="Q58" t="n">
        <v>64232.4632282211</v>
      </c>
      <c r="R58" t="n">
        <v>64842.3299347957</v>
      </c>
      <c r="S58" t="n">
        <v>65690.4488154646</v>
      </c>
      <c r="T58" t="n">
        <v>65420.790157232</v>
      </c>
      <c r="U58" t="n">
        <v>63995.8969627407</v>
      </c>
      <c r="V58" t="n">
        <v>63528.7736272463</v>
      </c>
      <c r="W58" t="n">
        <v>63860.2242808885</v>
      </c>
      <c r="X58" t="n">
        <v>63578.2854368336</v>
      </c>
      <c r="Y58" t="n">
        <v>63621.7994958088</v>
      </c>
      <c r="Z58" t="n">
        <v>63687.1207001863</v>
      </c>
      <c r="AA58" t="n">
        <v>64838.1734617368</v>
      </c>
      <c r="AB58" t="n">
        <v>66945.4938440331</v>
      </c>
      <c r="AC58" t="n">
        <v>68496.2797123948</v>
      </c>
      <c r="AD58" t="n">
        <v>69800.5557334907</v>
      </c>
      <c r="AE58" t="n">
        <v>71303</v>
      </c>
      <c r="AF58" t="n">
        <v>73219</v>
      </c>
    </row>
    <row r="59">
      <c r="A59" t="s">
        <v>145</v>
      </c>
      <c r="B59" t="s">
        <v>388</v>
      </c>
      <c r="C59" t="s">
        <v>236</v>
      </c>
      <c r="D59" t="s">
        <v>389</v>
      </c>
      <c r="E59" t="s">
        <v>237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146</v>
      </c>
      <c r="B2" t="s">
        <v>197</v>
      </c>
      <c r="C2" t="s">
        <v>236</v>
      </c>
      <c r="D2" t="s">
        <v>199</v>
      </c>
      <c r="E2" t="s">
        <v>237</v>
      </c>
      <c r="F2" t="n">
        <v>17124.6050078657</v>
      </c>
      <c r="G2" t="n">
        <v>16911.6565518093</v>
      </c>
      <c r="H2" t="n">
        <v>16911.6565518093</v>
      </c>
      <c r="I2" t="n">
        <v>17019.8774114095</v>
      </c>
      <c r="J2" t="n">
        <v>17137.1035584835</v>
      </c>
      <c r="K2" t="n">
        <v>17200.7542216858</v>
      </c>
      <c r="L2" t="n">
        <v>17330.6620158076</v>
      </c>
      <c r="M2" t="n">
        <v>17437.2640074019</v>
      </c>
      <c r="N2" t="n">
        <v>17472.6993380407</v>
      </c>
      <c r="O2" t="n">
        <v>17395.5003718933</v>
      </c>
      <c r="P2" t="n">
        <v>17441.223664375</v>
      </c>
      <c r="Q2" t="n">
        <v>17501.1787629102</v>
      </c>
      <c r="R2" t="n">
        <v>17653.7775968102</v>
      </c>
      <c r="S2" t="n">
        <v>17750.0550155335</v>
      </c>
      <c r="T2" t="n">
        <v>17794.1210786022</v>
      </c>
      <c r="U2" t="n">
        <v>17786.9532554084</v>
      </c>
      <c r="V2" t="n">
        <v>17779.6073220706</v>
      </c>
      <c r="W2" t="n">
        <v>17755.6213425467</v>
      </c>
      <c r="X2" t="n">
        <v>17797.0124173594</v>
      </c>
      <c r="Y2" t="n">
        <v>17829.7836002982</v>
      </c>
      <c r="Z2" t="n">
        <v>17555.9706962752</v>
      </c>
      <c r="AA2" t="n">
        <v>17425.6470224212</v>
      </c>
      <c r="AB2" t="n">
        <v>17342.1735708638</v>
      </c>
      <c r="AC2" t="n">
        <v>17220.1159156846</v>
      </c>
      <c r="AD2" t="n">
        <v>17155.315770821</v>
      </c>
      <c r="AE2" t="n">
        <v>17128</v>
      </c>
      <c r="AF2" t="n">
        <v>17042</v>
      </c>
    </row>
    <row r="3">
      <c r="A3" t="s">
        <v>146</v>
      </c>
      <c r="B3" t="s">
        <v>276</v>
      </c>
      <c r="C3" t="s">
        <v>236</v>
      </c>
      <c r="D3" t="s">
        <v>277</v>
      </c>
      <c r="E3" t="s">
        <v>237</v>
      </c>
      <c r="F3" t="n">
        <v>483.640138739047</v>
      </c>
      <c r="G3" t="n">
        <v>466.243011446276</v>
      </c>
      <c r="H3" t="n">
        <v>448.648935542643</v>
      </c>
      <c r="I3" t="n">
        <v>431.459321154036</v>
      </c>
      <c r="J3" t="n">
        <v>436.535313167613</v>
      </c>
      <c r="K3" t="n">
        <v>472.639737564934</v>
      </c>
      <c r="L3" t="n">
        <v>485.201591055032</v>
      </c>
      <c r="M3" t="n">
        <v>479.155465309798</v>
      </c>
      <c r="N3" t="n">
        <v>495.626434429822</v>
      </c>
      <c r="O3" t="n">
        <v>488.206877028178</v>
      </c>
      <c r="P3" t="n">
        <v>494.001617408334</v>
      </c>
      <c r="Q3" t="n">
        <v>505.13404822317</v>
      </c>
      <c r="R3" t="n">
        <v>758.367476092305</v>
      </c>
      <c r="S3" t="n">
        <v>1030.28213034909</v>
      </c>
      <c r="T3" t="n">
        <v>1136.61858875668</v>
      </c>
      <c r="U3" t="n">
        <v>1229.06514759194</v>
      </c>
      <c r="V3" t="n">
        <v>1389.89984464011</v>
      </c>
      <c r="W3" t="n">
        <v>1484.40381417617</v>
      </c>
      <c r="X3" t="n">
        <v>1503.02733066399</v>
      </c>
      <c r="Y3" t="n">
        <v>1532.22282557616</v>
      </c>
      <c r="Z3" t="n">
        <v>1654.06742746927</v>
      </c>
      <c r="AA3" t="n">
        <v>1681.36226950672</v>
      </c>
      <c r="AB3" t="n">
        <v>1734.92972802806</v>
      </c>
      <c r="AC3" t="n">
        <v>1807.08582680844</v>
      </c>
      <c r="AD3" t="n">
        <v>1891.23178807947</v>
      </c>
      <c r="AE3" t="n">
        <v>1956</v>
      </c>
      <c r="AF3" t="n">
        <v>1967</v>
      </c>
    </row>
    <row r="4">
      <c r="A4" t="s">
        <v>146</v>
      </c>
      <c r="B4" t="s">
        <v>278</v>
      </c>
      <c r="C4" t="s">
        <v>236</v>
      </c>
      <c r="D4" t="s">
        <v>279</v>
      </c>
      <c r="E4" t="s">
        <v>237</v>
      </c>
      <c r="F4" t="n">
        <v>22747.5419705763</v>
      </c>
      <c r="G4" t="n">
        <v>22749.3318471969</v>
      </c>
      <c r="H4" t="n">
        <v>22767.3511199472</v>
      </c>
      <c r="I4" t="n">
        <v>22734.6733175264</v>
      </c>
      <c r="J4" t="n">
        <v>22578.6321418296</v>
      </c>
      <c r="K4" t="n">
        <v>22379.2769908459</v>
      </c>
      <c r="L4" t="n">
        <v>22176.8659004112</v>
      </c>
      <c r="M4" t="n">
        <v>22139.1578376001</v>
      </c>
      <c r="N4" t="n">
        <v>21809.335151155</v>
      </c>
      <c r="O4" t="n">
        <v>21358.4961816221</v>
      </c>
      <c r="P4" t="n">
        <v>20960.5763361807</v>
      </c>
      <c r="Q4" t="n">
        <v>20711.7021922714</v>
      </c>
      <c r="R4" t="n">
        <v>20528.460839892</v>
      </c>
      <c r="S4" t="n">
        <v>20222.0279465867</v>
      </c>
      <c r="T4" t="n">
        <v>19785.7110097934</v>
      </c>
      <c r="U4" t="n">
        <v>19190.3585019146</v>
      </c>
      <c r="V4" t="n">
        <v>18677.3027385634</v>
      </c>
      <c r="W4" t="n">
        <v>18071.2582993429</v>
      </c>
      <c r="X4" t="n">
        <v>17477.7245738528</v>
      </c>
      <c r="Y4" t="n">
        <v>17059.7256829823</v>
      </c>
      <c r="Z4" t="n">
        <v>16750.5384200611</v>
      </c>
      <c r="AA4" t="n">
        <v>16659.1760522632</v>
      </c>
      <c r="AB4" t="n">
        <v>16559.508672251</v>
      </c>
      <c r="AC4" t="n">
        <v>16483.202668619</v>
      </c>
      <c r="AD4" t="n">
        <v>16264.8327224469</v>
      </c>
      <c r="AE4" t="n">
        <v>16099</v>
      </c>
      <c r="AF4" t="n">
        <v>16099</v>
      </c>
    </row>
    <row r="5">
      <c r="A5" t="s">
        <v>146</v>
      </c>
      <c r="B5" t="s">
        <v>280</v>
      </c>
      <c r="C5" t="s">
        <v>236</v>
      </c>
      <c r="D5" t="s">
        <v>281</v>
      </c>
      <c r="E5" t="s">
        <v>237</v>
      </c>
      <c r="F5" t="n">
        <v>3424.00163467759</v>
      </c>
      <c r="G5" t="n">
        <v>3432.92760348541</v>
      </c>
      <c r="H5" t="n">
        <v>3425.73446026176</v>
      </c>
      <c r="I5" t="n">
        <v>3367.73260696632</v>
      </c>
      <c r="J5" t="n">
        <v>3303.03577079926</v>
      </c>
      <c r="K5" t="n">
        <v>3281.47981446373</v>
      </c>
      <c r="L5" t="n">
        <v>3287.89835688811</v>
      </c>
      <c r="M5" t="n">
        <v>3325.55179661426</v>
      </c>
      <c r="N5" t="n">
        <v>3281.41403821526</v>
      </c>
      <c r="O5" t="n">
        <v>3194.33740870955</v>
      </c>
      <c r="P5" t="n">
        <v>3188.38060235298</v>
      </c>
      <c r="Q5" t="n">
        <v>3158.59590811392</v>
      </c>
      <c r="R5" t="n">
        <v>3154.50446263709</v>
      </c>
      <c r="S5" t="n">
        <v>3115.10493067023</v>
      </c>
      <c r="T5" t="n">
        <v>3016.40376980664</v>
      </c>
      <c r="U5" t="n">
        <v>2919.8886228586</v>
      </c>
      <c r="V5" t="n">
        <v>2868.98309925936</v>
      </c>
      <c r="W5" t="n">
        <v>2875.36997169761</v>
      </c>
      <c r="X5" t="n">
        <v>2845.3807145877</v>
      </c>
      <c r="Y5" t="n">
        <v>2874.79945646723</v>
      </c>
      <c r="Z5" t="n">
        <v>2858.47861608177</v>
      </c>
      <c r="AA5" t="n">
        <v>2957.32755113749</v>
      </c>
      <c r="AB5" t="n">
        <v>2902.81460088611</v>
      </c>
      <c r="AC5" t="n">
        <v>2851.75170542119</v>
      </c>
      <c r="AD5" t="n">
        <v>2808.98077620602</v>
      </c>
      <c r="AE5" t="n">
        <v>2810</v>
      </c>
      <c r="AF5" t="n">
        <v>2831</v>
      </c>
    </row>
    <row r="6">
      <c r="A6" t="s">
        <v>146</v>
      </c>
      <c r="B6" t="s">
        <v>282</v>
      </c>
      <c r="C6" t="s">
        <v>236</v>
      </c>
      <c r="D6" t="s">
        <v>283</v>
      </c>
      <c r="E6" t="s">
        <v>237</v>
      </c>
      <c r="F6" t="n">
        <v>505.001736781493</v>
      </c>
      <c r="G6" t="n">
        <v>470.994885819777</v>
      </c>
      <c r="H6" t="n">
        <v>450.442381711277</v>
      </c>
      <c r="I6" t="n">
        <v>433.050783961807</v>
      </c>
      <c r="J6" t="n">
        <v>406.194921390532</v>
      </c>
      <c r="K6" t="n">
        <v>379.115259964497</v>
      </c>
      <c r="L6" t="n">
        <v>355.904121599324</v>
      </c>
      <c r="M6" t="n">
        <v>329.648899514128</v>
      </c>
      <c r="N6" t="n">
        <v>303.040468163211</v>
      </c>
      <c r="O6" t="n">
        <v>271.997298253809</v>
      </c>
      <c r="P6" t="n">
        <v>247.401797879795</v>
      </c>
      <c r="Q6" t="n">
        <v>233.502820470817</v>
      </c>
      <c r="R6" t="n">
        <v>210.689326516772</v>
      </c>
      <c r="S6" t="n">
        <v>194.189559982326</v>
      </c>
      <c r="T6" t="n">
        <v>162.633756485198</v>
      </c>
      <c r="U6" t="n">
        <v>143.068793299009</v>
      </c>
      <c r="V6" t="n">
        <v>132.47110490649</v>
      </c>
      <c r="W6" t="n">
        <v>136.445238053684</v>
      </c>
      <c r="X6" t="n">
        <v>122.923637886202</v>
      </c>
      <c r="Y6" t="n">
        <v>116.838309277974</v>
      </c>
      <c r="Z6" t="n">
        <v>113.224753320924</v>
      </c>
      <c r="AA6" t="n">
        <v>102.609932697087</v>
      </c>
      <c r="AB6" t="n">
        <v>100.304091512883</v>
      </c>
      <c r="AC6" t="n">
        <v>101.418581418581</v>
      </c>
      <c r="AD6" t="n">
        <v>98.1818181818182</v>
      </c>
      <c r="AE6" t="n">
        <v>90</v>
      </c>
      <c r="AF6" t="n">
        <v>93</v>
      </c>
    </row>
    <row r="7">
      <c r="A7" t="s">
        <v>146</v>
      </c>
      <c r="B7" t="s">
        <v>284</v>
      </c>
      <c r="C7" t="s">
        <v>236</v>
      </c>
      <c r="D7" t="s">
        <v>285</v>
      </c>
      <c r="E7" t="s">
        <v>237</v>
      </c>
      <c r="F7" t="n">
        <v>7019.04083713755</v>
      </c>
      <c r="G7" t="n">
        <v>7013.59690680885</v>
      </c>
      <c r="H7" t="n">
        <v>7008.11610693377</v>
      </c>
      <c r="I7" t="n">
        <v>6930.49456777469</v>
      </c>
      <c r="J7" t="n">
        <v>6838.04056122665</v>
      </c>
      <c r="K7" t="n">
        <v>6811.23785447025</v>
      </c>
      <c r="L7" t="n">
        <v>6736.67408928566</v>
      </c>
      <c r="M7" t="n">
        <v>6621.36164991951</v>
      </c>
      <c r="N7" t="n">
        <v>6432.17988849324</v>
      </c>
      <c r="O7" t="n">
        <v>6290.02382156599</v>
      </c>
      <c r="P7" t="n">
        <v>6170.75340067827</v>
      </c>
      <c r="Q7" t="n">
        <v>5999.18603820537</v>
      </c>
      <c r="R7" t="n">
        <v>5927.05426415253</v>
      </c>
      <c r="S7" t="n">
        <v>5757.7825834284</v>
      </c>
      <c r="T7" t="n">
        <v>5484.74798003625</v>
      </c>
      <c r="U7" t="n">
        <v>5205.32477927355</v>
      </c>
      <c r="V7" t="n">
        <v>4975.96394135187</v>
      </c>
      <c r="W7" t="n">
        <v>4761.98483038788</v>
      </c>
      <c r="X7" t="n">
        <v>4564.41185317109</v>
      </c>
      <c r="Y7" t="n">
        <v>4337.82641317232</v>
      </c>
      <c r="Z7" t="n">
        <v>4151.19091009355</v>
      </c>
      <c r="AA7" t="n">
        <v>4152.34884340181</v>
      </c>
      <c r="AB7" t="n">
        <v>4068.41718144832</v>
      </c>
      <c r="AC7" t="n">
        <v>4023.02803738318</v>
      </c>
      <c r="AD7" t="n">
        <v>3923.94392523365</v>
      </c>
      <c r="AE7" t="n">
        <v>3810</v>
      </c>
      <c r="AF7" t="n">
        <v>3794</v>
      </c>
    </row>
    <row r="8">
      <c r="A8" t="s">
        <v>146</v>
      </c>
      <c r="B8" t="s">
        <v>286</v>
      </c>
      <c r="C8" t="s">
        <v>236</v>
      </c>
      <c r="D8" t="s">
        <v>287</v>
      </c>
      <c r="E8" t="s">
        <v>237</v>
      </c>
      <c r="F8" t="n">
        <v>871.906525216622</v>
      </c>
      <c r="G8" t="n">
        <v>840.56950422575</v>
      </c>
      <c r="H8" t="n">
        <v>825.790260195407</v>
      </c>
      <c r="I8" t="n">
        <v>800.492527935591</v>
      </c>
      <c r="J8" t="n">
        <v>814.819016131307</v>
      </c>
      <c r="K8" t="n">
        <v>802.631552214813</v>
      </c>
      <c r="L8" t="n">
        <v>771.123288801421</v>
      </c>
      <c r="M8" t="n">
        <v>758.429901331439</v>
      </c>
      <c r="N8" t="n">
        <v>764.750150509201</v>
      </c>
      <c r="O8" t="n">
        <v>770.993008880705</v>
      </c>
      <c r="P8" t="n">
        <v>816.434640052455</v>
      </c>
      <c r="Q8" t="n">
        <v>849.670032479369</v>
      </c>
      <c r="R8" t="n">
        <v>1021.25121835969</v>
      </c>
      <c r="S8" t="n">
        <v>1034.11332438438</v>
      </c>
      <c r="T8" t="n">
        <v>1144.48272791496</v>
      </c>
      <c r="U8" t="n">
        <v>1155.45221093012</v>
      </c>
      <c r="V8" t="n">
        <v>1139.35266243913</v>
      </c>
      <c r="W8" t="n">
        <v>1136.97653592727</v>
      </c>
      <c r="X8" t="n">
        <v>1152.7366067223</v>
      </c>
      <c r="Y8" t="n">
        <v>1163.84196902213</v>
      </c>
      <c r="Z8" t="n">
        <v>1201.34967228919</v>
      </c>
      <c r="AA8" t="n">
        <v>1144.61927109776</v>
      </c>
      <c r="AB8" t="n">
        <v>1150.13816825831</v>
      </c>
      <c r="AC8" t="n">
        <v>1152.28795922701</v>
      </c>
      <c r="AD8" t="n">
        <v>1147.09747292419</v>
      </c>
      <c r="AE8" t="n">
        <v>1111</v>
      </c>
      <c r="AF8" t="n">
        <v>1154</v>
      </c>
    </row>
    <row r="9">
      <c r="A9" t="s">
        <v>146</v>
      </c>
      <c r="B9" t="s">
        <v>288</v>
      </c>
      <c r="C9" t="s">
        <v>236</v>
      </c>
      <c r="D9" t="s">
        <v>289</v>
      </c>
      <c r="E9" t="s">
        <v>237</v>
      </c>
      <c r="F9" t="n">
        <v>1659.470673079</v>
      </c>
      <c r="G9" t="n">
        <v>1639.82139707914</v>
      </c>
      <c r="H9" t="n">
        <v>1645.21554641164</v>
      </c>
      <c r="I9" t="n">
        <v>1663.25519056089</v>
      </c>
      <c r="J9" t="n">
        <v>1647.498036124</v>
      </c>
      <c r="K9" t="n">
        <v>1612.51577246515</v>
      </c>
      <c r="L9" t="n">
        <v>1591.59490914973</v>
      </c>
      <c r="M9" t="n">
        <v>1612.81617460506</v>
      </c>
      <c r="N9" t="n">
        <v>1583.79770176652</v>
      </c>
      <c r="O9" t="n">
        <v>1582.26746244114</v>
      </c>
      <c r="P9" t="n">
        <v>1509.26265485205</v>
      </c>
      <c r="Q9" t="n">
        <v>1502.16358309828</v>
      </c>
      <c r="R9" t="n">
        <v>1446.27546430787</v>
      </c>
      <c r="S9" t="n">
        <v>1436.05443629156</v>
      </c>
      <c r="T9" t="n">
        <v>1523.08803849105</v>
      </c>
      <c r="U9" t="n">
        <v>1498.56166105963</v>
      </c>
      <c r="V9" t="n">
        <v>1455.5594568727</v>
      </c>
      <c r="W9" t="n">
        <v>1424.99652864441</v>
      </c>
      <c r="X9" t="n">
        <v>1390.24051575064</v>
      </c>
      <c r="Y9" t="n">
        <v>1362.05996475569</v>
      </c>
      <c r="Z9" t="n">
        <v>1366.71260340559</v>
      </c>
      <c r="AA9" t="n">
        <v>1375.9941830552</v>
      </c>
      <c r="AB9" t="n">
        <v>1496.33690863593</v>
      </c>
      <c r="AC9" t="n">
        <v>1517.38087700313</v>
      </c>
      <c r="AD9" t="n">
        <v>1519.5150273224</v>
      </c>
      <c r="AE9" t="n">
        <v>1490</v>
      </c>
      <c r="AF9" t="n">
        <v>1457</v>
      </c>
    </row>
    <row r="10">
      <c r="A10" t="s">
        <v>146</v>
      </c>
      <c r="B10" t="s">
        <v>290</v>
      </c>
      <c r="C10" t="s">
        <v>236</v>
      </c>
      <c r="D10" t="s">
        <v>291</v>
      </c>
      <c r="E10" t="s">
        <v>237</v>
      </c>
      <c r="F10" t="n">
        <v>2103.33073415114</v>
      </c>
      <c r="G10" t="n">
        <v>2067.80149877697</v>
      </c>
      <c r="H10" t="n">
        <v>2058.86545081337</v>
      </c>
      <c r="I10" t="n">
        <v>2066.04545238552</v>
      </c>
      <c r="J10" t="n">
        <v>2043.43721090318</v>
      </c>
      <c r="K10" t="n">
        <v>2003.72669020547</v>
      </c>
      <c r="L10" t="n">
        <v>1966.91701458668</v>
      </c>
      <c r="M10" t="n">
        <v>1992.52006914102</v>
      </c>
      <c r="N10" t="n">
        <v>1957.61682345158</v>
      </c>
      <c r="O10" t="n">
        <v>1951.53254428001</v>
      </c>
      <c r="P10" t="n">
        <v>1859.66085274974</v>
      </c>
      <c r="Q10" t="n">
        <v>1845.54042106599</v>
      </c>
      <c r="R10" t="n">
        <v>1776.3835059489</v>
      </c>
      <c r="S10" t="n">
        <v>1754.76681332103</v>
      </c>
      <c r="T10" t="n">
        <v>1834.25522078787</v>
      </c>
      <c r="U10" t="n">
        <v>1798.8165789472</v>
      </c>
      <c r="V10" t="n">
        <v>1744.22821455719</v>
      </c>
      <c r="W10" t="n">
        <v>1725.15866410649</v>
      </c>
      <c r="X10" t="n">
        <v>1752.67506443551</v>
      </c>
      <c r="Y10" t="n">
        <v>1730.40026428549</v>
      </c>
      <c r="Z10" t="n">
        <v>1733.88663150702</v>
      </c>
      <c r="AA10" t="n">
        <v>1736.20466176305</v>
      </c>
      <c r="AB10" t="n">
        <v>1857.54620246105</v>
      </c>
      <c r="AC10" t="n">
        <v>1883.00720523614</v>
      </c>
      <c r="AD10" t="n">
        <v>1888.34150326797</v>
      </c>
      <c r="AE10" t="n">
        <v>1869</v>
      </c>
      <c r="AF10" t="n">
        <v>1913</v>
      </c>
    </row>
    <row r="11">
      <c r="A11" t="s">
        <v>146</v>
      </c>
      <c r="B11" t="s">
        <v>292</v>
      </c>
      <c r="C11" t="s">
        <v>236</v>
      </c>
      <c r="D11" t="s">
        <v>293</v>
      </c>
      <c r="E11" t="s">
        <v>237</v>
      </c>
      <c r="F11" t="n">
        <v>442.037635693631</v>
      </c>
      <c r="G11" t="n">
        <v>426.436307375032</v>
      </c>
      <c r="H11" t="n">
        <v>412.51185652197</v>
      </c>
      <c r="I11" t="n">
        <v>401.979638908643</v>
      </c>
      <c r="J11" t="n">
        <v>395.22367859085</v>
      </c>
      <c r="K11" t="n">
        <v>390.403877632425</v>
      </c>
      <c r="L11" t="n">
        <v>374.787722527128</v>
      </c>
      <c r="M11" t="n">
        <v>379.179766150493</v>
      </c>
      <c r="N11" t="n">
        <v>373.278135548929</v>
      </c>
      <c r="O11" t="n">
        <v>368.834348220966</v>
      </c>
      <c r="P11" t="n">
        <v>350.03102850774</v>
      </c>
      <c r="Q11" t="n">
        <v>343.140653930816</v>
      </c>
      <c r="R11" t="n">
        <v>329.891980033873</v>
      </c>
      <c r="S11" t="n">
        <v>318.688101466685</v>
      </c>
      <c r="T11" t="n">
        <v>311.579816675607</v>
      </c>
      <c r="U11" t="n">
        <v>300.752718798848</v>
      </c>
      <c r="V11" t="n">
        <v>289.185306537354</v>
      </c>
      <c r="W11" t="n">
        <v>300.550667929652</v>
      </c>
      <c r="X11" t="n">
        <v>362.32392774128</v>
      </c>
      <c r="Y11" t="n">
        <v>368.149071274098</v>
      </c>
      <c r="Z11" t="n">
        <v>366.991369792104</v>
      </c>
      <c r="AA11" t="n">
        <v>360.067004324328</v>
      </c>
      <c r="AB11" t="n">
        <v>361.195741015</v>
      </c>
      <c r="AC11" t="n">
        <v>365.614037541177</v>
      </c>
      <c r="AD11" t="n">
        <v>368.811827956989</v>
      </c>
      <c r="AE11" t="n">
        <v>379</v>
      </c>
      <c r="AF11" t="n">
        <v>456</v>
      </c>
    </row>
    <row r="12">
      <c r="A12" t="s">
        <v>146</v>
      </c>
      <c r="B12" t="s">
        <v>294</v>
      </c>
      <c r="C12" t="s">
        <v>236</v>
      </c>
      <c r="D12" t="s">
        <v>295</v>
      </c>
      <c r="E12" t="s">
        <v>237</v>
      </c>
      <c r="F12" t="n">
        <v>1475.31786360651</v>
      </c>
      <c r="G12" t="n">
        <v>1437.80978232838</v>
      </c>
      <c r="H12" t="n">
        <v>1434.21974541869</v>
      </c>
      <c r="I12" t="n">
        <v>1472.15250946629</v>
      </c>
      <c r="J12" t="n">
        <v>1503.47490328472</v>
      </c>
      <c r="K12" t="n">
        <v>1457.31558607861</v>
      </c>
      <c r="L12" t="n">
        <v>1438.18233987189</v>
      </c>
      <c r="M12" t="n">
        <v>1420.20506062349</v>
      </c>
      <c r="N12" t="n">
        <v>1406.62180287045</v>
      </c>
      <c r="O12" t="n">
        <v>1396.04569908947</v>
      </c>
      <c r="P12" t="n">
        <v>1396.04569908947</v>
      </c>
      <c r="Q12" t="n">
        <v>1415.68855314701</v>
      </c>
      <c r="R12" t="n">
        <v>1365.70718247293</v>
      </c>
      <c r="S12" t="n">
        <v>1344.150058887</v>
      </c>
      <c r="T12" t="n">
        <v>1312.89075519196</v>
      </c>
      <c r="U12" t="n">
        <v>1287.243586951</v>
      </c>
      <c r="V12" t="n">
        <v>1265.09465883545</v>
      </c>
      <c r="W12" t="n">
        <v>1237.17882885111</v>
      </c>
      <c r="X12" t="n">
        <v>1201.4222153005</v>
      </c>
      <c r="Y12" t="n">
        <v>1163.98744325609</v>
      </c>
      <c r="Z12" t="n">
        <v>1146.54507397652</v>
      </c>
      <c r="AA12" t="n">
        <v>1139.58224964063</v>
      </c>
      <c r="AB12" t="n">
        <v>1120.26729625689</v>
      </c>
      <c r="AC12" t="n">
        <v>1119.15702143404</v>
      </c>
      <c r="AD12" t="n">
        <v>1111.68173598553</v>
      </c>
      <c r="AE12" t="n">
        <v>1128</v>
      </c>
      <c r="AF12" t="n">
        <v>1117</v>
      </c>
    </row>
    <row r="13">
      <c r="A13" t="s">
        <v>146</v>
      </c>
      <c r="B13" t="s">
        <v>296</v>
      </c>
      <c r="C13" t="s">
        <v>236</v>
      </c>
      <c r="D13" t="s">
        <v>297</v>
      </c>
      <c r="E13" t="s">
        <v>237</v>
      </c>
      <c r="F13" t="n">
        <v>2231.04311012937</v>
      </c>
      <c r="G13" t="n">
        <v>2345.23035592339</v>
      </c>
      <c r="H13" t="n">
        <v>2433.7964569779</v>
      </c>
      <c r="I13" t="n">
        <v>2464.15195203926</v>
      </c>
      <c r="J13" t="n">
        <v>2469.33236959785</v>
      </c>
      <c r="K13" t="n">
        <v>2447.98840629681</v>
      </c>
      <c r="L13" t="n">
        <v>2452.74794305565</v>
      </c>
      <c r="M13" t="n">
        <v>2651.53860510708</v>
      </c>
      <c r="N13" t="n">
        <v>2740.57718091887</v>
      </c>
      <c r="O13" t="n">
        <v>2743.60879284467</v>
      </c>
      <c r="P13" t="n">
        <v>2690.50668717671</v>
      </c>
      <c r="Q13" t="n">
        <v>2656.78754331653</v>
      </c>
      <c r="R13" t="n">
        <v>2635.19861457449</v>
      </c>
      <c r="S13" t="n">
        <v>2703.64533183617</v>
      </c>
      <c r="T13" t="n">
        <v>2703.64533183617</v>
      </c>
      <c r="U13" t="n">
        <v>2662.29403121429</v>
      </c>
      <c r="V13" t="n">
        <v>2715.46210490148</v>
      </c>
      <c r="W13" t="n">
        <v>2731.96561465543</v>
      </c>
      <c r="X13" t="n">
        <v>2653.26210938819</v>
      </c>
      <c r="Y13" t="n">
        <v>2612.28056753974</v>
      </c>
      <c r="Z13" t="n">
        <v>2562.35698336009</v>
      </c>
      <c r="AA13" t="n">
        <v>2502.12074324494</v>
      </c>
      <c r="AB13" t="n">
        <v>2470.39095121103</v>
      </c>
      <c r="AC13" t="n">
        <v>2458.22153765827</v>
      </c>
      <c r="AD13" t="n">
        <v>2434.74893617021</v>
      </c>
      <c r="AE13" t="n">
        <v>2394</v>
      </c>
      <c r="AF13" t="n">
        <v>2360</v>
      </c>
    </row>
    <row r="14">
      <c r="A14" t="s">
        <v>146</v>
      </c>
      <c r="B14" t="s">
        <v>298</v>
      </c>
      <c r="C14" t="s">
        <v>236</v>
      </c>
      <c r="D14" t="s">
        <v>299</v>
      </c>
      <c r="E14" t="s">
        <v>237</v>
      </c>
      <c r="F14" t="n">
        <v>711.820429814369</v>
      </c>
      <c r="G14" t="n">
        <v>844.502323532916</v>
      </c>
      <c r="H14" t="n">
        <v>853.56350726181</v>
      </c>
      <c r="I14" t="n">
        <v>937.640426606657</v>
      </c>
      <c r="J14" t="n">
        <v>1027.69628678922</v>
      </c>
      <c r="K14" t="n">
        <v>1093.78608015187</v>
      </c>
      <c r="L14" t="n">
        <v>1161.14534021987</v>
      </c>
      <c r="M14" t="n">
        <v>1129.84360447582</v>
      </c>
      <c r="N14" t="n">
        <v>1107.27682143036</v>
      </c>
      <c r="O14" t="n">
        <v>1075.51068311064</v>
      </c>
      <c r="P14" t="n">
        <v>1054.85615696037</v>
      </c>
      <c r="Q14" t="n">
        <v>1105.48925249446</v>
      </c>
      <c r="R14" t="n">
        <v>1062.29553322728</v>
      </c>
      <c r="S14" t="n">
        <v>1039.47772941094</v>
      </c>
      <c r="T14" t="n">
        <v>960.347936860629</v>
      </c>
      <c r="U14" t="n">
        <v>967.64171865957</v>
      </c>
      <c r="V14" t="n">
        <v>926.134299092404</v>
      </c>
      <c r="W14" t="n">
        <v>647.025332242638</v>
      </c>
      <c r="X14" t="n">
        <v>540.975139665115</v>
      </c>
      <c r="Y14" t="n">
        <v>511.764818948856</v>
      </c>
      <c r="Z14" t="n">
        <v>487.395065665578</v>
      </c>
      <c r="AA14" t="n">
        <v>458.452365804201</v>
      </c>
      <c r="AB14" t="n">
        <v>439.113184120153</v>
      </c>
      <c r="AC14" t="n">
        <v>420.214642018779</v>
      </c>
      <c r="AD14" t="n">
        <v>409.549295774648</v>
      </c>
      <c r="AE14" t="n">
        <v>434</v>
      </c>
      <c r="AF14" t="n">
        <v>421</v>
      </c>
    </row>
    <row r="15">
      <c r="A15" t="s">
        <v>146</v>
      </c>
      <c r="B15" t="s">
        <v>300</v>
      </c>
      <c r="C15" t="s">
        <v>236</v>
      </c>
      <c r="D15" t="s">
        <v>301</v>
      </c>
      <c r="E15" t="s">
        <v>237</v>
      </c>
      <c r="F15" t="n">
        <v>1061.72514045844</v>
      </c>
      <c r="G15" t="n">
        <v>1198.894328068</v>
      </c>
      <c r="H15" t="n">
        <v>1218.66619854588</v>
      </c>
      <c r="I15" t="n">
        <v>1302.21112422861</v>
      </c>
      <c r="J15" t="n">
        <v>1395.22620453065</v>
      </c>
      <c r="K15" t="n">
        <v>1451.23292348466</v>
      </c>
      <c r="L15" t="n">
        <v>1523.07613751855</v>
      </c>
      <c r="M15" t="n">
        <v>1496.27714389653</v>
      </c>
      <c r="N15" t="n">
        <v>1467.70501753066</v>
      </c>
      <c r="O15" t="n">
        <v>1431.42806550107</v>
      </c>
      <c r="P15" t="n">
        <v>1387.20268757622</v>
      </c>
      <c r="Q15" t="n">
        <v>1444.76879100802</v>
      </c>
      <c r="R15" t="n">
        <v>1433.96678135563</v>
      </c>
      <c r="S15" t="n">
        <v>1423.80581213433</v>
      </c>
      <c r="T15" t="n">
        <v>1340.90066357967</v>
      </c>
      <c r="U15" t="n">
        <v>1353.07959785378</v>
      </c>
      <c r="V15" t="n">
        <v>1300.98798677183</v>
      </c>
      <c r="W15" t="n">
        <v>1011.73796424763</v>
      </c>
      <c r="X15" t="n">
        <v>889.611014717148</v>
      </c>
      <c r="Y15" t="n">
        <v>857.92302342775</v>
      </c>
      <c r="Z15" t="n">
        <v>860.251172745058</v>
      </c>
      <c r="AA15" t="n">
        <v>821.888620446967</v>
      </c>
      <c r="AB15" t="n">
        <v>787.738123752495</v>
      </c>
      <c r="AC15" t="n">
        <v>787.738123752495</v>
      </c>
      <c r="AD15" t="n">
        <v>811.252694610778</v>
      </c>
      <c r="AE15" t="n">
        <v>851</v>
      </c>
      <c r="AF15" t="n">
        <v>842</v>
      </c>
    </row>
    <row r="16">
      <c r="A16" t="s">
        <v>146</v>
      </c>
      <c r="B16" t="s">
        <v>302</v>
      </c>
      <c r="C16" t="s">
        <v>236</v>
      </c>
      <c r="D16" t="s">
        <v>303</v>
      </c>
      <c r="E16" t="s">
        <v>237</v>
      </c>
      <c r="F16" t="n">
        <v>345.461207090661</v>
      </c>
      <c r="G16" t="n">
        <v>350.6691649865</v>
      </c>
      <c r="H16" t="n">
        <v>361.136901254754</v>
      </c>
      <c r="I16" t="n">
        <v>361.136901254754</v>
      </c>
      <c r="J16" t="n">
        <v>364.559999844847</v>
      </c>
      <c r="K16" t="n">
        <v>354.838399848984</v>
      </c>
      <c r="L16" t="n">
        <v>359.527894120116</v>
      </c>
      <c r="M16" t="n">
        <v>363.948319047822</v>
      </c>
      <c r="N16" t="n">
        <v>357.981953161793</v>
      </c>
      <c r="O16" t="n">
        <v>353.48845584177</v>
      </c>
      <c r="P16" t="n">
        <v>330.117318265455</v>
      </c>
      <c r="Q16" t="n">
        <v>337.052556044141</v>
      </c>
      <c r="R16" t="n">
        <v>369.280688892983</v>
      </c>
      <c r="S16" t="n">
        <v>381.970746930542</v>
      </c>
      <c r="T16" t="n">
        <v>378.36724931799</v>
      </c>
      <c r="U16" t="n">
        <v>383.233709116292</v>
      </c>
      <c r="V16" t="n">
        <v>372.769990096052</v>
      </c>
      <c r="W16" t="n">
        <v>363.803014389274</v>
      </c>
      <c r="X16" t="n">
        <v>348.142619730133</v>
      </c>
      <c r="Y16" t="n">
        <v>345.78233078281</v>
      </c>
      <c r="Z16" t="n">
        <v>372.650552431475</v>
      </c>
      <c r="AA16" t="n">
        <v>363.305084031939</v>
      </c>
      <c r="AB16" t="n">
        <v>348.49954769208</v>
      </c>
      <c r="AC16" t="n">
        <v>367.427638141809</v>
      </c>
      <c r="AD16" t="n">
        <v>401.706601466993</v>
      </c>
      <c r="AE16" t="n">
        <v>417</v>
      </c>
      <c r="AF16" t="n">
        <v>421</v>
      </c>
    </row>
    <row r="17">
      <c r="A17" t="s">
        <v>146</v>
      </c>
      <c r="B17" t="s">
        <v>304</v>
      </c>
      <c r="C17" t="s">
        <v>236</v>
      </c>
      <c r="D17" t="s">
        <v>305</v>
      </c>
      <c r="E17" t="s">
        <v>237</v>
      </c>
      <c r="F17" t="n">
        <v>1431.34113939185</v>
      </c>
      <c r="G17" t="n">
        <v>1401.30064634289</v>
      </c>
      <c r="H17" t="n">
        <v>1422.66736521978</v>
      </c>
      <c r="I17" t="n">
        <v>1424.46139720619</v>
      </c>
      <c r="J17" t="n">
        <v>1389.8450813567</v>
      </c>
      <c r="K17" t="n">
        <v>1360.30882224877</v>
      </c>
      <c r="L17" t="n">
        <v>1345.98978201457</v>
      </c>
      <c r="M17" t="n">
        <v>1344.49589768381</v>
      </c>
      <c r="N17" t="n">
        <v>1350.52502726984</v>
      </c>
      <c r="O17" t="n">
        <v>1293.1201603389</v>
      </c>
      <c r="P17" t="n">
        <v>1257.69221074058</v>
      </c>
      <c r="Q17" t="n">
        <v>1232.34119193506</v>
      </c>
      <c r="R17" t="n">
        <v>1206.6392351329</v>
      </c>
      <c r="S17" t="n">
        <v>1164.68023117148</v>
      </c>
      <c r="T17" t="n">
        <v>1135.80386180359</v>
      </c>
      <c r="U17" t="n">
        <v>1107.68385230792</v>
      </c>
      <c r="V17" t="n">
        <v>1086.80877381919</v>
      </c>
      <c r="W17" t="n">
        <v>1070.20652463042</v>
      </c>
      <c r="X17" t="n">
        <v>1029.41389925213</v>
      </c>
      <c r="Y17" t="n">
        <v>1021.17858805811</v>
      </c>
      <c r="Z17" t="n">
        <v>1008.34091437967</v>
      </c>
      <c r="AA17" t="n">
        <v>1002.53249897425</v>
      </c>
      <c r="AB17" t="n">
        <v>1038.94684626957</v>
      </c>
      <c r="AC17" t="n">
        <v>1066.75591603053</v>
      </c>
      <c r="AD17" t="n">
        <v>1071.04007633588</v>
      </c>
      <c r="AE17" t="n">
        <v>1069</v>
      </c>
      <c r="AF17" t="n">
        <v>1040</v>
      </c>
    </row>
    <row r="18">
      <c r="A18" t="s">
        <v>146</v>
      </c>
      <c r="B18" t="s">
        <v>306</v>
      </c>
      <c r="C18" t="s">
        <v>236</v>
      </c>
      <c r="D18" t="s">
        <v>307</v>
      </c>
      <c r="E18" t="s">
        <v>237</v>
      </c>
      <c r="F18" t="n">
        <v>1797.16287142369</v>
      </c>
      <c r="G18" t="n">
        <v>1737.43842554557</v>
      </c>
      <c r="H18" t="n">
        <v>1670.05349709149</v>
      </c>
      <c r="I18" t="n">
        <v>1631.72440043693</v>
      </c>
      <c r="J18" t="n">
        <v>1575.09188328511</v>
      </c>
      <c r="K18" t="n">
        <v>1512.62843239385</v>
      </c>
      <c r="L18" t="n">
        <v>1455.70155590591</v>
      </c>
      <c r="M18" t="n">
        <v>1403.65754654649</v>
      </c>
      <c r="N18" t="n">
        <v>1337.40367771938</v>
      </c>
      <c r="O18" t="n">
        <v>1280.46013793156</v>
      </c>
      <c r="P18" t="n">
        <v>1232.5364836464</v>
      </c>
      <c r="Q18" t="n">
        <v>1208.25708593842</v>
      </c>
      <c r="R18" t="n">
        <v>1160.5268398799</v>
      </c>
      <c r="S18" t="n">
        <v>1115.74355498928</v>
      </c>
      <c r="T18" t="n">
        <v>1061.28752464815</v>
      </c>
      <c r="U18" t="n">
        <v>992.420663257312</v>
      </c>
      <c r="V18" t="n">
        <v>914.685363263266</v>
      </c>
      <c r="W18" t="n">
        <v>870.405988831435</v>
      </c>
      <c r="X18" t="n">
        <v>784.792285011949</v>
      </c>
      <c r="Y18" t="n">
        <v>725.14339300657</v>
      </c>
      <c r="Z18" t="n">
        <v>677.725722969458</v>
      </c>
      <c r="AA18" t="n">
        <v>639.56028123227</v>
      </c>
      <c r="AB18" t="n">
        <v>623.768669349992</v>
      </c>
      <c r="AC18" t="n">
        <v>612.767458250345</v>
      </c>
      <c r="AD18" t="n">
        <v>568.16393442623</v>
      </c>
      <c r="AE18" t="n">
        <v>558</v>
      </c>
      <c r="AF18" t="n">
        <v>542</v>
      </c>
    </row>
    <row r="19">
      <c r="A19" t="s">
        <v>146</v>
      </c>
      <c r="B19" t="s">
        <v>308</v>
      </c>
      <c r="C19" t="s">
        <v>236</v>
      </c>
      <c r="D19" t="s">
        <v>309</v>
      </c>
      <c r="E19" t="s">
        <v>237</v>
      </c>
      <c r="F19" t="n">
        <v>842.569123330047</v>
      </c>
      <c r="G19" t="n">
        <v>815.90554347783</v>
      </c>
      <c r="H19" t="n">
        <v>830.188353866939</v>
      </c>
      <c r="I19" t="n">
        <v>851.84544135912</v>
      </c>
      <c r="J19" t="n">
        <v>850.106981274714</v>
      </c>
      <c r="K19" t="n">
        <v>881.4093701201</v>
      </c>
      <c r="L19" t="n">
        <v>851.07100411959</v>
      </c>
      <c r="M19" t="n">
        <v>801.624977471797</v>
      </c>
      <c r="N19" t="n">
        <v>772.833154084341</v>
      </c>
      <c r="O19" t="n">
        <v>740.885326848571</v>
      </c>
      <c r="P19" t="n">
        <v>721.544946830435</v>
      </c>
      <c r="Q19" t="n">
        <v>674.765019039857</v>
      </c>
      <c r="R19" t="n">
        <v>646.253821052257</v>
      </c>
      <c r="S19" t="n">
        <v>623.355063613398</v>
      </c>
      <c r="T19" t="n">
        <v>597.032968796709</v>
      </c>
      <c r="U19" t="n">
        <v>572.664276192762</v>
      </c>
      <c r="V19" t="n">
        <v>539.977959058472</v>
      </c>
      <c r="W19" t="n">
        <v>518.327899379241</v>
      </c>
      <c r="X19" t="n">
        <v>482.49878191063</v>
      </c>
      <c r="Y19" t="n">
        <v>455.563170299114</v>
      </c>
      <c r="Z19" t="n">
        <v>434.697681583124</v>
      </c>
      <c r="AA19" t="n">
        <v>460.199945569334</v>
      </c>
      <c r="AB19" t="n">
        <v>438.663494914611</v>
      </c>
      <c r="AC19" t="n">
        <v>426.44754948661</v>
      </c>
      <c r="AD19" t="n">
        <v>400.860696517413</v>
      </c>
      <c r="AE19" t="n">
        <v>409</v>
      </c>
      <c r="AF19" t="n">
        <v>413</v>
      </c>
    </row>
    <row r="20">
      <c r="A20" t="s">
        <v>146</v>
      </c>
      <c r="B20" t="s">
        <v>310</v>
      </c>
      <c r="C20" t="s">
        <v>236</v>
      </c>
      <c r="D20" t="s">
        <v>311</v>
      </c>
      <c r="E20" t="s">
        <v>237</v>
      </c>
      <c r="F20" t="n">
        <v>13689.9735361196</v>
      </c>
      <c r="G20" t="n">
        <v>13757.8728686714</v>
      </c>
      <c r="H20" t="n">
        <v>13868.4370760275</v>
      </c>
      <c r="I20" t="n">
        <v>13915.3081749455</v>
      </c>
      <c r="J20" t="n">
        <v>13831.6097510624</v>
      </c>
      <c r="K20" t="n">
        <v>13821.2256596577</v>
      </c>
      <c r="L20" t="n">
        <v>13992.3252274002</v>
      </c>
      <c r="M20" t="n">
        <v>14012.8626811606</v>
      </c>
      <c r="N20" t="n">
        <v>14001.879584221</v>
      </c>
      <c r="O20" t="n">
        <v>14348.2702281407</v>
      </c>
      <c r="P20" t="n">
        <v>14492.2874272435</v>
      </c>
      <c r="Q20" t="n">
        <v>14615.2711383409</v>
      </c>
      <c r="R20" t="n">
        <v>14772.8121993004</v>
      </c>
      <c r="S20" t="n">
        <v>15111.3505878432</v>
      </c>
      <c r="T20" t="n">
        <v>15324.2848419108</v>
      </c>
      <c r="U20" t="n">
        <v>15450.7657488904</v>
      </c>
      <c r="V20" t="n">
        <v>15778.0329553845</v>
      </c>
      <c r="W20" t="n">
        <v>16014.5751367396</v>
      </c>
      <c r="X20" t="n">
        <v>16368.7813545842</v>
      </c>
      <c r="Y20" t="n">
        <v>16866.5872292199</v>
      </c>
      <c r="Z20" t="n">
        <v>17276.5426241784</v>
      </c>
      <c r="AA20" t="n">
        <v>18066.9312408686</v>
      </c>
      <c r="AB20" t="n">
        <v>18736.2745337086</v>
      </c>
      <c r="AC20" t="n">
        <v>19122.9109194933</v>
      </c>
      <c r="AD20" t="n">
        <v>19496.3264272098</v>
      </c>
      <c r="AE20" t="n">
        <v>19669</v>
      </c>
      <c r="AF20" t="n">
        <v>20348</v>
      </c>
    </row>
    <row r="21">
      <c r="A21" t="s">
        <v>146</v>
      </c>
      <c r="B21" t="s">
        <v>312</v>
      </c>
      <c r="C21" t="s">
        <v>236</v>
      </c>
      <c r="D21" t="s">
        <v>313</v>
      </c>
      <c r="E21" t="s">
        <v>237</v>
      </c>
      <c r="F21" t="n">
        <v>21285.8756588841</v>
      </c>
      <c r="G21" t="n">
        <v>21434.6765502597</v>
      </c>
      <c r="H21" t="n">
        <v>21657.7623805179</v>
      </c>
      <c r="I21" t="n">
        <v>21789.3492847025</v>
      </c>
      <c r="J21" t="n">
        <v>21789.3492847025</v>
      </c>
      <c r="K21" t="n">
        <v>21882.621172247</v>
      </c>
      <c r="L21" t="n">
        <v>22058.4181889472</v>
      </c>
      <c r="M21" t="n">
        <v>22197.1801305175</v>
      </c>
      <c r="N21" t="n">
        <v>22327.0614100969</v>
      </c>
      <c r="O21" t="n">
        <v>22766.1111600479</v>
      </c>
      <c r="P21" t="n">
        <v>23007.6417587909</v>
      </c>
      <c r="Q21" t="n">
        <v>23313.7895550662</v>
      </c>
      <c r="R21" t="n">
        <v>23593.8270661664</v>
      </c>
      <c r="S21" t="n">
        <v>24096.7816997754</v>
      </c>
      <c r="T21" t="n">
        <v>24433.6046955307</v>
      </c>
      <c r="U21" t="n">
        <v>24784.0214512684</v>
      </c>
      <c r="V21" t="n">
        <v>25190.989814111</v>
      </c>
      <c r="W21" t="n">
        <v>25369.5938984048</v>
      </c>
      <c r="X21" t="n">
        <v>25717.5149085096</v>
      </c>
      <c r="Y21" t="n">
        <v>26230.037768613</v>
      </c>
      <c r="Z21" t="n">
        <v>26589.8820118996</v>
      </c>
      <c r="AA21" t="n">
        <v>27442.5015576345</v>
      </c>
      <c r="AB21" t="n">
        <v>28117.8251688963</v>
      </c>
      <c r="AC21" t="n">
        <v>28653.3136668617</v>
      </c>
      <c r="AD21" t="n">
        <v>29060.9458494595</v>
      </c>
      <c r="AE21" t="n">
        <v>29563</v>
      </c>
      <c r="AF21" t="n">
        <v>30506</v>
      </c>
    </row>
    <row r="22">
      <c r="A22" t="s">
        <v>146</v>
      </c>
      <c r="B22" t="s">
        <v>314</v>
      </c>
      <c r="C22" t="s">
        <v>236</v>
      </c>
      <c r="D22" t="s">
        <v>315</v>
      </c>
      <c r="E22" t="s">
        <v>237</v>
      </c>
      <c r="F22" t="n">
        <v>7598.92914398499</v>
      </c>
      <c r="G22" t="n">
        <v>7679.94510772023</v>
      </c>
      <c r="H22" t="n">
        <v>7792.55968742478</v>
      </c>
      <c r="I22" t="n">
        <v>7877.30061877808</v>
      </c>
      <c r="J22" t="n">
        <v>7960.48038266992</v>
      </c>
      <c r="K22" t="n">
        <v>8063.79615661761</v>
      </c>
      <c r="L22" t="n">
        <v>8068.71510506614</v>
      </c>
      <c r="M22" t="n">
        <v>8186.63280438024</v>
      </c>
      <c r="N22" t="n">
        <v>8326.8682349844</v>
      </c>
      <c r="O22" t="n">
        <v>8420.08514860782</v>
      </c>
      <c r="P22" t="n">
        <v>8517.58087138117</v>
      </c>
      <c r="Q22" t="n">
        <v>8700.42194028467</v>
      </c>
      <c r="R22" t="n">
        <v>8822.88809978684</v>
      </c>
      <c r="S22" t="n">
        <v>8987.47561097562</v>
      </c>
      <c r="T22" t="n">
        <v>9111.40085458057</v>
      </c>
      <c r="U22" t="n">
        <v>9334.92134036111</v>
      </c>
      <c r="V22" t="n">
        <v>9414.66689955013</v>
      </c>
      <c r="W22" t="n">
        <v>9356.5654660376</v>
      </c>
      <c r="X22" t="n">
        <v>9350.19756758067</v>
      </c>
      <c r="Y22" t="n">
        <v>9364.9040911113</v>
      </c>
      <c r="Z22" t="n">
        <v>9314.84112236497</v>
      </c>
      <c r="AA22" t="n">
        <v>9376.3322201452</v>
      </c>
      <c r="AB22" t="n">
        <v>9381.68523009048</v>
      </c>
      <c r="AC22" t="n">
        <v>9530.50175675747</v>
      </c>
      <c r="AD22" t="n">
        <v>9564.79139270771</v>
      </c>
      <c r="AE22" t="n">
        <v>9894</v>
      </c>
      <c r="AF22" t="n">
        <v>10158</v>
      </c>
    </row>
    <row r="23">
      <c r="A23" t="s">
        <v>146</v>
      </c>
      <c r="B23" t="s">
        <v>316</v>
      </c>
      <c r="C23" t="s">
        <v>236</v>
      </c>
      <c r="D23" t="s">
        <v>317</v>
      </c>
      <c r="E23" t="s">
        <v>237</v>
      </c>
      <c r="F23" t="n">
        <v>1516.40059353768</v>
      </c>
      <c r="G23" t="n">
        <v>1472.67508622691</v>
      </c>
      <c r="H23" t="n">
        <v>1469.15194008761</v>
      </c>
      <c r="I23" t="n">
        <v>1460.25876853744</v>
      </c>
      <c r="J23" t="n">
        <v>1465.41262301463</v>
      </c>
      <c r="K23" t="n">
        <v>1475.1820405014</v>
      </c>
      <c r="L23" t="n">
        <v>1467.28492037023</v>
      </c>
      <c r="M23" t="n">
        <v>1470.25212951153</v>
      </c>
      <c r="N23" t="n">
        <v>1473.24653303396</v>
      </c>
      <c r="O23" t="n">
        <v>1489.7998648658</v>
      </c>
      <c r="P23" t="n">
        <v>1498.62395093608</v>
      </c>
      <c r="Q23" t="n">
        <v>1521.05424393419</v>
      </c>
      <c r="R23" t="n">
        <v>1570.81463918226</v>
      </c>
      <c r="S23" t="n">
        <v>1628.89942487549</v>
      </c>
      <c r="T23" t="n">
        <v>1676.66773645542</v>
      </c>
      <c r="U23" t="n">
        <v>1763.9562954032</v>
      </c>
      <c r="V23" t="n">
        <v>1801.40485511528</v>
      </c>
      <c r="W23" t="n">
        <v>1873.30967076063</v>
      </c>
      <c r="X23" t="n">
        <v>1889.92965516536</v>
      </c>
      <c r="Y23" t="n">
        <v>1955.18000084307</v>
      </c>
      <c r="Z23" t="n">
        <v>2004.95663792789</v>
      </c>
      <c r="AA23" t="n">
        <v>2038.43029509537</v>
      </c>
      <c r="AB23" t="n">
        <v>2093.82856711959</v>
      </c>
      <c r="AC23" t="n">
        <v>2153.49439436205</v>
      </c>
      <c r="AD23" t="n">
        <v>2221.62273901809</v>
      </c>
      <c r="AE23" t="n">
        <v>2362</v>
      </c>
      <c r="AF23" t="n">
        <v>2454</v>
      </c>
    </row>
    <row r="24">
      <c r="A24" t="s">
        <v>146</v>
      </c>
      <c r="B24" t="s">
        <v>318</v>
      </c>
      <c r="C24" t="s">
        <v>236</v>
      </c>
      <c r="D24" t="s">
        <v>319</v>
      </c>
      <c r="E24" t="s">
        <v>237</v>
      </c>
      <c r="F24" t="n">
        <v>13173.8966403562</v>
      </c>
      <c r="G24" t="n">
        <v>13030.3746998224</v>
      </c>
      <c r="H24" t="n">
        <v>12869.6381698081</v>
      </c>
      <c r="I24" t="n">
        <v>12647.9671466941</v>
      </c>
      <c r="J24" t="n">
        <v>12466.3338156728</v>
      </c>
      <c r="K24" t="n">
        <v>12285.2089022236</v>
      </c>
      <c r="L24" t="n">
        <v>11944.8807850617</v>
      </c>
      <c r="M24" t="n">
        <v>11669.3442582242</v>
      </c>
      <c r="N24" t="n">
        <v>11500.4200554426</v>
      </c>
      <c r="O24" t="n">
        <v>11412.1192395549</v>
      </c>
      <c r="P24" t="n">
        <v>11158.6812668324</v>
      </c>
      <c r="Q24" t="n">
        <v>10691.0954810709</v>
      </c>
      <c r="R24" t="n">
        <v>10560.9642313964</v>
      </c>
      <c r="S24" t="n">
        <v>10372.6028544083</v>
      </c>
      <c r="T24" t="n">
        <v>10155.7791970174</v>
      </c>
      <c r="U24" t="n">
        <v>9915.05142637457</v>
      </c>
      <c r="V24" t="n">
        <v>9659.17913150039</v>
      </c>
      <c r="W24" t="n">
        <v>9555.66054064943</v>
      </c>
      <c r="X24" t="n">
        <v>9405.56534492422</v>
      </c>
      <c r="Y24" t="n">
        <v>9160.65327785559</v>
      </c>
      <c r="Z24" t="n">
        <v>8755.40765222888</v>
      </c>
      <c r="AA24" t="n">
        <v>8679.73932389557</v>
      </c>
      <c r="AB24" t="n">
        <v>8703.61599743523</v>
      </c>
      <c r="AC24" t="n">
        <v>8730.27332055142</v>
      </c>
      <c r="AD24" t="n">
        <v>8626.57058823529</v>
      </c>
      <c r="AE24" t="n">
        <v>8491</v>
      </c>
      <c r="AF24" t="n">
        <v>8472</v>
      </c>
    </row>
    <row r="25">
      <c r="A25" t="s">
        <v>146</v>
      </c>
      <c r="B25" t="s">
        <v>320</v>
      </c>
      <c r="C25" t="s">
        <v>236</v>
      </c>
      <c r="D25" t="s">
        <v>321</v>
      </c>
      <c r="E25" t="s">
        <v>237</v>
      </c>
      <c r="F25" t="n">
        <v>1945.68043878148</v>
      </c>
      <c r="G25" t="n">
        <v>1880.4013187478</v>
      </c>
      <c r="H25" t="n">
        <v>1838.41177473693</v>
      </c>
      <c r="I25" t="n">
        <v>1792.35937557017</v>
      </c>
      <c r="J25" t="n">
        <v>1771.02176395624</v>
      </c>
      <c r="K25" t="n">
        <v>1710.35879202244</v>
      </c>
      <c r="L25" t="n">
        <v>1653.23803083849</v>
      </c>
      <c r="M25" t="n">
        <v>1598.0278554116</v>
      </c>
      <c r="N25" t="n">
        <v>1559.31594030957</v>
      </c>
      <c r="O25" t="n">
        <v>1549.97871911011</v>
      </c>
      <c r="P25" t="n">
        <v>1539.29973187215</v>
      </c>
      <c r="Q25" t="n">
        <v>1530.68424829824</v>
      </c>
      <c r="R25" t="n">
        <v>1502.11147566334</v>
      </c>
      <c r="S25" t="n">
        <v>1490.61572457408</v>
      </c>
      <c r="T25" t="n">
        <v>1459.18343841112</v>
      </c>
      <c r="U25" t="n">
        <v>1439.56416528963</v>
      </c>
      <c r="V25" t="n">
        <v>1359.58837832909</v>
      </c>
      <c r="W25" t="n">
        <v>1330.08787578044</v>
      </c>
      <c r="X25" t="n">
        <v>1295.11729699746</v>
      </c>
      <c r="Y25" t="n">
        <v>1240.71054296834</v>
      </c>
      <c r="Z25" t="n">
        <v>1192.63007769263</v>
      </c>
      <c r="AA25" t="n">
        <v>1163.42757823884</v>
      </c>
      <c r="AB25" t="n">
        <v>1121.26614788151</v>
      </c>
      <c r="AC25" t="n">
        <v>1113.47957741011</v>
      </c>
      <c r="AD25" t="n">
        <v>1115.62088428975</v>
      </c>
      <c r="AE25" t="n">
        <v>1085</v>
      </c>
      <c r="AF25" t="n">
        <v>1085</v>
      </c>
    </row>
    <row r="26">
      <c r="A26" t="s">
        <v>146</v>
      </c>
      <c r="B26" t="s">
        <v>322</v>
      </c>
      <c r="C26" t="s">
        <v>236</v>
      </c>
      <c r="D26" t="s">
        <v>323</v>
      </c>
      <c r="E26" t="s">
        <v>237</v>
      </c>
      <c r="F26" t="n">
        <v>7198.14252579613</v>
      </c>
      <c r="G26" t="n">
        <v>7167.64192187327</v>
      </c>
      <c r="H26" t="n">
        <v>7034.10579341944</v>
      </c>
      <c r="I26" t="n">
        <v>6871.07573726987</v>
      </c>
      <c r="J26" t="n">
        <v>6710.33848994556</v>
      </c>
      <c r="K26" t="n">
        <v>6542.49693781963</v>
      </c>
      <c r="L26" t="n">
        <v>6302.25837217142</v>
      </c>
      <c r="M26" t="n">
        <v>6083.14011750983</v>
      </c>
      <c r="N26" t="n">
        <v>5853.81539085768</v>
      </c>
      <c r="O26" t="n">
        <v>5625.90358180678</v>
      </c>
      <c r="P26" t="n">
        <v>5443.32148667162</v>
      </c>
      <c r="Q26" t="n">
        <v>5100.55726763529</v>
      </c>
      <c r="R26" t="n">
        <v>4998.95254118837</v>
      </c>
      <c r="S26" t="n">
        <v>4847.54624126437</v>
      </c>
      <c r="T26" t="n">
        <v>4604.3260870827</v>
      </c>
      <c r="U26" t="n">
        <v>4355.1134254311</v>
      </c>
      <c r="V26" t="n">
        <v>4237.72492339792</v>
      </c>
      <c r="W26" t="n">
        <v>4152.17880412474</v>
      </c>
      <c r="X26" t="n">
        <v>4010.61362097342</v>
      </c>
      <c r="Y26" t="n">
        <v>3910.61298800694</v>
      </c>
      <c r="Z26" t="n">
        <v>3559.34634837994</v>
      </c>
      <c r="AA26" t="n">
        <v>3516.29443112264</v>
      </c>
      <c r="AB26" t="n">
        <v>3517.43128674215</v>
      </c>
      <c r="AC26" t="n">
        <v>3540.76232180898</v>
      </c>
      <c r="AD26" t="n">
        <v>3432.75356478611</v>
      </c>
      <c r="AE26" t="n">
        <v>3289</v>
      </c>
      <c r="AF26" t="n">
        <v>3142</v>
      </c>
    </row>
    <row r="27">
      <c r="A27" t="s">
        <v>146</v>
      </c>
      <c r="B27" t="s">
        <v>324</v>
      </c>
      <c r="C27" t="s">
        <v>236</v>
      </c>
      <c r="D27" t="s">
        <v>325</v>
      </c>
      <c r="E27" t="s">
        <v>237</v>
      </c>
      <c r="F27" t="n">
        <v>4050.47172098295</v>
      </c>
      <c r="G27" t="n">
        <v>4002.21078132869</v>
      </c>
      <c r="H27" t="n">
        <v>4014.42328153326</v>
      </c>
      <c r="I27" t="n">
        <v>4000.11798698882</v>
      </c>
      <c r="J27" t="n">
        <v>3998.41145201144</v>
      </c>
      <c r="K27" t="n">
        <v>4041.90746700109</v>
      </c>
      <c r="L27" t="n">
        <v>3996.68550845825</v>
      </c>
      <c r="M27" t="n">
        <v>3993.74027226926</v>
      </c>
      <c r="N27" t="n">
        <v>4090.85703908464</v>
      </c>
      <c r="O27" t="n">
        <v>4236.47653735664</v>
      </c>
      <c r="P27" t="n">
        <v>4176.45734660626</v>
      </c>
      <c r="Q27" t="n">
        <v>4060.59973973182</v>
      </c>
      <c r="R27" t="n">
        <v>4060.59973973182</v>
      </c>
      <c r="S27" t="n">
        <v>4035.16535363892</v>
      </c>
      <c r="T27" t="n">
        <v>4092.94815106573</v>
      </c>
      <c r="U27" t="n">
        <v>4121.032222508</v>
      </c>
      <c r="V27" t="n">
        <v>4062.30947076232</v>
      </c>
      <c r="W27" t="n">
        <v>4073.81018961632</v>
      </c>
      <c r="X27" t="n">
        <v>4100.2167376928</v>
      </c>
      <c r="Y27" t="n">
        <v>4009.59771105607</v>
      </c>
      <c r="Z27" t="n">
        <v>4003.76132428598</v>
      </c>
      <c r="AA27" t="n">
        <v>4000.27068668852</v>
      </c>
      <c r="AB27" t="n">
        <v>4065.04779724001</v>
      </c>
      <c r="AC27" t="n">
        <v>4076.14841929692</v>
      </c>
      <c r="AD27" t="n">
        <v>4078.2853254145</v>
      </c>
      <c r="AE27" t="n">
        <v>4117</v>
      </c>
      <c r="AF27" t="n">
        <v>4245</v>
      </c>
    </row>
    <row r="28">
      <c r="A28" t="s">
        <v>146</v>
      </c>
      <c r="B28" t="s">
        <v>326</v>
      </c>
      <c r="C28" t="s">
        <v>236</v>
      </c>
      <c r="D28" t="s">
        <v>327</v>
      </c>
      <c r="E28" t="s">
        <v>237</v>
      </c>
      <c r="F28" t="n">
        <v>7516.33257586991</v>
      </c>
      <c r="G28" t="n">
        <v>7635.55210184149</v>
      </c>
      <c r="H28" t="n">
        <v>7716.48785045171</v>
      </c>
      <c r="I28" t="n">
        <v>7993.30441343392</v>
      </c>
      <c r="J28" t="n">
        <v>8089.13888020245</v>
      </c>
      <c r="K28" t="n">
        <v>8118.1383236785</v>
      </c>
      <c r="L28" t="n">
        <v>8096.99733846059</v>
      </c>
      <c r="M28" t="n">
        <v>8076.79369826865</v>
      </c>
      <c r="N28" t="n">
        <v>8124.73178072056</v>
      </c>
      <c r="O28" t="n">
        <v>8138.44055200412</v>
      </c>
      <c r="P28" t="n">
        <v>8008.29649084178</v>
      </c>
      <c r="Q28" t="n">
        <v>8054.82356552449</v>
      </c>
      <c r="R28" t="n">
        <v>8105.58364769529</v>
      </c>
      <c r="S28" t="n">
        <v>8303.83166879991</v>
      </c>
      <c r="T28" t="n">
        <v>8322.56563759585</v>
      </c>
      <c r="U28" t="n">
        <v>8313.05413401002</v>
      </c>
      <c r="V28" t="n">
        <v>8299.82827409187</v>
      </c>
      <c r="W28" t="n">
        <v>8241.09492568356</v>
      </c>
      <c r="X28" t="n">
        <v>8186.51090842509</v>
      </c>
      <c r="Y28" t="n">
        <v>8100.24630454285</v>
      </c>
      <c r="Z28" t="n">
        <v>8054.20392634122</v>
      </c>
      <c r="AA28" t="n">
        <v>8059.62471240013</v>
      </c>
      <c r="AB28" t="n">
        <v>8190.07453240121</v>
      </c>
      <c r="AC28" t="n">
        <v>7588.29865314808</v>
      </c>
      <c r="AD28" t="n">
        <v>8645.15621128506</v>
      </c>
      <c r="AE28" t="n">
        <v>8821</v>
      </c>
      <c r="AF28" t="n">
        <v>8973</v>
      </c>
    </row>
    <row r="29">
      <c r="A29" t="s">
        <v>146</v>
      </c>
      <c r="B29" t="s">
        <v>328</v>
      </c>
      <c r="C29" t="s">
        <v>236</v>
      </c>
      <c r="D29" t="s">
        <v>329</v>
      </c>
      <c r="E29" t="s">
        <v>237</v>
      </c>
      <c r="F29" t="n">
        <v>1947.53421616311</v>
      </c>
      <c r="G29" t="n">
        <v>2022.0896810209</v>
      </c>
      <c r="H29" t="n">
        <v>2064.06446681826</v>
      </c>
      <c r="I29" t="n">
        <v>2074.90893862291</v>
      </c>
      <c r="J29" t="n">
        <v>2101.48761845156</v>
      </c>
      <c r="K29" t="n">
        <v>2106.60487726272</v>
      </c>
      <c r="L29" t="n">
        <v>2103.33882318945</v>
      </c>
      <c r="M29" t="n">
        <v>2084.67013540966</v>
      </c>
      <c r="N29" t="n">
        <v>2061.40372764839</v>
      </c>
      <c r="O29" t="n">
        <v>2027.6855997612</v>
      </c>
      <c r="P29" t="n">
        <v>2026.20011580534</v>
      </c>
      <c r="Q29" t="n">
        <v>2051.70473264764</v>
      </c>
      <c r="R29" t="n">
        <v>2034.20331432453</v>
      </c>
      <c r="S29" t="n">
        <v>2073.39554722948</v>
      </c>
      <c r="T29" t="n">
        <v>2104.13003082581</v>
      </c>
      <c r="U29" t="n">
        <v>2090.93423245689</v>
      </c>
      <c r="V29" t="n">
        <v>2129.90330376651</v>
      </c>
      <c r="W29" t="n">
        <v>2083.14362640611</v>
      </c>
      <c r="X29" t="n">
        <v>2086.46602453435</v>
      </c>
      <c r="Y29" t="n">
        <v>2042.74751171016</v>
      </c>
      <c r="Z29" t="n">
        <v>2054.6934035915</v>
      </c>
      <c r="AA29" t="n">
        <v>2028.3371012472</v>
      </c>
      <c r="AB29" t="n">
        <v>1967.03819262883</v>
      </c>
      <c r="AC29" t="n">
        <v>1199.41353209075</v>
      </c>
      <c r="AD29" t="n">
        <v>2063.19718309859</v>
      </c>
      <c r="AE29" t="n">
        <v>2123</v>
      </c>
      <c r="AF29" t="n">
        <v>2165</v>
      </c>
    </row>
    <row r="30">
      <c r="A30" t="s">
        <v>146</v>
      </c>
      <c r="B30" t="s">
        <v>330</v>
      </c>
      <c r="C30" t="s">
        <v>236</v>
      </c>
      <c r="D30" t="s">
        <v>331</v>
      </c>
      <c r="E30" t="s">
        <v>237</v>
      </c>
      <c r="F30" t="n">
        <v>279.823383653913</v>
      </c>
      <c r="G30" t="n">
        <v>255.244302657285</v>
      </c>
      <c r="H30" t="n">
        <v>226.883824584254</v>
      </c>
      <c r="I30" t="n">
        <v>225.024121104055</v>
      </c>
      <c r="J30" t="n">
        <v>215.876799107955</v>
      </c>
      <c r="K30" t="n">
        <v>205.259907348547</v>
      </c>
      <c r="L30" t="n">
        <v>198.530074320726</v>
      </c>
      <c r="M30" t="n">
        <v>193.687877386074</v>
      </c>
      <c r="N30" t="n">
        <v>172.878436014017</v>
      </c>
      <c r="O30" t="n">
        <v>165.020325286107</v>
      </c>
      <c r="P30" t="n">
        <v>155.852529436879</v>
      </c>
      <c r="Q30" t="n">
        <v>151.441608792439</v>
      </c>
      <c r="R30" t="n">
        <v>144.494746003795</v>
      </c>
      <c r="S30" t="n">
        <v>135.463824378558</v>
      </c>
      <c r="T30" t="n">
        <v>129.469849848533</v>
      </c>
      <c r="U30" t="n">
        <v>134.309844235394</v>
      </c>
      <c r="V30" t="n">
        <v>131.822624897701</v>
      </c>
      <c r="W30" t="n">
        <v>124.632299903281</v>
      </c>
      <c r="X30" t="n">
        <v>120.100216270435</v>
      </c>
      <c r="Y30" t="n">
        <v>114.488056631629</v>
      </c>
      <c r="Z30" t="n">
        <v>106.7073149188</v>
      </c>
      <c r="AA30" t="n">
        <v>100.038107736375</v>
      </c>
      <c r="AB30" t="n">
        <v>94.5415084102008</v>
      </c>
      <c r="AC30" t="n">
        <v>104.210526315789</v>
      </c>
      <c r="AD30" t="n">
        <v>99</v>
      </c>
      <c r="AE30" t="n">
        <v>96</v>
      </c>
      <c r="AF30" t="n">
        <v>72</v>
      </c>
    </row>
    <row r="31">
      <c r="A31" t="s">
        <v>146</v>
      </c>
      <c r="B31" t="s">
        <v>332</v>
      </c>
      <c r="C31" t="s">
        <v>236</v>
      </c>
      <c r="D31" t="s">
        <v>333</v>
      </c>
      <c r="E31" t="s">
        <v>237</v>
      </c>
      <c r="F31" t="n">
        <v>129.821548150239</v>
      </c>
      <c r="G31" t="n">
        <v>132.526163736702</v>
      </c>
      <c r="H31" t="n">
        <v>133.89241284739</v>
      </c>
      <c r="I31" t="n">
        <v>142.174417765785</v>
      </c>
      <c r="J31" t="n">
        <v>155.587098687085</v>
      </c>
      <c r="K31" t="n">
        <v>146.659970073892</v>
      </c>
      <c r="L31" t="n">
        <v>129.405855947552</v>
      </c>
      <c r="M31" t="n">
        <v>114.385533382211</v>
      </c>
      <c r="N31" t="n">
        <v>100.520620244973</v>
      </c>
      <c r="O31" t="n">
        <v>87.8111165358386</v>
      </c>
      <c r="P31" t="n">
        <v>75.4274975371947</v>
      </c>
      <c r="Q31" t="n">
        <v>65.7296764252696</v>
      </c>
      <c r="R31" t="n">
        <v>51.3513097072419</v>
      </c>
      <c r="S31" t="n">
        <v>56.1060606060606</v>
      </c>
      <c r="T31" t="n">
        <v>10.6868686868687</v>
      </c>
      <c r="U31" t="n">
        <v>8.74380165289256</v>
      </c>
      <c r="V31" t="n">
        <v>6.55785123966942</v>
      </c>
      <c r="W31" t="n">
        <v>3.27892561983471</v>
      </c>
      <c r="X31" t="n">
        <v>2.18595041322314</v>
      </c>
      <c r="Y31" t="n">
        <v>2.18595041322314</v>
      </c>
      <c r="Z31" t="n">
        <v>2.18595041322314</v>
      </c>
      <c r="AA31" t="n">
        <v>3.27892561983471</v>
      </c>
      <c r="AB31" t="n">
        <v>7.65082644628099</v>
      </c>
      <c r="AC31" t="n">
        <v>17.4876033057851</v>
      </c>
      <c r="AD31" t="n">
        <v>24.0454545454545</v>
      </c>
      <c r="AE31" t="n">
        <v>23</v>
      </c>
      <c r="AF31" t="n">
        <v>23</v>
      </c>
    </row>
    <row r="32">
      <c r="A32" t="s">
        <v>146</v>
      </c>
      <c r="B32" t="s">
        <v>334</v>
      </c>
      <c r="C32" t="s">
        <v>236</v>
      </c>
      <c r="D32" t="s">
        <v>335</v>
      </c>
      <c r="E32" t="s">
        <v>237</v>
      </c>
      <c r="F32" t="n">
        <v>4656.72269362848</v>
      </c>
      <c r="G32" t="n">
        <v>4716.11493204861</v>
      </c>
      <c r="H32" t="n">
        <v>4762.60660133142</v>
      </c>
      <c r="I32" t="n">
        <v>4978.8409338604</v>
      </c>
      <c r="J32" t="n">
        <v>5037.7938405046</v>
      </c>
      <c r="K32" t="n">
        <v>5077.32617019809</v>
      </c>
      <c r="L32" t="n">
        <v>5096.91084202141</v>
      </c>
      <c r="M32" t="n">
        <v>5137.61099002281</v>
      </c>
      <c r="N32" t="n">
        <v>5261.93309504454</v>
      </c>
      <c r="O32" t="n">
        <v>5348.89458719228</v>
      </c>
      <c r="P32" t="n">
        <v>5262.95666861689</v>
      </c>
      <c r="Q32" t="n">
        <v>5323.67766050058</v>
      </c>
      <c r="R32" t="n">
        <v>5445.15576158021</v>
      </c>
      <c r="S32" t="n">
        <v>5581.91197771206</v>
      </c>
      <c r="T32" t="n">
        <v>5614.62990431368</v>
      </c>
      <c r="U32" t="n">
        <v>5632.43152100459</v>
      </c>
      <c r="V32" t="n">
        <v>5601.42512262515</v>
      </c>
      <c r="W32" t="n">
        <v>5580.9196005167</v>
      </c>
      <c r="X32" t="n">
        <v>5551.73408255932</v>
      </c>
      <c r="Y32" t="n">
        <v>5522.88002669231</v>
      </c>
      <c r="Z32" t="n">
        <v>5568.51489240095</v>
      </c>
      <c r="AA32" t="n">
        <v>5661.07234905856</v>
      </c>
      <c r="AB32" t="n">
        <v>5872.22558319521</v>
      </c>
      <c r="AC32" t="n">
        <v>6031.21896011156</v>
      </c>
      <c r="AD32" t="n">
        <v>6245.20037278658</v>
      </c>
      <c r="AE32" t="n">
        <v>6382</v>
      </c>
      <c r="AF32" t="n">
        <v>6533</v>
      </c>
    </row>
    <row r="33">
      <c r="A33" t="s">
        <v>146</v>
      </c>
      <c r="B33" t="s">
        <v>336</v>
      </c>
      <c r="C33" t="s">
        <v>236</v>
      </c>
      <c r="D33" t="s">
        <v>337</v>
      </c>
      <c r="E33" t="s">
        <v>237</v>
      </c>
      <c r="F33" t="n">
        <v>489.902208664228</v>
      </c>
      <c r="G33" t="n">
        <v>495.266101459822</v>
      </c>
      <c r="H33" t="n">
        <v>513.275777876543</v>
      </c>
      <c r="I33" t="n">
        <v>554.990770424813</v>
      </c>
      <c r="J33" t="n">
        <v>556.741529952967</v>
      </c>
      <c r="K33" t="n">
        <v>563.389190012106</v>
      </c>
      <c r="L33" t="n">
        <v>555.340773011934</v>
      </c>
      <c r="M33" t="n">
        <v>538.695681722748</v>
      </c>
      <c r="N33" t="n">
        <v>524.961230913952</v>
      </c>
      <c r="O33" t="n">
        <v>509.656238759027</v>
      </c>
      <c r="P33" t="n">
        <v>491.77356371485</v>
      </c>
      <c r="Q33" t="n">
        <v>469.098125618488</v>
      </c>
      <c r="R33" t="n">
        <v>440.544326667798</v>
      </c>
      <c r="S33" t="n">
        <v>466.083128213757</v>
      </c>
      <c r="T33" t="n">
        <v>487.87402771466</v>
      </c>
      <c r="U33" t="n">
        <v>470.669402052178</v>
      </c>
      <c r="V33" t="n">
        <v>453.578055050283</v>
      </c>
      <c r="W33" t="n">
        <v>474.195239370751</v>
      </c>
      <c r="X33" t="n">
        <v>448.791922975889</v>
      </c>
      <c r="Y33" t="n">
        <v>439.31874254368</v>
      </c>
      <c r="Z33" t="n">
        <v>333.882244333197</v>
      </c>
      <c r="AA33" t="n">
        <v>273.176381727161</v>
      </c>
      <c r="AB33" t="n">
        <v>252.602428291643</v>
      </c>
      <c r="AC33" t="n">
        <v>232.572279792746</v>
      </c>
      <c r="AD33" t="n">
        <v>214.352331606218</v>
      </c>
      <c r="AE33" t="n">
        <v>197</v>
      </c>
      <c r="AF33" t="n">
        <v>180</v>
      </c>
    </row>
    <row r="34">
      <c r="A34" t="s">
        <v>146</v>
      </c>
      <c r="B34" t="s">
        <v>338</v>
      </c>
      <c r="C34" t="s">
        <v>236</v>
      </c>
      <c r="D34" t="s">
        <v>339</v>
      </c>
      <c r="E34" t="s">
        <v>237</v>
      </c>
      <c r="F34" t="n">
        <v>1953.26627489086</v>
      </c>
      <c r="G34" t="n">
        <v>1937.31400948794</v>
      </c>
      <c r="H34" t="n">
        <v>1931.96231332913</v>
      </c>
      <c r="I34" t="n">
        <v>1899.55288030031</v>
      </c>
      <c r="J34" t="n">
        <v>1882.20536541173</v>
      </c>
      <c r="K34" t="n">
        <v>1852.59024602588</v>
      </c>
      <c r="L34" t="n">
        <v>1798.38364674457</v>
      </c>
      <c r="M34" t="n">
        <v>1792.39402593943</v>
      </c>
      <c r="N34" t="n">
        <v>1737.98746191428</v>
      </c>
      <c r="O34" t="n">
        <v>1713.70117423688</v>
      </c>
      <c r="P34" t="n">
        <v>1688.52146813314</v>
      </c>
      <c r="Q34" t="n">
        <v>1699.81592611396</v>
      </c>
      <c r="R34" t="n">
        <v>1706.59891065552</v>
      </c>
      <c r="S34" t="n">
        <v>1709.14797549593</v>
      </c>
      <c r="T34" t="n">
        <v>1715.18310252805</v>
      </c>
      <c r="U34" t="n">
        <v>1742.11674153991</v>
      </c>
      <c r="V34" t="n">
        <v>1717.24805777638</v>
      </c>
      <c r="W34" t="n">
        <v>1701.88118477614</v>
      </c>
      <c r="X34" t="n">
        <v>1656.20923207735</v>
      </c>
      <c r="Y34" t="n">
        <v>1624.40436062209</v>
      </c>
      <c r="Z34" t="n">
        <v>1604.52324173759</v>
      </c>
      <c r="AA34" t="n">
        <v>1604.52324173759</v>
      </c>
      <c r="AB34" t="n">
        <v>1628.45434122373</v>
      </c>
      <c r="AC34" t="n">
        <v>1646.23950809034</v>
      </c>
      <c r="AD34" t="n">
        <v>1648.37887067395</v>
      </c>
      <c r="AE34" t="n">
        <v>1680</v>
      </c>
      <c r="AF34" t="n">
        <v>1678</v>
      </c>
    </row>
    <row r="35">
      <c r="A35" t="s">
        <v>146</v>
      </c>
      <c r="B35" t="s">
        <v>340</v>
      </c>
      <c r="C35" t="s">
        <v>236</v>
      </c>
      <c r="D35" t="s">
        <v>341</v>
      </c>
      <c r="E35" t="s">
        <v>237</v>
      </c>
      <c r="F35" t="n">
        <v>5687.13916034993</v>
      </c>
      <c r="G35" t="n">
        <v>5955.97197019337</v>
      </c>
      <c r="H35" t="n">
        <v>6214.01981598703</v>
      </c>
      <c r="I35" t="n">
        <v>6436.87766951914</v>
      </c>
      <c r="J35" t="n">
        <v>6823.82387700306</v>
      </c>
      <c r="K35" t="n">
        <v>7169.0186181083</v>
      </c>
      <c r="L35" t="n">
        <v>7477.18144014318</v>
      </c>
      <c r="M35" t="n">
        <v>7582.56235809837</v>
      </c>
      <c r="N35" t="n">
        <v>7526.34764034081</v>
      </c>
      <c r="O35" t="n">
        <v>7110.3183737893</v>
      </c>
      <c r="P35" t="n">
        <v>6668.77826064179</v>
      </c>
      <c r="Q35" t="n">
        <v>6302.40980158756</v>
      </c>
      <c r="R35" t="n">
        <v>5929.74556984152</v>
      </c>
      <c r="S35" t="n">
        <v>5562.50710449404</v>
      </c>
      <c r="T35" t="n">
        <v>5209.40779011912</v>
      </c>
      <c r="U35" t="n">
        <v>4901.68928344697</v>
      </c>
      <c r="V35" t="n">
        <v>4599.19056193086</v>
      </c>
      <c r="W35" t="n">
        <v>4254.19357798271</v>
      </c>
      <c r="X35" t="n">
        <v>4002.14192343969</v>
      </c>
      <c r="Y35" t="n">
        <v>3990.22111077848</v>
      </c>
      <c r="Z35" t="n">
        <v>3961.17393634035</v>
      </c>
      <c r="AA35" t="n">
        <v>3773.74012147088</v>
      </c>
      <c r="AB35" t="n">
        <v>3650.17227628797</v>
      </c>
      <c r="AC35" t="n">
        <v>3601.26230695816</v>
      </c>
      <c r="AD35" t="n">
        <v>3574.51771399017</v>
      </c>
      <c r="AE35" t="n">
        <v>3860</v>
      </c>
      <c r="AF35" t="n">
        <v>3901</v>
      </c>
    </row>
    <row r="36">
      <c r="A36" t="s">
        <v>146</v>
      </c>
      <c r="B36" t="s">
        <v>342</v>
      </c>
      <c r="C36" t="s">
        <v>236</v>
      </c>
      <c r="D36" t="s">
        <v>343</v>
      </c>
      <c r="E36" t="s">
        <v>237</v>
      </c>
      <c r="F36" t="n">
        <v>541.431259138067</v>
      </c>
      <c r="G36" t="n">
        <v>536.191601791569</v>
      </c>
      <c r="H36" t="n">
        <v>573.109712078858</v>
      </c>
      <c r="I36" t="n">
        <v>608.596381557425</v>
      </c>
      <c r="J36" t="n">
        <v>618.853623943224</v>
      </c>
      <c r="K36" t="n">
        <v>617.233588278451</v>
      </c>
      <c r="L36" t="n">
        <v>599.957330082362</v>
      </c>
      <c r="M36" t="n">
        <v>592.586846911817</v>
      </c>
      <c r="N36" t="n">
        <v>591.101666844369</v>
      </c>
      <c r="O36" t="n">
        <v>588.108747012246</v>
      </c>
      <c r="P36" t="n">
        <v>582.285888130936</v>
      </c>
      <c r="Q36" t="n">
        <v>571.194728357014</v>
      </c>
      <c r="R36" t="n">
        <v>565.856459867696</v>
      </c>
      <c r="S36" t="n">
        <v>536.999035085086</v>
      </c>
      <c r="T36" t="n">
        <v>527.494627384465</v>
      </c>
      <c r="U36" t="n">
        <v>521.472999217976</v>
      </c>
      <c r="V36" t="n">
        <v>520.185411565586</v>
      </c>
      <c r="W36" t="n">
        <v>488.620762805538</v>
      </c>
      <c r="X36" t="n">
        <v>494.550626431819</v>
      </c>
      <c r="Y36" t="n">
        <v>347.114172073037</v>
      </c>
      <c r="Z36" t="n">
        <v>336.76970999139</v>
      </c>
      <c r="AA36" t="n">
        <v>312.632631800881</v>
      </c>
      <c r="AB36" t="n">
        <v>321.661733080329</v>
      </c>
      <c r="AC36" t="n">
        <v>327.169639468691</v>
      </c>
      <c r="AD36" t="n">
        <v>329.294117647059</v>
      </c>
      <c r="AE36" t="n">
        <v>311</v>
      </c>
      <c r="AF36" t="n">
        <v>305</v>
      </c>
    </row>
    <row r="37">
      <c r="A37" t="s">
        <v>146</v>
      </c>
      <c r="B37" t="s">
        <v>344</v>
      </c>
      <c r="C37" t="s">
        <v>236</v>
      </c>
      <c r="D37" t="s">
        <v>345</v>
      </c>
      <c r="E37" t="s">
        <v>237</v>
      </c>
      <c r="F37" t="n">
        <v>4870.95675318901</v>
      </c>
      <c r="G37" t="n">
        <v>5137.2505164613</v>
      </c>
      <c r="H37" t="n">
        <v>5354.00432476493</v>
      </c>
      <c r="I37" t="n">
        <v>5532.83240443825</v>
      </c>
      <c r="J37" t="n">
        <v>5903.35854734305</v>
      </c>
      <c r="K37" t="n">
        <v>6237.8067152657</v>
      </c>
      <c r="L37" t="n">
        <v>6558.62710306038</v>
      </c>
      <c r="M37" t="n">
        <v>6676.08557489641</v>
      </c>
      <c r="N37" t="n">
        <v>6629.00457648388</v>
      </c>
      <c r="O37" t="n">
        <v>6309.60847921526</v>
      </c>
      <c r="P37" t="n">
        <v>5889.95649340611</v>
      </c>
      <c r="Q37" t="n">
        <v>5544.32172082528</v>
      </c>
      <c r="R37" t="n">
        <v>5188.64322503952</v>
      </c>
      <c r="S37" t="n">
        <v>4862.87082144671</v>
      </c>
      <c r="T37" t="n">
        <v>4530.73280960587</v>
      </c>
      <c r="U37" t="n">
        <v>4238.01032138795</v>
      </c>
      <c r="V37" t="n">
        <v>3922.401418641</v>
      </c>
      <c r="W37" t="n">
        <v>3603.65096475596</v>
      </c>
      <c r="X37" t="n">
        <v>3347.90120294647</v>
      </c>
      <c r="Y37" t="n">
        <v>3060.22351552018</v>
      </c>
      <c r="Z37" t="n">
        <v>2862.48918146593</v>
      </c>
      <c r="AA37" t="n">
        <v>2706.50670765999</v>
      </c>
      <c r="AB37" t="n">
        <v>2578.43856691898</v>
      </c>
      <c r="AC37" t="n">
        <v>2443.71307909765</v>
      </c>
      <c r="AD37" t="n">
        <v>2263.92489941886</v>
      </c>
      <c r="AE37" t="n">
        <v>2200</v>
      </c>
      <c r="AF37" t="n">
        <v>2155</v>
      </c>
    </row>
    <row r="38">
      <c r="A38" t="s">
        <v>146</v>
      </c>
      <c r="B38" t="s">
        <v>346</v>
      </c>
      <c r="C38" t="s">
        <v>236</v>
      </c>
      <c r="D38" t="s">
        <v>347</v>
      </c>
      <c r="E38" t="s">
        <v>237</v>
      </c>
      <c r="F38" t="n">
        <v>140.58321319541</v>
      </c>
      <c r="G38" t="n">
        <v>142.926266748667</v>
      </c>
      <c r="H38" t="n">
        <v>138.240159642153</v>
      </c>
      <c r="I38" t="n">
        <v>140.58321319541</v>
      </c>
      <c r="J38" t="n">
        <v>136.120254046349</v>
      </c>
      <c r="K38" t="n">
        <v>142.500890954772</v>
      </c>
      <c r="L38" t="n">
        <v>140.43566065108</v>
      </c>
      <c r="M38" t="n">
        <v>132.74055595787</v>
      </c>
      <c r="N38" t="n">
        <v>124.932287960348</v>
      </c>
      <c r="O38" t="n">
        <v>19.5206699938044</v>
      </c>
      <c r="P38" t="n">
        <v>14.196850904585</v>
      </c>
      <c r="Q38" t="n">
        <v>14.196850904585</v>
      </c>
      <c r="R38" t="n">
        <v>12.7771658141265</v>
      </c>
      <c r="S38" t="n">
        <v>10.2217326513012</v>
      </c>
      <c r="T38" t="n">
        <v>9.0859845789344</v>
      </c>
      <c r="U38" t="n">
        <v>9.0859845789344</v>
      </c>
      <c r="V38" t="n">
        <v>37.6419361127282</v>
      </c>
      <c r="W38" t="n">
        <v>55.2081729653347</v>
      </c>
      <c r="X38" t="n">
        <v>64.8095943506104</v>
      </c>
      <c r="Y38" t="n">
        <v>526.725248631324</v>
      </c>
      <c r="Z38" t="n">
        <v>728.772849547553</v>
      </c>
      <c r="AA38" t="n">
        <v>725.280327904354</v>
      </c>
      <c r="AB38" t="n">
        <v>724.14352488256</v>
      </c>
      <c r="AC38" t="n">
        <v>811.750475059776</v>
      </c>
      <c r="AD38" t="n">
        <v>973.03247734139</v>
      </c>
      <c r="AE38" t="n">
        <v>1349</v>
      </c>
      <c r="AF38" t="n">
        <v>1441</v>
      </c>
    </row>
    <row r="39">
      <c r="A39" t="s">
        <v>146</v>
      </c>
      <c r="B39" t="s">
        <v>348</v>
      </c>
      <c r="C39" t="s">
        <v>236</v>
      </c>
      <c r="D39" t="s">
        <v>349</v>
      </c>
      <c r="E39" t="s">
        <v>237</v>
      </c>
      <c r="F39" t="n">
        <v>2512.40092177738</v>
      </c>
      <c r="G39" t="n">
        <v>2357.68344024035</v>
      </c>
      <c r="H39" t="n">
        <v>2184.22024418663</v>
      </c>
      <c r="I39" t="n">
        <v>2064.46348775414</v>
      </c>
      <c r="J39" t="n">
        <v>1921.31355501931</v>
      </c>
      <c r="K39" t="n">
        <v>1815.11850308372</v>
      </c>
      <c r="L39" t="n">
        <v>1628.38442866011</v>
      </c>
      <c r="M39" t="n">
        <v>1461.82821312592</v>
      </c>
      <c r="N39" t="n">
        <v>1263.71597068997</v>
      </c>
      <c r="O39" t="n">
        <v>1013.38559940771</v>
      </c>
      <c r="P39" t="n">
        <v>891.1312320373</v>
      </c>
      <c r="Q39" t="n">
        <v>769.039236466835</v>
      </c>
      <c r="R39" t="n">
        <v>778.467037964677</v>
      </c>
      <c r="S39" t="n">
        <v>758.247114900659</v>
      </c>
      <c r="T39" t="n">
        <v>816.849809900868</v>
      </c>
      <c r="U39" t="n">
        <v>770.727532373033</v>
      </c>
      <c r="V39" t="n">
        <v>742.182068211069</v>
      </c>
      <c r="W39" t="n">
        <v>718.035733800092</v>
      </c>
      <c r="X39" t="n">
        <v>690.372715579988</v>
      </c>
      <c r="Y39" t="n">
        <v>659.846030877472</v>
      </c>
      <c r="Z39" t="n">
        <v>629.481434766296</v>
      </c>
      <c r="AA39" t="n">
        <v>598.065540609753</v>
      </c>
      <c r="AB39" t="n">
        <v>567.366358867427</v>
      </c>
      <c r="AC39" t="n">
        <v>541.829321188462</v>
      </c>
      <c r="AD39" t="n">
        <v>510.775862068965</v>
      </c>
      <c r="AE39" t="n">
        <v>474</v>
      </c>
      <c r="AF39" t="n">
        <v>435</v>
      </c>
    </row>
    <row r="40">
      <c r="A40" t="s">
        <v>146</v>
      </c>
      <c r="B40" t="s">
        <v>350</v>
      </c>
      <c r="C40" t="s">
        <v>236</v>
      </c>
      <c r="D40" t="s">
        <v>351</v>
      </c>
      <c r="E40" t="s">
        <v>237</v>
      </c>
      <c r="F40" t="n">
        <v>33635.2453506739</v>
      </c>
      <c r="G40" t="n">
        <v>33958.0236674015</v>
      </c>
      <c r="H40" t="n">
        <v>33943.9412357319</v>
      </c>
      <c r="I40" t="n">
        <v>34900.5122748305</v>
      </c>
      <c r="J40" t="n">
        <v>39341.9879646442</v>
      </c>
      <c r="K40" t="n">
        <v>42191.7946179877</v>
      </c>
      <c r="L40" t="n">
        <v>46060.2431564464</v>
      </c>
      <c r="M40" t="n">
        <v>48715.207962502</v>
      </c>
      <c r="N40" t="n">
        <v>53151.4751742126</v>
      </c>
      <c r="O40" t="n">
        <v>55458.2218107403</v>
      </c>
      <c r="P40" t="n">
        <v>58540.7026809008</v>
      </c>
      <c r="Q40" t="n">
        <v>61522.8410270086</v>
      </c>
      <c r="R40" t="n">
        <v>66298.3170157973</v>
      </c>
      <c r="S40" t="n">
        <v>71479.1532727595</v>
      </c>
      <c r="T40" t="n">
        <v>74184.1376799151</v>
      </c>
      <c r="U40" t="n">
        <v>76263.9083805368</v>
      </c>
      <c r="V40" t="n">
        <v>78962.143447274</v>
      </c>
      <c r="W40" t="n">
        <v>81526.9098220103</v>
      </c>
      <c r="X40" t="n">
        <v>83437.0171963461</v>
      </c>
      <c r="Y40" t="n">
        <v>84385.2181979056</v>
      </c>
      <c r="Z40" t="n">
        <v>86049.7398096116</v>
      </c>
      <c r="AA40" t="n">
        <v>87859.9077270746</v>
      </c>
      <c r="AB40" t="n">
        <v>89363.2421954788</v>
      </c>
      <c r="AC40" t="n">
        <v>91667.0014352649</v>
      </c>
      <c r="AD40" t="n">
        <v>94380.4198251345</v>
      </c>
      <c r="AE40" t="n">
        <v>96338</v>
      </c>
      <c r="AF40" t="n">
        <v>97412</v>
      </c>
    </row>
    <row r="41">
      <c r="A41" t="s">
        <v>146</v>
      </c>
      <c r="B41" t="s">
        <v>352</v>
      </c>
      <c r="C41" t="s">
        <v>236</v>
      </c>
      <c r="D41" t="s">
        <v>353</v>
      </c>
      <c r="E41" t="s">
        <v>237</v>
      </c>
      <c r="F41" t="n">
        <v>2068.54849362561</v>
      </c>
      <c r="G41" t="n">
        <v>2048.74648300916</v>
      </c>
      <c r="H41" t="n">
        <v>2056.54825941057</v>
      </c>
      <c r="I41" t="n">
        <v>2074.18039569546</v>
      </c>
      <c r="J41" t="n">
        <v>2096.19595713575</v>
      </c>
      <c r="K41" t="n">
        <v>2150.76071090067</v>
      </c>
      <c r="L41" t="n">
        <v>2187.51328627491</v>
      </c>
      <c r="M41" t="n">
        <v>2240.22444979961</v>
      </c>
      <c r="N41" t="n">
        <v>2336.41330296462</v>
      </c>
      <c r="O41" t="n">
        <v>2429.53626031062</v>
      </c>
      <c r="P41" t="n">
        <v>2600.36302861371</v>
      </c>
      <c r="Q41" t="n">
        <v>2778.09958034659</v>
      </c>
      <c r="R41" t="n">
        <v>2920.75542422451</v>
      </c>
      <c r="S41" t="n">
        <v>3031.47839521466</v>
      </c>
      <c r="T41" t="n">
        <v>3084.68167235188</v>
      </c>
      <c r="U41" t="n">
        <v>3225.86216298622</v>
      </c>
      <c r="V41" t="n">
        <v>3414.59709929877</v>
      </c>
      <c r="W41" t="n">
        <v>3571.26146721703</v>
      </c>
      <c r="X41" t="n">
        <v>3743.15803891893</v>
      </c>
      <c r="Y41" t="n">
        <v>3992.27054453411</v>
      </c>
      <c r="Z41" t="n">
        <v>4283.77998440373</v>
      </c>
      <c r="AA41" t="n">
        <v>4570.89954334816</v>
      </c>
      <c r="AB41" t="n">
        <v>4817.20934229825</v>
      </c>
      <c r="AC41" t="n">
        <v>5035.15856215504</v>
      </c>
      <c r="AD41" t="n">
        <v>5232.57543859649</v>
      </c>
      <c r="AE41" t="n">
        <v>5396</v>
      </c>
      <c r="AF41" t="n">
        <v>5554</v>
      </c>
    </row>
    <row r="42">
      <c r="A42" t="s">
        <v>146</v>
      </c>
      <c r="B42" t="s">
        <v>354</v>
      </c>
      <c r="C42" t="s">
        <v>236</v>
      </c>
      <c r="D42" t="s">
        <v>355</v>
      </c>
      <c r="E42" t="s">
        <v>237</v>
      </c>
      <c r="F42" t="n">
        <v>1165.94043922207</v>
      </c>
      <c r="G42" t="n">
        <v>1148.30140080721</v>
      </c>
      <c r="H42" t="n">
        <v>1162.5218515912</v>
      </c>
      <c r="I42" t="n">
        <v>1176.87397321578</v>
      </c>
      <c r="J42" t="n">
        <v>1187.25815533239</v>
      </c>
      <c r="K42" t="n">
        <v>1211.92418349027</v>
      </c>
      <c r="L42" t="n">
        <v>1202.38147338405</v>
      </c>
      <c r="M42" t="n">
        <v>1205.36875654773</v>
      </c>
      <c r="N42" t="n">
        <v>1196.32849087363</v>
      </c>
      <c r="O42" t="n">
        <v>1188.78543607619</v>
      </c>
      <c r="P42" t="n">
        <v>1203.51635845631</v>
      </c>
      <c r="Q42" t="n">
        <v>1211.95222078194</v>
      </c>
      <c r="R42" t="n">
        <v>1270.1151063775</v>
      </c>
      <c r="S42" t="n">
        <v>1289.14780027926</v>
      </c>
      <c r="T42" t="n">
        <v>1299.96078276064</v>
      </c>
      <c r="U42" t="n">
        <v>1393.77238564027</v>
      </c>
      <c r="V42" t="n">
        <v>1482.10092452521</v>
      </c>
      <c r="W42" t="n">
        <v>1473.20323458381</v>
      </c>
      <c r="X42" t="n">
        <v>1406.23945119363</v>
      </c>
      <c r="Y42" t="n">
        <v>1396.85670256182</v>
      </c>
      <c r="Z42" t="n">
        <v>1425.88531234074</v>
      </c>
      <c r="AA42" t="n">
        <v>1410.81497977128</v>
      </c>
      <c r="AB42" t="n">
        <v>1432.38013231807</v>
      </c>
      <c r="AC42" t="n">
        <v>1470.0160863357</v>
      </c>
      <c r="AD42" t="n">
        <v>1541.43818770227</v>
      </c>
      <c r="AE42" t="n">
        <v>1573</v>
      </c>
      <c r="AF42" t="n">
        <v>1662</v>
      </c>
    </row>
    <row r="43">
      <c r="A43" t="s">
        <v>146</v>
      </c>
      <c r="B43" t="s">
        <v>356</v>
      </c>
      <c r="C43" t="s">
        <v>236</v>
      </c>
      <c r="D43" t="s">
        <v>357</v>
      </c>
      <c r="E43" t="s">
        <v>237</v>
      </c>
      <c r="F43" t="n">
        <v>1566.34347487847</v>
      </c>
      <c r="G43" t="n">
        <v>1642.70715902787</v>
      </c>
      <c r="H43" t="n">
        <v>1680.32640694454</v>
      </c>
      <c r="I43" t="n">
        <v>1756.29380101523</v>
      </c>
      <c r="J43" t="n">
        <v>1817.33678317564</v>
      </c>
      <c r="K43" t="n">
        <v>1926.774947126</v>
      </c>
      <c r="L43" t="n">
        <v>2008.59469925208</v>
      </c>
      <c r="M43" t="n">
        <v>2100.37318363738</v>
      </c>
      <c r="N43" t="n">
        <v>2177.77132841015</v>
      </c>
      <c r="O43" t="n">
        <v>2243.21099795706</v>
      </c>
      <c r="P43" t="n">
        <v>2287.77810387674</v>
      </c>
      <c r="Q43" t="n">
        <v>2318.94288300076</v>
      </c>
      <c r="R43" t="n">
        <v>2414.26055875534</v>
      </c>
      <c r="S43" t="n">
        <v>2488.3881989924</v>
      </c>
      <c r="T43" t="n">
        <v>2550.02384646623</v>
      </c>
      <c r="U43" t="n">
        <v>2753.53536498229</v>
      </c>
      <c r="V43" t="n">
        <v>2887.63188630294</v>
      </c>
      <c r="W43" t="n">
        <v>2873.64511802934</v>
      </c>
      <c r="X43" t="n">
        <v>2830.576331914</v>
      </c>
      <c r="Y43" t="n">
        <v>2801.21350689414</v>
      </c>
      <c r="Z43" t="n">
        <v>2689.44438941208</v>
      </c>
      <c r="AA43" t="n">
        <v>2694.08937108637</v>
      </c>
      <c r="AB43" t="n">
        <v>2728.20616345977</v>
      </c>
      <c r="AC43" t="n">
        <v>2833.64944479772</v>
      </c>
      <c r="AD43" t="n">
        <v>2944.68921203923</v>
      </c>
      <c r="AE43" t="n">
        <v>3014</v>
      </c>
      <c r="AF43" t="n">
        <v>3554</v>
      </c>
    </row>
    <row r="44">
      <c r="A44" t="s">
        <v>146</v>
      </c>
      <c r="B44" t="s">
        <v>358</v>
      </c>
      <c r="C44" t="s">
        <v>236</v>
      </c>
      <c r="D44" t="s">
        <v>359</v>
      </c>
      <c r="E44" t="s">
        <v>237</v>
      </c>
      <c r="F44" t="n">
        <v>108644.349866975</v>
      </c>
      <c r="G44" t="n">
        <v>108809.362004194</v>
      </c>
      <c r="H44" t="n">
        <v>109280.148329196</v>
      </c>
      <c r="I44" t="n">
        <v>109868.089144559</v>
      </c>
      <c r="J44" t="n">
        <v>110223.914609093</v>
      </c>
      <c r="K44" t="n">
        <v>110497.19427083</v>
      </c>
      <c r="L44" t="n">
        <v>110453.756044726</v>
      </c>
      <c r="M44" t="n">
        <v>110467.543614829</v>
      </c>
      <c r="N44" t="n">
        <v>110166.066769333</v>
      </c>
      <c r="O44" t="n">
        <v>109551.12283657</v>
      </c>
      <c r="P44" t="n">
        <v>108619.111722476</v>
      </c>
      <c r="Q44" t="n">
        <v>107984.019293886</v>
      </c>
      <c r="R44" t="n">
        <v>108318.25618328</v>
      </c>
      <c r="S44" t="n">
        <v>108752.417607691</v>
      </c>
      <c r="T44" t="n">
        <v>108503.510131122</v>
      </c>
      <c r="U44" t="n">
        <v>108165.317993064</v>
      </c>
      <c r="V44" t="n">
        <v>107834.683796794</v>
      </c>
      <c r="W44" t="n">
        <v>107109.668838722</v>
      </c>
      <c r="X44" t="n">
        <v>106466.956702562</v>
      </c>
      <c r="Y44" t="n">
        <v>106301.528453154</v>
      </c>
      <c r="Z44" t="n">
        <v>105754.311824436</v>
      </c>
      <c r="AA44" t="n">
        <v>106124.704405659</v>
      </c>
      <c r="AB44" t="n">
        <v>107120.448921988</v>
      </c>
      <c r="AC44" t="n">
        <v>107277.844237669</v>
      </c>
      <c r="AD44" t="n">
        <v>108791.766574762</v>
      </c>
      <c r="AE44" t="n">
        <v>109865</v>
      </c>
      <c r="AF44" t="n">
        <v>111596</v>
      </c>
    </row>
    <row r="45">
      <c r="A45" t="s">
        <v>146</v>
      </c>
      <c r="B45" t="s">
        <v>360</v>
      </c>
      <c r="C45" t="s">
        <v>236</v>
      </c>
      <c r="D45" t="s">
        <v>361</v>
      </c>
      <c r="E45" t="s">
        <v>237</v>
      </c>
      <c r="F45" t="n">
        <v>91531.6822444259</v>
      </c>
      <c r="G45" t="n">
        <v>91912.7422101746</v>
      </c>
      <c r="H45" t="n">
        <v>92384.5345620706</v>
      </c>
      <c r="I45" t="n">
        <v>92863.509461566</v>
      </c>
      <c r="J45" t="n">
        <v>93100.1780873671</v>
      </c>
      <c r="K45" t="n">
        <v>93309.8140692258</v>
      </c>
      <c r="L45" t="n">
        <v>93135.9358505554</v>
      </c>
      <c r="M45" t="n">
        <v>93045.9199571132</v>
      </c>
      <c r="N45" t="n">
        <v>92709.6112448296</v>
      </c>
      <c r="O45" t="n">
        <v>92171.6973527974</v>
      </c>
      <c r="P45" t="n">
        <v>91193.8304661876</v>
      </c>
      <c r="Q45" t="n">
        <v>90501.265329398</v>
      </c>
      <c r="R45" t="n">
        <v>90684.6749439027</v>
      </c>
      <c r="S45" t="n">
        <v>91022.5257216977</v>
      </c>
      <c r="T45" t="n">
        <v>90732.675085759</v>
      </c>
      <c r="U45" t="n">
        <v>90401.5470242215</v>
      </c>
      <c r="V45" t="n">
        <v>90077.9549118093</v>
      </c>
      <c r="W45" t="n">
        <v>89377.7718703226</v>
      </c>
      <c r="X45" t="n">
        <v>88696.8968152821</v>
      </c>
      <c r="Y45" t="n">
        <v>88499.9032706677</v>
      </c>
      <c r="Z45" t="n">
        <v>88219.6663982721</v>
      </c>
      <c r="AA45" t="n">
        <v>88714.3188848193</v>
      </c>
      <c r="AB45" t="n">
        <v>89787.755647657</v>
      </c>
      <c r="AC45" t="n">
        <v>90062.257241306</v>
      </c>
      <c r="AD45" t="n">
        <v>91638.4244633061</v>
      </c>
      <c r="AE45" t="n">
        <v>92737</v>
      </c>
      <c r="AF45" t="n">
        <v>94554</v>
      </c>
    </row>
    <row r="46">
      <c r="A46" t="s">
        <v>146</v>
      </c>
      <c r="B46" t="s">
        <v>362</v>
      </c>
      <c r="C46" t="s">
        <v>236</v>
      </c>
      <c r="D46" t="s">
        <v>363</v>
      </c>
      <c r="E46" t="s">
        <v>237</v>
      </c>
      <c r="F46" t="n">
        <v>394.734145125309</v>
      </c>
      <c r="G46" t="n">
        <v>489.398894861243</v>
      </c>
      <c r="H46" t="n">
        <v>512.875594614735</v>
      </c>
      <c r="I46" t="n">
        <v>574.931716383066</v>
      </c>
      <c r="J46" t="n">
        <v>625.919544441503</v>
      </c>
      <c r="K46" t="n">
        <v>711.272209592617</v>
      </c>
      <c r="L46" t="n">
        <v>803.624182136533</v>
      </c>
      <c r="M46" t="n">
        <v>893.084232600788</v>
      </c>
      <c r="N46" t="n">
        <v>980.251700508742</v>
      </c>
      <c r="O46" t="n">
        <v>1054.00104474764</v>
      </c>
      <c r="P46" t="n">
        <v>1083.98684971913</v>
      </c>
      <c r="Q46" t="n">
        <v>1106.83769240095</v>
      </c>
      <c r="R46" t="n">
        <v>1143.86943675638</v>
      </c>
      <c r="S46" t="n">
        <v>1199.25951083354</v>
      </c>
      <c r="T46" t="n">
        <v>1250.34358735992</v>
      </c>
      <c r="U46" t="n">
        <v>1360.19608417634</v>
      </c>
      <c r="V46" t="n">
        <v>1405.88405245482</v>
      </c>
      <c r="W46" t="n">
        <v>1400.79487941426</v>
      </c>
      <c r="X46" t="n">
        <v>1424.74009102817</v>
      </c>
      <c r="Y46" t="n">
        <v>1404.7396108073</v>
      </c>
      <c r="Z46" t="n">
        <v>1263.44826175686</v>
      </c>
      <c r="AA46" t="n">
        <v>1283.22599697773</v>
      </c>
      <c r="AB46" t="n">
        <v>1295.76195254323</v>
      </c>
      <c r="AC46" t="n">
        <v>1363.66700332084</v>
      </c>
      <c r="AD46" t="n">
        <v>1403.24008498584</v>
      </c>
      <c r="AE46" t="n">
        <v>1441</v>
      </c>
      <c r="AF46" t="n">
        <v>1892</v>
      </c>
    </row>
    <row r="47">
      <c r="A47" t="s">
        <v>146</v>
      </c>
      <c r="B47" t="s">
        <v>364</v>
      </c>
      <c r="C47" t="s">
        <v>236</v>
      </c>
      <c r="D47" t="s">
        <v>365</v>
      </c>
      <c r="E47" t="s">
        <v>237</v>
      </c>
      <c r="F47" t="n">
        <v>52466.0928261427</v>
      </c>
      <c r="G47" t="n">
        <v>52762.2359761508</v>
      </c>
      <c r="H47" t="n">
        <v>53294.4381711276</v>
      </c>
      <c r="I47" t="n">
        <v>53926.4720025428</v>
      </c>
      <c r="J47" t="n">
        <v>54552.0975876497</v>
      </c>
      <c r="K47" t="n">
        <v>54647.5339345697</v>
      </c>
      <c r="L47" t="n">
        <v>54561.7068943713</v>
      </c>
      <c r="M47" t="n">
        <v>55052.3027109722</v>
      </c>
      <c r="N47" t="n">
        <v>53082.9595558753</v>
      </c>
      <c r="O47" t="n">
        <v>53813.5695616816</v>
      </c>
      <c r="P47" t="n">
        <v>54477.072366141</v>
      </c>
      <c r="Q47" t="n">
        <v>54946.04443806</v>
      </c>
      <c r="R47" t="n">
        <v>55172.6719816368</v>
      </c>
      <c r="S47" t="n">
        <v>55622.9205478317</v>
      </c>
      <c r="T47" t="n">
        <v>56120.8589791486</v>
      </c>
      <c r="U47" t="n">
        <v>56546.2365219592</v>
      </c>
      <c r="V47" t="n">
        <v>56769.993418848</v>
      </c>
      <c r="W47" t="n">
        <v>57162.7143571797</v>
      </c>
      <c r="X47" t="n">
        <v>57589.4500799713</v>
      </c>
      <c r="Y47" t="n">
        <v>58323.2049287051</v>
      </c>
      <c r="Z47" t="n">
        <v>58766.1659787965</v>
      </c>
      <c r="AA47" t="n">
        <v>59177.7683714804</v>
      </c>
      <c r="AB47" t="n">
        <v>59527.6315618955</v>
      </c>
      <c r="AC47" t="n">
        <v>59975.0762627771</v>
      </c>
      <c r="AD47" t="n">
        <v>59981.0639904482</v>
      </c>
      <c r="AE47" t="n">
        <v>60692</v>
      </c>
      <c r="AF47" t="n">
        <v>60898</v>
      </c>
    </row>
    <row r="48">
      <c r="A48" t="s">
        <v>146</v>
      </c>
      <c r="B48" t="s">
        <v>366</v>
      </c>
      <c r="C48" t="s">
        <v>236</v>
      </c>
      <c r="D48" t="s">
        <v>367</v>
      </c>
      <c r="E48" t="s">
        <v>237</v>
      </c>
      <c r="F48" t="n">
        <v>81702.8943677175</v>
      </c>
      <c r="G48" t="n">
        <v>82233.2925420601</v>
      </c>
      <c r="H48" t="n">
        <v>83117.9874295498</v>
      </c>
      <c r="I48" t="n">
        <v>84014.8605823911</v>
      </c>
      <c r="J48" t="n">
        <v>81648.7385048647</v>
      </c>
      <c r="K48" t="n">
        <v>82018.7019603924</v>
      </c>
      <c r="L48" t="n">
        <v>82383.8542690237</v>
      </c>
      <c r="M48" t="n">
        <v>83518.8468849612</v>
      </c>
      <c r="N48" t="n">
        <v>82293.8342059515</v>
      </c>
      <c r="O48" t="n">
        <v>83671.8409351255</v>
      </c>
      <c r="P48" t="n">
        <v>84735.7960581041</v>
      </c>
      <c r="Q48" t="n">
        <v>85719.1902096488</v>
      </c>
      <c r="R48" t="n">
        <v>86498.8668225513</v>
      </c>
      <c r="S48" t="n">
        <v>87609.1556313017</v>
      </c>
      <c r="T48" t="n">
        <v>88736.8398379407</v>
      </c>
      <c r="U48" t="n">
        <v>89849.1004648972</v>
      </c>
      <c r="V48" t="n">
        <v>90767.6478247428</v>
      </c>
      <c r="W48" t="n">
        <v>91723.5469276241</v>
      </c>
      <c r="X48" t="n">
        <v>92796.7631063302</v>
      </c>
      <c r="Y48" t="n">
        <v>94187.537493479</v>
      </c>
      <c r="Z48" t="n">
        <v>95281.336602673</v>
      </c>
      <c r="AA48" t="n">
        <v>96582.5114489069</v>
      </c>
      <c r="AB48" t="n">
        <v>97902.6129292438</v>
      </c>
      <c r="AC48" t="n">
        <v>99073.8236005458</v>
      </c>
      <c r="AD48" t="n">
        <v>100170.895817505</v>
      </c>
      <c r="AE48" t="n">
        <v>102157</v>
      </c>
      <c r="AF48" t="n">
        <v>103519</v>
      </c>
    </row>
    <row r="49">
      <c r="A49" t="s">
        <v>146</v>
      </c>
      <c r="B49" t="s">
        <v>368</v>
      </c>
      <c r="C49" t="s">
        <v>236</v>
      </c>
      <c r="D49" t="s">
        <v>369</v>
      </c>
      <c r="E49" t="s">
        <v>237</v>
      </c>
      <c r="F49" t="n">
        <v>14992.7079211856</v>
      </c>
      <c r="G49" t="n">
        <v>15125.2460039401</v>
      </c>
      <c r="H49" t="n">
        <v>15365.4987643274</v>
      </c>
      <c r="I49" t="n">
        <v>15593.6281006694</v>
      </c>
      <c r="J49" t="n">
        <v>12593.1200701827</v>
      </c>
      <c r="K49" t="n">
        <v>12767.2487849543</v>
      </c>
      <c r="L49" t="n">
        <v>13032.9679458575</v>
      </c>
      <c r="M49" t="n">
        <v>13406.5767047687</v>
      </c>
      <c r="N49" t="n">
        <v>13880.2646855606</v>
      </c>
      <c r="O49" t="n">
        <v>14322.6877057749</v>
      </c>
      <c r="P49" t="n">
        <v>14577.0503578548</v>
      </c>
      <c r="Q49" t="n">
        <v>14815.1407715474</v>
      </c>
      <c r="R49" t="n">
        <v>15066.8871796881</v>
      </c>
      <c r="S49" t="n">
        <v>15362.7146603375</v>
      </c>
      <c r="T49" t="n">
        <v>15542.9858954976</v>
      </c>
      <c r="U49" t="n">
        <v>15891.6364026436</v>
      </c>
      <c r="V49" t="n">
        <v>16274.3791815719</v>
      </c>
      <c r="W49" t="n">
        <v>16399.2432823935</v>
      </c>
      <c r="X49" t="n">
        <v>16572.0449764014</v>
      </c>
      <c r="Y49" t="n">
        <v>16773.9846679118</v>
      </c>
      <c r="Z49" t="n">
        <v>17220.8374268598</v>
      </c>
      <c r="AA49" t="n">
        <v>17658.1697550764</v>
      </c>
      <c r="AB49" t="n">
        <v>17993.068048703</v>
      </c>
      <c r="AC49" t="n">
        <v>18251.809322254</v>
      </c>
      <c r="AD49" t="n">
        <v>18795.8577495805</v>
      </c>
      <c r="AE49" t="n">
        <v>19439</v>
      </c>
      <c r="AF49" t="n">
        <v>20028</v>
      </c>
    </row>
    <row r="50">
      <c r="A50" t="s">
        <v>146</v>
      </c>
      <c r="B50" t="s">
        <v>370</v>
      </c>
      <c r="C50" t="s">
        <v>236</v>
      </c>
      <c r="D50" t="s">
        <v>371</v>
      </c>
      <c r="E50" t="s">
        <v>237</v>
      </c>
      <c r="F50" t="n">
        <v>13932.9397772507</v>
      </c>
      <c r="G50" t="n">
        <v>14031.6674284623</v>
      </c>
      <c r="H50" t="n">
        <v>14140.0132149353</v>
      </c>
      <c r="I50" t="n">
        <v>14172.3702245804</v>
      </c>
      <c r="J50" t="n">
        <v>14214.0179392113</v>
      </c>
      <c r="K50" t="n">
        <v>14307.617641445</v>
      </c>
      <c r="L50" t="n">
        <v>14485.8065857174</v>
      </c>
      <c r="M50" t="n">
        <v>14742.5888935339</v>
      </c>
      <c r="N50" t="n">
        <v>14994.7150937612</v>
      </c>
      <c r="O50" t="n">
        <v>15194.927757364</v>
      </c>
      <c r="P50" t="n">
        <v>15336.9917488625</v>
      </c>
      <c r="Q50" t="n">
        <v>15611.8987615501</v>
      </c>
      <c r="R50" t="n">
        <v>15919.1023866257</v>
      </c>
      <c r="S50" t="n">
        <v>16287.1594457121</v>
      </c>
      <c r="T50" t="n">
        <v>16743.5506107715</v>
      </c>
      <c r="U50" t="n">
        <v>17091.9431516723</v>
      </c>
      <c r="V50" t="n">
        <v>17448.1336311032</v>
      </c>
      <c r="W50" t="n">
        <v>17917.5730266466</v>
      </c>
      <c r="X50" t="n">
        <v>18425.573447161</v>
      </c>
      <c r="Y50" t="n">
        <v>18896.1190056234</v>
      </c>
      <c r="Z50" t="n">
        <v>19131.5299341055</v>
      </c>
      <c r="AA50" t="n">
        <v>19627.9218890502</v>
      </c>
      <c r="AB50" t="n">
        <v>20297.1464324251</v>
      </c>
      <c r="AC50" t="n">
        <v>20782.023324732</v>
      </c>
      <c r="AD50" t="n">
        <v>21374.8798112509</v>
      </c>
      <c r="AE50" t="n">
        <v>22026</v>
      </c>
      <c r="AF50" t="n">
        <v>22593</v>
      </c>
    </row>
    <row r="51">
      <c r="A51" t="s">
        <v>146</v>
      </c>
      <c r="B51" t="s">
        <v>372</v>
      </c>
      <c r="C51" t="s">
        <v>236</v>
      </c>
      <c r="D51" t="s">
        <v>373</v>
      </c>
      <c r="E51" t="s">
        <v>237</v>
      </c>
      <c r="F51" t="n">
        <v>8350.50601151552</v>
      </c>
      <c r="G51" t="n">
        <v>8346.97140579636</v>
      </c>
      <c r="H51" t="n">
        <v>8370.10800031137</v>
      </c>
      <c r="I51" t="n">
        <v>8327.00939657666</v>
      </c>
      <c r="J51" t="n">
        <v>8280.21870902045</v>
      </c>
      <c r="K51" t="n">
        <v>8260.49999012618</v>
      </c>
      <c r="L51" t="n">
        <v>8308.23934664781</v>
      </c>
      <c r="M51" t="n">
        <v>8453.28960161988</v>
      </c>
      <c r="N51" t="n">
        <v>8558.91799721313</v>
      </c>
      <c r="O51" t="n">
        <v>8636.17548709948</v>
      </c>
      <c r="P51" t="n">
        <v>8695.29700335551</v>
      </c>
      <c r="Q51" t="n">
        <v>8871.31516131817</v>
      </c>
      <c r="R51" t="n">
        <v>8980.8709667865</v>
      </c>
      <c r="S51" t="n">
        <v>9119.17485706338</v>
      </c>
      <c r="T51" t="n">
        <v>9365.28213006206</v>
      </c>
      <c r="U51" t="n">
        <v>9539.41232699339</v>
      </c>
      <c r="V51" t="n">
        <v>9728.98006889363</v>
      </c>
      <c r="W51" t="n">
        <v>10008.4024729611</v>
      </c>
      <c r="X51" t="n">
        <v>10327.7170233264</v>
      </c>
      <c r="Y51" t="n">
        <v>10612.7332759944</v>
      </c>
      <c r="Z51" t="n">
        <v>10740.2170678263</v>
      </c>
      <c r="AA51" t="n">
        <v>11071.5828089738</v>
      </c>
      <c r="AB51" t="n">
        <v>11573.7471668698</v>
      </c>
      <c r="AC51" t="n">
        <v>11985.0758572528</v>
      </c>
      <c r="AD51" t="n">
        <v>12468.6635800047</v>
      </c>
      <c r="AE51" t="n">
        <v>12980</v>
      </c>
      <c r="AF51" t="n">
        <v>13447</v>
      </c>
    </row>
    <row r="52">
      <c r="A52" t="s">
        <v>146</v>
      </c>
      <c r="B52" t="s">
        <v>374</v>
      </c>
      <c r="C52" t="s">
        <v>236</v>
      </c>
      <c r="D52" t="s">
        <v>375</v>
      </c>
      <c r="E52" t="s">
        <v>237</v>
      </c>
      <c r="F52" t="n">
        <v>5583.2201097776</v>
      </c>
      <c r="G52" t="n">
        <v>5685.11651203283</v>
      </c>
      <c r="H52" t="n">
        <v>5770.12760006322</v>
      </c>
      <c r="I52" t="n">
        <v>5845.74237672552</v>
      </c>
      <c r="J52" t="n">
        <v>5934.41961087573</v>
      </c>
      <c r="K52" t="n">
        <v>6047.62805797289</v>
      </c>
      <c r="L52" t="n">
        <v>6178.06085669824</v>
      </c>
      <c r="M52" t="n">
        <v>6289.79332938991</v>
      </c>
      <c r="N52" t="n">
        <v>6436.34868681264</v>
      </c>
      <c r="O52" t="n">
        <v>6559.42334300523</v>
      </c>
      <c r="P52" t="n">
        <v>6642.43525423875</v>
      </c>
      <c r="Q52" t="n">
        <v>6741.28101695063</v>
      </c>
      <c r="R52" t="n">
        <v>6939.03609600926</v>
      </c>
      <c r="S52" t="n">
        <v>7168.8559557307</v>
      </c>
      <c r="T52" t="n">
        <v>7379.17444563059</v>
      </c>
      <c r="U52" t="n">
        <v>7553.47605542993</v>
      </c>
      <c r="V52" t="n">
        <v>7720.14472205552</v>
      </c>
      <c r="W52" t="n">
        <v>7910.12020737117</v>
      </c>
      <c r="X52" t="n">
        <v>8098.71546220074</v>
      </c>
      <c r="Y52" t="n">
        <v>8284.20026563845</v>
      </c>
      <c r="Z52" t="n">
        <v>8392.15301697538</v>
      </c>
      <c r="AA52" t="n">
        <v>8557.07198218703</v>
      </c>
      <c r="AB52" t="n">
        <v>8723.96117660318</v>
      </c>
      <c r="AC52" t="n">
        <v>8797.27177472589</v>
      </c>
      <c r="AD52" t="n">
        <v>8906.32886284233</v>
      </c>
      <c r="AE52" t="n">
        <v>9046</v>
      </c>
      <c r="AF52" t="n">
        <v>9146</v>
      </c>
    </row>
    <row r="53">
      <c r="A53" t="s">
        <v>146</v>
      </c>
      <c r="B53" t="s">
        <v>376</v>
      </c>
      <c r="C53" t="s">
        <v>236</v>
      </c>
      <c r="D53" t="s">
        <v>377</v>
      </c>
      <c r="E53" t="s">
        <v>237</v>
      </c>
      <c r="F53" t="n">
        <v>9995.05686460788</v>
      </c>
      <c r="G53" t="n">
        <v>10166.3285821652</v>
      </c>
      <c r="H53" t="n">
        <v>10376.9168170815</v>
      </c>
      <c r="I53" t="n">
        <v>10533.2714695037</v>
      </c>
      <c r="J53" t="n">
        <v>10647.3248837162</v>
      </c>
      <c r="K53" t="n">
        <v>10753.3102633456</v>
      </c>
      <c r="L53" t="n">
        <v>10825.8153520256</v>
      </c>
      <c r="M53" t="n">
        <v>10929.8214899089</v>
      </c>
      <c r="N53" t="n">
        <v>11101.4860540471</v>
      </c>
      <c r="O53" t="n">
        <v>11188.1926455901</v>
      </c>
      <c r="P53" t="n">
        <v>11223.5377322683</v>
      </c>
      <c r="Q53" t="n">
        <v>11286.7175168507</v>
      </c>
      <c r="R53" t="n">
        <v>11384.039791683</v>
      </c>
      <c r="S53" t="n">
        <v>11435.4321756798</v>
      </c>
      <c r="T53" t="n">
        <v>11464.7658309632</v>
      </c>
      <c r="U53" t="n">
        <v>11482.6311423558</v>
      </c>
      <c r="V53" t="n">
        <v>11489.943367664</v>
      </c>
      <c r="W53" t="n">
        <v>11556.7726301086</v>
      </c>
      <c r="X53" t="n">
        <v>11600.3451487256</v>
      </c>
      <c r="Y53" t="n">
        <v>11592.6620740694</v>
      </c>
      <c r="Z53" t="n">
        <v>11688.6404598553</v>
      </c>
      <c r="AA53" t="n">
        <v>11631.4133339808</v>
      </c>
      <c r="AB53" t="n">
        <v>11982.8155495089</v>
      </c>
      <c r="AC53" t="n">
        <v>12253.7944623985</v>
      </c>
      <c r="AD53" t="n">
        <v>12503.3457760314</v>
      </c>
      <c r="AE53" t="n">
        <v>12703</v>
      </c>
      <c r="AF53" t="n">
        <v>12804</v>
      </c>
    </row>
    <row r="54">
      <c r="A54" t="s">
        <v>146</v>
      </c>
      <c r="B54" t="s">
        <v>378</v>
      </c>
      <c r="C54" t="s">
        <v>236</v>
      </c>
      <c r="D54" t="s">
        <v>379</v>
      </c>
      <c r="E54" t="s">
        <v>237</v>
      </c>
      <c r="F54" t="n">
        <v>13447.6330395972</v>
      </c>
      <c r="G54" t="n">
        <v>13613.6752425556</v>
      </c>
      <c r="H54" t="n">
        <v>13850.9349642373</v>
      </c>
      <c r="I54" t="n">
        <v>14061.9627661457</v>
      </c>
      <c r="J54" t="n">
        <v>14262.1268604775</v>
      </c>
      <c r="K54" t="n">
        <v>14393.4907431845</v>
      </c>
      <c r="L54" t="n">
        <v>14479.746264229</v>
      </c>
      <c r="M54" t="n">
        <v>14582.6326535673</v>
      </c>
      <c r="N54" t="n">
        <v>14786.4154020893</v>
      </c>
      <c r="O54" t="n">
        <v>14940.9772355606</v>
      </c>
      <c r="P54" t="n">
        <v>15015.9319708561</v>
      </c>
      <c r="Q54" t="n">
        <v>15085.9363157086</v>
      </c>
      <c r="R54" t="n">
        <v>15196.6955120114</v>
      </c>
      <c r="S54" t="n">
        <v>15291.9176126721</v>
      </c>
      <c r="T54" t="n">
        <v>15353.2267657838</v>
      </c>
      <c r="U54" t="n">
        <v>15440.3321947029</v>
      </c>
      <c r="V54" t="n">
        <v>15462.4953509632</v>
      </c>
      <c r="W54" t="n">
        <v>15537.4693528959</v>
      </c>
      <c r="X54" t="n">
        <v>15578.2917800382</v>
      </c>
      <c r="Y54" t="n">
        <v>15562.7134882582</v>
      </c>
      <c r="Z54" t="n">
        <v>15636.8638085336</v>
      </c>
      <c r="AA54" t="n">
        <v>15548.8221692439</v>
      </c>
      <c r="AB54" t="n">
        <v>15859.9093197998</v>
      </c>
      <c r="AC54" t="n">
        <v>16065.3792160273</v>
      </c>
      <c r="AD54" t="n">
        <v>16261.6403931864</v>
      </c>
      <c r="AE54" t="n">
        <v>16417</v>
      </c>
      <c r="AF54" t="n">
        <v>16515</v>
      </c>
    </row>
    <row r="55">
      <c r="A55" t="s">
        <v>146</v>
      </c>
      <c r="B55" t="s">
        <v>380</v>
      </c>
      <c r="C55" t="s">
        <v>236</v>
      </c>
      <c r="D55" t="s">
        <v>381</v>
      </c>
      <c r="E55" t="s">
        <v>237</v>
      </c>
      <c r="F55" t="n">
        <v>3463.41599349648</v>
      </c>
      <c r="G55" t="n">
        <v>3459.93167157144</v>
      </c>
      <c r="H55" t="n">
        <v>3487.9756972782</v>
      </c>
      <c r="I55" t="n">
        <v>3542.83477724554</v>
      </c>
      <c r="J55" t="n">
        <v>3628.1631678343</v>
      </c>
      <c r="K55" t="n">
        <v>3653.98639322814</v>
      </c>
      <c r="L55" t="n">
        <v>3668.05822786188</v>
      </c>
      <c r="M55" t="n">
        <v>3668.05822786188</v>
      </c>
      <c r="N55" t="n">
        <v>3700.88869206569</v>
      </c>
      <c r="O55" t="n">
        <v>3768.58787545714</v>
      </c>
      <c r="P55" t="n">
        <v>3808.19545530818</v>
      </c>
      <c r="Q55" t="n">
        <v>3815.16761835342</v>
      </c>
      <c r="R55" t="n">
        <v>3828.60603898869</v>
      </c>
      <c r="S55" t="n">
        <v>3872.58411951531</v>
      </c>
      <c r="T55" t="n">
        <v>3905.01581034251</v>
      </c>
      <c r="U55" t="n">
        <v>3974.8988455168</v>
      </c>
      <c r="V55" t="n">
        <v>3990.19672433213</v>
      </c>
      <c r="W55" t="n">
        <v>3997.69474511071</v>
      </c>
      <c r="X55" t="n">
        <v>3994.12324891198</v>
      </c>
      <c r="Y55" t="n">
        <v>3985.9743527469</v>
      </c>
      <c r="Z55" t="n">
        <v>3961.59175402634</v>
      </c>
      <c r="AA55" t="n">
        <v>3930.22431198566</v>
      </c>
      <c r="AB55" t="n">
        <v>3885.83428934812</v>
      </c>
      <c r="AC55" t="n">
        <v>3816.10841061587</v>
      </c>
      <c r="AD55" t="n">
        <v>3759.73891625616</v>
      </c>
      <c r="AE55" t="n">
        <v>3714</v>
      </c>
      <c r="AF55" t="n">
        <v>3711</v>
      </c>
    </row>
    <row r="56">
      <c r="A56" t="s">
        <v>146</v>
      </c>
      <c r="B56" t="s">
        <v>382</v>
      </c>
      <c r="C56" t="s">
        <v>236</v>
      </c>
      <c r="D56" t="s">
        <v>383</v>
      </c>
      <c r="E56" t="s">
        <v>237</v>
      </c>
      <c r="F56" t="e">
        <v>#NUM!</v>
      </c>
      <c r="G56" t="e">
        <v>#NUM!</v>
      </c>
      <c r="H56" t="e">
        <v>#NUM!</v>
      </c>
      <c r="I56" t="e">
        <v>#NUM!</v>
      </c>
      <c r="J56" t="e">
        <v>#NUM!</v>
      </c>
      <c r="K56" t="e">
        <v>#NUM!</v>
      </c>
      <c r="L56" t="e">
        <v>#NUM!</v>
      </c>
      <c r="M56" t="e">
        <v>#NUM!</v>
      </c>
      <c r="N56" t="e">
        <v>#NUM!</v>
      </c>
      <c r="O56" t="e">
        <v>#NUM!</v>
      </c>
      <c r="P56" t="e">
        <v>#NUM!</v>
      </c>
      <c r="Q56" t="e">
        <v>#NUM!</v>
      </c>
      <c r="R56" t="e">
        <v>#NUM!</v>
      </c>
      <c r="S56" t="e">
        <v>#NUM!</v>
      </c>
      <c r="T56" t="e">
        <v>#NUM!</v>
      </c>
      <c r="U56" t="e">
        <v>#NUM!</v>
      </c>
      <c r="V56" t="e">
        <v>#NUM!</v>
      </c>
      <c r="W56" t="e">
        <v>#NUM!</v>
      </c>
      <c r="X56" t="e">
        <v>#NUM!</v>
      </c>
      <c r="Y56" t="e">
        <v>#NUM!</v>
      </c>
      <c r="Z56" t="e">
        <v>#NUM!</v>
      </c>
      <c r="AA56" t="e">
        <v>#NUM!</v>
      </c>
      <c r="AB56" t="e">
        <v>#NUM!</v>
      </c>
      <c r="AC56" t="e">
        <v>#NUM!</v>
      </c>
      <c r="AD56" t="e">
        <v>#NUM!</v>
      </c>
      <c r="AE56" t="n">
        <v>0</v>
      </c>
      <c r="AF56" t="e">
        <v>#NUM!</v>
      </c>
    </row>
    <row r="57">
      <c r="A57" t="s">
        <v>146</v>
      </c>
      <c r="B57" t="s">
        <v>384</v>
      </c>
      <c r="C57" t="s">
        <v>236</v>
      </c>
      <c r="D57" t="s">
        <v>385</v>
      </c>
      <c r="E57" t="s">
        <v>237</v>
      </c>
      <c r="F57" t="n">
        <v>223971.300488741</v>
      </c>
      <c r="G57" t="n">
        <v>224993.796429293</v>
      </c>
      <c r="H57" t="n">
        <v>226329.449918802</v>
      </c>
      <c r="I57" t="n">
        <v>228769.288645883</v>
      </c>
      <c r="J57" t="n">
        <v>231261.788634255</v>
      </c>
      <c r="K57" t="n">
        <v>234828.541868735</v>
      </c>
      <c r="L57" t="n">
        <v>239088.251531837</v>
      </c>
      <c r="M57" t="n">
        <v>242967.352137778</v>
      </c>
      <c r="N57" t="n">
        <v>245977.502279861</v>
      </c>
      <c r="O57" t="n">
        <v>249067.332710626</v>
      </c>
      <c r="P57" t="n">
        <v>252296.594705377</v>
      </c>
      <c r="Q57" t="n">
        <v>255649.60680875</v>
      </c>
      <c r="R57" t="n">
        <v>261538.489000092</v>
      </c>
      <c r="S57" t="n">
        <v>268253.559462754</v>
      </c>
      <c r="T57" t="n">
        <v>271829.800228134</v>
      </c>
      <c r="U57" t="n">
        <v>274672.762234133</v>
      </c>
      <c r="V57" t="n">
        <v>277872.395317022</v>
      </c>
      <c r="W57" t="n">
        <v>280563.174110431</v>
      </c>
      <c r="X57" t="n">
        <v>282845.387820414</v>
      </c>
      <c r="Y57" t="n">
        <v>285020.820445167</v>
      </c>
      <c r="Z57" t="n">
        <v>287195.1171119</v>
      </c>
      <c r="AA57" t="n">
        <v>290648.649925604</v>
      </c>
      <c r="AB57" t="n">
        <v>294460.18075828</v>
      </c>
      <c r="AC57" t="n">
        <v>298059.58422875</v>
      </c>
      <c r="AD57" t="n">
        <v>303346.424848511</v>
      </c>
      <c r="AE57" t="n">
        <v>308360</v>
      </c>
      <c r="AF57" t="n">
        <v>312527</v>
      </c>
    </row>
    <row r="58">
      <c r="A58" t="s">
        <v>146</v>
      </c>
      <c r="B58" t="s">
        <v>386</v>
      </c>
      <c r="C58" t="s">
        <v>236</v>
      </c>
      <c r="D58" t="s">
        <v>387</v>
      </c>
      <c r="E58" t="s">
        <v>237</v>
      </c>
      <c r="F58" t="n">
        <v>223971.300488741</v>
      </c>
      <c r="G58" t="n">
        <v>224993.796429293</v>
      </c>
      <c r="H58" t="n">
        <v>226329.449918802</v>
      </c>
      <c r="I58" t="n">
        <v>228769.288645883</v>
      </c>
      <c r="J58" t="n">
        <v>231261.788634255</v>
      </c>
      <c r="K58" t="n">
        <v>234828.541868735</v>
      </c>
      <c r="L58" t="n">
        <v>239088.251531837</v>
      </c>
      <c r="M58" t="n">
        <v>242967.352137778</v>
      </c>
      <c r="N58" t="n">
        <v>245977.502279861</v>
      </c>
      <c r="O58" t="n">
        <v>249067.332710626</v>
      </c>
      <c r="P58" t="n">
        <v>252296.594705377</v>
      </c>
      <c r="Q58" t="n">
        <v>255649.60680875</v>
      </c>
      <c r="R58" t="n">
        <v>261538.489000092</v>
      </c>
      <c r="S58" t="n">
        <v>268253.559462754</v>
      </c>
      <c r="T58" t="n">
        <v>271829.800228134</v>
      </c>
      <c r="U58" t="n">
        <v>274672.762234133</v>
      </c>
      <c r="V58" t="n">
        <v>277872.395317022</v>
      </c>
      <c r="W58" t="n">
        <v>280563.174110431</v>
      </c>
      <c r="X58" t="n">
        <v>282845.387820414</v>
      </c>
      <c r="Y58" t="n">
        <v>285020.820445167</v>
      </c>
      <c r="Z58" t="n">
        <v>287195.1171119</v>
      </c>
      <c r="AA58" t="n">
        <v>290648.649925604</v>
      </c>
      <c r="AB58" t="n">
        <v>294460.18075828</v>
      </c>
      <c r="AC58" t="n">
        <v>298059.58422875</v>
      </c>
      <c r="AD58" t="n">
        <v>303346.424848511</v>
      </c>
      <c r="AE58" t="n">
        <v>308360</v>
      </c>
      <c r="AF58" t="n">
        <v>312527</v>
      </c>
    </row>
    <row r="59">
      <c r="A59" t="s">
        <v>146</v>
      </c>
      <c r="B59" t="s">
        <v>388</v>
      </c>
      <c r="C59" t="s">
        <v>236</v>
      </c>
      <c r="D59" t="s">
        <v>389</v>
      </c>
      <c r="E59" t="s">
        <v>237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147</v>
      </c>
      <c r="B2" t="s">
        <v>197</v>
      </c>
      <c r="C2" t="s">
        <v>236</v>
      </c>
      <c r="D2" t="s">
        <v>199</v>
      </c>
      <c r="E2" t="s">
        <v>237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147</v>
      </c>
      <c r="B3" t="s">
        <v>276</v>
      </c>
      <c r="C3" t="s">
        <v>236</v>
      </c>
      <c r="D3" t="s">
        <v>277</v>
      </c>
      <c r="E3" t="s">
        <v>237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147</v>
      </c>
      <c r="B4" t="s">
        <v>278</v>
      </c>
      <c r="C4" t="s">
        <v>236</v>
      </c>
      <c r="D4" t="s">
        <v>279</v>
      </c>
      <c r="E4" t="s">
        <v>237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147</v>
      </c>
      <c r="B5" t="s">
        <v>280</v>
      </c>
      <c r="C5" t="s">
        <v>236</v>
      </c>
      <c r="D5" t="s">
        <v>281</v>
      </c>
      <c r="E5" t="s">
        <v>237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147</v>
      </c>
      <c r="B6" t="s">
        <v>282</v>
      </c>
      <c r="C6" t="s">
        <v>236</v>
      </c>
      <c r="D6" t="s">
        <v>283</v>
      </c>
      <c r="E6" t="s">
        <v>237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147</v>
      </c>
      <c r="B7" t="s">
        <v>284</v>
      </c>
      <c r="C7" t="s">
        <v>236</v>
      </c>
      <c r="D7" t="s">
        <v>285</v>
      </c>
      <c r="E7" t="s">
        <v>237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147</v>
      </c>
      <c r="B8" t="s">
        <v>286</v>
      </c>
      <c r="C8" t="s">
        <v>236</v>
      </c>
      <c r="D8" t="s">
        <v>287</v>
      </c>
      <c r="E8" t="s">
        <v>237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147</v>
      </c>
      <c r="B9" t="s">
        <v>288</v>
      </c>
      <c r="C9" t="s">
        <v>236</v>
      </c>
      <c r="D9" t="s">
        <v>289</v>
      </c>
      <c r="E9" t="s">
        <v>237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147</v>
      </c>
      <c r="B10" t="s">
        <v>290</v>
      </c>
      <c r="C10" t="s">
        <v>236</v>
      </c>
      <c r="D10" t="s">
        <v>291</v>
      </c>
      <c r="E10" t="s">
        <v>237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147</v>
      </c>
      <c r="B11" t="s">
        <v>292</v>
      </c>
      <c r="C11" t="s">
        <v>236</v>
      </c>
      <c r="D11" t="s">
        <v>293</v>
      </c>
      <c r="E11" t="s">
        <v>237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147</v>
      </c>
      <c r="B12" t="s">
        <v>294</v>
      </c>
      <c r="C12" t="s">
        <v>236</v>
      </c>
      <c r="D12" t="s">
        <v>295</v>
      </c>
      <c r="E12" t="s">
        <v>237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147</v>
      </c>
      <c r="B13" t="s">
        <v>296</v>
      </c>
      <c r="C13" t="s">
        <v>236</v>
      </c>
      <c r="D13" t="s">
        <v>297</v>
      </c>
      <c r="E13" t="s">
        <v>237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147</v>
      </c>
      <c r="B14" t="s">
        <v>298</v>
      </c>
      <c r="C14" t="s">
        <v>236</v>
      </c>
      <c r="D14" t="s">
        <v>299</v>
      </c>
      <c r="E14" t="s">
        <v>237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147</v>
      </c>
      <c r="B15" t="s">
        <v>300</v>
      </c>
      <c r="C15" t="s">
        <v>236</v>
      </c>
      <c r="D15" t="s">
        <v>301</v>
      </c>
      <c r="E15" t="s">
        <v>237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147</v>
      </c>
      <c r="B16" t="s">
        <v>302</v>
      </c>
      <c r="C16" t="s">
        <v>236</v>
      </c>
      <c r="D16" t="s">
        <v>303</v>
      </c>
      <c r="E16" t="s">
        <v>237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147</v>
      </c>
      <c r="B17" t="s">
        <v>304</v>
      </c>
      <c r="C17" t="s">
        <v>236</v>
      </c>
      <c r="D17" t="s">
        <v>305</v>
      </c>
      <c r="E17" t="s">
        <v>237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147</v>
      </c>
      <c r="B18" t="s">
        <v>306</v>
      </c>
      <c r="C18" t="s">
        <v>236</v>
      </c>
      <c r="D18" t="s">
        <v>307</v>
      </c>
      <c r="E18" t="s">
        <v>237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147</v>
      </c>
      <c r="B19" t="s">
        <v>308</v>
      </c>
      <c r="C19" t="s">
        <v>236</v>
      </c>
      <c r="D19" t="s">
        <v>309</v>
      </c>
      <c r="E19" t="s">
        <v>237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147</v>
      </c>
      <c r="B20" t="s">
        <v>310</v>
      </c>
      <c r="C20" t="s">
        <v>236</v>
      </c>
      <c r="D20" t="s">
        <v>311</v>
      </c>
      <c r="E20" t="s">
        <v>237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147</v>
      </c>
      <c r="B21" t="s">
        <v>312</v>
      </c>
      <c r="C21" t="s">
        <v>236</v>
      </c>
      <c r="D21" t="s">
        <v>313</v>
      </c>
      <c r="E21" t="s">
        <v>237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147</v>
      </c>
      <c r="B22" t="s">
        <v>314</v>
      </c>
      <c r="C22" t="s">
        <v>236</v>
      </c>
      <c r="D22" t="s">
        <v>315</v>
      </c>
      <c r="E22" t="s">
        <v>237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147</v>
      </c>
      <c r="B23" t="s">
        <v>316</v>
      </c>
      <c r="C23" t="s">
        <v>236</v>
      </c>
      <c r="D23" t="s">
        <v>317</v>
      </c>
      <c r="E23" t="s">
        <v>237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147</v>
      </c>
      <c r="B24" t="s">
        <v>318</v>
      </c>
      <c r="C24" t="s">
        <v>236</v>
      </c>
      <c r="D24" t="s">
        <v>319</v>
      </c>
      <c r="E24" t="s">
        <v>237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147</v>
      </c>
      <c r="B25" t="s">
        <v>320</v>
      </c>
      <c r="C25" t="s">
        <v>236</v>
      </c>
      <c r="D25" t="s">
        <v>321</v>
      </c>
      <c r="E25" t="s">
        <v>237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147</v>
      </c>
      <c r="B26" t="s">
        <v>322</v>
      </c>
      <c r="C26" t="s">
        <v>236</v>
      </c>
      <c r="D26" t="s">
        <v>323</v>
      </c>
      <c r="E26" t="s">
        <v>237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147</v>
      </c>
      <c r="B27" t="s">
        <v>324</v>
      </c>
      <c r="C27" t="s">
        <v>236</v>
      </c>
      <c r="D27" t="s">
        <v>325</v>
      </c>
      <c r="E27" t="s">
        <v>237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147</v>
      </c>
      <c r="B28" t="s">
        <v>326</v>
      </c>
      <c r="C28" t="s">
        <v>236</v>
      </c>
      <c r="D28" t="s">
        <v>327</v>
      </c>
      <c r="E28" t="s">
        <v>237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147</v>
      </c>
      <c r="B29" t="s">
        <v>328</v>
      </c>
      <c r="C29" t="s">
        <v>236</v>
      </c>
      <c r="D29" t="s">
        <v>329</v>
      </c>
      <c r="E29" t="s">
        <v>237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147</v>
      </c>
      <c r="B30" t="s">
        <v>330</v>
      </c>
      <c r="C30" t="s">
        <v>236</v>
      </c>
      <c r="D30" t="s">
        <v>331</v>
      </c>
      <c r="E30" t="s">
        <v>237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147</v>
      </c>
      <c r="B31" t="s">
        <v>332</v>
      </c>
      <c r="C31" t="s">
        <v>236</v>
      </c>
      <c r="D31" t="s">
        <v>333</v>
      </c>
      <c r="E31" t="s">
        <v>237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147</v>
      </c>
      <c r="B32" t="s">
        <v>334</v>
      </c>
      <c r="C32" t="s">
        <v>236</v>
      </c>
      <c r="D32" t="s">
        <v>335</v>
      </c>
      <c r="E32" t="s">
        <v>237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147</v>
      </c>
      <c r="B33" t="s">
        <v>336</v>
      </c>
      <c r="C33" t="s">
        <v>236</v>
      </c>
      <c r="D33" t="s">
        <v>337</v>
      </c>
      <c r="E33" t="s">
        <v>237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147</v>
      </c>
      <c r="B34" t="s">
        <v>338</v>
      </c>
      <c r="C34" t="s">
        <v>236</v>
      </c>
      <c r="D34" t="s">
        <v>339</v>
      </c>
      <c r="E34" t="s">
        <v>237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147</v>
      </c>
      <c r="B35" t="s">
        <v>340</v>
      </c>
      <c r="C35" t="s">
        <v>236</v>
      </c>
      <c r="D35" t="s">
        <v>341</v>
      </c>
      <c r="E35" t="s">
        <v>237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147</v>
      </c>
      <c r="B36" t="s">
        <v>342</v>
      </c>
      <c r="C36" t="s">
        <v>236</v>
      </c>
      <c r="D36" t="s">
        <v>343</v>
      </c>
      <c r="E36" t="s">
        <v>237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147</v>
      </c>
      <c r="B37" t="s">
        <v>344</v>
      </c>
      <c r="C37" t="s">
        <v>236</v>
      </c>
      <c r="D37" t="s">
        <v>345</v>
      </c>
      <c r="E37" t="s">
        <v>237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147</v>
      </c>
      <c r="B38" t="s">
        <v>346</v>
      </c>
      <c r="C38" t="s">
        <v>236</v>
      </c>
      <c r="D38" t="s">
        <v>347</v>
      </c>
      <c r="E38" t="s">
        <v>237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147</v>
      </c>
      <c r="B39" t="s">
        <v>348</v>
      </c>
      <c r="C39" t="s">
        <v>236</v>
      </c>
      <c r="D39" t="s">
        <v>349</v>
      </c>
      <c r="E39" t="s">
        <v>237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147</v>
      </c>
      <c r="B40" t="s">
        <v>350</v>
      </c>
      <c r="C40" t="s">
        <v>236</v>
      </c>
      <c r="D40" t="s">
        <v>351</v>
      </c>
      <c r="E40" t="s">
        <v>237</v>
      </c>
      <c r="F40" t="n">
        <v>239823.759872335</v>
      </c>
      <c r="G40" t="n">
        <v>242693.425987649</v>
      </c>
      <c r="H40" t="n">
        <v>246651.415433197</v>
      </c>
      <c r="I40" t="n">
        <v>251560.022438788</v>
      </c>
      <c r="J40" t="n">
        <v>257235.116249214</v>
      </c>
      <c r="K40" t="n">
        <v>263505.425459302</v>
      </c>
      <c r="L40" t="n">
        <v>268253.171392937</v>
      </c>
      <c r="M40" t="n">
        <v>272788.270707517</v>
      </c>
      <c r="N40" t="n">
        <v>278459.068049269</v>
      </c>
      <c r="O40" t="n">
        <v>285321.384585938</v>
      </c>
      <c r="P40" t="n">
        <v>292545.953048664</v>
      </c>
      <c r="Q40" t="n">
        <v>300304.163401332</v>
      </c>
      <c r="R40" t="n">
        <v>307907.395192647</v>
      </c>
      <c r="S40" t="n">
        <v>313719.879834085</v>
      </c>
      <c r="T40" t="n">
        <v>317567.789071326</v>
      </c>
      <c r="U40" t="n">
        <v>324397.162842481</v>
      </c>
      <c r="V40" t="n">
        <v>331758.290915401</v>
      </c>
      <c r="W40" t="n">
        <v>338796.973920119</v>
      </c>
      <c r="X40" t="n">
        <v>344687.084372144</v>
      </c>
      <c r="Y40" t="n">
        <v>349555.505685605</v>
      </c>
      <c r="Z40" t="n">
        <v>354458.528532974</v>
      </c>
      <c r="AA40" t="n">
        <v>360680.606499605</v>
      </c>
      <c r="AB40" t="n">
        <v>366843.517945203</v>
      </c>
      <c r="AC40" t="n">
        <v>374140.650345493</v>
      </c>
      <c r="AD40" t="n">
        <v>380428.254427483</v>
      </c>
      <c r="AE40" t="n">
        <v>385945</v>
      </c>
      <c r="AF40" t="n">
        <v>391566</v>
      </c>
    </row>
    <row r="41">
      <c r="A41" t="s">
        <v>147</v>
      </c>
      <c r="B41" t="s">
        <v>352</v>
      </c>
      <c r="C41" t="s">
        <v>236</v>
      </c>
      <c r="D41" t="s">
        <v>353</v>
      </c>
      <c r="E41" t="s">
        <v>237</v>
      </c>
      <c r="F41" t="n">
        <v>152213.048530568</v>
      </c>
      <c r="G41" t="n">
        <v>154580.440827311</v>
      </c>
      <c r="H41" t="n">
        <v>157600.735501644</v>
      </c>
      <c r="I41" t="n">
        <v>161616.684518903</v>
      </c>
      <c r="J41" t="n">
        <v>166553.667185004</v>
      </c>
      <c r="K41" t="n">
        <v>171705.893388853</v>
      </c>
      <c r="L41" t="n">
        <v>175678.178602906</v>
      </c>
      <c r="M41" t="n">
        <v>179635.365216371</v>
      </c>
      <c r="N41" t="n">
        <v>184633.357629971</v>
      </c>
      <c r="O41" t="n">
        <v>190770.287931708</v>
      </c>
      <c r="P41" t="n">
        <v>197391.228725568</v>
      </c>
      <c r="Q41" t="n">
        <v>204458.325639888</v>
      </c>
      <c r="R41" t="n">
        <v>211481.049860561</v>
      </c>
      <c r="S41" t="n">
        <v>217067.952764203</v>
      </c>
      <c r="T41" t="n">
        <v>221222.722856096</v>
      </c>
      <c r="U41" t="n">
        <v>227750.848236763</v>
      </c>
      <c r="V41" t="n">
        <v>234821.531587097</v>
      </c>
      <c r="W41" t="n">
        <v>241422.950333898</v>
      </c>
      <c r="X41" t="n">
        <v>247104.28978646</v>
      </c>
      <c r="Y41" t="n">
        <v>251809.272054358</v>
      </c>
      <c r="Z41" t="n">
        <v>256295.559724932</v>
      </c>
      <c r="AA41" t="n">
        <v>261775.078455339</v>
      </c>
      <c r="AB41" t="n">
        <v>267531.009758133</v>
      </c>
      <c r="AC41" t="n">
        <v>273693.12060473</v>
      </c>
      <c r="AD41" t="n">
        <v>279178.560433962</v>
      </c>
      <c r="AE41" t="n">
        <v>283944</v>
      </c>
      <c r="AF41" t="n">
        <v>288727</v>
      </c>
    </row>
    <row r="42">
      <c r="A42" t="s">
        <v>147</v>
      </c>
      <c r="B42" t="s">
        <v>354</v>
      </c>
      <c r="C42" t="s">
        <v>236</v>
      </c>
      <c r="D42" t="s">
        <v>355</v>
      </c>
      <c r="E42" t="s">
        <v>237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147</v>
      </c>
      <c r="B43" t="s">
        <v>356</v>
      </c>
      <c r="C43" t="s">
        <v>236</v>
      </c>
      <c r="D43" t="s">
        <v>357</v>
      </c>
      <c r="E43" t="s">
        <v>237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147</v>
      </c>
      <c r="B44" t="s">
        <v>358</v>
      </c>
      <c r="C44" t="s">
        <v>236</v>
      </c>
      <c r="D44" t="s">
        <v>359</v>
      </c>
      <c r="E44" t="s">
        <v>237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1</v>
      </c>
      <c r="AB44" t="n">
        <v>2</v>
      </c>
      <c r="AC44" t="n">
        <v>4</v>
      </c>
      <c r="AD44" t="n">
        <v>5</v>
      </c>
      <c r="AE44" t="n">
        <v>5</v>
      </c>
      <c r="AF44" t="n">
        <v>6</v>
      </c>
    </row>
    <row r="45">
      <c r="A45" t="s">
        <v>147</v>
      </c>
      <c r="B45" t="s">
        <v>360</v>
      </c>
      <c r="C45" t="s">
        <v>236</v>
      </c>
      <c r="D45" t="s">
        <v>361</v>
      </c>
      <c r="E45" t="s">
        <v>237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1</v>
      </c>
      <c r="AB45" t="n">
        <v>2</v>
      </c>
      <c r="AC45" t="n">
        <v>4</v>
      </c>
      <c r="AD45" t="n">
        <v>5</v>
      </c>
      <c r="AE45" t="n">
        <v>5</v>
      </c>
      <c r="AF45" t="n">
        <v>6</v>
      </c>
    </row>
    <row r="46">
      <c r="A46" t="s">
        <v>147</v>
      </c>
      <c r="B46" t="s">
        <v>362</v>
      </c>
      <c r="C46" t="s">
        <v>236</v>
      </c>
      <c r="D46" t="s">
        <v>363</v>
      </c>
      <c r="E46" t="s">
        <v>237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147</v>
      </c>
      <c r="B47" t="s">
        <v>364</v>
      </c>
      <c r="C47" t="s">
        <v>236</v>
      </c>
      <c r="D47" t="s">
        <v>365</v>
      </c>
      <c r="E47" t="s">
        <v>237</v>
      </c>
      <c r="F47" t="n">
        <v>3525.63022293777</v>
      </c>
      <c r="G47" t="n">
        <v>3329.11968592157</v>
      </c>
      <c r="H47" t="n">
        <v>3282.50424107786</v>
      </c>
      <c r="I47" t="n">
        <v>3172.83960335215</v>
      </c>
      <c r="J47" t="n">
        <v>3069.70046473079</v>
      </c>
      <c r="K47" t="n">
        <v>2906.54378249578</v>
      </c>
      <c r="L47" t="n">
        <v>2737.1391799542</v>
      </c>
      <c r="M47" t="n">
        <v>2646.75483719292</v>
      </c>
      <c r="N47" t="n">
        <v>2534.48690975824</v>
      </c>
      <c r="O47" t="n">
        <v>2440.7308748915</v>
      </c>
      <c r="P47" t="n">
        <v>2353.66913396671</v>
      </c>
      <c r="Q47" t="n">
        <v>2225.20932677629</v>
      </c>
      <c r="R47" t="n">
        <v>2098.83941439147</v>
      </c>
      <c r="S47" t="n">
        <v>1989.25627543368</v>
      </c>
      <c r="T47" t="n">
        <v>1881.33115074924</v>
      </c>
      <c r="U47" t="n">
        <v>1782.58025589161</v>
      </c>
      <c r="V47" t="n">
        <v>1681.50611767095</v>
      </c>
      <c r="W47" t="n">
        <v>1555.86905680346</v>
      </c>
      <c r="X47" t="n">
        <v>1448.19227137927</v>
      </c>
      <c r="Y47" t="n">
        <v>1346.87840877249</v>
      </c>
      <c r="Z47" t="n">
        <v>1255.42370200399</v>
      </c>
      <c r="AA47" t="n">
        <v>1158.67112346609</v>
      </c>
      <c r="AB47" t="n">
        <v>1078.12794705831</v>
      </c>
      <c r="AC47" t="n">
        <v>993.568892387074</v>
      </c>
      <c r="AD47" t="n">
        <v>921.076741440378</v>
      </c>
      <c r="AE47" t="n">
        <v>863</v>
      </c>
      <c r="AF47" t="n">
        <v>795</v>
      </c>
    </row>
    <row r="48">
      <c r="A48" t="s">
        <v>147</v>
      </c>
      <c r="B48" t="s">
        <v>366</v>
      </c>
      <c r="C48" t="s">
        <v>236</v>
      </c>
      <c r="D48" t="s">
        <v>367</v>
      </c>
      <c r="E48" t="s">
        <v>237</v>
      </c>
      <c r="F48" t="n">
        <v>4434.98428594447</v>
      </c>
      <c r="G48" t="n">
        <v>4248.34937239279</v>
      </c>
      <c r="H48" t="n">
        <v>4192.09269120586</v>
      </c>
      <c r="I48" t="n">
        <v>4063.99065591214</v>
      </c>
      <c r="J48" t="n">
        <v>3945.28302506935</v>
      </c>
      <c r="K48" t="n">
        <v>3763.81344810704</v>
      </c>
      <c r="L48" t="n">
        <v>3561.67692237607</v>
      </c>
      <c r="M48" t="n">
        <v>3447.36634547548</v>
      </c>
      <c r="N48" t="n">
        <v>3309.16457661455</v>
      </c>
      <c r="O48" t="n">
        <v>3200.18930530674</v>
      </c>
      <c r="P48" t="n">
        <v>3089.26939495888</v>
      </c>
      <c r="Q48" t="n">
        <v>2938.22578062971</v>
      </c>
      <c r="R48" t="n">
        <v>2794.19510510864</v>
      </c>
      <c r="S48" t="n">
        <v>2670.58094377665</v>
      </c>
      <c r="T48" t="n">
        <v>2537.05189658781</v>
      </c>
      <c r="U48" t="n">
        <v>2423.28275324307</v>
      </c>
      <c r="V48" t="n">
        <v>2301.39779053263</v>
      </c>
      <c r="W48" t="n">
        <v>2160.72865245492</v>
      </c>
      <c r="X48" t="n">
        <v>2035.18911063631</v>
      </c>
      <c r="Y48" t="n">
        <v>1913.79186544046</v>
      </c>
      <c r="Z48" t="n">
        <v>1817.74654877337</v>
      </c>
      <c r="AA48" t="n">
        <v>1715.18886411495</v>
      </c>
      <c r="AB48" t="n">
        <v>1620.98559093516</v>
      </c>
      <c r="AC48" t="n">
        <v>1517.58939069033</v>
      </c>
      <c r="AD48" t="n">
        <v>1416.34571645186</v>
      </c>
      <c r="AE48" t="n">
        <v>1344</v>
      </c>
      <c r="AF48" t="n">
        <v>1266</v>
      </c>
    </row>
    <row r="49">
      <c r="A49" t="s">
        <v>147</v>
      </c>
      <c r="B49" t="s">
        <v>368</v>
      </c>
      <c r="C49" t="s">
        <v>236</v>
      </c>
      <c r="D49" t="s">
        <v>369</v>
      </c>
      <c r="E49" t="s">
        <v>237</v>
      </c>
      <c r="F49" t="n">
        <v>255.744685418028</v>
      </c>
      <c r="G49" t="n">
        <v>255.744685418028</v>
      </c>
      <c r="H49" t="n">
        <v>248.053115931771</v>
      </c>
      <c r="I49" t="n">
        <v>242.540824466621</v>
      </c>
      <c r="J49" t="n">
        <v>233.940086010358</v>
      </c>
      <c r="K49" t="n">
        <v>225.644338279494</v>
      </c>
      <c r="L49" t="n">
        <v>217.916792448004</v>
      </c>
      <c r="M49" t="n">
        <v>209.082327889301</v>
      </c>
      <c r="N49" t="n">
        <v>203.065570252199</v>
      </c>
      <c r="O49" t="n">
        <v>198.553002024373</v>
      </c>
      <c r="P49" t="n">
        <v>191.144307918986</v>
      </c>
      <c r="Q49" t="n">
        <v>188.333362214295</v>
      </c>
      <c r="R49" t="n">
        <v>182.874424179098</v>
      </c>
      <c r="S49" t="n">
        <v>175.147335833502</v>
      </c>
      <c r="T49" t="n">
        <v>167.798496567761</v>
      </c>
      <c r="U49" t="n">
        <v>160.228639579741</v>
      </c>
      <c r="V49" t="n">
        <v>153.715280247232</v>
      </c>
      <c r="W49" t="n">
        <v>146.15551236622</v>
      </c>
      <c r="X49" t="n">
        <v>139.025975177624</v>
      </c>
      <c r="Y49" t="n">
        <v>133.13504402603</v>
      </c>
      <c r="Z49" t="n">
        <v>133.13504402603</v>
      </c>
      <c r="AA49" t="n">
        <v>128.463638972485</v>
      </c>
      <c r="AB49" t="n">
        <v>123.916253522131</v>
      </c>
      <c r="AC49" t="n">
        <v>117.277882797732</v>
      </c>
      <c r="AD49" t="n">
        <v>98.0869565217391</v>
      </c>
      <c r="AE49" t="n">
        <v>94</v>
      </c>
      <c r="AF49" t="n">
        <v>89</v>
      </c>
    </row>
    <row r="50">
      <c r="A50" t="s">
        <v>147</v>
      </c>
      <c r="B50" t="s">
        <v>370</v>
      </c>
      <c r="C50" t="s">
        <v>236</v>
      </c>
      <c r="D50" t="s">
        <v>371</v>
      </c>
      <c r="E50" t="s">
        <v>237</v>
      </c>
      <c r="F50" t="n">
        <v>655.742054109986</v>
      </c>
      <c r="G50" t="n">
        <v>665.357040240631</v>
      </c>
      <c r="H50" t="n">
        <v>663.417223796781</v>
      </c>
      <c r="I50" t="n">
        <v>650.409042938021</v>
      </c>
      <c r="J50" t="n">
        <v>643.415397315031</v>
      </c>
      <c r="K50" t="n">
        <v>633.309396310083</v>
      </c>
      <c r="L50" t="n">
        <v>608.165598937971</v>
      </c>
      <c r="M50" t="n">
        <v>593.074641147947</v>
      </c>
      <c r="N50" t="n">
        <v>573.04874417412</v>
      </c>
      <c r="O50" t="n">
        <v>562.265568880521</v>
      </c>
      <c r="P50" t="n">
        <v>545.772445526692</v>
      </c>
      <c r="Q50" t="n">
        <v>525.822538901696</v>
      </c>
      <c r="R50" t="n">
        <v>513.498573146187</v>
      </c>
      <c r="S50" t="n">
        <v>507.07984098186</v>
      </c>
      <c r="T50" t="n">
        <v>488.751653958419</v>
      </c>
      <c r="U50" t="n">
        <v>481.193638691021</v>
      </c>
      <c r="V50" t="n">
        <v>466.81013318667</v>
      </c>
      <c r="W50" t="n">
        <v>459.219724516968</v>
      </c>
      <c r="X50" t="n">
        <v>448.372014489008</v>
      </c>
      <c r="Y50" t="n">
        <v>434.100226229411</v>
      </c>
      <c r="Z50" t="n">
        <v>429.355961461876</v>
      </c>
      <c r="AA50" t="n">
        <v>428.176412117201</v>
      </c>
      <c r="AB50" t="n">
        <v>418.993003814419</v>
      </c>
      <c r="AC50" t="n">
        <v>406.767743756173</v>
      </c>
      <c r="AD50" t="n">
        <v>397.184210526316</v>
      </c>
      <c r="AE50" t="n">
        <v>387</v>
      </c>
      <c r="AF50" t="n">
        <v>382</v>
      </c>
    </row>
    <row r="51">
      <c r="A51" t="s">
        <v>147</v>
      </c>
      <c r="B51" t="s">
        <v>372</v>
      </c>
      <c r="C51" t="s">
        <v>236</v>
      </c>
      <c r="D51" t="s">
        <v>373</v>
      </c>
      <c r="E51" t="s">
        <v>237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147</v>
      </c>
      <c r="B52" t="s">
        <v>374</v>
      </c>
      <c r="C52" t="s">
        <v>236</v>
      </c>
      <c r="D52" t="s">
        <v>375</v>
      </c>
      <c r="E52" t="s">
        <v>237</v>
      </c>
      <c r="F52" t="n">
        <v>581.463341988894</v>
      </c>
      <c r="G52" t="n">
        <v>594.852300521533</v>
      </c>
      <c r="H52" t="n">
        <v>596.78363915959</v>
      </c>
      <c r="I52" t="n">
        <v>585.697874964675</v>
      </c>
      <c r="J52" t="n">
        <v>580.483947294367</v>
      </c>
      <c r="K52" t="n">
        <v>573.792489688668</v>
      </c>
      <c r="L52" t="n">
        <v>562.848218768176</v>
      </c>
      <c r="M52" t="n">
        <v>556.844504434648</v>
      </c>
      <c r="N52" t="n">
        <v>544.572449240496</v>
      </c>
      <c r="O52" t="n">
        <v>535.368407844882</v>
      </c>
      <c r="P52" t="n">
        <v>523.404868004773</v>
      </c>
      <c r="Q52" t="n">
        <v>510.604205472048</v>
      </c>
      <c r="R52" t="n">
        <v>499.65290883994</v>
      </c>
      <c r="S52" t="n">
        <v>494.515089725904</v>
      </c>
      <c r="T52" t="n">
        <v>477.420740945256</v>
      </c>
      <c r="U52" t="n">
        <v>471.122314283709</v>
      </c>
      <c r="V52" t="n">
        <v>458.035583331383</v>
      </c>
      <c r="W52" t="n">
        <v>449.178541664754</v>
      </c>
      <c r="X52" t="n">
        <v>438.340453528071</v>
      </c>
      <c r="Y52" t="n">
        <v>425.273393937804</v>
      </c>
      <c r="Z52" t="n">
        <v>421.719577275371</v>
      </c>
      <c r="AA52" t="n">
        <v>421.719577275371</v>
      </c>
      <c r="AB52" t="n">
        <v>413.675879616167</v>
      </c>
      <c r="AC52" t="n">
        <v>402.555560271647</v>
      </c>
      <c r="AD52" t="n">
        <v>396.165789473684</v>
      </c>
      <c r="AE52" t="n">
        <v>387</v>
      </c>
      <c r="AF52" t="n">
        <v>382</v>
      </c>
    </row>
    <row r="53">
      <c r="A53" t="s">
        <v>147</v>
      </c>
      <c r="B53" t="s">
        <v>376</v>
      </c>
      <c r="C53" t="s">
        <v>236</v>
      </c>
      <c r="D53" t="s">
        <v>377</v>
      </c>
      <c r="E53" t="s">
        <v>237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1</v>
      </c>
      <c r="AB53" t="n">
        <v>2</v>
      </c>
      <c r="AC53" t="n">
        <v>4</v>
      </c>
      <c r="AD53" t="n">
        <v>5</v>
      </c>
      <c r="AE53" t="n">
        <v>5</v>
      </c>
      <c r="AF53" t="n">
        <v>6</v>
      </c>
    </row>
    <row r="54">
      <c r="A54" t="s">
        <v>147</v>
      </c>
      <c r="B54" t="s">
        <v>378</v>
      </c>
      <c r="C54" t="s">
        <v>236</v>
      </c>
      <c r="D54" t="s">
        <v>379</v>
      </c>
      <c r="E54" t="s">
        <v>237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1</v>
      </c>
      <c r="AB54" t="n">
        <v>2</v>
      </c>
      <c r="AC54" t="n">
        <v>4</v>
      </c>
      <c r="AD54" t="n">
        <v>5</v>
      </c>
      <c r="AE54" t="n">
        <v>5</v>
      </c>
      <c r="AF54" t="n">
        <v>6</v>
      </c>
    </row>
    <row r="55">
      <c r="A55" t="s">
        <v>147</v>
      </c>
      <c r="B55" t="s">
        <v>380</v>
      </c>
      <c r="C55" t="s">
        <v>236</v>
      </c>
      <c r="D55" t="s">
        <v>381</v>
      </c>
      <c r="E55" t="s">
        <v>237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147</v>
      </c>
      <c r="B56" t="s">
        <v>382</v>
      </c>
      <c r="C56" t="s">
        <v>236</v>
      </c>
      <c r="D56" t="s">
        <v>383</v>
      </c>
      <c r="E56" t="s">
        <v>237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147</v>
      </c>
      <c r="B57" t="s">
        <v>384</v>
      </c>
      <c r="C57" t="s">
        <v>236</v>
      </c>
      <c r="D57" t="s">
        <v>385</v>
      </c>
      <c r="E57" t="s">
        <v>237</v>
      </c>
      <c r="F57" t="n">
        <v>244283.45469576</v>
      </c>
      <c r="G57" t="n">
        <v>246964.732865798</v>
      </c>
      <c r="H57" t="n">
        <v>250865.710212649</v>
      </c>
      <c r="I57" t="n">
        <v>255642.874085632</v>
      </c>
      <c r="J57" t="n">
        <v>261196.079257064</v>
      </c>
      <c r="K57" t="n">
        <v>267283.089429868</v>
      </c>
      <c r="L57" t="n">
        <v>271826.905107796</v>
      </c>
      <c r="M57" t="n">
        <v>276246.497316876</v>
      </c>
      <c r="N57" t="n">
        <v>281777.559123447</v>
      </c>
      <c r="O57" t="n">
        <v>288529.639962126</v>
      </c>
      <c r="P57" t="n">
        <v>295642.104688522</v>
      </c>
      <c r="Q57" t="n">
        <v>303247.803028218</v>
      </c>
      <c r="R57" t="n">
        <v>310705.531722812</v>
      </c>
      <c r="S57" t="n">
        <v>316393.264531775</v>
      </c>
      <c r="T57" t="n">
        <v>320106.618177106</v>
      </c>
      <c r="U57" t="n">
        <v>326821.153956323</v>
      </c>
      <c r="V57" t="n">
        <v>334059.386346006</v>
      </c>
      <c r="W57" t="n">
        <v>340956.401999032</v>
      </c>
      <c r="X57" t="n">
        <v>346720.46754026</v>
      </c>
      <c r="Y57" t="n">
        <v>351467.520533081</v>
      </c>
      <c r="Z57" t="n">
        <v>356274.857583834</v>
      </c>
      <c r="AA57" t="n">
        <v>362395.852945331</v>
      </c>
      <c r="AB57" t="n">
        <v>368465.860441473</v>
      </c>
      <c r="AC57" t="n">
        <v>375662.017010963</v>
      </c>
      <c r="AD57" t="n">
        <v>381849.586764207</v>
      </c>
      <c r="AE57" t="n">
        <v>387294</v>
      </c>
      <c r="AF57" t="n">
        <v>392838</v>
      </c>
    </row>
    <row r="58">
      <c r="A58" t="s">
        <v>147</v>
      </c>
      <c r="B58" t="s">
        <v>386</v>
      </c>
      <c r="C58" t="s">
        <v>236</v>
      </c>
      <c r="D58" t="s">
        <v>387</v>
      </c>
      <c r="E58" t="s">
        <v>237</v>
      </c>
      <c r="F58" t="n">
        <v>244283.45469576</v>
      </c>
      <c r="G58" t="n">
        <v>246964.732865798</v>
      </c>
      <c r="H58" t="n">
        <v>250865.710212649</v>
      </c>
      <c r="I58" t="n">
        <v>255642.874085632</v>
      </c>
      <c r="J58" t="n">
        <v>261196.079257064</v>
      </c>
      <c r="K58" t="n">
        <v>267283.089429868</v>
      </c>
      <c r="L58" t="n">
        <v>271826.905107796</v>
      </c>
      <c r="M58" t="n">
        <v>276246.497316876</v>
      </c>
      <c r="N58" t="n">
        <v>281777.559123447</v>
      </c>
      <c r="O58" t="n">
        <v>288529.639962126</v>
      </c>
      <c r="P58" t="n">
        <v>295642.104688522</v>
      </c>
      <c r="Q58" t="n">
        <v>303247.803028218</v>
      </c>
      <c r="R58" t="n">
        <v>310705.531722812</v>
      </c>
      <c r="S58" t="n">
        <v>316393.264531775</v>
      </c>
      <c r="T58" t="n">
        <v>320106.618177106</v>
      </c>
      <c r="U58" t="n">
        <v>326821.153956323</v>
      </c>
      <c r="V58" t="n">
        <v>334059.386346006</v>
      </c>
      <c r="W58" t="n">
        <v>340956.401999032</v>
      </c>
      <c r="X58" t="n">
        <v>346720.46754026</v>
      </c>
      <c r="Y58" t="n">
        <v>351467.520533081</v>
      </c>
      <c r="Z58" t="n">
        <v>356274.857583834</v>
      </c>
      <c r="AA58" t="n">
        <v>362395.852945331</v>
      </c>
      <c r="AB58" t="n">
        <v>368465.860441473</v>
      </c>
      <c r="AC58" t="n">
        <v>375662.017010963</v>
      </c>
      <c r="AD58" t="n">
        <v>381849.586764207</v>
      </c>
      <c r="AE58" t="n">
        <v>387294</v>
      </c>
      <c r="AF58" t="n">
        <v>392838</v>
      </c>
    </row>
    <row r="59">
      <c r="A59" t="s">
        <v>147</v>
      </c>
      <c r="B59" t="s">
        <v>388</v>
      </c>
      <c r="C59" t="s">
        <v>236</v>
      </c>
      <c r="D59" t="s">
        <v>389</v>
      </c>
      <c r="E59" t="s">
        <v>237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148</v>
      </c>
      <c r="B2" t="s">
        <v>197</v>
      </c>
      <c r="C2" t="s">
        <v>236</v>
      </c>
      <c r="D2" t="s">
        <v>199</v>
      </c>
      <c r="E2" t="s">
        <v>237</v>
      </c>
      <c r="F2" t="n">
        <v>320.500310448482</v>
      </c>
      <c r="G2" t="n">
        <v>307.02132542962</v>
      </c>
      <c r="H2" t="n">
        <v>290.967922792777</v>
      </c>
      <c r="I2" t="n">
        <v>284.676724462123</v>
      </c>
      <c r="J2" t="n">
        <v>279.372189223698</v>
      </c>
      <c r="K2" t="n">
        <v>262.440541391959</v>
      </c>
      <c r="L2" t="n">
        <v>255.190802679474</v>
      </c>
      <c r="M2" t="n">
        <v>253.773075997921</v>
      </c>
      <c r="N2" t="n">
        <v>244.196733507433</v>
      </c>
      <c r="O2" t="n">
        <v>241.802647884811</v>
      </c>
      <c r="P2" t="n">
        <v>239.054890522484</v>
      </c>
      <c r="Q2" t="n">
        <v>229.094270084047</v>
      </c>
      <c r="R2" t="n">
        <v>219.548675497212</v>
      </c>
      <c r="S2" t="n">
        <v>211.707651372312</v>
      </c>
      <c r="T2" t="n">
        <v>198.246471227251</v>
      </c>
      <c r="U2" t="n">
        <v>185.93302580941</v>
      </c>
      <c r="V2" t="n">
        <v>171.350043392985</v>
      </c>
      <c r="W2" t="n">
        <v>151.667943814061</v>
      </c>
      <c r="X2" t="n">
        <v>135.939416307418</v>
      </c>
      <c r="Y2" t="n">
        <v>127.700663803938</v>
      </c>
      <c r="Z2" t="n">
        <v>120.060453149002</v>
      </c>
      <c r="AA2" t="n">
        <v>105.999318996416</v>
      </c>
      <c r="AB2" t="n">
        <v>100.59119047619</v>
      </c>
      <c r="AC2" t="n">
        <v>89.89</v>
      </c>
      <c r="AD2" t="n">
        <v>89.89</v>
      </c>
      <c r="AE2" t="n">
        <v>101</v>
      </c>
      <c r="AF2" t="n">
        <v>85</v>
      </c>
    </row>
    <row r="3">
      <c r="A3" t="s">
        <v>148</v>
      </c>
      <c r="B3" t="s">
        <v>276</v>
      </c>
      <c r="C3" t="s">
        <v>236</v>
      </c>
      <c r="D3" t="s">
        <v>277</v>
      </c>
      <c r="E3" t="s">
        <v>237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148</v>
      </c>
      <c r="B4" t="s">
        <v>278</v>
      </c>
      <c r="C4" t="s">
        <v>236</v>
      </c>
      <c r="D4" t="s">
        <v>279</v>
      </c>
      <c r="E4" t="s">
        <v>237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148</v>
      </c>
      <c r="B5" t="s">
        <v>280</v>
      </c>
      <c r="C5" t="s">
        <v>236</v>
      </c>
      <c r="D5" t="s">
        <v>281</v>
      </c>
      <c r="E5" t="s">
        <v>237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148</v>
      </c>
      <c r="B6" t="s">
        <v>282</v>
      </c>
      <c r="C6" t="s">
        <v>236</v>
      </c>
      <c r="D6" t="s">
        <v>283</v>
      </c>
      <c r="E6" t="s">
        <v>237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148</v>
      </c>
      <c r="B7" t="s">
        <v>284</v>
      </c>
      <c r="C7" t="s">
        <v>236</v>
      </c>
      <c r="D7" t="s">
        <v>285</v>
      </c>
      <c r="E7" t="s">
        <v>237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148</v>
      </c>
      <c r="B8" t="s">
        <v>286</v>
      </c>
      <c r="C8" t="s">
        <v>236</v>
      </c>
      <c r="D8" t="s">
        <v>287</v>
      </c>
      <c r="E8" t="s">
        <v>237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148</v>
      </c>
      <c r="B9" t="s">
        <v>288</v>
      </c>
      <c r="C9" t="s">
        <v>236</v>
      </c>
      <c r="D9" t="s">
        <v>289</v>
      </c>
      <c r="E9" t="s">
        <v>237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148</v>
      </c>
      <c r="B10" t="s">
        <v>290</v>
      </c>
      <c r="C10" t="s">
        <v>236</v>
      </c>
      <c r="D10" t="s">
        <v>291</v>
      </c>
      <c r="E10" t="s">
        <v>237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148</v>
      </c>
      <c r="B11" t="s">
        <v>292</v>
      </c>
      <c r="C11" t="s">
        <v>236</v>
      </c>
      <c r="D11" t="s">
        <v>293</v>
      </c>
      <c r="E11" t="s">
        <v>237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148</v>
      </c>
      <c r="B12" t="s">
        <v>294</v>
      </c>
      <c r="C12" t="s">
        <v>236</v>
      </c>
      <c r="D12" t="s">
        <v>295</v>
      </c>
      <c r="E12" t="s">
        <v>237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148</v>
      </c>
      <c r="B13" t="s">
        <v>296</v>
      </c>
      <c r="C13" t="s">
        <v>236</v>
      </c>
      <c r="D13" t="s">
        <v>297</v>
      </c>
      <c r="E13" t="s">
        <v>237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148</v>
      </c>
      <c r="B14" t="s">
        <v>298</v>
      </c>
      <c r="C14" t="s">
        <v>236</v>
      </c>
      <c r="D14" t="s">
        <v>299</v>
      </c>
      <c r="E14" t="s">
        <v>237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148</v>
      </c>
      <c r="B15" t="s">
        <v>300</v>
      </c>
      <c r="C15" t="s">
        <v>236</v>
      </c>
      <c r="D15" t="s">
        <v>301</v>
      </c>
      <c r="E15" t="s">
        <v>237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148</v>
      </c>
      <c r="B16" t="s">
        <v>302</v>
      </c>
      <c r="C16" t="s">
        <v>236</v>
      </c>
      <c r="D16" t="s">
        <v>303</v>
      </c>
      <c r="E16" t="s">
        <v>237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148</v>
      </c>
      <c r="B17" t="s">
        <v>304</v>
      </c>
      <c r="C17" t="s">
        <v>236</v>
      </c>
      <c r="D17" t="s">
        <v>305</v>
      </c>
      <c r="E17" t="s">
        <v>237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148</v>
      </c>
      <c r="B18" t="s">
        <v>306</v>
      </c>
      <c r="C18" t="s">
        <v>236</v>
      </c>
      <c r="D18" t="s">
        <v>307</v>
      </c>
      <c r="E18" t="s">
        <v>237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148</v>
      </c>
      <c r="B19" t="s">
        <v>308</v>
      </c>
      <c r="C19" t="s">
        <v>236</v>
      </c>
      <c r="D19" t="s">
        <v>309</v>
      </c>
      <c r="E19" t="s">
        <v>237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148</v>
      </c>
      <c r="B20" t="s">
        <v>310</v>
      </c>
      <c r="C20" t="s">
        <v>236</v>
      </c>
      <c r="D20" t="s">
        <v>311</v>
      </c>
      <c r="E20" t="s">
        <v>237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148</v>
      </c>
      <c r="B21" t="s">
        <v>312</v>
      </c>
      <c r="C21" t="s">
        <v>236</v>
      </c>
      <c r="D21" t="s">
        <v>313</v>
      </c>
      <c r="E21" t="s">
        <v>237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148</v>
      </c>
      <c r="B22" t="s">
        <v>314</v>
      </c>
      <c r="C22" t="s">
        <v>236</v>
      </c>
      <c r="D22" t="s">
        <v>315</v>
      </c>
      <c r="E22" t="s">
        <v>237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148</v>
      </c>
      <c r="B23" t="s">
        <v>316</v>
      </c>
      <c r="C23" t="s">
        <v>236</v>
      </c>
      <c r="D23" t="s">
        <v>317</v>
      </c>
      <c r="E23" t="s">
        <v>237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148</v>
      </c>
      <c r="B24" t="s">
        <v>318</v>
      </c>
      <c r="C24" t="s">
        <v>236</v>
      </c>
      <c r="D24" t="s">
        <v>319</v>
      </c>
      <c r="E24" t="s">
        <v>237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148</v>
      </c>
      <c r="B25" t="s">
        <v>320</v>
      </c>
      <c r="C25" t="s">
        <v>236</v>
      </c>
      <c r="D25" t="s">
        <v>321</v>
      </c>
      <c r="E25" t="s">
        <v>237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148</v>
      </c>
      <c r="B26" t="s">
        <v>322</v>
      </c>
      <c r="C26" t="s">
        <v>236</v>
      </c>
      <c r="D26" t="s">
        <v>323</v>
      </c>
      <c r="E26" t="s">
        <v>237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148</v>
      </c>
      <c r="B27" t="s">
        <v>324</v>
      </c>
      <c r="C27" t="s">
        <v>236</v>
      </c>
      <c r="D27" t="s">
        <v>325</v>
      </c>
      <c r="E27" t="s">
        <v>237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148</v>
      </c>
      <c r="B28" t="s">
        <v>326</v>
      </c>
      <c r="C28" t="s">
        <v>236</v>
      </c>
      <c r="D28" t="s">
        <v>327</v>
      </c>
      <c r="E28" t="s">
        <v>237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148</v>
      </c>
      <c r="B29" t="s">
        <v>328</v>
      </c>
      <c r="C29" t="s">
        <v>236</v>
      </c>
      <c r="D29" t="s">
        <v>329</v>
      </c>
      <c r="E29" t="s">
        <v>237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148</v>
      </c>
      <c r="B30" t="s">
        <v>330</v>
      </c>
      <c r="C30" t="s">
        <v>236</v>
      </c>
      <c r="D30" t="s">
        <v>331</v>
      </c>
      <c r="E30" t="s">
        <v>237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148</v>
      </c>
      <c r="B31" t="s">
        <v>332</v>
      </c>
      <c r="C31" t="s">
        <v>236</v>
      </c>
      <c r="D31" t="s">
        <v>333</v>
      </c>
      <c r="E31" t="s">
        <v>237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148</v>
      </c>
      <c r="B32" t="s">
        <v>334</v>
      </c>
      <c r="C32" t="s">
        <v>236</v>
      </c>
      <c r="D32" t="s">
        <v>335</v>
      </c>
      <c r="E32" t="s">
        <v>237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148</v>
      </c>
      <c r="B33" t="s">
        <v>336</v>
      </c>
      <c r="C33" t="s">
        <v>236</v>
      </c>
      <c r="D33" t="s">
        <v>337</v>
      </c>
      <c r="E33" t="s">
        <v>237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148</v>
      </c>
      <c r="B34" t="s">
        <v>338</v>
      </c>
      <c r="C34" t="s">
        <v>236</v>
      </c>
      <c r="D34" t="s">
        <v>339</v>
      </c>
      <c r="E34" t="s">
        <v>237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148</v>
      </c>
      <c r="B35" t="s">
        <v>340</v>
      </c>
      <c r="C35" t="s">
        <v>236</v>
      </c>
      <c r="D35" t="s">
        <v>341</v>
      </c>
      <c r="E35" t="s">
        <v>237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148</v>
      </c>
      <c r="B36" t="s">
        <v>342</v>
      </c>
      <c r="C36" t="s">
        <v>236</v>
      </c>
      <c r="D36" t="s">
        <v>343</v>
      </c>
      <c r="E36" t="s">
        <v>237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148</v>
      </c>
      <c r="B37" t="s">
        <v>344</v>
      </c>
      <c r="C37" t="s">
        <v>236</v>
      </c>
      <c r="D37" t="s">
        <v>345</v>
      </c>
      <c r="E37" t="s">
        <v>237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148</v>
      </c>
      <c r="B38" t="s">
        <v>346</v>
      </c>
      <c r="C38" t="s">
        <v>236</v>
      </c>
      <c r="D38" t="s">
        <v>347</v>
      </c>
      <c r="E38" t="s">
        <v>237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148</v>
      </c>
      <c r="B39" t="s">
        <v>348</v>
      </c>
      <c r="C39" t="s">
        <v>236</v>
      </c>
      <c r="D39" t="s">
        <v>349</v>
      </c>
      <c r="E39" t="s">
        <v>237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148</v>
      </c>
      <c r="B40" t="s">
        <v>350</v>
      </c>
      <c r="C40" t="s">
        <v>236</v>
      </c>
      <c r="D40" t="s">
        <v>351</v>
      </c>
      <c r="E40" t="s">
        <v>237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148</v>
      </c>
      <c r="B41" t="s">
        <v>352</v>
      </c>
      <c r="C41" t="s">
        <v>236</v>
      </c>
      <c r="D41" t="s">
        <v>353</v>
      </c>
      <c r="E41" t="s">
        <v>237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148</v>
      </c>
      <c r="B42" t="s">
        <v>354</v>
      </c>
      <c r="C42" t="s">
        <v>236</v>
      </c>
      <c r="D42" t="s">
        <v>355</v>
      </c>
      <c r="E42" t="s">
        <v>237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148</v>
      </c>
      <c r="B43" t="s">
        <v>356</v>
      </c>
      <c r="C43" t="s">
        <v>236</v>
      </c>
      <c r="D43" t="s">
        <v>357</v>
      </c>
      <c r="E43" t="s">
        <v>237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148</v>
      </c>
      <c r="B44" t="s">
        <v>358</v>
      </c>
      <c r="C44" t="s">
        <v>236</v>
      </c>
      <c r="D44" t="s">
        <v>359</v>
      </c>
      <c r="E44" t="s">
        <v>237</v>
      </c>
      <c r="F44" t="n">
        <v>319.933942658121</v>
      </c>
      <c r="G44" t="n">
        <v>301.72631990522</v>
      </c>
      <c r="H44" t="n">
        <v>284.285492165034</v>
      </c>
      <c r="I44" t="n">
        <v>277.451706295682</v>
      </c>
      <c r="J44" t="n">
        <v>269.787294519558</v>
      </c>
      <c r="K44" t="n">
        <v>253.658706260237</v>
      </c>
      <c r="L44" t="n">
        <v>248.635761581816</v>
      </c>
      <c r="M44" t="n">
        <v>247.410954874517</v>
      </c>
      <c r="N44" t="n">
        <v>240.164608915849</v>
      </c>
      <c r="O44" t="n">
        <v>239.129416636039</v>
      </c>
      <c r="P44" t="n">
        <v>237.93971804581</v>
      </c>
      <c r="Q44" t="n">
        <v>232.531997181133</v>
      </c>
      <c r="R44" t="n">
        <v>227.786446218252</v>
      </c>
      <c r="S44" t="n">
        <v>224.369649524979</v>
      </c>
      <c r="T44" t="n">
        <v>214.75380740248</v>
      </c>
      <c r="U44" t="n">
        <v>205.089886069368</v>
      </c>
      <c r="V44" t="n">
        <v>191.346749373998</v>
      </c>
      <c r="W44" t="n">
        <v>175.233338900398</v>
      </c>
      <c r="X44" t="n">
        <v>159.951361670712</v>
      </c>
      <c r="Y44" t="n">
        <v>151.581813676315</v>
      </c>
      <c r="Z44" t="n">
        <v>143.808387333939</v>
      </c>
      <c r="AA44" t="n">
        <v>133.119926113174</v>
      </c>
      <c r="AB44" t="n">
        <v>121.310900409586</v>
      </c>
      <c r="AC44" t="n">
        <v>113.861985472155</v>
      </c>
      <c r="AD44" t="n">
        <v>115.93220338983</v>
      </c>
      <c r="AE44" t="n">
        <v>120</v>
      </c>
      <c r="AF44" t="n">
        <v>99</v>
      </c>
    </row>
    <row r="45">
      <c r="A45" t="s">
        <v>148</v>
      </c>
      <c r="B45" t="s">
        <v>360</v>
      </c>
      <c r="C45" t="s">
        <v>236</v>
      </c>
      <c r="D45" t="s">
        <v>361</v>
      </c>
      <c r="E45" t="s">
        <v>237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148</v>
      </c>
      <c r="B46" t="s">
        <v>362</v>
      </c>
      <c r="C46" t="s">
        <v>236</v>
      </c>
      <c r="D46" t="s">
        <v>363</v>
      </c>
      <c r="E46" t="s">
        <v>237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148</v>
      </c>
      <c r="B47" t="s">
        <v>364</v>
      </c>
      <c r="C47" t="s">
        <v>236</v>
      </c>
      <c r="D47" t="s">
        <v>365</v>
      </c>
      <c r="E47" t="s">
        <v>237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148</v>
      </c>
      <c r="B48" t="s">
        <v>366</v>
      </c>
      <c r="C48" t="s">
        <v>236</v>
      </c>
      <c r="D48" t="s">
        <v>367</v>
      </c>
      <c r="E48" t="s">
        <v>237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148</v>
      </c>
      <c r="B49" t="s">
        <v>368</v>
      </c>
      <c r="C49" t="s">
        <v>236</v>
      </c>
      <c r="D49" t="s">
        <v>369</v>
      </c>
      <c r="E49" t="s">
        <v>237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148</v>
      </c>
      <c r="B50" t="s">
        <v>370</v>
      </c>
      <c r="C50" t="s">
        <v>236</v>
      </c>
      <c r="D50" t="s">
        <v>371</v>
      </c>
      <c r="E50" t="s">
        <v>237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148</v>
      </c>
      <c r="B51" t="s">
        <v>372</v>
      </c>
      <c r="C51" t="s">
        <v>236</v>
      </c>
      <c r="D51" t="s">
        <v>373</v>
      </c>
      <c r="E51" t="s">
        <v>237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148</v>
      </c>
      <c r="B52" t="s">
        <v>374</v>
      </c>
      <c r="C52" t="s">
        <v>236</v>
      </c>
      <c r="D52" t="s">
        <v>375</v>
      </c>
      <c r="E52" t="s">
        <v>237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148</v>
      </c>
      <c r="B53" t="s">
        <v>376</v>
      </c>
      <c r="C53" t="s">
        <v>236</v>
      </c>
      <c r="D53" t="s">
        <v>377</v>
      </c>
      <c r="E53" t="s">
        <v>237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148</v>
      </c>
      <c r="B54" t="s">
        <v>378</v>
      </c>
      <c r="C54" t="s">
        <v>236</v>
      </c>
      <c r="D54" t="s">
        <v>379</v>
      </c>
      <c r="E54" t="s">
        <v>237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148</v>
      </c>
      <c r="B55" t="s">
        <v>380</v>
      </c>
      <c r="C55" t="s">
        <v>236</v>
      </c>
      <c r="D55" t="s">
        <v>381</v>
      </c>
      <c r="E55" t="s">
        <v>237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148</v>
      </c>
      <c r="B56" t="s">
        <v>382</v>
      </c>
      <c r="C56" t="s">
        <v>236</v>
      </c>
      <c r="D56" t="s">
        <v>383</v>
      </c>
      <c r="E56" t="s">
        <v>237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148</v>
      </c>
      <c r="B57" t="s">
        <v>384</v>
      </c>
      <c r="C57" t="s">
        <v>236</v>
      </c>
      <c r="D57" t="s">
        <v>385</v>
      </c>
      <c r="E57" t="s">
        <v>237</v>
      </c>
      <c r="F57" t="n">
        <v>319.933942658121</v>
      </c>
      <c r="G57" t="n">
        <v>301.72631990522</v>
      </c>
      <c r="H57" t="n">
        <v>284.285492165034</v>
      </c>
      <c r="I57" t="n">
        <v>277.451706295682</v>
      </c>
      <c r="J57" t="n">
        <v>269.787294519558</v>
      </c>
      <c r="K57" t="n">
        <v>253.658706260237</v>
      </c>
      <c r="L57" t="n">
        <v>248.635761581816</v>
      </c>
      <c r="M57" t="n">
        <v>247.410954874517</v>
      </c>
      <c r="N57" t="n">
        <v>240.164608915849</v>
      </c>
      <c r="O57" t="n">
        <v>239.129416636039</v>
      </c>
      <c r="P57" t="n">
        <v>237.93971804581</v>
      </c>
      <c r="Q57" t="n">
        <v>232.531997181133</v>
      </c>
      <c r="R57" t="n">
        <v>227.786446218252</v>
      </c>
      <c r="S57" t="n">
        <v>224.369649524979</v>
      </c>
      <c r="T57" t="n">
        <v>214.75380740248</v>
      </c>
      <c r="U57" t="n">
        <v>205.089886069368</v>
      </c>
      <c r="V57" t="n">
        <v>191.346749373998</v>
      </c>
      <c r="W57" t="n">
        <v>175.233338900398</v>
      </c>
      <c r="X57" t="n">
        <v>159.951361670712</v>
      </c>
      <c r="Y57" t="n">
        <v>151.581813676315</v>
      </c>
      <c r="Z57" t="n">
        <v>143.808387333939</v>
      </c>
      <c r="AA57" t="n">
        <v>133.119926113174</v>
      </c>
      <c r="AB57" t="n">
        <v>121.310900409586</v>
      </c>
      <c r="AC57" t="n">
        <v>113.861985472155</v>
      </c>
      <c r="AD57" t="n">
        <v>115.93220338983</v>
      </c>
      <c r="AE57" t="n">
        <v>120</v>
      </c>
      <c r="AF57" t="n">
        <v>99</v>
      </c>
    </row>
    <row r="58">
      <c r="A58" t="s">
        <v>148</v>
      </c>
      <c r="B58" t="s">
        <v>386</v>
      </c>
      <c r="C58" t="s">
        <v>236</v>
      </c>
      <c r="D58" t="s">
        <v>387</v>
      </c>
      <c r="E58" t="s">
        <v>237</v>
      </c>
      <c r="F58" t="n">
        <v>319.933942658121</v>
      </c>
      <c r="G58" t="n">
        <v>301.72631990522</v>
      </c>
      <c r="H58" t="n">
        <v>284.285492165034</v>
      </c>
      <c r="I58" t="n">
        <v>277.451706295682</v>
      </c>
      <c r="J58" t="n">
        <v>269.787294519558</v>
      </c>
      <c r="K58" t="n">
        <v>253.658706260237</v>
      </c>
      <c r="L58" t="n">
        <v>248.635761581816</v>
      </c>
      <c r="M58" t="n">
        <v>247.410954874517</v>
      </c>
      <c r="N58" t="n">
        <v>240.164608915849</v>
      </c>
      <c r="O58" t="n">
        <v>239.129416636039</v>
      </c>
      <c r="P58" t="n">
        <v>237.93971804581</v>
      </c>
      <c r="Q58" t="n">
        <v>232.531997181133</v>
      </c>
      <c r="R58" t="n">
        <v>227.786446218252</v>
      </c>
      <c r="S58" t="n">
        <v>224.369649524979</v>
      </c>
      <c r="T58" t="n">
        <v>214.75380740248</v>
      </c>
      <c r="U58" t="n">
        <v>205.089886069368</v>
      </c>
      <c r="V58" t="n">
        <v>191.346749373998</v>
      </c>
      <c r="W58" t="n">
        <v>175.233338900398</v>
      </c>
      <c r="X58" t="n">
        <v>159.951361670712</v>
      </c>
      <c r="Y58" t="n">
        <v>151.581813676315</v>
      </c>
      <c r="Z58" t="n">
        <v>143.808387333939</v>
      </c>
      <c r="AA58" t="n">
        <v>133.119926113174</v>
      </c>
      <c r="AB58" t="n">
        <v>121.310900409586</v>
      </c>
      <c r="AC58" t="n">
        <v>113.861985472155</v>
      </c>
      <c r="AD58" t="n">
        <v>115.93220338983</v>
      </c>
      <c r="AE58" t="n">
        <v>120</v>
      </c>
      <c r="AF58" t="n">
        <v>99</v>
      </c>
    </row>
    <row r="59">
      <c r="A59" t="s">
        <v>148</v>
      </c>
      <c r="B59" t="s">
        <v>388</v>
      </c>
      <c r="C59" t="s">
        <v>236</v>
      </c>
      <c r="D59" t="s">
        <v>389</v>
      </c>
      <c r="E59" t="s">
        <v>237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149</v>
      </c>
      <c r="B2" t="s">
        <v>197</v>
      </c>
      <c r="C2" t="s">
        <v>236</v>
      </c>
      <c r="D2" t="s">
        <v>199</v>
      </c>
      <c r="E2" t="s">
        <v>237</v>
      </c>
      <c r="F2" t="n">
        <v>16.0518598549159</v>
      </c>
      <c r="G2" t="n">
        <v>14.4466738694243</v>
      </c>
      <c r="H2" t="n">
        <v>11.2363018984411</v>
      </c>
      <c r="I2" t="n">
        <v>14.4466738694243</v>
      </c>
      <c r="J2" t="n">
        <v>16.0518598549159</v>
      </c>
      <c r="K2" t="n">
        <v>14.4466738694243</v>
      </c>
      <c r="L2" t="n">
        <v>11.5573390955394</v>
      </c>
      <c r="M2" t="n">
        <v>11.5573390955394</v>
      </c>
      <c r="N2" t="n">
        <v>10.112671708597</v>
      </c>
      <c r="O2" t="n">
        <v>7.22333693471215</v>
      </c>
      <c r="P2" t="n">
        <v>5.77866954776972</v>
      </c>
      <c r="Q2" t="n">
        <v>4.62293563821577</v>
      </c>
      <c r="R2" t="n">
        <v>3.46720172866183</v>
      </c>
      <c r="S2" t="n">
        <v>3.46720172866183</v>
      </c>
      <c r="T2" t="n">
        <v>3.46720172866183</v>
      </c>
      <c r="U2" t="n">
        <v>5.77866954776972</v>
      </c>
      <c r="V2" t="n">
        <v>10.4016051859855</v>
      </c>
      <c r="W2" t="n">
        <v>11.5573390955394</v>
      </c>
      <c r="X2" t="n">
        <v>9.24587127643155</v>
      </c>
      <c r="Y2" t="n">
        <v>10.4016051859855</v>
      </c>
      <c r="Z2" t="n">
        <v>9.24587127643155</v>
      </c>
      <c r="AA2" t="n">
        <v>10.4016051859855</v>
      </c>
      <c r="AB2" t="n">
        <v>12.7130730050934</v>
      </c>
      <c r="AC2" t="n">
        <v>22.2478777589134</v>
      </c>
      <c r="AD2" t="n">
        <v>32.8421052631579</v>
      </c>
      <c r="AE2" t="n">
        <v>39</v>
      </c>
      <c r="AF2" t="n">
        <v>43</v>
      </c>
    </row>
    <row r="3">
      <c r="A3" t="s">
        <v>149</v>
      </c>
      <c r="B3" t="s">
        <v>276</v>
      </c>
      <c r="C3" t="s">
        <v>236</v>
      </c>
      <c r="D3" t="s">
        <v>277</v>
      </c>
      <c r="E3" t="s">
        <v>237</v>
      </c>
      <c r="F3" t="n">
        <v>41.7941523577086</v>
      </c>
      <c r="G3" t="n">
        <v>43.7843500890281</v>
      </c>
      <c r="H3" t="n">
        <v>41.8806826938529</v>
      </c>
      <c r="I3" t="n">
        <v>47.3433804365294</v>
      </c>
      <c r="J3" t="n">
        <v>52.6037560405882</v>
      </c>
      <c r="K3" t="n">
        <v>57.6944421090322</v>
      </c>
      <c r="L3" t="n">
        <v>52.7492042139723</v>
      </c>
      <c r="M3" t="n">
        <v>47.9538220127021</v>
      </c>
      <c r="N3" t="n">
        <v>44.8600270441407</v>
      </c>
      <c r="O3" t="n">
        <v>41.9658317509703</v>
      </c>
      <c r="P3" t="n">
        <v>37.7692485758733</v>
      </c>
      <c r="Q3" t="n">
        <v>35.071445106168</v>
      </c>
      <c r="R3" t="n">
        <v>35.071445106168</v>
      </c>
      <c r="S3" t="n">
        <v>36.3239967171026</v>
      </c>
      <c r="T3" t="n">
        <v>43.1347461015594</v>
      </c>
      <c r="U3" t="n">
        <v>45.2914834066373</v>
      </c>
      <c r="V3" t="n">
        <v>45.2914834066373</v>
      </c>
      <c r="W3" t="n">
        <v>44.2131147540983</v>
      </c>
      <c r="X3" t="n">
        <v>44.2131147540983</v>
      </c>
      <c r="Y3" t="n">
        <v>41.0550351288056</v>
      </c>
      <c r="Z3" t="n">
        <v>37.8969555035129</v>
      </c>
      <c r="AA3" t="n">
        <v>44.2131147540984</v>
      </c>
      <c r="AB3" t="n">
        <v>58.9508196721311</v>
      </c>
      <c r="AC3" t="n">
        <v>64.2142857142857</v>
      </c>
      <c r="AD3" t="n">
        <v>58.9508196721311</v>
      </c>
      <c r="AE3" t="n">
        <v>62</v>
      </c>
      <c r="AF3" t="n">
        <v>66</v>
      </c>
    </row>
    <row r="4">
      <c r="A4" t="s">
        <v>149</v>
      </c>
      <c r="B4" t="s">
        <v>278</v>
      </c>
      <c r="C4" t="s">
        <v>236</v>
      </c>
      <c r="D4" t="s">
        <v>279</v>
      </c>
      <c r="E4" t="s">
        <v>237</v>
      </c>
      <c r="F4" t="n">
        <v>9884.29953909393</v>
      </c>
      <c r="G4" t="n">
        <v>10635.453281448</v>
      </c>
      <c r="H4" t="n">
        <v>11568.872711787</v>
      </c>
      <c r="I4" t="n">
        <v>12786.3213101769</v>
      </c>
      <c r="J4" t="n">
        <v>14499.6843718873</v>
      </c>
      <c r="K4" t="n">
        <v>16392.56795128</v>
      </c>
      <c r="L4" t="n">
        <v>17819.3800344192</v>
      </c>
      <c r="M4" t="n">
        <v>18837.9821708521</v>
      </c>
      <c r="N4" t="n">
        <v>19911.6495484654</v>
      </c>
      <c r="O4" t="n">
        <v>21017.2153496675</v>
      </c>
      <c r="P4" t="n">
        <v>21846.8422713649</v>
      </c>
      <c r="Q4" t="n">
        <v>22581.7696854092</v>
      </c>
      <c r="R4" t="n">
        <v>23382.7998903092</v>
      </c>
      <c r="S4" t="n">
        <v>24554.7604879478</v>
      </c>
      <c r="T4" t="n">
        <v>24828.2778756998</v>
      </c>
      <c r="U4" t="n">
        <v>24911.0388019521</v>
      </c>
      <c r="V4" t="n">
        <v>24562.5899156426</v>
      </c>
      <c r="W4" t="n">
        <v>23479.5374287489</v>
      </c>
      <c r="X4" t="n">
        <v>22367.5655723494</v>
      </c>
      <c r="Y4" t="n">
        <v>21312.7967656378</v>
      </c>
      <c r="Z4" t="n">
        <v>20145.3947104716</v>
      </c>
      <c r="AA4" t="n">
        <v>18934.4337367169</v>
      </c>
      <c r="AB4" t="n">
        <v>17712.0344329935</v>
      </c>
      <c r="AC4" t="n">
        <v>16979.1518793203</v>
      </c>
      <c r="AD4" t="n">
        <v>16354.2953667954</v>
      </c>
      <c r="AE4" t="n">
        <v>15810</v>
      </c>
      <c r="AF4" t="n">
        <v>15474</v>
      </c>
    </row>
    <row r="5">
      <c r="A5" t="s">
        <v>149</v>
      </c>
      <c r="B5" t="s">
        <v>280</v>
      </c>
      <c r="C5" t="s">
        <v>236</v>
      </c>
      <c r="D5" t="s">
        <v>281</v>
      </c>
      <c r="E5" t="s">
        <v>237</v>
      </c>
      <c r="F5" t="n">
        <v>402.303485861612</v>
      </c>
      <c r="G5" t="n">
        <v>404.513944575138</v>
      </c>
      <c r="H5" t="n">
        <v>395.99786153145</v>
      </c>
      <c r="I5" t="n">
        <v>393.913662260232</v>
      </c>
      <c r="J5" t="n">
        <v>395.923425843193</v>
      </c>
      <c r="K5" t="n">
        <v>391.964191584761</v>
      </c>
      <c r="L5" t="n">
        <v>386.36470313355</v>
      </c>
      <c r="M5" t="n">
        <v>379.307813578599</v>
      </c>
      <c r="N5" t="n">
        <v>362.449688530662</v>
      </c>
      <c r="O5" t="n">
        <v>352.60942549363</v>
      </c>
      <c r="P5" t="n">
        <v>355.743731498018</v>
      </c>
      <c r="Q5" t="n">
        <v>352.754288376186</v>
      </c>
      <c r="R5" t="n">
        <v>342.67559442258</v>
      </c>
      <c r="S5" t="n">
        <v>339.878242631376</v>
      </c>
      <c r="T5" t="n">
        <v>335.971596164348</v>
      </c>
      <c r="U5" t="n">
        <v>337.220561205852</v>
      </c>
      <c r="V5" t="n">
        <v>334.768048033445</v>
      </c>
      <c r="W5" t="n">
        <v>330.036344174315</v>
      </c>
      <c r="X5" t="n">
        <v>331.182303702698</v>
      </c>
      <c r="Y5" t="n">
        <v>328.952119839381</v>
      </c>
      <c r="Z5" t="n">
        <v>317.987049178068</v>
      </c>
      <c r="AA5" t="n">
        <v>303.926397343663</v>
      </c>
      <c r="AB5" t="n">
        <v>299.690489366748</v>
      </c>
      <c r="AC5" t="n">
        <v>293.381215906396</v>
      </c>
      <c r="AD5" t="n">
        <v>287.071942446043</v>
      </c>
      <c r="AE5" t="n">
        <v>283</v>
      </c>
      <c r="AF5" t="n">
        <v>270</v>
      </c>
    </row>
    <row r="6">
      <c r="A6" t="s">
        <v>149</v>
      </c>
      <c r="B6" t="s">
        <v>282</v>
      </c>
      <c r="C6" t="s">
        <v>236</v>
      </c>
      <c r="D6" t="s">
        <v>283</v>
      </c>
      <c r="E6" t="s">
        <v>237</v>
      </c>
      <c r="F6" t="n">
        <v>55.6652530554017</v>
      </c>
      <c r="G6" t="n">
        <v>58.0854814491148</v>
      </c>
      <c r="H6" t="n">
        <v>62.732319965044</v>
      </c>
      <c r="I6" t="n">
        <v>69.4536399612987</v>
      </c>
      <c r="J6" t="n">
        <v>82.4761974540422</v>
      </c>
      <c r="K6" t="n">
        <v>86.705746041429</v>
      </c>
      <c r="L6" t="n">
        <v>98.5292568652602</v>
      </c>
      <c r="M6" t="n">
        <v>96.6344634640052</v>
      </c>
      <c r="N6" t="n">
        <v>96.6344634640052</v>
      </c>
      <c r="O6" t="n">
        <v>94.8449363628199</v>
      </c>
      <c r="P6" t="n">
        <v>84.4982160323305</v>
      </c>
      <c r="Q6" t="n">
        <v>82.9039100694563</v>
      </c>
      <c r="R6" t="n">
        <v>79.7754606328731</v>
      </c>
      <c r="S6" t="n">
        <v>81.3096041065822</v>
      </c>
      <c r="T6" t="n">
        <v>85.589056954297</v>
      </c>
      <c r="U6" t="n">
        <v>74.7206052775609</v>
      </c>
      <c r="V6" t="n">
        <v>64.5889977822984</v>
      </c>
      <c r="W6" t="n">
        <v>56.2163499216301</v>
      </c>
      <c r="X6" t="n">
        <v>50.4799876847291</v>
      </c>
      <c r="Y6" t="n">
        <v>47.1146551724138</v>
      </c>
      <c r="Z6" t="n">
        <v>47.1146551724138</v>
      </c>
      <c r="AA6" t="n">
        <v>43.8275862068965</v>
      </c>
      <c r="AB6" t="n">
        <v>39.551724137931</v>
      </c>
      <c r="AC6" t="n">
        <v>36.3448275862069</v>
      </c>
      <c r="AD6" t="n">
        <v>31</v>
      </c>
      <c r="AE6" t="n">
        <v>28</v>
      </c>
      <c r="AF6" t="n">
        <v>29</v>
      </c>
    </row>
    <row r="7">
      <c r="A7" t="s">
        <v>149</v>
      </c>
      <c r="B7" t="s">
        <v>284</v>
      </c>
      <c r="C7" t="s">
        <v>236</v>
      </c>
      <c r="D7" t="s">
        <v>285</v>
      </c>
      <c r="E7" t="s">
        <v>237</v>
      </c>
      <c r="F7" t="n">
        <v>543.593230816136</v>
      </c>
      <c r="G7" t="n">
        <v>570.548267054953</v>
      </c>
      <c r="H7" t="n">
        <v>596.287286621342</v>
      </c>
      <c r="I7" t="n">
        <v>619.301883648833</v>
      </c>
      <c r="J7" t="n">
        <v>643.509123400578</v>
      </c>
      <c r="K7" t="n">
        <v>677.273490986411</v>
      </c>
      <c r="L7" t="n">
        <v>703.538944930483</v>
      </c>
      <c r="M7" t="n">
        <v>733.741374384569</v>
      </c>
      <c r="N7" t="n">
        <v>754.217877855766</v>
      </c>
      <c r="O7" t="n">
        <v>764.185515008045</v>
      </c>
      <c r="P7" t="n">
        <v>762.5967717336</v>
      </c>
      <c r="Q7" t="n">
        <v>750.443835132268</v>
      </c>
      <c r="R7" t="n">
        <v>737.148570336618</v>
      </c>
      <c r="S7" t="n">
        <v>721.4948362175</v>
      </c>
      <c r="T7" t="n">
        <v>681.706518043741</v>
      </c>
      <c r="U7" t="n">
        <v>657.720547964424</v>
      </c>
      <c r="V7" t="n">
        <v>606.086411488712</v>
      </c>
      <c r="W7" t="n">
        <v>581.03165825788</v>
      </c>
      <c r="X7" t="n">
        <v>549.966599301518</v>
      </c>
      <c r="Y7" t="n">
        <v>518.603941907541</v>
      </c>
      <c r="Z7" t="n">
        <v>503.156164914551</v>
      </c>
      <c r="AA7" t="n">
        <v>484.641760577868</v>
      </c>
      <c r="AB7" t="n">
        <v>479.327706185567</v>
      </c>
      <c r="AC7" t="n">
        <v>485.676417525773</v>
      </c>
      <c r="AD7" t="n">
        <v>490.967010309278</v>
      </c>
      <c r="AE7" t="n">
        <v>493</v>
      </c>
      <c r="AF7" t="n">
        <v>485</v>
      </c>
    </row>
    <row r="8">
      <c r="A8" t="s">
        <v>149</v>
      </c>
      <c r="B8" t="s">
        <v>286</v>
      </c>
      <c r="C8" t="s">
        <v>236</v>
      </c>
      <c r="D8" t="s">
        <v>287</v>
      </c>
      <c r="E8" t="s">
        <v>237</v>
      </c>
      <c r="F8" t="n">
        <v>252.670074062387</v>
      </c>
      <c r="G8" t="n">
        <v>261.4585983776</v>
      </c>
      <c r="H8" t="n">
        <v>269.892746712362</v>
      </c>
      <c r="I8" t="n">
        <v>284.314496536686</v>
      </c>
      <c r="J8" t="n">
        <v>262.444150649249</v>
      </c>
      <c r="K8" t="n">
        <v>256.612058412599</v>
      </c>
      <c r="L8" t="n">
        <v>249.227538746049</v>
      </c>
      <c r="M8" t="n">
        <v>228.313339690437</v>
      </c>
      <c r="N8" t="n">
        <v>201.649008047758</v>
      </c>
      <c r="O8" t="n">
        <v>175.837935017645</v>
      </c>
      <c r="P8" t="n">
        <v>152.701364620586</v>
      </c>
      <c r="Q8" t="n">
        <v>136.550258747255</v>
      </c>
      <c r="R8" t="n">
        <v>137.987629891963</v>
      </c>
      <c r="S8" t="n">
        <v>161.682475428967</v>
      </c>
      <c r="T8" t="n">
        <v>176.025275668633</v>
      </c>
      <c r="U8" t="n">
        <v>182.267306720712</v>
      </c>
      <c r="V8" t="n">
        <v>187.127768233265</v>
      </c>
      <c r="W8" t="n">
        <v>191.835385044164</v>
      </c>
      <c r="X8" t="n">
        <v>189.551630460305</v>
      </c>
      <c r="Y8" t="n">
        <v>181.746563323705</v>
      </c>
      <c r="Z8" t="n">
        <v>175.137597384661</v>
      </c>
      <c r="AA8" t="n">
        <v>171.874163893021</v>
      </c>
      <c r="AB8" t="n">
        <v>169.739081111741</v>
      </c>
      <c r="AC8" t="n">
        <v>171.860819625638</v>
      </c>
      <c r="AD8" t="n">
        <v>173.982558139535</v>
      </c>
      <c r="AE8" t="n">
        <v>175</v>
      </c>
      <c r="AF8" t="n">
        <v>182</v>
      </c>
    </row>
    <row r="9">
      <c r="A9" t="s">
        <v>149</v>
      </c>
      <c r="B9" t="s">
        <v>288</v>
      </c>
      <c r="C9" t="s">
        <v>236</v>
      </c>
      <c r="D9" t="s">
        <v>289</v>
      </c>
      <c r="E9" t="s">
        <v>237</v>
      </c>
      <c r="F9" t="n">
        <v>980.667059085533</v>
      </c>
      <c r="G9" t="n">
        <v>1033.20279439369</v>
      </c>
      <c r="H9" t="n">
        <v>1088.13791229601</v>
      </c>
      <c r="I9" t="n">
        <v>1129.43346873988</v>
      </c>
      <c r="J9" t="n">
        <v>1196.9215846224</v>
      </c>
      <c r="K9" t="n">
        <v>1253.54593365022</v>
      </c>
      <c r="L9" t="n">
        <v>1296.00772521716</v>
      </c>
      <c r="M9" t="n">
        <v>1338.04040819718</v>
      </c>
      <c r="N9" t="n">
        <v>1354.8078318588</v>
      </c>
      <c r="O9" t="n">
        <v>1390.76171883213</v>
      </c>
      <c r="P9" t="n">
        <v>1411.1449232795</v>
      </c>
      <c r="Q9" t="n">
        <v>1447.09766017834</v>
      </c>
      <c r="R9" t="n">
        <v>1487.82000639442</v>
      </c>
      <c r="S9" t="n">
        <v>1523.04301790943</v>
      </c>
      <c r="T9" t="n">
        <v>1508.60036860167</v>
      </c>
      <c r="U9" t="n">
        <v>1502.34061603486</v>
      </c>
      <c r="V9" t="n">
        <v>1497.45495549491</v>
      </c>
      <c r="W9" t="n">
        <v>1462.02621049109</v>
      </c>
      <c r="X9" t="n">
        <v>1467.74618784043</v>
      </c>
      <c r="Y9" t="n">
        <v>1407.56525075358</v>
      </c>
      <c r="Z9" t="n">
        <v>1386.65536821697</v>
      </c>
      <c r="AA9" t="n">
        <v>1356.27481241879</v>
      </c>
      <c r="AB9" t="n">
        <v>1336.12686759005</v>
      </c>
      <c r="AC9" t="n">
        <v>1319.21386926613</v>
      </c>
      <c r="AD9" t="n">
        <v>1302.3008709422</v>
      </c>
      <c r="AE9" t="n">
        <v>1283</v>
      </c>
      <c r="AF9" t="n">
        <v>1262</v>
      </c>
    </row>
    <row r="10">
      <c r="A10" t="s">
        <v>149</v>
      </c>
      <c r="B10" t="s">
        <v>290</v>
      </c>
      <c r="C10" t="s">
        <v>236</v>
      </c>
      <c r="D10" t="s">
        <v>291</v>
      </c>
      <c r="E10" t="s">
        <v>237</v>
      </c>
      <c r="F10" t="n">
        <v>2078.36358508806</v>
      </c>
      <c r="G10" t="n">
        <v>2181.51362574185</v>
      </c>
      <c r="H10" t="n">
        <v>2276.73003035716</v>
      </c>
      <c r="I10" t="n">
        <v>2367.63395171443</v>
      </c>
      <c r="J10" t="n">
        <v>2478.95847001503</v>
      </c>
      <c r="K10" t="n">
        <v>2615.80948965308</v>
      </c>
      <c r="L10" t="n">
        <v>2752.60800713317</v>
      </c>
      <c r="M10" t="n">
        <v>2912.15407633643</v>
      </c>
      <c r="N10" t="n">
        <v>2986.00697510231</v>
      </c>
      <c r="O10" t="n">
        <v>3038.30704253705</v>
      </c>
      <c r="P10" t="n">
        <v>3064.97261802654</v>
      </c>
      <c r="Q10" t="n">
        <v>3108.41553392232</v>
      </c>
      <c r="R10" t="n">
        <v>3210.23541570733</v>
      </c>
      <c r="S10" t="n">
        <v>3290.52651649509</v>
      </c>
      <c r="T10" t="n">
        <v>3295.7766585238</v>
      </c>
      <c r="U10" t="n">
        <v>3292.0215009182</v>
      </c>
      <c r="V10" t="n">
        <v>3284.69504357194</v>
      </c>
      <c r="W10" t="n">
        <v>3303.58617250693</v>
      </c>
      <c r="X10" t="n">
        <v>3350.45365799924</v>
      </c>
      <c r="Y10" t="n">
        <v>3351.56787604314</v>
      </c>
      <c r="Z10" t="n">
        <v>3369.17874173007</v>
      </c>
      <c r="AA10" t="n">
        <v>3386.54564246063</v>
      </c>
      <c r="AB10" t="n">
        <v>3424.77569674994</v>
      </c>
      <c r="AC10" t="n">
        <v>3426.89236899762</v>
      </c>
      <c r="AD10" t="n">
        <v>3360.21719319563</v>
      </c>
      <c r="AE10" t="n">
        <v>3347</v>
      </c>
      <c r="AF10" t="n">
        <v>3370</v>
      </c>
    </row>
    <row r="11">
      <c r="A11" t="s">
        <v>149</v>
      </c>
      <c r="B11" t="s">
        <v>292</v>
      </c>
      <c r="C11" t="s">
        <v>236</v>
      </c>
      <c r="D11" t="s">
        <v>293</v>
      </c>
      <c r="E11" t="s">
        <v>237</v>
      </c>
      <c r="F11" t="n">
        <v>1097.60746940856</v>
      </c>
      <c r="G11" t="n">
        <v>1148.19859525304</v>
      </c>
      <c r="H11" t="n">
        <v>1188.44909951468</v>
      </c>
      <c r="I11" t="n">
        <v>1238.05393149443</v>
      </c>
      <c r="J11" t="n">
        <v>1281.84362038973</v>
      </c>
      <c r="K11" t="n">
        <v>1362.08115998664</v>
      </c>
      <c r="L11" t="n">
        <v>1456.46450123572</v>
      </c>
      <c r="M11" t="n">
        <v>1574.03452723908</v>
      </c>
      <c r="N11" t="n">
        <v>1631.14997433207</v>
      </c>
      <c r="O11" t="n">
        <v>1647.49416245163</v>
      </c>
      <c r="P11" t="n">
        <v>1653.77033068954</v>
      </c>
      <c r="Q11" t="n">
        <v>1661.26023254954</v>
      </c>
      <c r="R11" t="n">
        <v>1722.35736894804</v>
      </c>
      <c r="S11" t="n">
        <v>1767.42313820915</v>
      </c>
      <c r="T11" t="n">
        <v>1787.10491034956</v>
      </c>
      <c r="U11" t="n">
        <v>1789.60785840327</v>
      </c>
      <c r="V11" t="n">
        <v>1787.1663742854</v>
      </c>
      <c r="W11" t="n">
        <v>1841.46601313423</v>
      </c>
      <c r="X11" t="n">
        <v>1882.59056429603</v>
      </c>
      <c r="Y11" t="n">
        <v>1943.85830455419</v>
      </c>
      <c r="Z11" t="n">
        <v>1982.38324263992</v>
      </c>
      <c r="AA11" t="n">
        <v>2030.1515135469</v>
      </c>
      <c r="AB11" t="n">
        <v>2088.61137388464</v>
      </c>
      <c r="AC11" t="n">
        <v>2107.6757779059</v>
      </c>
      <c r="AD11" t="n">
        <v>2057.89650073928</v>
      </c>
      <c r="AE11" t="n">
        <v>2064</v>
      </c>
      <c r="AF11" t="n">
        <v>2108</v>
      </c>
    </row>
    <row r="12">
      <c r="A12" t="s">
        <v>149</v>
      </c>
      <c r="B12" t="s">
        <v>294</v>
      </c>
      <c r="C12" t="s">
        <v>236</v>
      </c>
      <c r="D12" t="s">
        <v>295</v>
      </c>
      <c r="E12" t="s">
        <v>237</v>
      </c>
      <c r="F12" t="n">
        <v>226.57855911927</v>
      </c>
      <c r="G12" t="n">
        <v>235.641701484041</v>
      </c>
      <c r="H12" t="n">
        <v>237.823569090375</v>
      </c>
      <c r="I12" t="n">
        <v>242.032835799939</v>
      </c>
      <c r="J12" t="n">
        <v>268.47339769405</v>
      </c>
      <c r="K12" t="n">
        <v>296.110365103731</v>
      </c>
      <c r="L12" t="n">
        <v>312.977411217235</v>
      </c>
      <c r="M12" t="n">
        <v>335.964452719066</v>
      </c>
      <c r="N12" t="n">
        <v>346.145193710553</v>
      </c>
      <c r="O12" t="n">
        <v>356.082376305114</v>
      </c>
      <c r="P12" t="n">
        <v>346.586846270311</v>
      </c>
      <c r="Q12" t="n">
        <v>348.093745601921</v>
      </c>
      <c r="R12" t="n">
        <v>352.444917421945</v>
      </c>
      <c r="S12" t="n">
        <v>353.843508364096</v>
      </c>
      <c r="T12" t="n">
        <v>353.843508364096</v>
      </c>
      <c r="U12" t="n">
        <v>352.584278796964</v>
      </c>
      <c r="V12" t="n">
        <v>350.118654469712</v>
      </c>
      <c r="W12" t="n">
        <v>356.073053355251</v>
      </c>
      <c r="X12" t="n">
        <v>352.616033419763</v>
      </c>
      <c r="Y12" t="n">
        <v>349.247090425307</v>
      </c>
      <c r="Z12" t="n">
        <v>357.032853587655</v>
      </c>
      <c r="AA12" t="n">
        <v>350.441477829113</v>
      </c>
      <c r="AB12" t="n">
        <v>363.223537810722</v>
      </c>
      <c r="AC12" t="n">
        <v>366.409709195027</v>
      </c>
      <c r="AD12" t="n">
        <v>374.906166219839</v>
      </c>
      <c r="AE12" t="n">
        <v>380</v>
      </c>
      <c r="AF12" t="n">
        <v>384</v>
      </c>
    </row>
    <row r="13">
      <c r="A13" t="s">
        <v>149</v>
      </c>
      <c r="B13" t="s">
        <v>296</v>
      </c>
      <c r="C13" t="s">
        <v>236</v>
      </c>
      <c r="D13" t="s">
        <v>297</v>
      </c>
      <c r="E13" t="s">
        <v>237</v>
      </c>
      <c r="F13" t="n">
        <v>399.368160395862</v>
      </c>
      <c r="G13" t="n">
        <v>412.680432409058</v>
      </c>
      <c r="H13" t="n">
        <v>429.875450426102</v>
      </c>
      <c r="I13" t="n">
        <v>444.482868644465</v>
      </c>
      <c r="J13" t="n">
        <v>460.428442407495</v>
      </c>
      <c r="K13" t="n">
        <v>472.184062213644</v>
      </c>
      <c r="L13" t="n">
        <v>487.056001181003</v>
      </c>
      <c r="M13" t="n">
        <v>474.747726782927</v>
      </c>
      <c r="N13" t="n">
        <v>474.747726782927</v>
      </c>
      <c r="O13" t="n">
        <v>482.849223827004</v>
      </c>
      <c r="P13" t="n">
        <v>495.309848958023</v>
      </c>
      <c r="Q13" t="n">
        <v>502.746933777213</v>
      </c>
      <c r="R13" t="n">
        <v>514.3043345537</v>
      </c>
      <c r="S13" t="n">
        <v>521.330350053068</v>
      </c>
      <c r="T13" t="n">
        <v>530.569115750211</v>
      </c>
      <c r="U13" t="n">
        <v>531.832375549616</v>
      </c>
      <c r="V13" t="n">
        <v>519.578173348012</v>
      </c>
      <c r="W13" t="n">
        <v>502.932648343728</v>
      </c>
      <c r="X13" t="n">
        <v>476.462508957216</v>
      </c>
      <c r="Y13" t="n">
        <v>441.952373962651</v>
      </c>
      <c r="Z13" t="n">
        <v>415.501359062143</v>
      </c>
      <c r="AA13" t="n">
        <v>389.532524120759</v>
      </c>
      <c r="AB13" t="n">
        <v>377.888888888889</v>
      </c>
      <c r="AC13" t="n">
        <v>371.555555555556</v>
      </c>
      <c r="AD13" t="n">
        <v>361</v>
      </c>
      <c r="AE13" t="n">
        <v>361</v>
      </c>
      <c r="AF13" t="n">
        <v>355</v>
      </c>
    </row>
    <row r="14">
      <c r="A14" t="s">
        <v>149</v>
      </c>
      <c r="B14" t="s">
        <v>298</v>
      </c>
      <c r="C14" t="s">
        <v>236</v>
      </c>
      <c r="D14" t="s">
        <v>299</v>
      </c>
      <c r="E14" t="s">
        <v>237</v>
      </c>
      <c r="F14" t="n">
        <v>3472.70808188475</v>
      </c>
      <c r="G14" t="n">
        <v>3927.49375567258</v>
      </c>
      <c r="H14" t="n">
        <v>4596.95291857131</v>
      </c>
      <c r="I14" t="n">
        <v>5520.49424984185</v>
      </c>
      <c r="J14" t="n">
        <v>6875.14321885841</v>
      </c>
      <c r="K14" t="n">
        <v>8411.45518814099</v>
      </c>
      <c r="L14" t="n">
        <v>9476.57216982926</v>
      </c>
      <c r="M14" t="n">
        <v>10190.7894152257</v>
      </c>
      <c r="N14" t="n">
        <v>11160.0586858945</v>
      </c>
      <c r="O14" t="n">
        <v>12214.8103433227</v>
      </c>
      <c r="P14" t="n">
        <v>13072.8170907116</v>
      </c>
      <c r="Q14" t="n">
        <v>13764.4132209409</v>
      </c>
      <c r="R14" t="n">
        <v>14402.517898203</v>
      </c>
      <c r="S14" t="n">
        <v>15367.0099916405</v>
      </c>
      <c r="T14" t="n">
        <v>15675.8748007438</v>
      </c>
      <c r="U14" t="n">
        <v>15768.6017979664</v>
      </c>
      <c r="V14" t="n">
        <v>15455.7957491265</v>
      </c>
      <c r="W14" t="n">
        <v>14248.8842799213</v>
      </c>
      <c r="X14" t="n">
        <v>13128.005600011</v>
      </c>
      <c r="Y14" t="n">
        <v>12107.6942839479</v>
      </c>
      <c r="Z14" t="n">
        <v>10916.8638298539</v>
      </c>
      <c r="AA14" t="n">
        <v>9707.74158459292</v>
      </c>
      <c r="AB14" t="n">
        <v>8708.8845444951</v>
      </c>
      <c r="AC14" t="n">
        <v>7808.33078989402</v>
      </c>
      <c r="AD14" t="n">
        <v>7109.07728632142</v>
      </c>
      <c r="AE14" t="n">
        <v>6464</v>
      </c>
      <c r="AF14" t="n">
        <v>6054</v>
      </c>
    </row>
    <row r="15">
      <c r="A15" t="s">
        <v>149</v>
      </c>
      <c r="B15" t="s">
        <v>300</v>
      </c>
      <c r="C15" t="s">
        <v>236</v>
      </c>
      <c r="D15" t="s">
        <v>301</v>
      </c>
      <c r="E15" t="s">
        <v>237</v>
      </c>
      <c r="F15" t="n">
        <v>4038.70297588052</v>
      </c>
      <c r="G15" t="n">
        <v>4509.81126386658</v>
      </c>
      <c r="H15" t="n">
        <v>5184.47392108494</v>
      </c>
      <c r="I15" t="n">
        <v>6129.56031294938</v>
      </c>
      <c r="J15" t="n">
        <v>7499.46204683856</v>
      </c>
      <c r="K15" t="n">
        <v>9048.43470520391</v>
      </c>
      <c r="L15" t="n">
        <v>10117.7614163646</v>
      </c>
      <c r="M15" t="n">
        <v>10844.7334875126</v>
      </c>
      <c r="N15" t="n">
        <v>11836.434779881</v>
      </c>
      <c r="O15" t="n">
        <v>12921.2637739668</v>
      </c>
      <c r="P15" t="n">
        <v>13798.6141251317</v>
      </c>
      <c r="Q15" t="n">
        <v>14493.5731526457</v>
      </c>
      <c r="R15" t="n">
        <v>15161.1841859266</v>
      </c>
      <c r="S15" t="n">
        <v>16229.3104240602</v>
      </c>
      <c r="T15" t="n">
        <v>16613.4049810246</v>
      </c>
      <c r="U15" t="n">
        <v>16810.2878751988</v>
      </c>
      <c r="V15" t="n">
        <v>16560.8661916916</v>
      </c>
      <c r="W15" t="n">
        <v>15436.1512200214</v>
      </c>
      <c r="X15" t="n">
        <v>14301.1232747051</v>
      </c>
      <c r="Y15" t="n">
        <v>13347.4176043305</v>
      </c>
      <c r="Z15" t="n">
        <v>12192.6175011902</v>
      </c>
      <c r="AA15" t="n">
        <v>10976.7241776155</v>
      </c>
      <c r="AB15" t="n">
        <v>9678.71085041857</v>
      </c>
      <c r="AC15" t="n">
        <v>8789.57930508831</v>
      </c>
      <c r="AD15" t="n">
        <v>8109.21881390593</v>
      </c>
      <c r="AE15" t="n">
        <v>7465</v>
      </c>
      <c r="AF15" t="n">
        <v>7041</v>
      </c>
    </row>
    <row r="16">
      <c r="A16" t="s">
        <v>149</v>
      </c>
      <c r="B16" t="s">
        <v>302</v>
      </c>
      <c r="C16" t="s">
        <v>236</v>
      </c>
      <c r="D16" t="s">
        <v>303</v>
      </c>
      <c r="E16" t="s">
        <v>237</v>
      </c>
      <c r="F16" t="n">
        <v>568.053841989567</v>
      </c>
      <c r="G16" t="n">
        <v>583.770746708646</v>
      </c>
      <c r="H16" t="n">
        <v>588.079017902068</v>
      </c>
      <c r="I16" t="n">
        <v>609.007096830967</v>
      </c>
      <c r="J16" t="n">
        <v>623.123155366784</v>
      </c>
      <c r="K16" t="n">
        <v>634.954607683875</v>
      </c>
      <c r="L16" t="n">
        <v>638.678681629235</v>
      </c>
      <c r="M16" t="n">
        <v>651.063032796561</v>
      </c>
      <c r="N16" t="n">
        <v>673.046979358522</v>
      </c>
      <c r="O16" t="n">
        <v>702.667628816844</v>
      </c>
      <c r="P16" t="n">
        <v>721.615969369208</v>
      </c>
      <c r="Q16" t="n">
        <v>724.628979679727</v>
      </c>
      <c r="R16" t="n">
        <v>753.906918252645</v>
      </c>
      <c r="S16" t="n">
        <v>857.551372174383</v>
      </c>
      <c r="T16" t="n">
        <v>933.217669719182</v>
      </c>
      <c r="U16" t="n">
        <v>1038.1730444979</v>
      </c>
      <c r="V16" t="n">
        <v>1102.13631264232</v>
      </c>
      <c r="W16" t="n">
        <v>1185.27159484594</v>
      </c>
      <c r="X16" t="n">
        <v>1171.5027089426</v>
      </c>
      <c r="Y16" t="n">
        <v>1238.57347472176</v>
      </c>
      <c r="Z16" t="n">
        <v>1275.00210633122</v>
      </c>
      <c r="AA16" t="n">
        <v>1268.47479179369</v>
      </c>
      <c r="AB16" t="n">
        <v>969.195684745807</v>
      </c>
      <c r="AC16" t="n">
        <v>980.872741188527</v>
      </c>
      <c r="AD16" t="n">
        <v>999.980651731161</v>
      </c>
      <c r="AE16" t="n">
        <v>1001</v>
      </c>
      <c r="AF16" t="n">
        <v>987</v>
      </c>
    </row>
    <row r="17">
      <c r="A17" t="s">
        <v>149</v>
      </c>
      <c r="B17" t="s">
        <v>304</v>
      </c>
      <c r="C17" t="s">
        <v>236</v>
      </c>
      <c r="D17" t="s">
        <v>305</v>
      </c>
      <c r="E17" t="s">
        <v>237</v>
      </c>
      <c r="F17" t="n">
        <v>1033.9445225746</v>
      </c>
      <c r="G17" t="n">
        <v>1091.38588493985</v>
      </c>
      <c r="H17" t="n">
        <v>1146.48497816012</v>
      </c>
      <c r="I17" t="n">
        <v>1212.70793718742</v>
      </c>
      <c r="J17" t="n">
        <v>1296.34296733827</v>
      </c>
      <c r="K17" t="n">
        <v>1341.38207345426</v>
      </c>
      <c r="L17" t="n">
        <v>1413.73878281071</v>
      </c>
      <c r="M17" t="n">
        <v>1454.23192353879</v>
      </c>
      <c r="N17" t="n">
        <v>1437.40053553487</v>
      </c>
      <c r="O17" t="n">
        <v>1407.86490809237</v>
      </c>
      <c r="P17" t="n">
        <v>1392.13457392374</v>
      </c>
      <c r="Q17" t="n">
        <v>1389.13428389373</v>
      </c>
      <c r="R17" t="n">
        <v>1413.88824912035</v>
      </c>
      <c r="S17" t="n">
        <v>1618.4928360689</v>
      </c>
      <c r="T17" t="n">
        <v>1676.34310803237</v>
      </c>
      <c r="U17" t="n">
        <v>1729.00310095486</v>
      </c>
      <c r="V17" t="n">
        <v>1803.59234364103</v>
      </c>
      <c r="W17" t="n">
        <v>1933.60227666889</v>
      </c>
      <c r="X17" t="n">
        <v>2048.01661256646</v>
      </c>
      <c r="Y17" t="n">
        <v>2120.52264732507</v>
      </c>
      <c r="Z17" t="n">
        <v>2200.93727239246</v>
      </c>
      <c r="AA17" t="n">
        <v>2298.70842467051</v>
      </c>
      <c r="AB17" t="n">
        <v>2379.51408622229</v>
      </c>
      <c r="AC17" t="n">
        <v>2535.32191280344</v>
      </c>
      <c r="AD17" t="n">
        <v>2657.21238938053</v>
      </c>
      <c r="AE17" t="n">
        <v>2760</v>
      </c>
      <c r="AF17" t="n">
        <v>2807</v>
      </c>
    </row>
    <row r="18">
      <c r="A18" t="s">
        <v>149</v>
      </c>
      <c r="B18" t="s">
        <v>306</v>
      </c>
      <c r="C18" t="s">
        <v>236</v>
      </c>
      <c r="D18" t="s">
        <v>307</v>
      </c>
      <c r="E18" t="s">
        <v>237</v>
      </c>
      <c r="F18" t="n">
        <v>171.456705350157</v>
      </c>
      <c r="G18" t="n">
        <v>182.590257645622</v>
      </c>
      <c r="H18" t="n">
        <v>189.034619680174</v>
      </c>
      <c r="I18" t="n">
        <v>189.034619680174</v>
      </c>
      <c r="J18" t="n">
        <v>196.99397208776</v>
      </c>
      <c r="K18" t="n">
        <v>204.795713556582</v>
      </c>
      <c r="L18" t="n">
        <v>206.624246713337</v>
      </c>
      <c r="M18" t="n">
        <v>206.624246713337</v>
      </c>
      <c r="N18" t="n">
        <v>201.665264792217</v>
      </c>
      <c r="O18" t="n">
        <v>201.665264792217</v>
      </c>
      <c r="P18" t="n">
        <v>203.193031949734</v>
      </c>
      <c r="Q18" t="n">
        <v>220.734876434603</v>
      </c>
      <c r="R18" t="n">
        <v>216.434846374189</v>
      </c>
      <c r="S18" t="n">
        <v>223.507880569424</v>
      </c>
      <c r="T18" t="n">
        <v>243.345858134757</v>
      </c>
      <c r="U18" t="n">
        <v>247.128436240479</v>
      </c>
      <c r="V18" t="n">
        <v>268.134353320919</v>
      </c>
      <c r="W18" t="n">
        <v>294.120942629555</v>
      </c>
      <c r="X18" t="n">
        <v>304.380975511981</v>
      </c>
      <c r="Y18" t="n">
        <v>282.244177292928</v>
      </c>
      <c r="Z18" t="n">
        <v>280.047724551349</v>
      </c>
      <c r="AA18" t="n">
        <v>282.210255242865</v>
      </c>
      <c r="AB18" t="n">
        <v>292.779927723871</v>
      </c>
      <c r="AC18" t="n">
        <v>309.691403693481</v>
      </c>
      <c r="AD18" t="n">
        <v>328.716814159292</v>
      </c>
      <c r="AE18" t="n">
        <v>345</v>
      </c>
      <c r="AF18" t="n">
        <v>369</v>
      </c>
    </row>
    <row r="19">
      <c r="A19" t="s">
        <v>149</v>
      </c>
      <c r="B19" t="s">
        <v>308</v>
      </c>
      <c r="C19" t="s">
        <v>236</v>
      </c>
      <c r="D19" t="s">
        <v>309</v>
      </c>
      <c r="E19" t="s">
        <v>237</v>
      </c>
      <c r="F19" t="n">
        <v>670.523031857724</v>
      </c>
      <c r="G19" t="n">
        <v>715.366928892795</v>
      </c>
      <c r="H19" t="n">
        <v>766.906332991699</v>
      </c>
      <c r="I19" t="n">
        <v>821.254025880875</v>
      </c>
      <c r="J19" t="n">
        <v>902.796978805217</v>
      </c>
      <c r="K19" t="n">
        <v>988.868724665884</v>
      </c>
      <c r="L19" t="n">
        <v>1077.77618798447</v>
      </c>
      <c r="M19" t="n">
        <v>1157.10051542012</v>
      </c>
      <c r="N19" t="n">
        <v>1199.95609006531</v>
      </c>
      <c r="O19" t="n">
        <v>1207.96647784946</v>
      </c>
      <c r="P19" t="n">
        <v>1177.15100647575</v>
      </c>
      <c r="Q19" t="n">
        <v>1183.03676150813</v>
      </c>
      <c r="R19" t="n">
        <v>1203.03979853846</v>
      </c>
      <c r="S19" t="n">
        <v>1003.68682846995</v>
      </c>
      <c r="T19" t="n">
        <v>829.301086071694</v>
      </c>
      <c r="U19" t="n">
        <v>691.698535493872</v>
      </c>
      <c r="V19" t="n">
        <v>580.211596497459</v>
      </c>
      <c r="W19" t="n">
        <v>492.195466090659</v>
      </c>
      <c r="X19" t="n">
        <v>412.5920991375</v>
      </c>
      <c r="Y19" t="n">
        <v>343.644347822745</v>
      </c>
      <c r="Z19" t="n">
        <v>287.627087362611</v>
      </c>
      <c r="AA19" t="n">
        <v>247.146238030096</v>
      </c>
      <c r="AB19" t="n">
        <v>207.351504787962</v>
      </c>
      <c r="AC19" t="n">
        <v>192.690287277702</v>
      </c>
      <c r="AD19" t="n">
        <v>180.123529411765</v>
      </c>
      <c r="AE19" t="n">
        <v>173</v>
      </c>
      <c r="AF19" t="n">
        <v>182</v>
      </c>
    </row>
    <row r="20">
      <c r="A20" t="s">
        <v>149</v>
      </c>
      <c r="B20" t="s">
        <v>310</v>
      </c>
      <c r="C20" t="s">
        <v>236</v>
      </c>
      <c r="D20" t="s">
        <v>311</v>
      </c>
      <c r="E20" t="s">
        <v>237</v>
      </c>
      <c r="F20" t="n">
        <v>116.193810922898</v>
      </c>
      <c r="G20" t="n">
        <v>138.538774561917</v>
      </c>
      <c r="H20" t="n">
        <v>175.338136554927</v>
      </c>
      <c r="I20" t="n">
        <v>204.913243925637</v>
      </c>
      <c r="J20" t="n">
        <v>215.057463921956</v>
      </c>
      <c r="K20" t="n">
        <v>209.083645479679</v>
      </c>
      <c r="L20" t="n">
        <v>218.501827708494</v>
      </c>
      <c r="M20" t="n">
        <v>197.009844655199</v>
      </c>
      <c r="N20" t="n">
        <v>169.599779311867</v>
      </c>
      <c r="O20" t="n">
        <v>144.658635295416</v>
      </c>
      <c r="P20" t="n">
        <v>131.941392632083</v>
      </c>
      <c r="Q20" t="n">
        <v>139.524231289099</v>
      </c>
      <c r="R20" t="n">
        <v>127.774822338438</v>
      </c>
      <c r="S20" t="n">
        <v>119.256500849209</v>
      </c>
      <c r="T20" t="n">
        <v>115.281284154235</v>
      </c>
      <c r="U20" t="n">
        <v>119.040456463612</v>
      </c>
      <c r="V20" t="n">
        <v>121.469853534298</v>
      </c>
      <c r="W20" t="n">
        <v>130.904405265118</v>
      </c>
      <c r="X20" t="n">
        <v>132.042704441336</v>
      </c>
      <c r="Y20" t="n">
        <v>125.385089091353</v>
      </c>
      <c r="Z20" t="n">
        <v>123.185350686241</v>
      </c>
      <c r="AA20" t="n">
        <v>139.537388387955</v>
      </c>
      <c r="AB20" t="n">
        <v>180.013882729499</v>
      </c>
      <c r="AC20" t="n">
        <v>202.250891772555</v>
      </c>
      <c r="AD20" t="n">
        <v>229.782426778243</v>
      </c>
      <c r="AE20" t="n">
        <v>243</v>
      </c>
      <c r="AF20" t="n">
        <v>250</v>
      </c>
    </row>
    <row r="21">
      <c r="A21" t="s">
        <v>149</v>
      </c>
      <c r="B21" t="s">
        <v>312</v>
      </c>
      <c r="C21" t="s">
        <v>236</v>
      </c>
      <c r="D21" t="s">
        <v>313</v>
      </c>
      <c r="E21" t="s">
        <v>237</v>
      </c>
      <c r="F21" t="n">
        <v>122.223084990711</v>
      </c>
      <c r="G21" t="n">
        <v>144.048635881909</v>
      </c>
      <c r="H21" t="n">
        <v>180.060794852387</v>
      </c>
      <c r="I21" t="n">
        <v>209.03609517346</v>
      </c>
      <c r="J21" t="n">
        <v>222.971834851691</v>
      </c>
      <c r="K21" t="n">
        <v>219.060048275346</v>
      </c>
      <c r="L21" t="n">
        <v>230.198694797821</v>
      </c>
      <c r="M21" t="n">
        <v>214.383517292627</v>
      </c>
      <c r="N21" t="n">
        <v>190.7506886147</v>
      </c>
      <c r="O21" t="n">
        <v>174.447210955324</v>
      </c>
      <c r="P21" t="n">
        <v>165.017631984766</v>
      </c>
      <c r="Q21" t="n">
        <v>184.519715764783</v>
      </c>
      <c r="R21" t="n">
        <v>185.972626912538</v>
      </c>
      <c r="S21" t="n">
        <v>180.337092763673</v>
      </c>
      <c r="T21" t="n">
        <v>180.337092763673</v>
      </c>
      <c r="U21" t="n">
        <v>192.948078271622</v>
      </c>
      <c r="V21" t="n">
        <v>195.406015574445</v>
      </c>
      <c r="W21" t="n">
        <v>216.594619672879</v>
      </c>
      <c r="X21" t="n">
        <v>223.434449767812</v>
      </c>
      <c r="Y21" t="n">
        <v>216.764764700116</v>
      </c>
      <c r="Z21" t="n">
        <v>225.5673947387</v>
      </c>
      <c r="AA21" t="n">
        <v>250.630438598555</v>
      </c>
      <c r="AB21" t="n">
        <v>286.891863757495</v>
      </c>
      <c r="AC21" t="n">
        <v>302.830300632911</v>
      </c>
      <c r="AD21" t="n">
        <v>323.018987341772</v>
      </c>
      <c r="AE21" t="n">
        <v>322</v>
      </c>
      <c r="AF21" t="n">
        <v>319</v>
      </c>
    </row>
    <row r="22">
      <c r="A22" t="s">
        <v>149</v>
      </c>
      <c r="B22" t="s">
        <v>314</v>
      </c>
      <c r="C22" t="s">
        <v>236</v>
      </c>
      <c r="D22" t="s">
        <v>315</v>
      </c>
      <c r="E22" t="s">
        <v>237</v>
      </c>
      <c r="F22" t="n">
        <v>7.43627781981362</v>
      </c>
      <c r="G22" t="n">
        <v>7.43627781981362</v>
      </c>
      <c r="H22" t="n">
        <v>7.43627781981362</v>
      </c>
      <c r="I22" t="n">
        <v>7.43627781981362</v>
      </c>
      <c r="J22" t="n">
        <v>11.1544167297204</v>
      </c>
      <c r="K22" t="n">
        <v>13.0134861846738</v>
      </c>
      <c r="L22" t="n">
        <v>14.8725556396272</v>
      </c>
      <c r="M22" t="n">
        <v>19.8300741861696</v>
      </c>
      <c r="N22" t="n">
        <v>23.1350865505313</v>
      </c>
      <c r="O22" t="n">
        <v>30.846782067375</v>
      </c>
      <c r="P22" t="n">
        <v>33.9314602741125</v>
      </c>
      <c r="Q22" t="n">
        <v>45.7337073259777</v>
      </c>
      <c r="R22" t="n">
        <v>58.596312511409</v>
      </c>
      <c r="S22" t="n">
        <v>61.3866131071903</v>
      </c>
      <c r="T22" t="n">
        <v>65.3049075608408</v>
      </c>
      <c r="U22" t="n">
        <v>74.2683262456621</v>
      </c>
      <c r="V22" t="n">
        <v>74.2683262456621</v>
      </c>
      <c r="W22" t="n">
        <v>86.0569494592592</v>
      </c>
      <c r="X22" t="n">
        <v>91.7940794232098</v>
      </c>
      <c r="Y22" t="n">
        <v>91.7940794232098</v>
      </c>
      <c r="Z22" t="n">
        <v>102.85360706456</v>
      </c>
      <c r="AA22" t="n">
        <v>111.60710553814</v>
      </c>
      <c r="AB22" t="n">
        <v>107.314524555904</v>
      </c>
      <c r="AC22" t="n">
        <v>100.87565308255</v>
      </c>
      <c r="AD22" t="n">
        <v>93.3636363636364</v>
      </c>
      <c r="AE22" t="n">
        <v>79</v>
      </c>
      <c r="AF22" t="n">
        <v>69</v>
      </c>
    </row>
    <row r="23">
      <c r="A23" t="s">
        <v>149</v>
      </c>
      <c r="B23" t="s">
        <v>316</v>
      </c>
      <c r="C23" t="s">
        <v>236</v>
      </c>
      <c r="D23" t="s">
        <v>317</v>
      </c>
      <c r="E23" t="s">
        <v>237</v>
      </c>
      <c r="F23" t="n">
        <v>83.9447572794104</v>
      </c>
      <c r="G23" t="n">
        <v>88.4823117269461</v>
      </c>
      <c r="H23" t="n">
        <v>88.4823117269461</v>
      </c>
      <c r="I23" t="n">
        <v>90.5890334347305</v>
      </c>
      <c r="J23" t="n">
        <v>109.118608455471</v>
      </c>
      <c r="K23" t="n">
        <v>143.47076296923</v>
      </c>
      <c r="L23" t="n">
        <v>154.797402151012</v>
      </c>
      <c r="M23" t="n">
        <v>172.797100075548</v>
      </c>
      <c r="N23" t="n">
        <v>191.61658622239</v>
      </c>
      <c r="O23" t="n">
        <v>183.285430299677</v>
      </c>
      <c r="P23" t="n">
        <v>172.128925846653</v>
      </c>
      <c r="Q23" t="n">
        <v>164.579411555133</v>
      </c>
      <c r="R23" t="n">
        <v>163.109952523391</v>
      </c>
      <c r="S23" t="n">
        <v>167.364994763132</v>
      </c>
      <c r="T23" t="n">
        <v>183.179010016341</v>
      </c>
      <c r="U23" t="n">
        <v>205.918473328714</v>
      </c>
      <c r="V23" t="n">
        <v>215.782831332485</v>
      </c>
      <c r="W23" t="n">
        <v>222.896551046743</v>
      </c>
      <c r="X23" t="n">
        <v>242.529926009409</v>
      </c>
      <c r="Y23" t="n">
        <v>210.944633319812</v>
      </c>
      <c r="Z23" t="n">
        <v>197.55132326776</v>
      </c>
      <c r="AA23" t="n">
        <v>176.698683589497</v>
      </c>
      <c r="AB23" t="n">
        <v>168.131474688188</v>
      </c>
      <c r="AC23" t="n">
        <v>158.554365370506</v>
      </c>
      <c r="AD23" t="n">
        <v>150.041379310345</v>
      </c>
      <c r="AE23" t="n">
        <v>148</v>
      </c>
      <c r="AF23" t="n">
        <v>150</v>
      </c>
    </row>
    <row r="24">
      <c r="A24" t="s">
        <v>149</v>
      </c>
      <c r="B24" t="s">
        <v>318</v>
      </c>
      <c r="C24" t="s">
        <v>236</v>
      </c>
      <c r="D24" t="s">
        <v>319</v>
      </c>
      <c r="E24" t="s">
        <v>237</v>
      </c>
      <c r="F24" t="n">
        <v>371.901804788228</v>
      </c>
      <c r="G24" t="n">
        <v>405.107323072891</v>
      </c>
      <c r="H24" t="n">
        <v>449.882342991474</v>
      </c>
      <c r="I24" t="n">
        <v>514.44879036525</v>
      </c>
      <c r="J24" t="n">
        <v>580.76445474827</v>
      </c>
      <c r="K24" t="n">
        <v>671.632362634054</v>
      </c>
      <c r="L24" t="n">
        <v>740.853525356784</v>
      </c>
      <c r="M24" t="n">
        <v>599.063376963141</v>
      </c>
      <c r="N24" t="n">
        <v>485.681325391021</v>
      </c>
      <c r="O24" t="n">
        <v>389.866642150616</v>
      </c>
      <c r="P24" t="n">
        <v>315.379925967368</v>
      </c>
      <c r="Q24" t="n">
        <v>250.493146940589</v>
      </c>
      <c r="R24" t="n">
        <v>276.860846618546</v>
      </c>
      <c r="S24" t="n">
        <v>266.922252124547</v>
      </c>
      <c r="T24" t="n">
        <v>266.922252124547</v>
      </c>
      <c r="U24" t="n">
        <v>273.188032690851</v>
      </c>
      <c r="V24" t="n">
        <v>282.944748144095</v>
      </c>
      <c r="W24" t="n">
        <v>325.386460365709</v>
      </c>
      <c r="X24" t="n">
        <v>331.075034847627</v>
      </c>
      <c r="Y24" t="n">
        <v>327.742064698155</v>
      </c>
      <c r="Z24" t="n">
        <v>326.642259111919</v>
      </c>
      <c r="AA24" t="n">
        <v>320.15267780506</v>
      </c>
      <c r="AB24" t="n">
        <v>304.198225422748</v>
      </c>
      <c r="AC24" t="n">
        <v>314.797466726676</v>
      </c>
      <c r="AD24" t="n">
        <v>320.097087378641</v>
      </c>
      <c r="AE24" t="n">
        <v>315</v>
      </c>
      <c r="AF24" t="n">
        <v>355</v>
      </c>
    </row>
    <row r="25">
      <c r="A25" t="s">
        <v>149</v>
      </c>
      <c r="B25" t="s">
        <v>320</v>
      </c>
      <c r="C25" t="s">
        <v>236</v>
      </c>
      <c r="D25" t="s">
        <v>321</v>
      </c>
      <c r="E25" t="s">
        <v>237</v>
      </c>
      <c r="F25" t="e">
        <v>#NUM!</v>
      </c>
      <c r="G25" t="e">
        <v>#NUM!</v>
      </c>
      <c r="H25" t="e">
        <v>#NUM!</v>
      </c>
      <c r="I25" t="e">
        <v>#NUM!</v>
      </c>
      <c r="J25" t="e">
        <v>#NUM!</v>
      </c>
      <c r="K25" t="e">
        <v>#NUM!</v>
      </c>
      <c r="L25" t="e">
        <v>#NUM!</v>
      </c>
      <c r="M25" t="e">
        <v>#NUM!</v>
      </c>
      <c r="N25" t="e">
        <v>#NUM!</v>
      </c>
      <c r="O25" t="e">
        <v>#NUM!</v>
      </c>
      <c r="P25" t="e">
        <v>#NUM!</v>
      </c>
      <c r="Q25" t="e">
        <v>#NUM!</v>
      </c>
      <c r="R25" t="n">
        <v>0</v>
      </c>
      <c r="S25" t="n">
        <v>4.36363636363636</v>
      </c>
      <c r="T25" t="n">
        <v>3.27272727272727</v>
      </c>
      <c r="U25" t="n">
        <v>2.18181818181818</v>
      </c>
      <c r="V25" t="n">
        <v>2.18181818181818</v>
      </c>
      <c r="W25" t="n">
        <v>3.27272727272727</v>
      </c>
      <c r="X25" t="n">
        <v>4.36363636363636</v>
      </c>
      <c r="Y25" t="n">
        <v>7.63636363636364</v>
      </c>
      <c r="Z25" t="n">
        <v>12</v>
      </c>
      <c r="AA25" t="n">
        <v>14.1818181818182</v>
      </c>
      <c r="AB25" t="n">
        <v>13.0909090909091</v>
      </c>
      <c r="AC25" t="n">
        <v>10.9090909090909</v>
      </c>
      <c r="AD25" t="n">
        <v>13.0909090909091</v>
      </c>
      <c r="AE25" t="n">
        <v>12</v>
      </c>
      <c r="AF25" t="n">
        <v>12</v>
      </c>
    </row>
    <row r="26">
      <c r="A26" t="s">
        <v>149</v>
      </c>
      <c r="B26" t="s">
        <v>322</v>
      </c>
      <c r="C26" t="s">
        <v>236</v>
      </c>
      <c r="D26" t="s">
        <v>323</v>
      </c>
      <c r="E26" t="s">
        <v>237</v>
      </c>
      <c r="F26" t="n">
        <v>367.916134332537</v>
      </c>
      <c r="G26" t="n">
        <v>400.765789183657</v>
      </c>
      <c r="H26" t="n">
        <v>445.060955356587</v>
      </c>
      <c r="I26" t="n">
        <v>506.874976933891</v>
      </c>
      <c r="J26" t="n">
        <v>570.482817176576</v>
      </c>
      <c r="K26" t="n">
        <v>658.399689686664</v>
      </c>
      <c r="L26" t="n">
        <v>723.129996256982</v>
      </c>
      <c r="M26" t="n">
        <v>584.807309321627</v>
      </c>
      <c r="N26" t="n">
        <v>474.213376899772</v>
      </c>
      <c r="O26" t="n">
        <v>381.005920060852</v>
      </c>
      <c r="P26" t="n">
        <v>308.881342600773</v>
      </c>
      <c r="Q26" t="n">
        <v>245.905534886052</v>
      </c>
      <c r="R26" t="n">
        <v>272.096656944922</v>
      </c>
      <c r="S26" t="n">
        <v>259.408211802412</v>
      </c>
      <c r="T26" t="n">
        <v>262.041797709036</v>
      </c>
      <c r="U26" t="n">
        <v>264.549374720605</v>
      </c>
      <c r="V26" t="n">
        <v>270.644982433062</v>
      </c>
      <c r="W26" t="n">
        <v>311.830088455484</v>
      </c>
      <c r="X26" t="n">
        <v>317.520418536789</v>
      </c>
      <c r="Y26" t="n">
        <v>310.859151015038</v>
      </c>
      <c r="Z26" t="n">
        <v>307.563824325832</v>
      </c>
      <c r="AA26" t="n">
        <v>297.817083414098</v>
      </c>
      <c r="AB26" t="n">
        <v>285.053494124923</v>
      </c>
      <c r="AC26" t="n">
        <v>298.829313543599</v>
      </c>
      <c r="AD26" t="n">
        <v>303.068027210884</v>
      </c>
      <c r="AE26" t="n">
        <v>299</v>
      </c>
      <c r="AF26" t="n">
        <v>339</v>
      </c>
    </row>
    <row r="27">
      <c r="A27" t="s">
        <v>149</v>
      </c>
      <c r="B27" t="s">
        <v>324</v>
      </c>
      <c r="C27" t="s">
        <v>236</v>
      </c>
      <c r="D27" t="s">
        <v>325</v>
      </c>
      <c r="E27" t="s">
        <v>237</v>
      </c>
      <c r="F27" t="e">
        <v>#NUM!</v>
      </c>
      <c r="G27" t="e">
        <v>#NUM!</v>
      </c>
      <c r="H27" t="n">
        <v>0</v>
      </c>
      <c r="I27" t="n">
        <v>4.921875</v>
      </c>
      <c r="J27" t="n">
        <v>9.84375</v>
      </c>
      <c r="K27" t="n">
        <v>14.765625</v>
      </c>
      <c r="L27" t="n">
        <v>24.609375</v>
      </c>
      <c r="M27" t="n">
        <v>19.6875</v>
      </c>
      <c r="N27" t="n">
        <v>15.75</v>
      </c>
      <c r="O27" t="n">
        <v>11.8125</v>
      </c>
      <c r="P27" t="n">
        <v>7.875</v>
      </c>
      <c r="Q27" t="n">
        <v>5.25</v>
      </c>
      <c r="R27" t="n">
        <v>5.25</v>
      </c>
      <c r="S27" t="n">
        <v>2.625</v>
      </c>
      <c r="T27" t="n">
        <v>1.3125</v>
      </c>
      <c r="U27" t="n">
        <v>6.5625</v>
      </c>
      <c r="V27" t="n">
        <v>10.5</v>
      </c>
      <c r="W27" t="n">
        <v>10.5</v>
      </c>
      <c r="X27" t="n">
        <v>9.33333333333333</v>
      </c>
      <c r="Y27" t="n">
        <v>9.33333333333333</v>
      </c>
      <c r="Z27" t="n">
        <v>7</v>
      </c>
      <c r="AA27" t="n">
        <v>8</v>
      </c>
      <c r="AB27" t="n">
        <v>6</v>
      </c>
      <c r="AC27" t="n">
        <v>5</v>
      </c>
      <c r="AD27" t="n">
        <v>4</v>
      </c>
      <c r="AE27" t="n">
        <v>4</v>
      </c>
      <c r="AF27" t="n">
        <v>4</v>
      </c>
    </row>
    <row r="28">
      <c r="A28" t="s">
        <v>149</v>
      </c>
      <c r="B28" t="s">
        <v>326</v>
      </c>
      <c r="C28" t="s">
        <v>236</v>
      </c>
      <c r="D28" t="s">
        <v>327</v>
      </c>
      <c r="E28" t="s">
        <v>237</v>
      </c>
      <c r="F28" t="n">
        <v>66.7537326840686</v>
      </c>
      <c r="G28" t="n">
        <v>70.9258409768229</v>
      </c>
      <c r="H28" t="n">
        <v>74.8661654755353</v>
      </c>
      <c r="I28" t="n">
        <v>76.8363277248915</v>
      </c>
      <c r="J28" t="n">
        <v>92.597625719741</v>
      </c>
      <c r="K28" t="n">
        <v>100.314094529719</v>
      </c>
      <c r="L28" t="n">
        <v>130.036789205192</v>
      </c>
      <c r="M28" t="n">
        <v>130.036789205192</v>
      </c>
      <c r="N28" t="n">
        <v>136.538628665451</v>
      </c>
      <c r="O28" t="n">
        <v>141.301604084014</v>
      </c>
      <c r="P28" t="n">
        <v>145.909265086753</v>
      </c>
      <c r="Q28" t="n">
        <v>154.752250849587</v>
      </c>
      <c r="R28" t="n">
        <v>151.859685413146</v>
      </c>
      <c r="S28" t="n">
        <v>144.893644797864</v>
      </c>
      <c r="T28" t="n">
        <v>134.450859587207</v>
      </c>
      <c r="U28" t="n">
        <v>115.777129088984</v>
      </c>
      <c r="V28" t="n">
        <v>108.541058520922</v>
      </c>
      <c r="W28" t="n">
        <v>99.1027056060596</v>
      </c>
      <c r="X28" t="n">
        <v>93.340920396405</v>
      </c>
      <c r="Y28" t="n">
        <v>91.0643125818585</v>
      </c>
      <c r="Z28" t="n">
        <v>83.1945571735498</v>
      </c>
      <c r="AA28" t="n">
        <v>76.7118644067797</v>
      </c>
      <c r="AB28" t="n">
        <v>72.5084745762712</v>
      </c>
      <c r="AC28" t="n">
        <v>66.2033898305085</v>
      </c>
      <c r="AD28" t="n">
        <v>62</v>
      </c>
      <c r="AE28" t="n">
        <v>62</v>
      </c>
      <c r="AF28" t="n">
        <v>76</v>
      </c>
    </row>
    <row r="29">
      <c r="A29" t="s">
        <v>149</v>
      </c>
      <c r="B29" t="s">
        <v>328</v>
      </c>
      <c r="C29" t="s">
        <v>236</v>
      </c>
      <c r="D29" t="s">
        <v>329</v>
      </c>
      <c r="E29" t="s">
        <v>237</v>
      </c>
      <c r="F29" t="n">
        <v>40.2350290441824</v>
      </c>
      <c r="G29" t="n">
        <v>40.2350290441824</v>
      </c>
      <c r="H29" t="n">
        <v>40.2350290441824</v>
      </c>
      <c r="I29" t="n">
        <v>40.2350290441824</v>
      </c>
      <c r="J29" t="n">
        <v>47.7790969899666</v>
      </c>
      <c r="K29" t="n">
        <v>47.7790969899666</v>
      </c>
      <c r="L29" t="n">
        <v>59.1550724637681</v>
      </c>
      <c r="M29" t="n">
        <v>48.5916666666667</v>
      </c>
      <c r="N29" t="n">
        <v>46.5670138888889</v>
      </c>
      <c r="O29" t="n">
        <v>42.6864293981482</v>
      </c>
      <c r="P29" t="n">
        <v>37.1186342592593</v>
      </c>
      <c r="Q29" t="n">
        <v>33.5835262345679</v>
      </c>
      <c r="R29" t="n">
        <v>28.2808641975309</v>
      </c>
      <c r="S29" t="n">
        <v>21.6265432098765</v>
      </c>
      <c r="T29" t="n">
        <v>16.6358024691358</v>
      </c>
      <c r="U29" t="n">
        <v>13.6111111111111</v>
      </c>
      <c r="V29" t="n">
        <v>12.25</v>
      </c>
      <c r="W29" t="n">
        <v>9.52777777777778</v>
      </c>
      <c r="X29" t="n">
        <v>9.52777777777778</v>
      </c>
      <c r="Y29" t="n">
        <v>8.16666666666667</v>
      </c>
      <c r="Z29" t="n">
        <v>7</v>
      </c>
      <c r="AA29" t="n">
        <v>6</v>
      </c>
      <c r="AB29" t="n">
        <v>5</v>
      </c>
      <c r="AC29" t="n">
        <v>5</v>
      </c>
      <c r="AD29" t="n">
        <v>7</v>
      </c>
      <c r="AE29" t="n">
        <v>6</v>
      </c>
      <c r="AF29" t="n">
        <v>6</v>
      </c>
    </row>
    <row r="30">
      <c r="A30" t="s">
        <v>149</v>
      </c>
      <c r="B30" t="s">
        <v>330</v>
      </c>
      <c r="C30" t="s">
        <v>236</v>
      </c>
      <c r="D30" t="s">
        <v>331</v>
      </c>
      <c r="E30" t="s">
        <v>237</v>
      </c>
      <c r="F30" t="n">
        <v>0</v>
      </c>
      <c r="G30" t="n">
        <v>2.9296875</v>
      </c>
      <c r="H30" t="n">
        <v>5.859375</v>
      </c>
      <c r="I30" t="n">
        <v>5.859375</v>
      </c>
      <c r="J30" t="n">
        <v>8.7890625</v>
      </c>
      <c r="K30" t="n">
        <v>8.7890625</v>
      </c>
      <c r="L30" t="n">
        <v>11.71875</v>
      </c>
      <c r="M30" t="n">
        <v>9.375</v>
      </c>
      <c r="N30" t="n">
        <v>9.375</v>
      </c>
      <c r="O30" t="n">
        <v>9.375</v>
      </c>
      <c r="P30" t="n">
        <v>9.375</v>
      </c>
      <c r="Q30" t="n">
        <v>7.5</v>
      </c>
      <c r="R30" t="n">
        <v>7.5</v>
      </c>
      <c r="S30" t="n">
        <v>7.5</v>
      </c>
      <c r="T30" t="n">
        <v>6</v>
      </c>
      <c r="U30" t="n">
        <v>4.5</v>
      </c>
      <c r="V30" t="n">
        <v>4.5</v>
      </c>
      <c r="W30" t="n">
        <v>4.5</v>
      </c>
      <c r="X30" t="n">
        <v>3</v>
      </c>
      <c r="Y30" t="n">
        <v>4.5</v>
      </c>
      <c r="Z30" t="n">
        <v>3</v>
      </c>
      <c r="AA30" t="n">
        <v>3</v>
      </c>
      <c r="AB30" t="n">
        <v>2</v>
      </c>
      <c r="AC30" t="n">
        <v>2</v>
      </c>
      <c r="AD30" t="n">
        <v>2</v>
      </c>
      <c r="AE30" t="n">
        <v>3</v>
      </c>
      <c r="AF30" t="n">
        <v>4</v>
      </c>
    </row>
    <row r="31">
      <c r="A31" t="s">
        <v>149</v>
      </c>
      <c r="B31" t="s">
        <v>332</v>
      </c>
      <c r="C31" t="s">
        <v>236</v>
      </c>
      <c r="D31" t="s">
        <v>333</v>
      </c>
      <c r="E31" t="s">
        <v>237</v>
      </c>
      <c r="F31" t="e">
        <v>#NUM!</v>
      </c>
      <c r="G31" t="e">
        <v>#NUM!</v>
      </c>
      <c r="H31" t="e">
        <v>#NUM!</v>
      </c>
      <c r="I31" t="e">
        <v>#NUM!</v>
      </c>
      <c r="J31" t="e">
        <v>#NUM!</v>
      </c>
      <c r="K31" t="e">
        <v>#NUM!</v>
      </c>
      <c r="L31" t="e">
        <v>#NUM!</v>
      </c>
      <c r="M31" t="e">
        <v>#NUM!</v>
      </c>
      <c r="N31" t="e">
        <v>#NUM!</v>
      </c>
      <c r="O31" t="e">
        <v>#NUM!</v>
      </c>
      <c r="P31" t="e">
        <v>#NUM!</v>
      </c>
      <c r="Q31" t="e">
        <v>#NUM!</v>
      </c>
      <c r="R31" t="e">
        <v>#NUM!</v>
      </c>
      <c r="S31" t="e">
        <v>#NUM!</v>
      </c>
      <c r="T31" t="e">
        <v>#NUM!</v>
      </c>
      <c r="U31" t="e">
        <v>#NUM!</v>
      </c>
      <c r="V31" t="e">
        <v>#NUM!</v>
      </c>
      <c r="W31" t="e">
        <v>#NUM!</v>
      </c>
      <c r="X31" t="e">
        <v>#NUM!</v>
      </c>
      <c r="Y31" t="e">
        <v>#NUM!</v>
      </c>
      <c r="Z31" t="e">
        <v>#NUM!</v>
      </c>
      <c r="AA31" t="e">
        <v>#NUM!</v>
      </c>
      <c r="AB31" t="e">
        <v>#NUM!</v>
      </c>
      <c r="AC31" t="e">
        <v>#NUM!</v>
      </c>
      <c r="AD31" t="e">
        <v>#NUM!</v>
      </c>
      <c r="AE31" t="n">
        <v>0</v>
      </c>
      <c r="AF31" t="e">
        <v>#NUM!</v>
      </c>
    </row>
    <row r="32">
      <c r="A32" t="s">
        <v>149</v>
      </c>
      <c r="B32" t="s">
        <v>334</v>
      </c>
      <c r="C32" t="s">
        <v>236</v>
      </c>
      <c r="D32" t="s">
        <v>335</v>
      </c>
      <c r="E32" t="s">
        <v>237</v>
      </c>
      <c r="F32" t="e">
        <v>#NUM!</v>
      </c>
      <c r="G32" t="e">
        <v>#NUM!</v>
      </c>
      <c r="H32" t="e">
        <v>#NUM!</v>
      </c>
      <c r="I32" t="n">
        <v>0</v>
      </c>
      <c r="J32" t="n">
        <v>5.90625</v>
      </c>
      <c r="K32" t="n">
        <v>3.9375</v>
      </c>
      <c r="L32" t="n">
        <v>3.9375</v>
      </c>
      <c r="M32" t="n">
        <v>3.9375</v>
      </c>
      <c r="N32" t="n">
        <v>3.9375</v>
      </c>
      <c r="O32" t="n">
        <v>6.5625</v>
      </c>
      <c r="P32" t="n">
        <v>7.875</v>
      </c>
      <c r="Q32" t="n">
        <v>9.1875</v>
      </c>
      <c r="R32" t="n">
        <v>6.5625</v>
      </c>
      <c r="S32" t="n">
        <v>7.875</v>
      </c>
      <c r="T32" t="n">
        <v>7.875</v>
      </c>
      <c r="U32" t="n">
        <v>6.5625</v>
      </c>
      <c r="V32" t="n">
        <v>7.875</v>
      </c>
      <c r="W32" t="n">
        <v>7.875</v>
      </c>
      <c r="X32" t="n">
        <v>9.1875</v>
      </c>
      <c r="Y32" t="n">
        <v>10.5</v>
      </c>
      <c r="Z32" t="n">
        <v>7.875</v>
      </c>
      <c r="AA32" t="n">
        <v>5.625</v>
      </c>
      <c r="AB32" t="n">
        <v>7.875</v>
      </c>
      <c r="AC32" t="n">
        <v>7.875</v>
      </c>
      <c r="AD32" t="n">
        <v>9</v>
      </c>
      <c r="AE32" t="n">
        <v>12</v>
      </c>
      <c r="AF32" t="n">
        <v>17</v>
      </c>
    </row>
    <row r="33">
      <c r="A33" t="s">
        <v>149</v>
      </c>
      <c r="B33" t="s">
        <v>336</v>
      </c>
      <c r="C33" t="s">
        <v>236</v>
      </c>
      <c r="D33" t="s">
        <v>337</v>
      </c>
      <c r="E33" t="s">
        <v>237</v>
      </c>
      <c r="F33" t="n">
        <v>32.3275542795829</v>
      </c>
      <c r="G33" t="n">
        <v>34.2291751195584</v>
      </c>
      <c r="H33" t="n">
        <v>36.0307106521667</v>
      </c>
      <c r="I33" t="n">
        <v>37.8322461847751</v>
      </c>
      <c r="J33" t="n">
        <v>39.6337817173834</v>
      </c>
      <c r="K33" t="n">
        <v>48.6414593804251</v>
      </c>
      <c r="L33" t="n">
        <v>66.0134091591483</v>
      </c>
      <c r="M33" t="n">
        <v>75.9154205330206</v>
      </c>
      <c r="N33" t="n">
        <v>83.8232768385436</v>
      </c>
      <c r="O33" t="n">
        <v>88.480125551796</v>
      </c>
      <c r="P33" t="n">
        <v>95.9784412765244</v>
      </c>
      <c r="Q33" t="n">
        <v>107.438553667751</v>
      </c>
      <c r="R33" t="n">
        <v>111.624471343118</v>
      </c>
      <c r="S33" t="n">
        <v>108.934725045694</v>
      </c>
      <c r="T33" t="n">
        <v>103.926231940144</v>
      </c>
      <c r="U33" t="n">
        <v>90.7861336488619</v>
      </c>
      <c r="V33" t="n">
        <v>83.8025849066417</v>
      </c>
      <c r="W33" t="n">
        <v>77.0077807250221</v>
      </c>
      <c r="X33" t="n">
        <v>71.5072249589491</v>
      </c>
      <c r="Y33" t="n">
        <v>68.2568965517242</v>
      </c>
      <c r="Z33" t="n">
        <v>65.0065681444992</v>
      </c>
      <c r="AA33" t="n">
        <v>61.8095238095238</v>
      </c>
      <c r="AB33" t="n">
        <v>57.6190476190476</v>
      </c>
      <c r="AC33" t="n">
        <v>51.3333333333333</v>
      </c>
      <c r="AD33" t="n">
        <v>44</v>
      </c>
      <c r="AE33" t="n">
        <v>41</v>
      </c>
      <c r="AF33" t="n">
        <v>49</v>
      </c>
    </row>
    <row r="34">
      <c r="A34" t="s">
        <v>149</v>
      </c>
      <c r="B34" t="s">
        <v>338</v>
      </c>
      <c r="C34" t="s">
        <v>236</v>
      </c>
      <c r="D34" t="s">
        <v>339</v>
      </c>
      <c r="E34" t="s">
        <v>237</v>
      </c>
      <c r="F34" t="e">
        <v>#NUM!</v>
      </c>
      <c r="G34" t="e">
        <v>#NUM!</v>
      </c>
      <c r="H34" t="e">
        <v>#NUM!</v>
      </c>
      <c r="I34" t="e">
        <v>#NUM!</v>
      </c>
      <c r="J34" t="e">
        <v>#NUM!</v>
      </c>
      <c r="K34" t="e">
        <v>#NUM!</v>
      </c>
      <c r="L34" t="e">
        <v>#NUM!</v>
      </c>
      <c r="M34" t="e">
        <v>#NUM!</v>
      </c>
      <c r="N34" t="e">
        <v>#NUM!</v>
      </c>
      <c r="O34" t="e">
        <v>#NUM!</v>
      </c>
      <c r="P34" t="e">
        <v>#NUM!</v>
      </c>
      <c r="Q34" t="e">
        <v>#NUM!</v>
      </c>
      <c r="R34" t="e">
        <v>#NUM!</v>
      </c>
      <c r="S34" t="e">
        <v>#NUM!</v>
      </c>
      <c r="T34" t="n">
        <v>0</v>
      </c>
      <c r="U34" t="n">
        <v>2</v>
      </c>
      <c r="V34" t="n">
        <v>4</v>
      </c>
      <c r="W34" t="n">
        <v>4</v>
      </c>
      <c r="X34" t="n">
        <v>4</v>
      </c>
      <c r="Y34" t="n">
        <v>2</v>
      </c>
      <c r="Z34" t="n">
        <v>1</v>
      </c>
      <c r="AA34" t="n">
        <v>1</v>
      </c>
      <c r="AB34" t="n">
        <v>1</v>
      </c>
      <c r="AC34" t="n">
        <v>2</v>
      </c>
      <c r="AD34" t="n">
        <v>1</v>
      </c>
      <c r="AE34" t="n">
        <v>3</v>
      </c>
      <c r="AF34" t="n">
        <v>6</v>
      </c>
    </row>
    <row r="35">
      <c r="A35" t="s">
        <v>149</v>
      </c>
      <c r="B35" t="s">
        <v>340</v>
      </c>
      <c r="C35" t="s">
        <v>236</v>
      </c>
      <c r="D35" t="s">
        <v>341</v>
      </c>
      <c r="E35" t="s">
        <v>237</v>
      </c>
      <c r="F35" t="n">
        <v>345.08835299454</v>
      </c>
      <c r="G35" t="n">
        <v>374.219187987585</v>
      </c>
      <c r="H35" t="n">
        <v>408.630147802536</v>
      </c>
      <c r="I35" t="n">
        <v>473.260426281508</v>
      </c>
      <c r="J35" t="n">
        <v>617.644963113155</v>
      </c>
      <c r="K35" t="n">
        <v>725.831182766733</v>
      </c>
      <c r="L35" t="n">
        <v>774.219928284515</v>
      </c>
      <c r="M35" t="n">
        <v>987.615398267263</v>
      </c>
      <c r="N35" t="n">
        <v>1114.0166864414</v>
      </c>
      <c r="O35" t="n">
        <v>1128.78273972266</v>
      </c>
      <c r="P35" t="n">
        <v>1180.7350833919</v>
      </c>
      <c r="Q35" t="n">
        <v>1101.11808667463</v>
      </c>
      <c r="R35" t="n">
        <v>1263.43429865456</v>
      </c>
      <c r="S35" t="n">
        <v>1273.32696094828</v>
      </c>
      <c r="T35" t="n">
        <v>1207.48792470483</v>
      </c>
      <c r="U35" t="n">
        <v>1182.35810317091</v>
      </c>
      <c r="V35" t="n">
        <v>1167.65520447863</v>
      </c>
      <c r="W35" t="n">
        <v>1210.28764602146</v>
      </c>
      <c r="X35" t="n">
        <v>1322.49974565259</v>
      </c>
      <c r="Y35" t="n">
        <v>1337.00818168084</v>
      </c>
      <c r="Z35" t="n">
        <v>1265.30394751479</v>
      </c>
      <c r="AA35" t="n">
        <v>1205.4658416564</v>
      </c>
      <c r="AB35" t="n">
        <v>1250.15213057923</v>
      </c>
      <c r="AC35" t="n">
        <v>1195.01395348837</v>
      </c>
      <c r="AD35" t="n">
        <v>1139.87577639752</v>
      </c>
      <c r="AE35" t="n">
        <v>1147</v>
      </c>
      <c r="AF35" t="n">
        <v>1271</v>
      </c>
    </row>
    <row r="36">
      <c r="A36" t="s">
        <v>149</v>
      </c>
      <c r="B36" t="s">
        <v>342</v>
      </c>
      <c r="C36" t="s">
        <v>236</v>
      </c>
      <c r="D36" t="s">
        <v>343</v>
      </c>
      <c r="E36" t="s">
        <v>237</v>
      </c>
      <c r="F36" t="n">
        <v>29.7862175091863</v>
      </c>
      <c r="G36" t="n">
        <v>31.771965343132</v>
      </c>
      <c r="H36" t="n">
        <v>33.7577131770778</v>
      </c>
      <c r="I36" t="n">
        <v>33.7577131770778</v>
      </c>
      <c r="J36" t="n">
        <v>35.5344349232398</v>
      </c>
      <c r="K36" t="n">
        <v>33.7577131770778</v>
      </c>
      <c r="L36" t="n">
        <v>35.5344349232397</v>
      </c>
      <c r="M36" t="n">
        <v>35.5344349232397</v>
      </c>
      <c r="N36" t="n">
        <v>38.7648380980797</v>
      </c>
      <c r="O36" t="n">
        <v>38.7648380980797</v>
      </c>
      <c r="P36" t="n">
        <v>35.6636510502333</v>
      </c>
      <c r="Q36" t="n">
        <v>35.6636510502333</v>
      </c>
      <c r="R36" t="n">
        <v>37.1496365106597</v>
      </c>
      <c r="S36" t="n">
        <v>45.4051112908063</v>
      </c>
      <c r="T36" t="n">
        <v>47.9996890788524</v>
      </c>
      <c r="U36" t="n">
        <v>99.788827295509</v>
      </c>
      <c r="V36" t="n">
        <v>144.139417204624</v>
      </c>
      <c r="W36" t="n">
        <v>174.857653658069</v>
      </c>
      <c r="X36" t="n">
        <v>210.286328582252</v>
      </c>
      <c r="Y36" t="n">
        <v>250.553923417152</v>
      </c>
      <c r="Z36" t="n">
        <v>276.052774030402</v>
      </c>
      <c r="AA36" t="n">
        <v>269.48008893444</v>
      </c>
      <c r="AB36" t="n">
        <v>317.411330049261</v>
      </c>
      <c r="AC36" t="n">
        <v>374.73645320197</v>
      </c>
      <c r="AD36" t="n">
        <v>438.431034482759</v>
      </c>
      <c r="AE36" t="n">
        <v>472</v>
      </c>
      <c r="AF36" t="n">
        <v>561</v>
      </c>
    </row>
    <row r="37">
      <c r="A37" t="s">
        <v>149</v>
      </c>
      <c r="B37" t="s">
        <v>344</v>
      </c>
      <c r="C37" t="s">
        <v>236</v>
      </c>
      <c r="D37" t="s">
        <v>345</v>
      </c>
      <c r="E37" t="s">
        <v>237</v>
      </c>
      <c r="F37" t="n">
        <v>278.424519940233</v>
      </c>
      <c r="G37" t="n">
        <v>305.368828321545</v>
      </c>
      <c r="H37" t="n">
        <v>339.776583625382</v>
      </c>
      <c r="I37" t="n">
        <v>398.503400548287</v>
      </c>
      <c r="J37" t="n">
        <v>487.509236203742</v>
      </c>
      <c r="K37" t="n">
        <v>544.97983721963</v>
      </c>
      <c r="L37" t="n">
        <v>550.598186056946</v>
      </c>
      <c r="M37" t="n">
        <v>598.553511939325</v>
      </c>
      <c r="N37" t="n">
        <v>573.119226729439</v>
      </c>
      <c r="O37" t="n">
        <v>571.472332399757</v>
      </c>
      <c r="P37" t="n">
        <v>563.579068140092</v>
      </c>
      <c r="Q37" t="n">
        <v>537.961837770088</v>
      </c>
      <c r="R37" t="n">
        <v>502.78177208485</v>
      </c>
      <c r="S37" t="n">
        <v>473.039751764338</v>
      </c>
      <c r="T37" t="n">
        <v>428.239329591671</v>
      </c>
      <c r="U37" t="n">
        <v>389.308481446973</v>
      </c>
      <c r="V37" t="n">
        <v>355.029747231517</v>
      </c>
      <c r="W37" t="n">
        <v>311.09630024969</v>
      </c>
      <c r="X37" t="n">
        <v>286.989206872408</v>
      </c>
      <c r="Y37" t="n">
        <v>264.655416454322</v>
      </c>
      <c r="Z37" t="n">
        <v>241.498067514569</v>
      </c>
      <c r="AA37" t="n">
        <v>223.004972254444</v>
      </c>
      <c r="AB37" t="n">
        <v>203.79880239521</v>
      </c>
      <c r="AC37" t="n">
        <v>185.754116766467</v>
      </c>
      <c r="AD37" t="n">
        <v>177.2625</v>
      </c>
      <c r="AE37" t="n">
        <v>163</v>
      </c>
      <c r="AF37" t="n">
        <v>169</v>
      </c>
    </row>
    <row r="38">
      <c r="A38" t="s">
        <v>149</v>
      </c>
      <c r="B38" t="s">
        <v>346</v>
      </c>
      <c r="C38" t="s">
        <v>236</v>
      </c>
      <c r="D38" t="s">
        <v>347</v>
      </c>
      <c r="E38" t="s">
        <v>237</v>
      </c>
      <c r="F38" t="n">
        <v>36.3688413842478</v>
      </c>
      <c r="G38" t="n">
        <v>36.3688413842478</v>
      </c>
      <c r="H38" t="n">
        <v>34.0957887977323</v>
      </c>
      <c r="I38" t="n">
        <v>40.4887491973071</v>
      </c>
      <c r="J38" t="n">
        <v>95.1485606136716</v>
      </c>
      <c r="K38" t="n">
        <v>148.669625958862</v>
      </c>
      <c r="L38" t="n">
        <v>189.553773097549</v>
      </c>
      <c r="M38" t="n">
        <v>354.535760793564</v>
      </c>
      <c r="N38" t="n">
        <v>502.399016479979</v>
      </c>
      <c r="O38" t="n">
        <v>518.763805290402</v>
      </c>
      <c r="P38" t="n">
        <v>581.644266537723</v>
      </c>
      <c r="Q38" t="n">
        <v>527.677272735254</v>
      </c>
      <c r="R38" t="n">
        <v>723.005323968746</v>
      </c>
      <c r="S38" t="n">
        <v>754.071958983028</v>
      </c>
      <c r="T38" t="n">
        <v>730.383834617069</v>
      </c>
      <c r="U38" t="n">
        <v>692.735183348148</v>
      </c>
      <c r="V38" t="n">
        <v>668.256908318178</v>
      </c>
      <c r="W38" t="n">
        <v>723.846421045531</v>
      </c>
      <c r="X38" t="n">
        <v>824.475939295146</v>
      </c>
      <c r="Y38" t="n">
        <v>821.133469270977</v>
      </c>
      <c r="Z38" t="n">
        <v>747.385557151466</v>
      </c>
      <c r="AA38" t="n">
        <v>712.673891217</v>
      </c>
      <c r="AB38" t="n">
        <v>728.605498323192</v>
      </c>
      <c r="AC38" t="n">
        <v>634.352752173826</v>
      </c>
      <c r="AD38" t="n">
        <v>524.214711729622</v>
      </c>
      <c r="AE38" t="n">
        <v>512</v>
      </c>
      <c r="AF38" t="n">
        <v>541</v>
      </c>
    </row>
    <row r="39">
      <c r="A39" t="s">
        <v>149</v>
      </c>
      <c r="B39" t="s">
        <v>348</v>
      </c>
      <c r="C39" t="s">
        <v>236</v>
      </c>
      <c r="D39" t="s">
        <v>349</v>
      </c>
      <c r="E39" t="s">
        <v>237</v>
      </c>
      <c r="F39" t="n">
        <v>0</v>
      </c>
      <c r="G39" t="n">
        <v>13.4964973304506</v>
      </c>
      <c r="H39" t="n">
        <v>38.5614209441446</v>
      </c>
      <c r="I39" t="n">
        <v>38.5614209441446</v>
      </c>
      <c r="J39" t="n">
        <v>38.5614209441446</v>
      </c>
      <c r="K39" t="n">
        <v>48.2017761801808</v>
      </c>
      <c r="L39" t="n">
        <v>124.212269387389</v>
      </c>
      <c r="M39" t="n">
        <v>99.7197092264954</v>
      </c>
      <c r="N39" t="n">
        <v>79.7757673811963</v>
      </c>
      <c r="O39" t="n">
        <v>63.494998527891</v>
      </c>
      <c r="P39" t="n">
        <v>51.1057305224488</v>
      </c>
      <c r="Q39" t="n">
        <v>42.0870721949578</v>
      </c>
      <c r="R39" t="n">
        <v>79.8203093352649</v>
      </c>
      <c r="S39" t="n">
        <v>158.240262366402</v>
      </c>
      <c r="T39" t="n">
        <v>206.231161608672</v>
      </c>
      <c r="U39" t="n">
        <v>245.986566256127</v>
      </c>
      <c r="V39" t="n">
        <v>279.915747808696</v>
      </c>
      <c r="W39" t="n">
        <v>318.727595193935</v>
      </c>
      <c r="X39" t="n">
        <v>323.280846553849</v>
      </c>
      <c r="Y39" t="n">
        <v>335.459234608959</v>
      </c>
      <c r="Z39" t="n">
        <v>355.192130762427</v>
      </c>
      <c r="AA39" t="n">
        <v>358.440839275498</v>
      </c>
      <c r="AB39" t="n">
        <v>390.255114950839</v>
      </c>
      <c r="AC39" t="n">
        <v>411.407153701562</v>
      </c>
      <c r="AD39" t="n">
        <v>421.983173076923</v>
      </c>
      <c r="AE39" t="n">
        <v>423</v>
      </c>
      <c r="AF39" t="n">
        <v>420</v>
      </c>
    </row>
    <row r="40">
      <c r="A40" t="s">
        <v>149</v>
      </c>
      <c r="B40" t="s">
        <v>350</v>
      </c>
      <c r="C40" t="s">
        <v>236</v>
      </c>
      <c r="D40" t="s">
        <v>351</v>
      </c>
      <c r="E40" t="s">
        <v>237</v>
      </c>
      <c r="F40" t="n">
        <v>19.7530864197531</v>
      </c>
      <c r="G40" t="n">
        <v>22.2222222222222</v>
      </c>
      <c r="H40" t="n">
        <v>24.6913580246914</v>
      </c>
      <c r="I40" t="n">
        <v>22.2222222222222</v>
      </c>
      <c r="J40" t="n">
        <v>22.2222222222222</v>
      </c>
      <c r="K40" t="n">
        <v>22.2222222222222</v>
      </c>
      <c r="L40" t="n">
        <v>20</v>
      </c>
      <c r="M40" t="n">
        <v>16</v>
      </c>
      <c r="N40" t="n">
        <v>12</v>
      </c>
      <c r="O40" t="n">
        <v>8.57142857142857</v>
      </c>
      <c r="P40" t="n">
        <v>6.85714285714286</v>
      </c>
      <c r="Q40" t="n">
        <v>5.14285714285714</v>
      </c>
      <c r="R40" t="n">
        <v>3.85714285714286</v>
      </c>
      <c r="S40" t="n">
        <v>2.57142857142857</v>
      </c>
      <c r="T40" t="n">
        <v>2.57142857142857</v>
      </c>
      <c r="U40" t="n">
        <v>6.42857142857143</v>
      </c>
      <c r="V40" t="n">
        <v>9</v>
      </c>
      <c r="W40" t="n">
        <v>11.5714285714286</v>
      </c>
      <c r="X40" t="n">
        <v>9</v>
      </c>
      <c r="Y40" t="n">
        <v>7</v>
      </c>
      <c r="Z40" t="n">
        <v>8</v>
      </c>
      <c r="AA40" t="n">
        <v>9</v>
      </c>
      <c r="AB40" t="n">
        <v>9</v>
      </c>
      <c r="AC40" t="n">
        <v>9</v>
      </c>
      <c r="AD40" t="n">
        <v>9</v>
      </c>
      <c r="AE40" t="n">
        <v>10</v>
      </c>
      <c r="AF40" t="n">
        <v>9</v>
      </c>
    </row>
    <row r="41">
      <c r="A41" t="s">
        <v>149</v>
      </c>
      <c r="B41" t="s">
        <v>352</v>
      </c>
      <c r="C41" t="s">
        <v>236</v>
      </c>
      <c r="D41" t="s">
        <v>353</v>
      </c>
      <c r="E41" t="s">
        <v>237</v>
      </c>
      <c r="F41" t="e">
        <v>#NUM!</v>
      </c>
      <c r="G41" t="e">
        <v>#NUM!</v>
      </c>
      <c r="H41" t="e">
        <v>#NUM!</v>
      </c>
      <c r="I41" t="e">
        <v>#NUM!</v>
      </c>
      <c r="J41" t="e">
        <v>#NUM!</v>
      </c>
      <c r="K41" t="e">
        <v>#NUM!</v>
      </c>
      <c r="L41" t="e">
        <v>#NUM!</v>
      </c>
      <c r="M41" t="e">
        <v>#NUM!</v>
      </c>
      <c r="N41" t="e">
        <v>#NUM!</v>
      </c>
      <c r="O41" t="e">
        <v>#NUM!</v>
      </c>
      <c r="P41" t="e">
        <v>#NUM!</v>
      </c>
      <c r="Q41" t="e">
        <v>#NUM!</v>
      </c>
      <c r="R41" t="e">
        <v>#NUM!</v>
      </c>
      <c r="S41" t="e">
        <v>#NUM!</v>
      </c>
      <c r="T41" t="e">
        <v>#NUM!</v>
      </c>
      <c r="U41" t="e">
        <v>#NUM!</v>
      </c>
      <c r="V41" t="e">
        <v>#NUM!</v>
      </c>
      <c r="W41" t="e">
        <v>#NUM!</v>
      </c>
      <c r="X41" t="e">
        <v>#NUM!</v>
      </c>
      <c r="Y41" t="e">
        <v>#NUM!</v>
      </c>
      <c r="Z41" t="e">
        <v>#NUM!</v>
      </c>
      <c r="AA41" t="e">
        <v>#NUM!</v>
      </c>
      <c r="AB41" t="e">
        <v>#NUM!</v>
      </c>
      <c r="AC41" t="e">
        <v>#NUM!</v>
      </c>
      <c r="AD41" t="e">
        <v>#NUM!</v>
      </c>
      <c r="AE41" t="n">
        <v>0</v>
      </c>
      <c r="AF41" t="e">
        <v>#NUM!</v>
      </c>
    </row>
    <row r="42">
      <c r="A42" t="s">
        <v>149</v>
      </c>
      <c r="B42" t="s">
        <v>354</v>
      </c>
      <c r="C42" t="s">
        <v>236</v>
      </c>
      <c r="D42" t="s">
        <v>355</v>
      </c>
      <c r="E42" t="s">
        <v>237</v>
      </c>
      <c r="F42" t="n">
        <v>3480.01424793624</v>
      </c>
      <c r="G42" t="n">
        <v>3586.0718250162</v>
      </c>
      <c r="H42" t="n">
        <v>3709.50931216809</v>
      </c>
      <c r="I42" t="n">
        <v>3817.51294275753</v>
      </c>
      <c r="J42" t="n">
        <v>3979.40747069647</v>
      </c>
      <c r="K42" t="n">
        <v>4132.46160418479</v>
      </c>
      <c r="L42" t="n">
        <v>4258.64363790036</v>
      </c>
      <c r="M42" t="n">
        <v>4496.11447272752</v>
      </c>
      <c r="N42" t="n">
        <v>4524.7199914537</v>
      </c>
      <c r="O42" t="n">
        <v>4583.71670267874</v>
      </c>
      <c r="P42" t="n">
        <v>4601.00781506882</v>
      </c>
      <c r="Q42" t="n">
        <v>4664.05588300777</v>
      </c>
      <c r="R42" t="n">
        <v>4618.87284164113</v>
      </c>
      <c r="S42" t="n">
        <v>4555.34922370903</v>
      </c>
      <c r="T42" t="n">
        <v>4518.48512594491</v>
      </c>
      <c r="U42" t="n">
        <v>4482.0761043688</v>
      </c>
      <c r="V42" t="n">
        <v>4381.65800585562</v>
      </c>
      <c r="W42" t="n">
        <v>4334.28873011664</v>
      </c>
      <c r="X42" t="n">
        <v>4259.79672391421</v>
      </c>
      <c r="Y42" t="n">
        <v>4110.21266704721</v>
      </c>
      <c r="Z42" t="n">
        <v>3991.23572573359</v>
      </c>
      <c r="AA42" t="n">
        <v>3844.57899656265</v>
      </c>
      <c r="AB42" t="n">
        <v>3676.63775203489</v>
      </c>
      <c r="AC42" t="n">
        <v>3659.68983960834</v>
      </c>
      <c r="AD42" t="n">
        <v>3674.51926298157</v>
      </c>
      <c r="AE42" t="n">
        <v>3644</v>
      </c>
      <c r="AF42" t="n">
        <v>3697</v>
      </c>
    </row>
    <row r="43">
      <c r="A43" t="s">
        <v>149</v>
      </c>
      <c r="B43" t="s">
        <v>356</v>
      </c>
      <c r="C43" t="s">
        <v>236</v>
      </c>
      <c r="D43" t="s">
        <v>357</v>
      </c>
      <c r="E43" t="s">
        <v>237</v>
      </c>
      <c r="F43" t="n">
        <v>3491.44778519095</v>
      </c>
      <c r="G43" t="n">
        <v>3599.72686207346</v>
      </c>
      <c r="H43" t="n">
        <v>3727.45223861066</v>
      </c>
      <c r="I43" t="n">
        <v>3835.49433248343</v>
      </c>
      <c r="J43" t="n">
        <v>3999.38726383499</v>
      </c>
      <c r="K43" t="n">
        <v>4148.53026287888</v>
      </c>
      <c r="L43" t="n">
        <v>4272.83774392221</v>
      </c>
      <c r="M43" t="n">
        <v>4515.49272691039</v>
      </c>
      <c r="N43" t="n">
        <v>4545.76418653213</v>
      </c>
      <c r="O43" t="n">
        <v>4612.92682856738</v>
      </c>
      <c r="P43" t="n">
        <v>4636.49423402668</v>
      </c>
      <c r="Q43" t="n">
        <v>4705.51647828728</v>
      </c>
      <c r="R43" t="n">
        <v>4661.81199087284</v>
      </c>
      <c r="S43" t="n">
        <v>4588.44206849833</v>
      </c>
      <c r="T43" t="n">
        <v>4543.71528228017</v>
      </c>
      <c r="U43" t="n">
        <v>4504.826498804</v>
      </c>
      <c r="V43" t="n">
        <v>4402.05479160695</v>
      </c>
      <c r="W43" t="n">
        <v>4355.91661991314</v>
      </c>
      <c r="X43" t="n">
        <v>4279.19569101351</v>
      </c>
      <c r="Y43" t="n">
        <v>4135.29156063271</v>
      </c>
      <c r="Z43" t="n">
        <v>4016.38541352187</v>
      </c>
      <c r="AA43" t="n">
        <v>3879.57423155276</v>
      </c>
      <c r="AB43" t="n">
        <v>3710.61988950485</v>
      </c>
      <c r="AC43" t="n">
        <v>3693.67641968976</v>
      </c>
      <c r="AD43" t="n">
        <v>3705.32505518764</v>
      </c>
      <c r="AE43" t="n">
        <v>3686</v>
      </c>
      <c r="AF43" t="n">
        <v>3741</v>
      </c>
    </row>
    <row r="44">
      <c r="A44" t="s">
        <v>149</v>
      </c>
      <c r="B44" t="s">
        <v>358</v>
      </c>
      <c r="C44" t="s">
        <v>236</v>
      </c>
      <c r="D44" t="s">
        <v>359</v>
      </c>
      <c r="E44" t="s">
        <v>237</v>
      </c>
      <c r="F44" t="n">
        <v>14492.3949824126</v>
      </c>
      <c r="G44" t="n">
        <v>15462.3845230864</v>
      </c>
      <c r="H44" t="n">
        <v>16659.8154015592</v>
      </c>
      <c r="I44" t="n">
        <v>18157.3735091197</v>
      </c>
      <c r="J44" t="n">
        <v>20300.4668734675</v>
      </c>
      <c r="K44" t="n">
        <v>22597.7075681747</v>
      </c>
      <c r="L44" t="n">
        <v>24390.2338870166</v>
      </c>
      <c r="M44" t="n">
        <v>25695.5969528105</v>
      </c>
      <c r="N44" t="n">
        <v>26794.3609374994</v>
      </c>
      <c r="O44" t="n">
        <v>27847.5932447994</v>
      </c>
      <c r="P44" t="n">
        <v>28642.6551520311</v>
      </c>
      <c r="Q44" t="n">
        <v>29308.6238830482</v>
      </c>
      <c r="R44" t="n">
        <v>30283.1986321788</v>
      </c>
      <c r="S44" t="n">
        <v>31446.6894751699</v>
      </c>
      <c r="T44" t="n">
        <v>31668.8764613024</v>
      </c>
      <c r="U44" t="n">
        <v>31761.6514754804</v>
      </c>
      <c r="V44" t="n">
        <v>31353.338031317</v>
      </c>
      <c r="W44" t="n">
        <v>30374.3959939125</v>
      </c>
      <c r="X44" t="n">
        <v>29327.6342020994</v>
      </c>
      <c r="Y44" t="n">
        <v>28117.775903583</v>
      </c>
      <c r="Z44" t="n">
        <v>26765.1972131412</v>
      </c>
      <c r="AA44" t="n">
        <v>25356.5026229758</v>
      </c>
      <c r="AB44" t="n">
        <v>24076.6120784715</v>
      </c>
      <c r="AC44" t="n">
        <v>23328.8188389571</v>
      </c>
      <c r="AD44" t="n">
        <v>22694.3597023153</v>
      </c>
      <c r="AE44" t="n">
        <v>22146</v>
      </c>
      <c r="AF44" t="n">
        <v>22063</v>
      </c>
    </row>
    <row r="45">
      <c r="A45" t="s">
        <v>149</v>
      </c>
      <c r="B45" t="s">
        <v>360</v>
      </c>
      <c r="C45" t="s">
        <v>236</v>
      </c>
      <c r="D45" t="s">
        <v>361</v>
      </c>
      <c r="E45" t="s">
        <v>237</v>
      </c>
      <c r="F45" t="n">
        <v>14472.5722773547</v>
      </c>
      <c r="G45" t="n">
        <v>15444.9240565631</v>
      </c>
      <c r="H45" t="n">
        <v>16646.7395216448</v>
      </c>
      <c r="I45" t="n">
        <v>18140.2787684466</v>
      </c>
      <c r="J45" t="n">
        <v>20281.4788168692</v>
      </c>
      <c r="K45" t="n">
        <v>22580.7526777099</v>
      </c>
      <c r="L45" t="n">
        <v>24377.1176178828</v>
      </c>
      <c r="M45" t="n">
        <v>25682.531970688</v>
      </c>
      <c r="N45" t="n">
        <v>26782.9955695106</v>
      </c>
      <c r="O45" t="n">
        <v>27839.5078404625</v>
      </c>
      <c r="P45" t="n">
        <v>28636.1344617016</v>
      </c>
      <c r="Q45" t="n">
        <v>29303.6259412185</v>
      </c>
      <c r="R45" t="n">
        <v>30279.6850702574</v>
      </c>
      <c r="S45" t="n">
        <v>31443.2034765434</v>
      </c>
      <c r="T45" t="n">
        <v>31665.39370014</v>
      </c>
      <c r="U45" t="n">
        <v>31755.6620751018</v>
      </c>
      <c r="V45" t="n">
        <v>31342.4570481006</v>
      </c>
      <c r="W45" t="n">
        <v>30362.3402283014</v>
      </c>
      <c r="X45" t="n">
        <v>29317.8876218269</v>
      </c>
      <c r="Y45" t="n">
        <v>28106.9483620504</v>
      </c>
      <c r="Z45" t="n">
        <v>26755.515091145</v>
      </c>
      <c r="AA45" t="n">
        <v>25345.7867132961</v>
      </c>
      <c r="AB45" t="n">
        <v>24063.8282006206</v>
      </c>
      <c r="AC45" t="n">
        <v>23306.5044996019</v>
      </c>
      <c r="AD45" t="n">
        <v>22661.4553612517</v>
      </c>
      <c r="AE45" t="n">
        <v>22107</v>
      </c>
      <c r="AF45" t="n">
        <v>22020</v>
      </c>
    </row>
    <row r="46">
      <c r="A46" t="s">
        <v>149</v>
      </c>
      <c r="B46" t="s">
        <v>362</v>
      </c>
      <c r="C46" t="s">
        <v>236</v>
      </c>
      <c r="D46" t="s">
        <v>363</v>
      </c>
      <c r="E46" t="s">
        <v>237</v>
      </c>
      <c r="F46" t="n">
        <v>12.0188435798548</v>
      </c>
      <c r="G46" t="n">
        <v>14.4226122958258</v>
      </c>
      <c r="H46" t="n">
        <v>19.2301497277677</v>
      </c>
      <c r="I46" t="n">
        <v>19.2301497277677</v>
      </c>
      <c r="J46" t="n">
        <v>21.366833030853</v>
      </c>
      <c r="K46" t="n">
        <v>17.0934664246824</v>
      </c>
      <c r="L46" t="n">
        <v>15.1941923774955</v>
      </c>
      <c r="M46" t="n">
        <v>20.258923169994</v>
      </c>
      <c r="N46" t="n">
        <v>21.8173018753781</v>
      </c>
      <c r="O46" t="n">
        <v>29.6091954022989</v>
      </c>
      <c r="P46" t="n">
        <v>35.5310344827586</v>
      </c>
      <c r="Q46" t="n">
        <v>41.216</v>
      </c>
      <c r="R46" t="n">
        <v>42.5898666666667</v>
      </c>
      <c r="S46" t="n">
        <v>33.2733333333333</v>
      </c>
      <c r="T46" t="n">
        <v>26.1433333333333</v>
      </c>
      <c r="U46" t="n">
        <v>23.87</v>
      </c>
      <c r="V46" t="n">
        <v>21.7</v>
      </c>
      <c r="W46" t="n">
        <v>22.7333333333333</v>
      </c>
      <c r="X46" t="n">
        <v>20.6666666666667</v>
      </c>
      <c r="Y46" t="n">
        <v>25.8333333333333</v>
      </c>
      <c r="Z46" t="n">
        <v>25.8333333333333</v>
      </c>
      <c r="AA46" t="n">
        <v>35.1333333333333</v>
      </c>
      <c r="AB46" t="n">
        <v>34.1</v>
      </c>
      <c r="AC46" t="n">
        <v>34.1</v>
      </c>
      <c r="AD46" t="n">
        <v>31</v>
      </c>
      <c r="AE46" t="n">
        <v>42</v>
      </c>
      <c r="AF46" t="n">
        <v>44</v>
      </c>
    </row>
    <row r="47">
      <c r="A47" t="s">
        <v>149</v>
      </c>
      <c r="B47" t="s">
        <v>364</v>
      </c>
      <c r="C47" t="s">
        <v>236</v>
      </c>
      <c r="D47" t="s">
        <v>365</v>
      </c>
      <c r="E47" t="s">
        <v>237</v>
      </c>
      <c r="F47" t="n">
        <v>272.688258015838</v>
      </c>
      <c r="G47" t="n">
        <v>274.852450539773</v>
      </c>
      <c r="H47" t="n">
        <v>279.016881608558</v>
      </c>
      <c r="I47" t="n">
        <v>293.273218625053</v>
      </c>
      <c r="J47" t="n">
        <v>318.860814880931</v>
      </c>
      <c r="K47" t="n">
        <v>334.320733178188</v>
      </c>
      <c r="L47" t="n">
        <v>332.493843925848</v>
      </c>
      <c r="M47" t="n">
        <v>344.616015318978</v>
      </c>
      <c r="N47" t="n">
        <v>346.272823084934</v>
      </c>
      <c r="O47" t="n">
        <v>347.883394355097</v>
      </c>
      <c r="P47" t="n">
        <v>346.337245935741</v>
      </c>
      <c r="Q47" t="n">
        <v>362.618056642122</v>
      </c>
      <c r="R47" t="n">
        <v>343.911569593124</v>
      </c>
      <c r="S47" t="n">
        <v>325.81096066717</v>
      </c>
      <c r="T47" t="n">
        <v>328.407063939418</v>
      </c>
      <c r="U47" t="n">
        <v>322.18723318299</v>
      </c>
      <c r="V47" t="n">
        <v>306.381821743824</v>
      </c>
      <c r="W47" t="n">
        <v>319.294465572108</v>
      </c>
      <c r="X47" t="n">
        <v>314.749348624462</v>
      </c>
      <c r="Y47" t="n">
        <v>302.558352727036</v>
      </c>
      <c r="Z47" t="n">
        <v>291.596093570259</v>
      </c>
      <c r="AA47" t="n">
        <v>315.268101166369</v>
      </c>
      <c r="AB47" t="n">
        <v>350.180340557276</v>
      </c>
      <c r="AC47" t="n">
        <v>381.823142414861</v>
      </c>
      <c r="AD47" t="n">
        <v>400.808823529412</v>
      </c>
      <c r="AE47" t="n">
        <v>414</v>
      </c>
      <c r="AF47" t="n">
        <v>417</v>
      </c>
    </row>
    <row r="48">
      <c r="A48" t="s">
        <v>149</v>
      </c>
      <c r="B48" t="s">
        <v>366</v>
      </c>
      <c r="C48" t="s">
        <v>236</v>
      </c>
      <c r="D48" t="s">
        <v>367</v>
      </c>
      <c r="E48" t="s">
        <v>237</v>
      </c>
      <c r="F48" t="n">
        <v>3958.83701081408</v>
      </c>
      <c r="G48" t="n">
        <v>4301.06776188836</v>
      </c>
      <c r="H48" t="n">
        <v>4828.07606472844</v>
      </c>
      <c r="I48" t="n">
        <v>5016.9646811903</v>
      </c>
      <c r="J48" t="n">
        <v>5336.77119473231</v>
      </c>
      <c r="K48" t="n">
        <v>5450.6537294249</v>
      </c>
      <c r="L48" t="n">
        <v>5621.4507808919</v>
      </c>
      <c r="M48" t="n">
        <v>5853.55322164189</v>
      </c>
      <c r="N48" t="n">
        <v>6046.93403763983</v>
      </c>
      <c r="O48" t="n">
        <v>6230.22405447763</v>
      </c>
      <c r="P48" t="n">
        <v>6338.50754560079</v>
      </c>
      <c r="Q48" t="n">
        <v>6450.86586890971</v>
      </c>
      <c r="R48" t="n">
        <v>6575.92774103014</v>
      </c>
      <c r="S48" t="n">
        <v>6591.41376225715</v>
      </c>
      <c r="T48" t="n">
        <v>6670.14854739261</v>
      </c>
      <c r="U48" t="n">
        <v>6841.6273147022</v>
      </c>
      <c r="V48" t="n">
        <v>6929.52830803884</v>
      </c>
      <c r="W48" t="n">
        <v>7014.58218430526</v>
      </c>
      <c r="X48" t="n">
        <v>7006.57858605096</v>
      </c>
      <c r="Y48" t="n">
        <v>7012.15440857686</v>
      </c>
      <c r="Z48" t="n">
        <v>6864.57647693727</v>
      </c>
      <c r="AA48" t="n">
        <v>6878.69441621906</v>
      </c>
      <c r="AB48" t="n">
        <v>6966.93732758632</v>
      </c>
      <c r="AC48" t="n">
        <v>7102.50558206048</v>
      </c>
      <c r="AD48" t="n">
        <v>7215.83216978498</v>
      </c>
      <c r="AE48" t="n">
        <v>7285</v>
      </c>
      <c r="AF48" t="n">
        <v>7295</v>
      </c>
    </row>
    <row r="49">
      <c r="A49" t="s">
        <v>149</v>
      </c>
      <c r="B49" t="s">
        <v>368</v>
      </c>
      <c r="C49" t="s">
        <v>236</v>
      </c>
      <c r="D49" t="s">
        <v>369</v>
      </c>
      <c r="E49" t="s">
        <v>237</v>
      </c>
      <c r="F49" t="n">
        <v>3666.43482625875</v>
      </c>
      <c r="G49" t="n">
        <v>4004.56896032601</v>
      </c>
      <c r="H49" t="n">
        <v>4525.88638608578</v>
      </c>
      <c r="I49" t="n">
        <v>4696.28247592004</v>
      </c>
      <c r="J49" t="n">
        <v>4984.4225170502</v>
      </c>
      <c r="K49" t="n">
        <v>5078.76489907639</v>
      </c>
      <c r="L49" t="n">
        <v>5251.58785392971</v>
      </c>
      <c r="M49" t="n">
        <v>5471.72483640496</v>
      </c>
      <c r="N49" t="n">
        <v>5662.03105570744</v>
      </c>
      <c r="O49" t="n">
        <v>5843.93711856809</v>
      </c>
      <c r="P49" t="n">
        <v>5955.53462674946</v>
      </c>
      <c r="Q49" t="n">
        <v>6050.04311075077</v>
      </c>
      <c r="R49" t="n">
        <v>6191.28358770452</v>
      </c>
      <c r="S49" t="n">
        <v>6223.69868502234</v>
      </c>
      <c r="T49" t="n">
        <v>6298.57222344494</v>
      </c>
      <c r="U49" t="n">
        <v>6471.444730771</v>
      </c>
      <c r="V49" t="n">
        <v>6572.84739504398</v>
      </c>
      <c r="W49" t="n">
        <v>6639.03683113865</v>
      </c>
      <c r="X49" t="n">
        <v>6632.17359526911</v>
      </c>
      <c r="Y49" t="n">
        <v>6647.78920750149</v>
      </c>
      <c r="Z49" t="n">
        <v>6515.5825941604</v>
      </c>
      <c r="AA49" t="n">
        <v>6505.80270033994</v>
      </c>
      <c r="AB49" t="n">
        <v>6558.98944576456</v>
      </c>
      <c r="AC49" t="n">
        <v>6653.29478674567</v>
      </c>
      <c r="AD49" t="n">
        <v>6740.18285371703</v>
      </c>
      <c r="AE49" t="n">
        <v>6788</v>
      </c>
      <c r="AF49" t="n">
        <v>6785</v>
      </c>
    </row>
    <row r="50">
      <c r="A50" t="s">
        <v>149</v>
      </c>
      <c r="B50" t="s">
        <v>370</v>
      </c>
      <c r="C50" t="s">
        <v>236</v>
      </c>
      <c r="D50" t="s">
        <v>371</v>
      </c>
      <c r="E50" t="s">
        <v>237</v>
      </c>
      <c r="F50" t="n">
        <v>18.7859734066362</v>
      </c>
      <c r="G50" t="n">
        <v>21.1342200824657</v>
      </c>
      <c r="H50" t="n">
        <v>23.2476420907123</v>
      </c>
      <c r="I50" t="n">
        <v>27.4744861072054</v>
      </c>
      <c r="J50" t="n">
        <v>33.3618759873208</v>
      </c>
      <c r="K50" t="n">
        <v>37.2868025740645</v>
      </c>
      <c r="L50" t="n">
        <v>37.2868025740645</v>
      </c>
      <c r="M50" t="n">
        <v>37.2868025740645</v>
      </c>
      <c r="N50" t="n">
        <v>38.8404193479838</v>
      </c>
      <c r="O50" t="n">
        <v>38.8404193479838</v>
      </c>
      <c r="P50" t="n">
        <v>37.4018852980585</v>
      </c>
      <c r="Q50" t="n">
        <v>38.7871403090977</v>
      </c>
      <c r="R50" t="n">
        <v>41.4621155028286</v>
      </c>
      <c r="S50" t="n">
        <v>42.799603099694</v>
      </c>
      <c r="T50" t="n">
        <v>44.0584149555674</v>
      </c>
      <c r="U50" t="n">
        <v>48.8214868426557</v>
      </c>
      <c r="V50" t="n">
        <v>51.1463195494489</v>
      </c>
      <c r="W50" t="n">
        <v>56.9584013164317</v>
      </c>
      <c r="X50" t="n">
        <v>60.3759053954176</v>
      </c>
      <c r="Y50" t="n">
        <v>62.6542414480748</v>
      </c>
      <c r="Z50" t="n">
        <v>58.2574525745257</v>
      </c>
      <c r="AA50" t="n">
        <v>58.2574525745257</v>
      </c>
      <c r="AB50" t="n">
        <v>58.2574525745257</v>
      </c>
      <c r="AC50" t="n">
        <v>67.6202574525745</v>
      </c>
      <c r="AD50" t="n">
        <v>74.9024390243902</v>
      </c>
      <c r="AE50" t="n">
        <v>83</v>
      </c>
      <c r="AF50" t="n">
        <v>93</v>
      </c>
    </row>
    <row r="51">
      <c r="A51" t="s">
        <v>149</v>
      </c>
      <c r="B51" t="s">
        <v>372</v>
      </c>
      <c r="C51" t="s">
        <v>236</v>
      </c>
      <c r="D51" t="s">
        <v>373</v>
      </c>
      <c r="E51" t="s">
        <v>237</v>
      </c>
      <c r="F51" t="n">
        <v>19.8796591711948</v>
      </c>
      <c r="G51" t="n">
        <v>19.8796591711948</v>
      </c>
      <c r="H51" t="n">
        <v>19.8796591711948</v>
      </c>
      <c r="I51" t="n">
        <v>24.2973612092381</v>
      </c>
      <c r="J51" t="n">
        <v>28.3469214107778</v>
      </c>
      <c r="K51" t="n">
        <v>32.3964816123175</v>
      </c>
      <c r="L51" t="n">
        <v>32.3964816123175</v>
      </c>
      <c r="M51" t="n">
        <v>30.6914036327218</v>
      </c>
      <c r="N51" t="n">
        <v>30.6914036327218</v>
      </c>
      <c r="O51" t="n">
        <v>30.6914036327218</v>
      </c>
      <c r="P51" t="n">
        <v>29.1568334510857</v>
      </c>
      <c r="Q51" t="n">
        <v>29.1568334510857</v>
      </c>
      <c r="R51" t="n">
        <v>31.9336747321415</v>
      </c>
      <c r="S51" t="n">
        <v>33.3220953726694</v>
      </c>
      <c r="T51" t="n">
        <v>34.6549791875762</v>
      </c>
      <c r="U51" t="n">
        <v>35.8926570157039</v>
      </c>
      <c r="V51" t="n">
        <v>35.8926570157039</v>
      </c>
      <c r="W51" t="n">
        <v>38.2855008167508</v>
      </c>
      <c r="X51" t="n">
        <v>38.2855008167508</v>
      </c>
      <c r="Y51" t="n">
        <v>37.1253341253341</v>
      </c>
      <c r="Z51" t="n">
        <v>30.5738045738046</v>
      </c>
      <c r="AA51" t="n">
        <v>28.3899613899614</v>
      </c>
      <c r="AB51" t="n">
        <v>27.3384813384813</v>
      </c>
      <c r="AC51" t="n">
        <v>35.7503217503217</v>
      </c>
      <c r="AD51" t="n">
        <v>38.9047619047619</v>
      </c>
      <c r="AE51" t="n">
        <v>43</v>
      </c>
      <c r="AF51" t="n">
        <v>51</v>
      </c>
    </row>
    <row r="52">
      <c r="A52" t="s">
        <v>149</v>
      </c>
      <c r="B52" t="s">
        <v>374</v>
      </c>
      <c r="C52" t="s">
        <v>236</v>
      </c>
      <c r="D52" t="s">
        <v>375</v>
      </c>
      <c r="E52" t="s">
        <v>237</v>
      </c>
      <c r="F52" t="n">
        <v>0</v>
      </c>
      <c r="G52" t="n">
        <v>1.93885714285714</v>
      </c>
      <c r="H52" t="n">
        <v>3.87771428571429</v>
      </c>
      <c r="I52" t="n">
        <v>3.87771428571429</v>
      </c>
      <c r="J52" t="n">
        <v>5.81657142857143</v>
      </c>
      <c r="K52" t="n">
        <v>5.81657142857143</v>
      </c>
      <c r="L52" t="n">
        <v>5.81657142857143</v>
      </c>
      <c r="M52" t="n">
        <v>7.27071428571429</v>
      </c>
      <c r="N52" t="n">
        <v>8.72485714285714</v>
      </c>
      <c r="O52" t="n">
        <v>8.72485714285714</v>
      </c>
      <c r="P52" t="n">
        <v>8.72485714285714</v>
      </c>
      <c r="Q52" t="n">
        <v>9.97126530612245</v>
      </c>
      <c r="R52" t="n">
        <v>9.97126530612245</v>
      </c>
      <c r="S52" t="n">
        <v>9.97126530612245</v>
      </c>
      <c r="T52" t="n">
        <v>9.97126530612245</v>
      </c>
      <c r="U52" t="n">
        <v>13.2950204081633</v>
      </c>
      <c r="V52" t="n">
        <v>15.5108571428571</v>
      </c>
      <c r="W52" t="n">
        <v>18.834612244898</v>
      </c>
      <c r="X52" t="n">
        <v>22.1583673469388</v>
      </c>
      <c r="Y52" t="n">
        <v>25.4821224489796</v>
      </c>
      <c r="Z52" t="n">
        <v>27.6979591836735</v>
      </c>
      <c r="AA52" t="n">
        <v>29.8285714285714</v>
      </c>
      <c r="AB52" t="n">
        <v>30.8571428571429</v>
      </c>
      <c r="AC52" t="n">
        <v>31.8857142857143</v>
      </c>
      <c r="AD52" t="n">
        <v>36</v>
      </c>
      <c r="AE52" t="n">
        <v>40</v>
      </c>
      <c r="AF52" t="n">
        <v>42</v>
      </c>
    </row>
    <row r="53">
      <c r="A53" t="s">
        <v>149</v>
      </c>
      <c r="B53" t="s">
        <v>376</v>
      </c>
      <c r="C53" t="s">
        <v>236</v>
      </c>
      <c r="D53" t="s">
        <v>377</v>
      </c>
      <c r="E53" t="s">
        <v>237</v>
      </c>
      <c r="F53" t="n">
        <v>20.1918471328733</v>
      </c>
      <c r="G53" t="n">
        <v>20.1918471328733</v>
      </c>
      <c r="H53" t="n">
        <v>20.1918471328733</v>
      </c>
      <c r="I53" t="n">
        <v>22.7158280244825</v>
      </c>
      <c r="J53" t="n">
        <v>24.9874108269307</v>
      </c>
      <c r="K53" t="n">
        <v>27.258993629379</v>
      </c>
      <c r="L53" t="n">
        <v>27.258993629379</v>
      </c>
      <c r="M53" t="n">
        <v>25.3119226558519</v>
      </c>
      <c r="N53" t="n">
        <v>25.3119226558519</v>
      </c>
      <c r="O53" t="n">
        <v>23.3648516823248</v>
      </c>
      <c r="P53" t="n">
        <v>21.6959337050159</v>
      </c>
      <c r="Q53" t="n">
        <v>21.6959337050159</v>
      </c>
      <c r="R53" t="n">
        <v>24.7953528057325</v>
      </c>
      <c r="S53" t="n">
        <v>24.7953528057325</v>
      </c>
      <c r="T53" t="n">
        <v>28.7104085119008</v>
      </c>
      <c r="U53" t="n">
        <v>35.888010639876</v>
      </c>
      <c r="V53" t="n">
        <v>40.6730787251928</v>
      </c>
      <c r="W53" t="n">
        <v>48.8076944702313</v>
      </c>
      <c r="X53" t="n">
        <v>52.2128824565265</v>
      </c>
      <c r="Y53" t="n">
        <v>61.100181598063</v>
      </c>
      <c r="Z53" t="n">
        <v>65.5438311688312</v>
      </c>
      <c r="AA53" t="n">
        <v>61.1742424242424</v>
      </c>
      <c r="AB53" t="n">
        <v>71.9065656565657</v>
      </c>
      <c r="AC53" t="n">
        <v>80.4924242424242</v>
      </c>
      <c r="AD53" t="n">
        <v>86.9318181818182</v>
      </c>
      <c r="AE53" t="n">
        <v>90</v>
      </c>
      <c r="AF53" t="n">
        <v>98</v>
      </c>
    </row>
    <row r="54">
      <c r="A54" t="s">
        <v>149</v>
      </c>
      <c r="B54" t="s">
        <v>378</v>
      </c>
      <c r="C54" t="s">
        <v>236</v>
      </c>
      <c r="D54" t="s">
        <v>379</v>
      </c>
      <c r="E54" t="s">
        <v>237</v>
      </c>
      <c r="F54" t="n">
        <v>71.7317250873396</v>
      </c>
      <c r="G54" t="n">
        <v>74.38845564613</v>
      </c>
      <c r="H54" t="n">
        <v>69.4292252697213</v>
      </c>
      <c r="I54" t="n">
        <v>69.4292252697213</v>
      </c>
      <c r="J54" t="n">
        <v>69.4292252697213</v>
      </c>
      <c r="K54" t="n">
        <v>75.7409730215142</v>
      </c>
      <c r="L54" t="n">
        <v>81.5672017154768</v>
      </c>
      <c r="M54" t="n">
        <v>81.5672017154768</v>
      </c>
      <c r="N54" t="n">
        <v>87.0050151631752</v>
      </c>
      <c r="O54" t="n">
        <v>90.6302241283075</v>
      </c>
      <c r="P54" t="n">
        <v>88.95188664445</v>
      </c>
      <c r="Q54" t="n">
        <v>87.3345796145509</v>
      </c>
      <c r="R54" t="n">
        <v>82.570875271939</v>
      </c>
      <c r="S54" t="n">
        <v>75.1984756940873</v>
      </c>
      <c r="T54" t="n">
        <v>72.5128158478699</v>
      </c>
      <c r="U54" t="n">
        <v>77.4289389562001</v>
      </c>
      <c r="V54" t="n">
        <v>79.8485932985813</v>
      </c>
      <c r="W54" t="n">
        <v>86.9992135939767</v>
      </c>
      <c r="X54" t="n">
        <v>88.1290735107816</v>
      </c>
      <c r="Y54" t="n">
        <v>97.0535366511139</v>
      </c>
      <c r="Z54" t="n">
        <v>101.51576822128</v>
      </c>
      <c r="AA54" t="n">
        <v>98.2410660205936</v>
      </c>
      <c r="AB54" t="n">
        <v>108.919442761962</v>
      </c>
      <c r="AC54" t="n">
        <v>118.529981829194</v>
      </c>
      <c r="AD54" t="n">
        <v>124.937007874016</v>
      </c>
      <c r="AE54" t="n">
        <v>129</v>
      </c>
      <c r="AF54" t="n">
        <v>142</v>
      </c>
    </row>
    <row r="55">
      <c r="A55" t="s">
        <v>149</v>
      </c>
      <c r="B55" t="s">
        <v>380</v>
      </c>
      <c r="C55" t="s">
        <v>236</v>
      </c>
      <c r="D55" t="s">
        <v>381</v>
      </c>
      <c r="E55" t="s">
        <v>237</v>
      </c>
      <c r="F55" t="n">
        <v>52.5116039495565</v>
      </c>
      <c r="G55" t="n">
        <v>55.012156518583</v>
      </c>
      <c r="H55" t="n">
        <v>50.2284907343584</v>
      </c>
      <c r="I55" t="n">
        <v>48.0446433111254</v>
      </c>
      <c r="J55" t="n">
        <v>45.9557457758591</v>
      </c>
      <c r="K55" t="n">
        <v>50.1335408463917</v>
      </c>
      <c r="L55" t="n">
        <v>55.9181801748215</v>
      </c>
      <c r="M55" t="n">
        <v>57.7821195139822</v>
      </c>
      <c r="N55" t="n">
        <v>63.1991932184181</v>
      </c>
      <c r="O55" t="n">
        <v>68.6162669228539</v>
      </c>
      <c r="P55" t="n">
        <v>68.6162669228539</v>
      </c>
      <c r="Q55" t="n">
        <v>66.9426994369306</v>
      </c>
      <c r="R55" t="n">
        <v>58.7789556031586</v>
      </c>
      <c r="S55" t="n">
        <v>51.2431920642921</v>
      </c>
      <c r="T55" t="n">
        <v>44.3184363799283</v>
      </c>
      <c r="U55" t="n">
        <v>41.7859543010753</v>
      </c>
      <c r="V55" t="n">
        <v>39.3279569892473</v>
      </c>
      <c r="W55" t="n">
        <v>38.0989583333333</v>
      </c>
      <c r="X55" t="n">
        <v>35.8578431372549</v>
      </c>
      <c r="Y55" t="n">
        <v>35.8578431372549</v>
      </c>
      <c r="Z55" t="n">
        <v>35.8578431372549</v>
      </c>
      <c r="AA55" t="n">
        <v>36.9444444444444</v>
      </c>
      <c r="AB55" t="n">
        <v>36.9444444444444</v>
      </c>
      <c r="AC55" t="n">
        <v>38</v>
      </c>
      <c r="AD55" t="n">
        <v>38</v>
      </c>
      <c r="AE55" t="n">
        <v>39</v>
      </c>
      <c r="AF55" t="n">
        <v>44</v>
      </c>
    </row>
    <row r="56">
      <c r="A56" t="s">
        <v>149</v>
      </c>
      <c r="B56" t="s">
        <v>382</v>
      </c>
      <c r="C56" t="s">
        <v>236</v>
      </c>
      <c r="D56" t="s">
        <v>383</v>
      </c>
      <c r="E56" t="s">
        <v>237</v>
      </c>
      <c r="F56" t="e">
        <v>#NUM!</v>
      </c>
      <c r="G56" t="e">
        <v>#NUM!</v>
      </c>
      <c r="H56" t="e">
        <v>#NUM!</v>
      </c>
      <c r="I56" t="e">
        <v>#NUM!</v>
      </c>
      <c r="J56" t="e">
        <v>#NUM!</v>
      </c>
      <c r="K56" t="e">
        <v>#NUM!</v>
      </c>
      <c r="L56" t="e">
        <v>#NUM!</v>
      </c>
      <c r="M56" t="e">
        <v>#NUM!</v>
      </c>
      <c r="N56" t="e">
        <v>#NUM!</v>
      </c>
      <c r="O56" t="e">
        <v>#NUM!</v>
      </c>
      <c r="P56" t="e">
        <v>#NUM!</v>
      </c>
      <c r="Q56" t="e">
        <v>#NUM!</v>
      </c>
      <c r="R56" t="e">
        <v>#NUM!</v>
      </c>
      <c r="S56" t="e">
        <v>#NUM!</v>
      </c>
      <c r="T56" t="e">
        <v>#NUM!</v>
      </c>
      <c r="U56" t="e">
        <v>#NUM!</v>
      </c>
      <c r="V56" t="e">
        <v>#NUM!</v>
      </c>
      <c r="W56" t="e">
        <v>#NUM!</v>
      </c>
      <c r="X56" t="e">
        <v>#NUM!</v>
      </c>
      <c r="Y56" t="e">
        <v>#NUM!</v>
      </c>
      <c r="Z56" t="e">
        <v>#NUM!</v>
      </c>
      <c r="AA56" t="e">
        <v>#NUM!</v>
      </c>
      <c r="AB56" t="e">
        <v>#NUM!</v>
      </c>
      <c r="AC56" t="e">
        <v>#NUM!</v>
      </c>
      <c r="AD56" t="e">
        <v>#NUM!</v>
      </c>
      <c r="AE56" t="n">
        <v>0</v>
      </c>
      <c r="AF56" t="e">
        <v>#NUM!</v>
      </c>
    </row>
    <row r="57">
      <c r="A57" t="s">
        <v>149</v>
      </c>
      <c r="B57" t="s">
        <v>384</v>
      </c>
      <c r="C57" t="s">
        <v>236</v>
      </c>
      <c r="D57" t="s">
        <v>385</v>
      </c>
      <c r="E57" t="s">
        <v>237</v>
      </c>
      <c r="F57" t="n">
        <v>18467.9868424589</v>
      </c>
      <c r="G57" t="n">
        <v>19782.3949969162</v>
      </c>
      <c r="H57" t="n">
        <v>21509.0750718915</v>
      </c>
      <c r="I57" t="n">
        <v>23193.6206890189</v>
      </c>
      <c r="J57" t="n">
        <v>25656.8191652945</v>
      </c>
      <c r="K57" t="n">
        <v>28068.462052801</v>
      </c>
      <c r="L57" t="n">
        <v>30030.1365033306</v>
      </c>
      <c r="M57" t="n">
        <v>31564.0993075544</v>
      </c>
      <c r="N57" t="n">
        <v>32852.9106119034</v>
      </c>
      <c r="O57" t="n">
        <v>34086.1230590999</v>
      </c>
      <c r="P57" t="n">
        <v>34987.8390991001</v>
      </c>
      <c r="Q57" t="n">
        <v>35764.646807871</v>
      </c>
      <c r="R57" t="n">
        <v>36862.6778226979</v>
      </c>
      <c r="S57" t="n">
        <v>38039.8811722965</v>
      </c>
      <c r="T57" t="n">
        <v>38340.8462354687</v>
      </c>
      <c r="U57" t="n">
        <v>38609.0604518849</v>
      </c>
      <c r="V57" t="n">
        <v>38291.2904070135</v>
      </c>
      <c r="W57" t="n">
        <v>37399.9705451066</v>
      </c>
      <c r="X57" t="n">
        <v>36343.0024220395</v>
      </c>
      <c r="Y57" t="n">
        <v>35136.5124204856</v>
      </c>
      <c r="Z57" t="n">
        <v>33637.5219683421</v>
      </c>
      <c r="AA57" t="n">
        <v>32244.1040203445</v>
      </c>
      <c r="AB57" t="n">
        <v>31052.4371138824</v>
      </c>
      <c r="AC57" t="n">
        <v>30440.2429447091</v>
      </c>
      <c r="AD57" t="n">
        <v>29919.1364892882</v>
      </c>
      <c r="AE57" t="n">
        <v>29441</v>
      </c>
      <c r="AF57" t="n">
        <v>29367</v>
      </c>
    </row>
    <row r="58">
      <c r="A58" t="s">
        <v>149</v>
      </c>
      <c r="B58" t="s">
        <v>386</v>
      </c>
      <c r="C58" t="s">
        <v>236</v>
      </c>
      <c r="D58" t="s">
        <v>387</v>
      </c>
      <c r="E58" t="s">
        <v>237</v>
      </c>
      <c r="F58" t="n">
        <v>18467.9868424589</v>
      </c>
      <c r="G58" t="n">
        <v>19782.3949969162</v>
      </c>
      <c r="H58" t="n">
        <v>21509.0750718915</v>
      </c>
      <c r="I58" t="n">
        <v>23193.6206890189</v>
      </c>
      <c r="J58" t="n">
        <v>25656.8191652945</v>
      </c>
      <c r="K58" t="n">
        <v>28068.462052801</v>
      </c>
      <c r="L58" t="n">
        <v>30030.1365033306</v>
      </c>
      <c r="M58" t="n">
        <v>31564.0993075544</v>
      </c>
      <c r="N58" t="n">
        <v>32852.9106119034</v>
      </c>
      <c r="O58" t="n">
        <v>34086.1230590999</v>
      </c>
      <c r="P58" t="n">
        <v>34987.8390991001</v>
      </c>
      <c r="Q58" t="n">
        <v>35764.646807871</v>
      </c>
      <c r="R58" t="n">
        <v>36862.6778226979</v>
      </c>
      <c r="S58" t="n">
        <v>38039.8811722965</v>
      </c>
      <c r="T58" t="n">
        <v>38340.8462354687</v>
      </c>
      <c r="U58" t="n">
        <v>38609.0604518849</v>
      </c>
      <c r="V58" t="n">
        <v>38291.2904070135</v>
      </c>
      <c r="W58" t="n">
        <v>37399.9705451066</v>
      </c>
      <c r="X58" t="n">
        <v>36343.0024220395</v>
      </c>
      <c r="Y58" t="n">
        <v>35136.5124204856</v>
      </c>
      <c r="Z58" t="n">
        <v>33637.5219683421</v>
      </c>
      <c r="AA58" t="n">
        <v>32244.1040203445</v>
      </c>
      <c r="AB58" t="n">
        <v>31052.4371138824</v>
      </c>
      <c r="AC58" t="n">
        <v>30440.2429447091</v>
      </c>
      <c r="AD58" t="n">
        <v>29919.1364892882</v>
      </c>
      <c r="AE58" t="n">
        <v>29441</v>
      </c>
      <c r="AF58" t="n">
        <v>29367</v>
      </c>
    </row>
    <row r="59">
      <c r="A59" t="s">
        <v>149</v>
      </c>
      <c r="B59" t="s">
        <v>388</v>
      </c>
      <c r="C59" t="s">
        <v>236</v>
      </c>
      <c r="D59" t="s">
        <v>389</v>
      </c>
      <c r="E59" t="s">
        <v>237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150</v>
      </c>
      <c r="B2" t="s">
        <v>197</v>
      </c>
      <c r="C2" t="s">
        <v>236</v>
      </c>
      <c r="D2" t="s">
        <v>199</v>
      </c>
      <c r="E2" t="s">
        <v>237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150</v>
      </c>
      <c r="B3" t="s">
        <v>276</v>
      </c>
      <c r="C3" t="s">
        <v>236</v>
      </c>
      <c r="D3" t="s">
        <v>277</v>
      </c>
      <c r="E3" t="s">
        <v>237</v>
      </c>
      <c r="F3" t="n">
        <v>213.826</v>
      </c>
      <c r="G3" t="n">
        <v>204.765</v>
      </c>
      <c r="H3" t="n">
        <v>194.265</v>
      </c>
      <c r="I3" t="n">
        <v>190.856</v>
      </c>
      <c r="J3" t="n">
        <v>192.502</v>
      </c>
      <c r="K3" t="n">
        <v>200.456</v>
      </c>
      <c r="L3" t="n">
        <v>222.211</v>
      </c>
      <c r="M3" t="n">
        <v>232.312</v>
      </c>
      <c r="N3" t="n">
        <v>237.944</v>
      </c>
      <c r="O3" t="n">
        <v>229.691</v>
      </c>
      <c r="P3" t="n">
        <v>231.042</v>
      </c>
      <c r="Q3" t="n">
        <v>231.042</v>
      </c>
      <c r="R3" t="n">
        <v>248.815</v>
      </c>
      <c r="S3" t="n">
        <v>264.671</v>
      </c>
      <c r="T3" t="n">
        <v>265.802</v>
      </c>
      <c r="U3" t="n">
        <v>276.785</v>
      </c>
      <c r="V3" t="n">
        <v>307.297</v>
      </c>
      <c r="W3" t="n">
        <v>336.615</v>
      </c>
      <c r="X3" t="n">
        <v>322.811</v>
      </c>
      <c r="Y3" t="n">
        <v>296.609</v>
      </c>
      <c r="Z3" t="n">
        <v>271.631</v>
      </c>
      <c r="AA3" t="n">
        <v>257.172</v>
      </c>
      <c r="AB3" t="n">
        <v>266.58</v>
      </c>
      <c r="AC3" t="n">
        <v>281.046</v>
      </c>
      <c r="AD3" t="n">
        <v>285.061</v>
      </c>
      <c r="AE3" t="n">
        <v>294</v>
      </c>
      <c r="AF3" t="n">
        <v>301</v>
      </c>
    </row>
    <row r="4">
      <c r="A4" t="s">
        <v>150</v>
      </c>
      <c r="B4" t="s">
        <v>278</v>
      </c>
      <c r="C4" t="s">
        <v>236</v>
      </c>
      <c r="D4" t="s">
        <v>279</v>
      </c>
      <c r="E4" t="s">
        <v>237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150</v>
      </c>
      <c r="B5" t="s">
        <v>280</v>
      </c>
      <c r="C5" t="s">
        <v>236</v>
      </c>
      <c r="D5" t="s">
        <v>281</v>
      </c>
      <c r="E5" t="s">
        <v>237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150</v>
      </c>
      <c r="B6" t="s">
        <v>282</v>
      </c>
      <c r="C6" t="s">
        <v>236</v>
      </c>
      <c r="D6" t="s">
        <v>283</v>
      </c>
      <c r="E6" t="s">
        <v>237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150</v>
      </c>
      <c r="B7" t="s">
        <v>284</v>
      </c>
      <c r="C7" t="s">
        <v>236</v>
      </c>
      <c r="D7" t="s">
        <v>285</v>
      </c>
      <c r="E7" t="s">
        <v>237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150</v>
      </c>
      <c r="B8" t="s">
        <v>286</v>
      </c>
      <c r="C8" t="s">
        <v>236</v>
      </c>
      <c r="D8" t="s">
        <v>287</v>
      </c>
      <c r="E8" t="s">
        <v>237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150</v>
      </c>
      <c r="B9" t="s">
        <v>288</v>
      </c>
      <c r="C9" t="s">
        <v>236</v>
      </c>
      <c r="D9" t="s">
        <v>289</v>
      </c>
      <c r="E9" t="s">
        <v>237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150</v>
      </c>
      <c r="B10" t="s">
        <v>290</v>
      </c>
      <c r="C10" t="s">
        <v>236</v>
      </c>
      <c r="D10" t="s">
        <v>291</v>
      </c>
      <c r="E10" t="s">
        <v>237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150</v>
      </c>
      <c r="B11" t="s">
        <v>292</v>
      </c>
      <c r="C11" t="s">
        <v>236</v>
      </c>
      <c r="D11" t="s">
        <v>293</v>
      </c>
      <c r="E11" t="s">
        <v>237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150</v>
      </c>
      <c r="B12" t="s">
        <v>294</v>
      </c>
      <c r="C12" t="s">
        <v>236</v>
      </c>
      <c r="D12" t="s">
        <v>295</v>
      </c>
      <c r="E12" t="s">
        <v>237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150</v>
      </c>
      <c r="B13" t="s">
        <v>296</v>
      </c>
      <c r="C13" t="s">
        <v>236</v>
      </c>
      <c r="D13" t="s">
        <v>297</v>
      </c>
      <c r="E13" t="s">
        <v>237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150</v>
      </c>
      <c r="B14" t="s">
        <v>298</v>
      </c>
      <c r="C14" t="s">
        <v>236</v>
      </c>
      <c r="D14" t="s">
        <v>299</v>
      </c>
      <c r="E14" t="s">
        <v>237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150</v>
      </c>
      <c r="B15" t="s">
        <v>300</v>
      </c>
      <c r="C15" t="s">
        <v>236</v>
      </c>
      <c r="D15" t="s">
        <v>301</v>
      </c>
      <c r="E15" t="s">
        <v>237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150</v>
      </c>
      <c r="B16" t="s">
        <v>302</v>
      </c>
      <c r="C16" t="s">
        <v>236</v>
      </c>
      <c r="D16" t="s">
        <v>303</v>
      </c>
      <c r="E16" t="s">
        <v>237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150</v>
      </c>
      <c r="B17" t="s">
        <v>304</v>
      </c>
      <c r="C17" t="s">
        <v>236</v>
      </c>
      <c r="D17" t="s">
        <v>305</v>
      </c>
      <c r="E17" t="s">
        <v>237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150</v>
      </c>
      <c r="B18" t="s">
        <v>306</v>
      </c>
      <c r="C18" t="s">
        <v>236</v>
      </c>
      <c r="D18" t="s">
        <v>307</v>
      </c>
      <c r="E18" t="s">
        <v>237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150</v>
      </c>
      <c r="B19" t="s">
        <v>308</v>
      </c>
      <c r="C19" t="s">
        <v>236</v>
      </c>
      <c r="D19" t="s">
        <v>309</v>
      </c>
      <c r="E19" t="s">
        <v>237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150</v>
      </c>
      <c r="B20" t="s">
        <v>310</v>
      </c>
      <c r="C20" t="s">
        <v>236</v>
      </c>
      <c r="D20" t="s">
        <v>311</v>
      </c>
      <c r="E20" t="s">
        <v>237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150</v>
      </c>
      <c r="B21" t="s">
        <v>312</v>
      </c>
      <c r="C21" t="s">
        <v>236</v>
      </c>
      <c r="D21" t="s">
        <v>313</v>
      </c>
      <c r="E21" t="s">
        <v>237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150</v>
      </c>
      <c r="B22" t="s">
        <v>314</v>
      </c>
      <c r="C22" t="s">
        <v>236</v>
      </c>
      <c r="D22" t="s">
        <v>315</v>
      </c>
      <c r="E22" t="s">
        <v>237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150</v>
      </c>
      <c r="B23" t="s">
        <v>316</v>
      </c>
      <c r="C23" t="s">
        <v>236</v>
      </c>
      <c r="D23" t="s">
        <v>317</v>
      </c>
      <c r="E23" t="s">
        <v>237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150</v>
      </c>
      <c r="B24" t="s">
        <v>318</v>
      </c>
      <c r="C24" t="s">
        <v>236</v>
      </c>
      <c r="D24" t="s">
        <v>319</v>
      </c>
      <c r="E24" t="s">
        <v>237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150</v>
      </c>
      <c r="B25" t="s">
        <v>320</v>
      </c>
      <c r="C25" t="s">
        <v>236</v>
      </c>
      <c r="D25" t="s">
        <v>321</v>
      </c>
      <c r="E25" t="s">
        <v>237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150</v>
      </c>
      <c r="B26" t="s">
        <v>322</v>
      </c>
      <c r="C26" t="s">
        <v>236</v>
      </c>
      <c r="D26" t="s">
        <v>323</v>
      </c>
      <c r="E26" t="s">
        <v>237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150</v>
      </c>
      <c r="B27" t="s">
        <v>324</v>
      </c>
      <c r="C27" t="s">
        <v>236</v>
      </c>
      <c r="D27" t="s">
        <v>325</v>
      </c>
      <c r="E27" t="s">
        <v>237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150</v>
      </c>
      <c r="B28" t="s">
        <v>326</v>
      </c>
      <c r="C28" t="s">
        <v>236</v>
      </c>
      <c r="D28" t="s">
        <v>327</v>
      </c>
      <c r="E28" t="s">
        <v>237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150</v>
      </c>
      <c r="B29" t="s">
        <v>328</v>
      </c>
      <c r="C29" t="s">
        <v>236</v>
      </c>
      <c r="D29" t="s">
        <v>329</v>
      </c>
      <c r="E29" t="s">
        <v>237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150</v>
      </c>
      <c r="B30" t="s">
        <v>330</v>
      </c>
      <c r="C30" t="s">
        <v>236</v>
      </c>
      <c r="D30" t="s">
        <v>331</v>
      </c>
      <c r="E30" t="s">
        <v>237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150</v>
      </c>
      <c r="B31" t="s">
        <v>332</v>
      </c>
      <c r="C31" t="s">
        <v>236</v>
      </c>
      <c r="D31" t="s">
        <v>333</v>
      </c>
      <c r="E31" t="s">
        <v>237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150</v>
      </c>
      <c r="B32" t="s">
        <v>334</v>
      </c>
      <c r="C32" t="s">
        <v>236</v>
      </c>
      <c r="D32" t="s">
        <v>335</v>
      </c>
      <c r="E32" t="s">
        <v>237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150</v>
      </c>
      <c r="B33" t="s">
        <v>336</v>
      </c>
      <c r="C33" t="s">
        <v>236</v>
      </c>
      <c r="D33" t="s">
        <v>337</v>
      </c>
      <c r="E33" t="s">
        <v>237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150</v>
      </c>
      <c r="B34" t="s">
        <v>338</v>
      </c>
      <c r="C34" t="s">
        <v>236</v>
      </c>
      <c r="D34" t="s">
        <v>339</v>
      </c>
      <c r="E34" t="s">
        <v>237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150</v>
      </c>
      <c r="B35" t="s">
        <v>340</v>
      </c>
      <c r="C35" t="s">
        <v>236</v>
      </c>
      <c r="D35" t="s">
        <v>341</v>
      </c>
      <c r="E35" t="s">
        <v>237</v>
      </c>
      <c r="F35" t="n">
        <v>1392.353</v>
      </c>
      <c r="G35" t="n">
        <v>1413.857</v>
      </c>
      <c r="H35" t="n">
        <v>1442.711</v>
      </c>
      <c r="I35" t="n">
        <v>1462.425</v>
      </c>
      <c r="J35" t="n">
        <v>1465.92</v>
      </c>
      <c r="K35" t="n">
        <v>1467.657</v>
      </c>
      <c r="L35" t="n">
        <v>1501.05</v>
      </c>
      <c r="M35" t="n">
        <v>1477.224</v>
      </c>
      <c r="N35" t="n">
        <v>1444.604</v>
      </c>
      <c r="O35" t="n">
        <v>1415.249</v>
      </c>
      <c r="P35" t="n">
        <v>1407.792</v>
      </c>
      <c r="Q35" t="n">
        <v>1422.305</v>
      </c>
      <c r="R35" t="n">
        <v>1437.935</v>
      </c>
      <c r="S35" t="n">
        <v>1422.623</v>
      </c>
      <c r="T35" t="n">
        <v>1406.333</v>
      </c>
      <c r="U35" t="n">
        <v>1441.427</v>
      </c>
      <c r="V35" t="n">
        <v>1466.605</v>
      </c>
      <c r="W35" t="n">
        <v>1508.576</v>
      </c>
      <c r="X35" t="n">
        <v>1526.077</v>
      </c>
      <c r="Y35" t="n">
        <v>1519.234</v>
      </c>
      <c r="Z35" t="n">
        <v>1502.502</v>
      </c>
      <c r="AA35" t="n">
        <v>1555.144</v>
      </c>
      <c r="AB35" t="n">
        <v>1599.057</v>
      </c>
      <c r="AC35" t="n">
        <v>1634.849</v>
      </c>
      <c r="AD35" t="n">
        <v>1659.635</v>
      </c>
      <c r="AE35" t="n">
        <v>1694</v>
      </c>
      <c r="AF35" t="n">
        <v>1764</v>
      </c>
    </row>
    <row r="36">
      <c r="A36" t="s">
        <v>150</v>
      </c>
      <c r="B36" t="s">
        <v>342</v>
      </c>
      <c r="C36" t="s">
        <v>236</v>
      </c>
      <c r="D36" t="s">
        <v>343</v>
      </c>
      <c r="E36" t="s">
        <v>237</v>
      </c>
      <c r="F36" t="n">
        <v>1392.353</v>
      </c>
      <c r="G36" t="n">
        <v>1413.857</v>
      </c>
      <c r="H36" t="n">
        <v>1442.711</v>
      </c>
      <c r="I36" t="n">
        <v>1462.425</v>
      </c>
      <c r="J36" t="n">
        <v>1465.92</v>
      </c>
      <c r="K36" t="n">
        <v>1467.657</v>
      </c>
      <c r="L36" t="n">
        <v>1501.05</v>
      </c>
      <c r="M36" t="n">
        <v>1477.224</v>
      </c>
      <c r="N36" t="n">
        <v>1444.604</v>
      </c>
      <c r="O36" t="n">
        <v>1415.249</v>
      </c>
      <c r="P36" t="n">
        <v>1407.792</v>
      </c>
      <c r="Q36" t="n">
        <v>1422.305</v>
      </c>
      <c r="R36" t="n">
        <v>1437.935</v>
      </c>
      <c r="S36" t="n">
        <v>1422.623</v>
      </c>
      <c r="T36" t="n">
        <v>1406.333</v>
      </c>
      <c r="U36" t="n">
        <v>1441.427</v>
      </c>
      <c r="V36" t="n">
        <v>1466.605</v>
      </c>
      <c r="W36" t="n">
        <v>1508.576</v>
      </c>
      <c r="X36" t="n">
        <v>1526.077</v>
      </c>
      <c r="Y36" t="n">
        <v>1519.234</v>
      </c>
      <c r="Z36" t="n">
        <v>1502.502</v>
      </c>
      <c r="AA36" t="n">
        <v>1555.144</v>
      </c>
      <c r="AB36" t="n">
        <v>1599.057</v>
      </c>
      <c r="AC36" t="n">
        <v>1634.849</v>
      </c>
      <c r="AD36" t="n">
        <v>1659.635</v>
      </c>
      <c r="AE36" t="n">
        <v>1694</v>
      </c>
      <c r="AF36" t="n">
        <v>1764</v>
      </c>
    </row>
    <row r="37">
      <c r="A37" t="s">
        <v>150</v>
      </c>
      <c r="B37" t="s">
        <v>344</v>
      </c>
      <c r="C37" t="s">
        <v>236</v>
      </c>
      <c r="D37" t="s">
        <v>345</v>
      </c>
      <c r="E37" t="s">
        <v>237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150</v>
      </c>
      <c r="B38" t="s">
        <v>346</v>
      </c>
      <c r="C38" t="s">
        <v>236</v>
      </c>
      <c r="D38" t="s">
        <v>347</v>
      </c>
      <c r="E38" t="s">
        <v>237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150</v>
      </c>
      <c r="B39" t="s">
        <v>348</v>
      </c>
      <c r="C39" t="s">
        <v>236</v>
      </c>
      <c r="D39" t="s">
        <v>349</v>
      </c>
      <c r="E39" t="s">
        <v>237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150</v>
      </c>
      <c r="B40" t="s">
        <v>350</v>
      </c>
      <c r="C40" t="s">
        <v>236</v>
      </c>
      <c r="D40" t="s">
        <v>351</v>
      </c>
      <c r="E40" t="s">
        <v>237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150</v>
      </c>
      <c r="B41" t="s">
        <v>352</v>
      </c>
      <c r="C41" t="s">
        <v>236</v>
      </c>
      <c r="D41" t="s">
        <v>353</v>
      </c>
      <c r="E41" t="s">
        <v>237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150</v>
      </c>
      <c r="B42" t="s">
        <v>354</v>
      </c>
      <c r="C42" t="s">
        <v>236</v>
      </c>
      <c r="D42" t="s">
        <v>355</v>
      </c>
      <c r="E42" t="s">
        <v>237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150</v>
      </c>
      <c r="B43" t="s">
        <v>356</v>
      </c>
      <c r="C43" t="s">
        <v>236</v>
      </c>
      <c r="D43" t="s">
        <v>357</v>
      </c>
      <c r="E43" t="s">
        <v>237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150</v>
      </c>
      <c r="B44" t="s">
        <v>358</v>
      </c>
      <c r="C44" t="s">
        <v>236</v>
      </c>
      <c r="D44" t="s">
        <v>359</v>
      </c>
      <c r="E44" t="s">
        <v>237</v>
      </c>
      <c r="F44" t="n">
        <v>1796.878</v>
      </c>
      <c r="G44" t="n">
        <v>1807.68</v>
      </c>
      <c r="H44" t="n">
        <v>1825.703</v>
      </c>
      <c r="I44" t="n">
        <v>1843.567</v>
      </c>
      <c r="J44" t="n">
        <v>1848.79</v>
      </c>
      <c r="K44" t="n">
        <v>1862.587</v>
      </c>
      <c r="L44" t="n">
        <v>1920.741</v>
      </c>
      <c r="M44" t="n">
        <v>1908.135</v>
      </c>
      <c r="N44" t="n">
        <v>1881.912</v>
      </c>
      <c r="O44" t="n">
        <v>1845.162</v>
      </c>
      <c r="P44" t="n">
        <v>1842.198</v>
      </c>
      <c r="Q44" t="n">
        <v>1862.362</v>
      </c>
      <c r="R44" t="n">
        <v>1903.216</v>
      </c>
      <c r="S44" t="n">
        <v>1908.721</v>
      </c>
      <c r="T44" t="n">
        <v>1910.052</v>
      </c>
      <c r="U44" t="n">
        <v>1979.044</v>
      </c>
      <c r="V44" t="n">
        <v>2064.711</v>
      </c>
      <c r="W44" t="n">
        <v>2157.695</v>
      </c>
      <c r="X44" t="n">
        <v>2171.623</v>
      </c>
      <c r="Y44" t="n">
        <v>2142.077</v>
      </c>
      <c r="Z44" t="n">
        <v>2085.267</v>
      </c>
      <c r="AA44" t="n">
        <v>2130.241</v>
      </c>
      <c r="AB44" t="n">
        <v>2192.516</v>
      </c>
      <c r="AC44" t="n">
        <v>2265.179</v>
      </c>
      <c r="AD44" t="n">
        <v>2306.401</v>
      </c>
      <c r="AE44" t="n">
        <v>2363</v>
      </c>
      <c r="AF44" t="n">
        <v>2452</v>
      </c>
    </row>
    <row r="45">
      <c r="A45" t="s">
        <v>150</v>
      </c>
      <c r="B45" t="s">
        <v>360</v>
      </c>
      <c r="C45" t="s">
        <v>236</v>
      </c>
      <c r="D45" t="s">
        <v>361</v>
      </c>
      <c r="E45" t="s">
        <v>237</v>
      </c>
      <c r="F45" t="n">
        <v>1796.878</v>
      </c>
      <c r="G45" t="n">
        <v>1807.68</v>
      </c>
      <c r="H45" t="n">
        <v>1825.703</v>
      </c>
      <c r="I45" t="n">
        <v>1843.567</v>
      </c>
      <c r="J45" t="n">
        <v>1848.79</v>
      </c>
      <c r="K45" t="n">
        <v>1862.587</v>
      </c>
      <c r="L45" t="n">
        <v>1920.741</v>
      </c>
      <c r="M45" t="n">
        <v>1908.135</v>
      </c>
      <c r="N45" t="n">
        <v>1881.912</v>
      </c>
      <c r="O45" t="n">
        <v>1845.162</v>
      </c>
      <c r="P45" t="n">
        <v>1842.198</v>
      </c>
      <c r="Q45" t="n">
        <v>1862.362</v>
      </c>
      <c r="R45" t="n">
        <v>1903.216</v>
      </c>
      <c r="S45" t="n">
        <v>1908.721</v>
      </c>
      <c r="T45" t="n">
        <v>1910.052</v>
      </c>
      <c r="U45" t="n">
        <v>1979.044</v>
      </c>
      <c r="V45" t="n">
        <v>2064.711</v>
      </c>
      <c r="W45" t="n">
        <v>2157.695</v>
      </c>
      <c r="X45" t="n">
        <v>2171.623</v>
      </c>
      <c r="Y45" t="n">
        <v>2142.077</v>
      </c>
      <c r="Z45" t="n">
        <v>2085.267</v>
      </c>
      <c r="AA45" t="n">
        <v>2130.241</v>
      </c>
      <c r="AB45" t="n">
        <v>2192.516</v>
      </c>
      <c r="AC45" t="n">
        <v>2265.179</v>
      </c>
      <c r="AD45" t="n">
        <v>2306.401</v>
      </c>
      <c r="AE45" t="n">
        <v>2363</v>
      </c>
      <c r="AF45" t="n">
        <v>2452</v>
      </c>
    </row>
    <row r="46">
      <c r="A46" t="s">
        <v>150</v>
      </c>
      <c r="B46" t="s">
        <v>362</v>
      </c>
      <c r="C46" t="s">
        <v>236</v>
      </c>
      <c r="D46" t="s">
        <v>363</v>
      </c>
      <c r="E46" t="s">
        <v>237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150</v>
      </c>
      <c r="B47" t="s">
        <v>364</v>
      </c>
      <c r="C47" t="s">
        <v>236</v>
      </c>
      <c r="D47" t="s">
        <v>365</v>
      </c>
      <c r="E47" t="s">
        <v>237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150</v>
      </c>
      <c r="B48" t="s">
        <v>366</v>
      </c>
      <c r="C48" t="s">
        <v>236</v>
      </c>
      <c r="D48" t="s">
        <v>367</v>
      </c>
      <c r="E48" t="s">
        <v>237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150</v>
      </c>
      <c r="B49" t="s">
        <v>368</v>
      </c>
      <c r="C49" t="s">
        <v>236</v>
      </c>
      <c r="D49" t="s">
        <v>369</v>
      </c>
      <c r="E49" t="s">
        <v>237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150</v>
      </c>
      <c r="B50" t="s">
        <v>370</v>
      </c>
      <c r="C50" t="s">
        <v>236</v>
      </c>
      <c r="D50" t="s">
        <v>371</v>
      </c>
      <c r="E50" t="s">
        <v>237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150</v>
      </c>
      <c r="B51" t="s">
        <v>372</v>
      </c>
      <c r="C51" t="s">
        <v>236</v>
      </c>
      <c r="D51" t="s">
        <v>373</v>
      </c>
      <c r="E51" t="s">
        <v>237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150</v>
      </c>
      <c r="B52" t="s">
        <v>374</v>
      </c>
      <c r="C52" t="s">
        <v>236</v>
      </c>
      <c r="D52" t="s">
        <v>375</v>
      </c>
      <c r="E52" t="s">
        <v>237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150</v>
      </c>
      <c r="B53" t="s">
        <v>376</v>
      </c>
      <c r="C53" t="s">
        <v>236</v>
      </c>
      <c r="D53" t="s">
        <v>377</v>
      </c>
      <c r="E53" t="s">
        <v>237</v>
      </c>
      <c r="F53" t="n">
        <v>192.002</v>
      </c>
      <c r="G53" t="n">
        <v>190.138</v>
      </c>
      <c r="H53" t="n">
        <v>190.138</v>
      </c>
      <c r="I53" t="n">
        <v>191.984</v>
      </c>
      <c r="J53" t="n">
        <v>191.984</v>
      </c>
      <c r="K53" t="n">
        <v>195.572</v>
      </c>
      <c r="L53" t="n">
        <v>197.303</v>
      </c>
      <c r="M53" t="n">
        <v>197.303</v>
      </c>
      <c r="N53" t="n">
        <v>197.303</v>
      </c>
      <c r="O53" t="n">
        <v>198.933</v>
      </c>
      <c r="P53" t="n">
        <v>202.091</v>
      </c>
      <c r="Q53" t="n">
        <v>208.215</v>
      </c>
      <c r="R53" t="n">
        <v>214.207</v>
      </c>
      <c r="S53" t="n">
        <v>217.141</v>
      </c>
      <c r="T53" t="n">
        <v>234.284</v>
      </c>
      <c r="U53" t="n">
        <v>257.575</v>
      </c>
      <c r="V53" t="n">
        <v>285.314</v>
      </c>
      <c r="W53" t="n">
        <v>305.513</v>
      </c>
      <c r="X53" t="n">
        <v>317.783</v>
      </c>
      <c r="Y53" t="n">
        <v>323.779</v>
      </c>
      <c r="Z53" t="n">
        <v>309.701</v>
      </c>
      <c r="AA53" t="n">
        <v>317.791</v>
      </c>
      <c r="AB53" t="n">
        <v>326.68</v>
      </c>
      <c r="AC53" t="n">
        <v>349.173</v>
      </c>
      <c r="AD53" t="n">
        <v>361.68</v>
      </c>
      <c r="AE53" t="n">
        <v>375</v>
      </c>
      <c r="AF53" t="n">
        <v>387</v>
      </c>
    </row>
    <row r="54">
      <c r="A54" t="s">
        <v>150</v>
      </c>
      <c r="B54" t="s">
        <v>378</v>
      </c>
      <c r="C54" t="s">
        <v>236</v>
      </c>
      <c r="D54" t="s">
        <v>379</v>
      </c>
      <c r="E54" t="s">
        <v>237</v>
      </c>
      <c r="F54" t="n">
        <v>192.002</v>
      </c>
      <c r="G54" t="n">
        <v>190.138</v>
      </c>
      <c r="H54" t="n">
        <v>190.138</v>
      </c>
      <c r="I54" t="n">
        <v>191.984</v>
      </c>
      <c r="J54" t="n">
        <v>191.984</v>
      </c>
      <c r="K54" t="n">
        <v>195.572</v>
      </c>
      <c r="L54" t="n">
        <v>197.303</v>
      </c>
      <c r="M54" t="n">
        <v>197.303</v>
      </c>
      <c r="N54" t="n">
        <v>197.303</v>
      </c>
      <c r="O54" t="n">
        <v>198.933</v>
      </c>
      <c r="P54" t="n">
        <v>202.091</v>
      </c>
      <c r="Q54" t="n">
        <v>208.215</v>
      </c>
      <c r="R54" t="n">
        <v>214.207</v>
      </c>
      <c r="S54" t="n">
        <v>217.141</v>
      </c>
      <c r="T54" t="n">
        <v>234.284</v>
      </c>
      <c r="U54" t="n">
        <v>257.575</v>
      </c>
      <c r="V54" t="n">
        <v>285.314</v>
      </c>
      <c r="W54" t="n">
        <v>305.513</v>
      </c>
      <c r="X54" t="n">
        <v>317.783</v>
      </c>
      <c r="Y54" t="n">
        <v>323.779</v>
      </c>
      <c r="Z54" t="n">
        <v>309.701</v>
      </c>
      <c r="AA54" t="n">
        <v>317.791</v>
      </c>
      <c r="AB54" t="n">
        <v>326.68</v>
      </c>
      <c r="AC54" t="n">
        <v>349.173</v>
      </c>
      <c r="AD54" t="n">
        <v>361.68</v>
      </c>
      <c r="AE54" t="n">
        <v>375</v>
      </c>
      <c r="AF54" t="n">
        <v>387</v>
      </c>
    </row>
    <row r="55">
      <c r="A55" t="s">
        <v>150</v>
      </c>
      <c r="B55" t="s">
        <v>380</v>
      </c>
      <c r="C55" t="s">
        <v>236</v>
      </c>
      <c r="D55" t="s">
        <v>381</v>
      </c>
      <c r="E55" t="s">
        <v>237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150</v>
      </c>
      <c r="B56" t="s">
        <v>382</v>
      </c>
      <c r="C56" t="s">
        <v>236</v>
      </c>
      <c r="D56" t="s">
        <v>383</v>
      </c>
      <c r="E56" t="s">
        <v>237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150</v>
      </c>
      <c r="B57" t="s">
        <v>384</v>
      </c>
      <c r="C57" t="s">
        <v>236</v>
      </c>
      <c r="D57" t="s">
        <v>385</v>
      </c>
      <c r="E57" t="s">
        <v>237</v>
      </c>
      <c r="F57" t="n">
        <v>1798.005</v>
      </c>
      <c r="G57" t="n">
        <v>1808.814</v>
      </c>
      <c r="H57" t="n">
        <v>1826.848</v>
      </c>
      <c r="I57" t="n">
        <v>1844.724</v>
      </c>
      <c r="J57" t="n">
        <v>1849.95</v>
      </c>
      <c r="K57" t="n">
        <v>1863.755</v>
      </c>
      <c r="L57" t="n">
        <v>1921.946</v>
      </c>
      <c r="M57" t="n">
        <v>1909.332</v>
      </c>
      <c r="N57" t="n">
        <v>1883.092</v>
      </c>
      <c r="O57" t="n">
        <v>1846.319</v>
      </c>
      <c r="P57" t="n">
        <v>1843.353</v>
      </c>
      <c r="Q57" t="n">
        <v>1863.531</v>
      </c>
      <c r="R57" t="n">
        <v>1904.41</v>
      </c>
      <c r="S57" t="n">
        <v>1909.918</v>
      </c>
      <c r="T57" t="n">
        <v>1911.25</v>
      </c>
      <c r="U57" t="n">
        <v>1980.285</v>
      </c>
      <c r="V57" t="n">
        <v>2064.711</v>
      </c>
      <c r="W57" t="n">
        <v>2157.695</v>
      </c>
      <c r="X57" t="n">
        <v>2171.623</v>
      </c>
      <c r="Y57" t="n">
        <v>2142.077</v>
      </c>
      <c r="Z57" t="n">
        <v>2085.267</v>
      </c>
      <c r="AA57" t="n">
        <v>2130.241</v>
      </c>
      <c r="AB57" t="n">
        <v>2192.516</v>
      </c>
      <c r="AC57" t="n">
        <v>2265.179</v>
      </c>
      <c r="AD57" t="n">
        <v>2306.401</v>
      </c>
      <c r="AE57" t="n">
        <v>2363</v>
      </c>
      <c r="AF57" t="n">
        <v>2452</v>
      </c>
    </row>
    <row r="58">
      <c r="A58" t="s">
        <v>150</v>
      </c>
      <c r="B58" t="s">
        <v>386</v>
      </c>
      <c r="C58" t="s">
        <v>236</v>
      </c>
      <c r="D58" t="s">
        <v>387</v>
      </c>
      <c r="E58" t="s">
        <v>237</v>
      </c>
      <c r="F58" t="n">
        <v>1798.005</v>
      </c>
      <c r="G58" t="n">
        <v>1808.814</v>
      </c>
      <c r="H58" t="n">
        <v>1826.848</v>
      </c>
      <c r="I58" t="n">
        <v>1844.724</v>
      </c>
      <c r="J58" t="n">
        <v>1849.95</v>
      </c>
      <c r="K58" t="n">
        <v>1863.755</v>
      </c>
      <c r="L58" t="n">
        <v>1921.946</v>
      </c>
      <c r="M58" t="n">
        <v>1909.332</v>
      </c>
      <c r="N58" t="n">
        <v>1883.092</v>
      </c>
      <c r="O58" t="n">
        <v>1846.319</v>
      </c>
      <c r="P58" t="n">
        <v>1843.353</v>
      </c>
      <c r="Q58" t="n">
        <v>1863.531</v>
      </c>
      <c r="R58" t="n">
        <v>1904.41</v>
      </c>
      <c r="S58" t="n">
        <v>1909.918</v>
      </c>
      <c r="T58" t="n">
        <v>1911.25</v>
      </c>
      <c r="U58" t="n">
        <v>1980.285</v>
      </c>
      <c r="V58" t="n">
        <v>2064.711</v>
      </c>
      <c r="W58" t="n">
        <v>2157.695</v>
      </c>
      <c r="X58" t="n">
        <v>2171.623</v>
      </c>
      <c r="Y58" t="n">
        <v>2142.077</v>
      </c>
      <c r="Z58" t="n">
        <v>2085.267</v>
      </c>
      <c r="AA58" t="n">
        <v>2130.241</v>
      </c>
      <c r="AB58" t="n">
        <v>2192.516</v>
      </c>
      <c r="AC58" t="n">
        <v>2265.179</v>
      </c>
      <c r="AD58" t="n">
        <v>2306.401</v>
      </c>
      <c r="AE58" t="n">
        <v>2363</v>
      </c>
      <c r="AF58" t="n">
        <v>2452</v>
      </c>
    </row>
    <row r="59">
      <c r="A59" t="s">
        <v>150</v>
      </c>
      <c r="B59" t="s">
        <v>388</v>
      </c>
      <c r="C59" t="s">
        <v>236</v>
      </c>
      <c r="D59" t="s">
        <v>389</v>
      </c>
      <c r="E59" t="s">
        <v>237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151</v>
      </c>
      <c r="B2" t="s">
        <v>197</v>
      </c>
      <c r="C2" t="s">
        <v>236</v>
      </c>
      <c r="D2" t="s">
        <v>199</v>
      </c>
      <c r="E2" t="s">
        <v>237</v>
      </c>
      <c r="F2" t="n">
        <v>20534.3723958014</v>
      </c>
      <c r="G2" t="n">
        <v>20212.4270974506</v>
      </c>
      <c r="H2" t="n">
        <v>20293.4193522088</v>
      </c>
      <c r="I2" t="n">
        <v>20505.0229778563</v>
      </c>
      <c r="J2" t="n">
        <v>20808.3096592944</v>
      </c>
      <c r="K2" t="n">
        <v>20996.3932054766</v>
      </c>
      <c r="L2" t="n">
        <v>21239.9568128029</v>
      </c>
      <c r="M2" t="n">
        <v>21533.4533198121</v>
      </c>
      <c r="N2" t="n">
        <v>21747.6512923397</v>
      </c>
      <c r="O2" t="n">
        <v>21822.3706757029</v>
      </c>
      <c r="P2" t="n">
        <v>21932.3141528186</v>
      </c>
      <c r="Q2" t="n">
        <v>22029.4930285581</v>
      </c>
      <c r="R2" t="n">
        <v>22291.7332884064</v>
      </c>
      <c r="S2" t="n">
        <v>22450.0395693976</v>
      </c>
      <c r="T2" t="n">
        <v>22535.5612353181</v>
      </c>
      <c r="U2" t="n">
        <v>22509.6081207719</v>
      </c>
      <c r="V2" t="n">
        <v>22537.2316927907</v>
      </c>
      <c r="W2" t="n">
        <v>22497.2136294131</v>
      </c>
      <c r="X2" t="n">
        <v>22542.4228002333</v>
      </c>
      <c r="Y2" t="n">
        <v>22571.3532999029</v>
      </c>
      <c r="Z2" t="n">
        <v>22247.2713690766</v>
      </c>
      <c r="AA2" t="n">
        <v>21961.9351755792</v>
      </c>
      <c r="AB2" t="n">
        <v>21779.2512017957</v>
      </c>
      <c r="AC2" t="n">
        <v>21653.6058778162</v>
      </c>
      <c r="AD2" t="n">
        <v>21570.4267521932</v>
      </c>
      <c r="AE2" t="n">
        <v>21444</v>
      </c>
      <c r="AF2" t="n">
        <v>21257</v>
      </c>
    </row>
    <row r="3">
      <c r="A3" t="s">
        <v>151</v>
      </c>
      <c r="B3" t="s">
        <v>276</v>
      </c>
      <c r="C3" t="s">
        <v>236</v>
      </c>
      <c r="D3" t="s">
        <v>277</v>
      </c>
      <c r="E3" t="s">
        <v>237</v>
      </c>
      <c r="F3" t="n">
        <v>1239.60279247037</v>
      </c>
      <c r="G3" t="n">
        <v>1228.89017574532</v>
      </c>
      <c r="H3" t="n">
        <v>1177.49747466864</v>
      </c>
      <c r="I3" t="n">
        <v>1174.54265039092</v>
      </c>
      <c r="J3" t="n">
        <v>1200.8057158655</v>
      </c>
      <c r="K3" t="n">
        <v>1235.3198921299</v>
      </c>
      <c r="L3" t="n">
        <v>1287.31856790784</v>
      </c>
      <c r="M3" t="n">
        <v>1306.47102269074</v>
      </c>
      <c r="N3" t="n">
        <v>1387.95570186064</v>
      </c>
      <c r="O3" t="n">
        <v>1383.90918377941</v>
      </c>
      <c r="P3" t="n">
        <v>1405.22058603203</v>
      </c>
      <c r="Q3" t="n">
        <v>1455.87086593522</v>
      </c>
      <c r="R3" t="n">
        <v>1751.37571361411</v>
      </c>
      <c r="S3" t="n">
        <v>2410.74599627638</v>
      </c>
      <c r="T3" t="n">
        <v>2606.65576823656</v>
      </c>
      <c r="U3" t="n">
        <v>2738.32858978807</v>
      </c>
      <c r="V3" t="n">
        <v>3036.99145993176</v>
      </c>
      <c r="W3" t="n">
        <v>3266.04785146883</v>
      </c>
      <c r="X3" t="n">
        <v>3345.41182220989</v>
      </c>
      <c r="Y3" t="n">
        <v>3373.69823111313</v>
      </c>
      <c r="Z3" t="n">
        <v>3484.38244454945</v>
      </c>
      <c r="AA3" t="n">
        <v>3481.12601235828</v>
      </c>
      <c r="AB3" t="n">
        <v>3546.17352426781</v>
      </c>
      <c r="AC3" t="n">
        <v>3636.82758428669</v>
      </c>
      <c r="AD3" t="n">
        <v>3685.33237896929</v>
      </c>
      <c r="AE3" t="n">
        <v>3857</v>
      </c>
      <c r="AF3" t="n">
        <v>4031</v>
      </c>
    </row>
    <row r="4">
      <c r="A4" t="s">
        <v>151</v>
      </c>
      <c r="B4" t="s">
        <v>278</v>
      </c>
      <c r="C4" t="s">
        <v>236</v>
      </c>
      <c r="D4" t="s">
        <v>279</v>
      </c>
      <c r="E4" t="s">
        <v>237</v>
      </c>
      <c r="F4" t="n">
        <v>63908.1438285349</v>
      </c>
      <c r="G4" t="n">
        <v>65160.9048094918</v>
      </c>
      <c r="H4" t="n">
        <v>66489.1674846263</v>
      </c>
      <c r="I4" t="n">
        <v>68333.8811926519</v>
      </c>
      <c r="J4" t="n">
        <v>69775.967935781</v>
      </c>
      <c r="K4" t="n">
        <v>71222.3699136147</v>
      </c>
      <c r="L4" t="n">
        <v>73345.9825927184</v>
      </c>
      <c r="M4" t="n">
        <v>73961.8413832378</v>
      </c>
      <c r="N4" t="n">
        <v>74498.9765410698</v>
      </c>
      <c r="O4" t="n">
        <v>74693.0637180349</v>
      </c>
      <c r="P4" t="n">
        <v>74800.4047649993</v>
      </c>
      <c r="Q4" t="n">
        <v>74951.8865835457</v>
      </c>
      <c r="R4" t="n">
        <v>76037.6593269228</v>
      </c>
      <c r="S4" t="n">
        <v>76711.8184579861</v>
      </c>
      <c r="T4" t="n">
        <v>75748.8786472005</v>
      </c>
      <c r="U4" t="n">
        <v>74054.0358862507</v>
      </c>
      <c r="V4" t="n">
        <v>72201.884603617</v>
      </c>
      <c r="W4" t="n">
        <v>69959.051495023</v>
      </c>
      <c r="X4" t="n">
        <v>67305.9450561806</v>
      </c>
      <c r="Y4" t="n">
        <v>64980.7347797242</v>
      </c>
      <c r="Z4" t="n">
        <v>63175.8051969532</v>
      </c>
      <c r="AA4" t="n">
        <v>61723.0787535735</v>
      </c>
      <c r="AB4" t="n">
        <v>61279.9092000519</v>
      </c>
      <c r="AC4" t="n">
        <v>60524.7863192802</v>
      </c>
      <c r="AD4" t="n">
        <v>59534.9774617748</v>
      </c>
      <c r="AE4" t="n">
        <v>58523</v>
      </c>
      <c r="AF4" t="n">
        <v>58597</v>
      </c>
    </row>
    <row r="5">
      <c r="A5" t="s">
        <v>151</v>
      </c>
      <c r="B5" t="s">
        <v>280</v>
      </c>
      <c r="C5" t="s">
        <v>236</v>
      </c>
      <c r="D5" t="s">
        <v>281</v>
      </c>
      <c r="E5" t="s">
        <v>237</v>
      </c>
      <c r="F5" t="n">
        <v>6418.37097182752</v>
      </c>
      <c r="G5" t="n">
        <v>6424.36384855192</v>
      </c>
      <c r="H5" t="n">
        <v>6387.17720900253</v>
      </c>
      <c r="I5" t="n">
        <v>6387.17720900253</v>
      </c>
      <c r="J5" t="n">
        <v>6349.46907834085</v>
      </c>
      <c r="K5" t="n">
        <v>6305.41501803902</v>
      </c>
      <c r="L5" t="n">
        <v>6340.2361745336</v>
      </c>
      <c r="M5" t="n">
        <v>6413.19009599638</v>
      </c>
      <c r="N5" t="n">
        <v>6447.15106875637</v>
      </c>
      <c r="O5" t="n">
        <v>6339.56236270826</v>
      </c>
      <c r="P5" t="n">
        <v>6336.87553822735</v>
      </c>
      <c r="Q5" t="n">
        <v>6289.93571942567</v>
      </c>
      <c r="R5" t="n">
        <v>6311.65599308608</v>
      </c>
      <c r="S5" t="n">
        <v>6306.74897190584</v>
      </c>
      <c r="T5" t="n">
        <v>6206.58573150749</v>
      </c>
      <c r="U5" t="n">
        <v>6046.11127152935</v>
      </c>
      <c r="V5" t="n">
        <v>5929.34871227229</v>
      </c>
      <c r="W5" t="n">
        <v>5866.29584675254</v>
      </c>
      <c r="X5" t="n">
        <v>5814.80700081849</v>
      </c>
      <c r="Y5" t="n">
        <v>5836.20567078083</v>
      </c>
      <c r="Z5" t="n">
        <v>5780.2604477097</v>
      </c>
      <c r="AA5" t="n">
        <v>5836.34744977081</v>
      </c>
      <c r="AB5" t="n">
        <v>5918.54952652814</v>
      </c>
      <c r="AC5" t="n">
        <v>5850.50800152404</v>
      </c>
      <c r="AD5" t="n">
        <v>5732.25305255707</v>
      </c>
      <c r="AE5" t="n">
        <v>5706</v>
      </c>
      <c r="AF5" t="n">
        <v>5702</v>
      </c>
    </row>
    <row r="6">
      <c r="A6" t="s">
        <v>151</v>
      </c>
      <c r="B6" t="s">
        <v>282</v>
      </c>
      <c r="C6" t="s">
        <v>236</v>
      </c>
      <c r="D6" t="s">
        <v>283</v>
      </c>
      <c r="E6" t="s">
        <v>237</v>
      </c>
      <c r="F6" t="n">
        <v>1085.4769867066</v>
      </c>
      <c r="G6" t="n">
        <v>1027.11800892668</v>
      </c>
      <c r="H6" t="n">
        <v>1001.0048392082</v>
      </c>
      <c r="I6" t="n">
        <v>972.240332334403</v>
      </c>
      <c r="J6" t="n">
        <v>924.053493705584</v>
      </c>
      <c r="K6" t="n">
        <v>882.366869929392</v>
      </c>
      <c r="L6" t="n">
        <v>860.580033634839</v>
      </c>
      <c r="M6" t="n">
        <v>818.147736136665</v>
      </c>
      <c r="N6" t="n">
        <v>776.773217669722</v>
      </c>
      <c r="O6" t="n">
        <v>726.056066000565</v>
      </c>
      <c r="P6" t="n">
        <v>686.524882733746</v>
      </c>
      <c r="Q6" t="n">
        <v>656.955458945589</v>
      </c>
      <c r="R6" t="n">
        <v>627.841825890196</v>
      </c>
      <c r="S6" t="n">
        <v>592.141016182715</v>
      </c>
      <c r="T6" t="n">
        <v>534.83704687471</v>
      </c>
      <c r="U6" t="n">
        <v>482.657822789373</v>
      </c>
      <c r="V6" t="n">
        <v>441.836016881814</v>
      </c>
      <c r="W6" t="n">
        <v>415.983909511069</v>
      </c>
      <c r="X6" t="n">
        <v>374.159440348272</v>
      </c>
      <c r="Y6" t="n">
        <v>348.623336110852</v>
      </c>
      <c r="Z6" t="n">
        <v>335.384475245883</v>
      </c>
      <c r="AA6" t="n">
        <v>334.302589841864</v>
      </c>
      <c r="AB6" t="n">
        <v>328.962292879534</v>
      </c>
      <c r="AC6" t="n">
        <v>336.342857142857</v>
      </c>
      <c r="AD6" t="n">
        <v>327</v>
      </c>
      <c r="AE6" t="n">
        <v>327</v>
      </c>
      <c r="AF6" t="n">
        <v>329</v>
      </c>
    </row>
    <row r="7">
      <c r="A7" t="s">
        <v>151</v>
      </c>
      <c r="B7" t="s">
        <v>284</v>
      </c>
      <c r="C7" t="s">
        <v>236</v>
      </c>
      <c r="D7" t="s">
        <v>285</v>
      </c>
      <c r="E7" t="s">
        <v>237</v>
      </c>
      <c r="F7" t="n">
        <v>21498.3568720127</v>
      </c>
      <c r="G7" t="n">
        <v>21957.0536710344</v>
      </c>
      <c r="H7" t="n">
        <v>21788.8491270114</v>
      </c>
      <c r="I7" t="n">
        <v>21863.8155400638</v>
      </c>
      <c r="J7" t="n">
        <v>21539.552443506</v>
      </c>
      <c r="K7" t="n">
        <v>21241.9443728579</v>
      </c>
      <c r="L7" t="n">
        <v>21746.6695229792</v>
      </c>
      <c r="M7" t="n">
        <v>21187.4399289983</v>
      </c>
      <c r="N7" t="n">
        <v>20899.3951137714</v>
      </c>
      <c r="O7" t="n">
        <v>20327.5886984024</v>
      </c>
      <c r="P7" t="n">
        <v>19876.3460572013</v>
      </c>
      <c r="Q7" t="n">
        <v>19436.993793433</v>
      </c>
      <c r="R7" t="n">
        <v>18956.2978925571</v>
      </c>
      <c r="S7" t="n">
        <v>18579.5810331174</v>
      </c>
      <c r="T7" t="n">
        <v>17518.4762152446</v>
      </c>
      <c r="U7" t="n">
        <v>16582.5389741116</v>
      </c>
      <c r="V7" t="n">
        <v>15777.852363716</v>
      </c>
      <c r="W7" t="n">
        <v>15073.3329861835</v>
      </c>
      <c r="X7" t="n">
        <v>14440.1372787897</v>
      </c>
      <c r="Y7" t="n">
        <v>13740.0680675526</v>
      </c>
      <c r="Z7" t="n">
        <v>13228.7201590902</v>
      </c>
      <c r="AA7" t="n">
        <v>13284.0570948374</v>
      </c>
      <c r="AB7" t="n">
        <v>13580.5809711042</v>
      </c>
      <c r="AC7" t="n">
        <v>13294.873025854</v>
      </c>
      <c r="AD7" t="n">
        <v>13030.3342857143</v>
      </c>
      <c r="AE7" t="n">
        <v>12686</v>
      </c>
      <c r="AF7" t="n">
        <v>12507</v>
      </c>
    </row>
    <row r="8">
      <c r="A8" t="s">
        <v>151</v>
      </c>
      <c r="B8" t="s">
        <v>286</v>
      </c>
      <c r="C8" t="s">
        <v>236</v>
      </c>
      <c r="D8" t="s">
        <v>287</v>
      </c>
      <c r="E8" t="s">
        <v>237</v>
      </c>
      <c r="F8" t="n">
        <v>1935.03262131302</v>
      </c>
      <c r="G8" t="n">
        <v>1885.68480330427</v>
      </c>
      <c r="H8" t="n">
        <v>1977.09407445741</v>
      </c>
      <c r="I8" t="n">
        <v>1918.05484863603</v>
      </c>
      <c r="J8" t="n">
        <v>1910.9085936113</v>
      </c>
      <c r="K8" t="n">
        <v>1858.49671965755</v>
      </c>
      <c r="L8" t="n">
        <v>1890.27770445466</v>
      </c>
      <c r="M8" t="n">
        <v>1799.6849961582</v>
      </c>
      <c r="N8" t="n">
        <v>1795.63772855064</v>
      </c>
      <c r="O8" t="n">
        <v>1751.38377407554</v>
      </c>
      <c r="P8" t="n">
        <v>1899.09083935901</v>
      </c>
      <c r="Q8" t="n">
        <v>2055.63751665753</v>
      </c>
      <c r="R8" t="n">
        <v>2879.64306621794</v>
      </c>
      <c r="S8" t="n">
        <v>2840.79459314923</v>
      </c>
      <c r="T8" t="n">
        <v>2869.92497248833</v>
      </c>
      <c r="U8" t="n">
        <v>2876.92194519655</v>
      </c>
      <c r="V8" t="n">
        <v>2776.01848382342</v>
      </c>
      <c r="W8" t="n">
        <v>2744.11022538867</v>
      </c>
      <c r="X8" t="n">
        <v>2714.35481330614</v>
      </c>
      <c r="Y8" t="n">
        <v>2699.13006675715</v>
      </c>
      <c r="Z8" t="n">
        <v>2855.93049130835</v>
      </c>
      <c r="AA8" t="n">
        <v>2732.59890794355</v>
      </c>
      <c r="AB8" t="n">
        <v>3032.31018551269</v>
      </c>
      <c r="AC8" t="n">
        <v>3063.83108141199</v>
      </c>
      <c r="AD8" t="n">
        <v>2997.13683483068</v>
      </c>
      <c r="AE8" t="n">
        <v>2898</v>
      </c>
      <c r="AF8" t="n">
        <v>3294</v>
      </c>
    </row>
    <row r="9">
      <c r="A9" t="s">
        <v>151</v>
      </c>
      <c r="B9" t="s">
        <v>288</v>
      </c>
      <c r="C9" t="s">
        <v>236</v>
      </c>
      <c r="D9" t="s">
        <v>289</v>
      </c>
      <c r="E9" t="s">
        <v>237</v>
      </c>
      <c r="F9" t="n">
        <v>4721.53955179778</v>
      </c>
      <c r="G9" t="n">
        <v>4707.52442779838</v>
      </c>
      <c r="H9" t="n">
        <v>4847.63838682699</v>
      </c>
      <c r="I9" t="n">
        <v>4935.94053712733</v>
      </c>
      <c r="J9" t="n">
        <v>5024.31906062111</v>
      </c>
      <c r="K9" t="n">
        <v>4973.65609112478</v>
      </c>
      <c r="L9" t="n">
        <v>4979.28399052068</v>
      </c>
      <c r="M9" t="n">
        <v>5135.01468322832</v>
      </c>
      <c r="N9" t="n">
        <v>5101.04395894129</v>
      </c>
      <c r="O9" t="n">
        <v>5119.99688235561</v>
      </c>
      <c r="P9" t="n">
        <v>5027.21930488606</v>
      </c>
      <c r="Q9" t="n">
        <v>5011.79049883525</v>
      </c>
      <c r="R9" t="n">
        <v>5148.16575050424</v>
      </c>
      <c r="S9" t="n">
        <v>5196.00431716368</v>
      </c>
      <c r="T9" t="n">
        <v>5291.24675882248</v>
      </c>
      <c r="U9" t="n">
        <v>5120.41142529582</v>
      </c>
      <c r="V9" t="n">
        <v>5011.06624445713</v>
      </c>
      <c r="W9" t="n">
        <v>4930.72390888406</v>
      </c>
      <c r="X9" t="n">
        <v>4930.72390888406</v>
      </c>
      <c r="Y9" t="n">
        <v>4786.85663302803</v>
      </c>
      <c r="Z9" t="n">
        <v>4790.10563074275</v>
      </c>
      <c r="AA9" t="n">
        <v>4827.58689545905</v>
      </c>
      <c r="AB9" t="n">
        <v>5064.7835316913</v>
      </c>
      <c r="AC9" t="n">
        <v>5130.87329194328</v>
      </c>
      <c r="AD9" t="n">
        <v>5113.30180806676</v>
      </c>
      <c r="AE9" t="n">
        <v>5064</v>
      </c>
      <c r="AF9" t="n">
        <v>5146</v>
      </c>
    </row>
    <row r="10">
      <c r="A10" t="s">
        <v>151</v>
      </c>
      <c r="B10" t="s">
        <v>290</v>
      </c>
      <c r="C10" t="s">
        <v>236</v>
      </c>
      <c r="D10" t="s">
        <v>291</v>
      </c>
      <c r="E10" t="s">
        <v>237</v>
      </c>
      <c r="F10" t="n">
        <v>6634.40948318696</v>
      </c>
      <c r="G10" t="n">
        <v>6636.05942337178</v>
      </c>
      <c r="H10" t="n">
        <v>6799.01638951828</v>
      </c>
      <c r="I10" t="n">
        <v>6933.82310589548</v>
      </c>
      <c r="J10" t="n">
        <v>7052.08400267467</v>
      </c>
      <c r="K10" t="n">
        <v>7059.7277095928</v>
      </c>
      <c r="L10" t="n">
        <v>7113.07577792726</v>
      </c>
      <c r="M10" t="n">
        <v>7412.67933245906</v>
      </c>
      <c r="N10" t="n">
        <v>7411.26172310116</v>
      </c>
      <c r="O10" t="n">
        <v>7432.37241923609</v>
      </c>
      <c r="P10" t="n">
        <v>7312.84997922249</v>
      </c>
      <c r="Q10" t="n">
        <v>7287.61035168294</v>
      </c>
      <c r="R10" t="n">
        <v>7468.4669556615</v>
      </c>
      <c r="S10" t="n">
        <v>7544.18645842252</v>
      </c>
      <c r="T10" t="n">
        <v>7664.47004353767</v>
      </c>
      <c r="U10" t="n">
        <v>7489.66012422136</v>
      </c>
      <c r="V10" t="n">
        <v>7366.19766536591</v>
      </c>
      <c r="W10" t="n">
        <v>7358.10040034431</v>
      </c>
      <c r="X10" t="n">
        <v>7478.96349437278</v>
      </c>
      <c r="Y10" t="n">
        <v>7406.56519712599</v>
      </c>
      <c r="Z10" t="n">
        <v>7447.94265632781</v>
      </c>
      <c r="AA10" t="n">
        <v>7523.2613483161</v>
      </c>
      <c r="AB10" t="n">
        <v>7809.76072265254</v>
      </c>
      <c r="AC10" t="n">
        <v>7903.4357501884</v>
      </c>
      <c r="AD10" t="n">
        <v>7851.41892940264</v>
      </c>
      <c r="AE10" t="n">
        <v>7806</v>
      </c>
      <c r="AF10" t="n">
        <v>8014</v>
      </c>
    </row>
    <row r="11">
      <c r="A11" t="s">
        <v>151</v>
      </c>
      <c r="B11" t="s">
        <v>292</v>
      </c>
      <c r="C11" t="s">
        <v>236</v>
      </c>
      <c r="D11" t="s">
        <v>293</v>
      </c>
      <c r="E11" t="s">
        <v>237</v>
      </c>
      <c r="F11" t="n">
        <v>1878.0625622061</v>
      </c>
      <c r="G11" t="n">
        <v>1897.05207244074</v>
      </c>
      <c r="H11" t="n">
        <v>1913.75801045636</v>
      </c>
      <c r="I11" t="n">
        <v>1961.23673972341</v>
      </c>
      <c r="J11" t="n">
        <v>1989.63473776465</v>
      </c>
      <c r="K11" t="n">
        <v>2059.32422069862</v>
      </c>
      <c r="L11" t="n">
        <v>2112.94372847922</v>
      </c>
      <c r="M11" t="n">
        <v>2265.35804450467</v>
      </c>
      <c r="N11" t="n">
        <v>2302.85362593096</v>
      </c>
      <c r="O11" t="n">
        <v>2304.39091139553</v>
      </c>
      <c r="P11" t="n">
        <v>2279.06793434723</v>
      </c>
      <c r="Q11" t="n">
        <v>2269.06575532501</v>
      </c>
      <c r="R11" t="n">
        <v>2312.16688180484</v>
      </c>
      <c r="S11" t="n">
        <v>2340.38042307032</v>
      </c>
      <c r="T11" t="n">
        <v>2364.37784780769</v>
      </c>
      <c r="U11" t="n">
        <v>2363.1565782582</v>
      </c>
      <c r="V11" t="n">
        <v>2349.85324030485</v>
      </c>
      <c r="W11" t="n">
        <v>2423.79967094382</v>
      </c>
      <c r="X11" t="n">
        <v>2546.40874094941</v>
      </c>
      <c r="Y11" t="n">
        <v>2619.67071867507</v>
      </c>
      <c r="Z11" t="n">
        <v>2658.16294166148</v>
      </c>
      <c r="AA11" t="n">
        <v>2696.1522037922</v>
      </c>
      <c r="AB11" t="n">
        <v>2745.15378473825</v>
      </c>
      <c r="AC11" t="n">
        <v>2772.6900495543</v>
      </c>
      <c r="AD11" t="n">
        <v>2737.9392817475</v>
      </c>
      <c r="AE11" t="n">
        <v>2742</v>
      </c>
      <c r="AF11" t="n">
        <v>2868</v>
      </c>
    </row>
    <row r="12">
      <c r="A12" t="s">
        <v>151</v>
      </c>
      <c r="B12" t="s">
        <v>294</v>
      </c>
      <c r="C12" t="s">
        <v>236</v>
      </c>
      <c r="D12" t="s">
        <v>295</v>
      </c>
      <c r="E12" t="s">
        <v>237</v>
      </c>
      <c r="F12" t="n">
        <v>3480.79634900077</v>
      </c>
      <c r="G12" t="n">
        <v>3441.84835835716</v>
      </c>
      <c r="H12" t="n">
        <v>3465.99669599318</v>
      </c>
      <c r="I12" t="n">
        <v>3613.09841510364</v>
      </c>
      <c r="J12" t="n">
        <v>3741.54572114517</v>
      </c>
      <c r="K12" t="n">
        <v>3816.37663556808</v>
      </c>
      <c r="L12" t="n">
        <v>3839.02970917305</v>
      </c>
      <c r="M12" t="n">
        <v>3840.33195805676</v>
      </c>
      <c r="N12" t="n">
        <v>3855.98548505971</v>
      </c>
      <c r="O12" t="n">
        <v>3863.81224856118</v>
      </c>
      <c r="P12" t="n">
        <v>3888.29121912559</v>
      </c>
      <c r="Q12" t="n">
        <v>3952.44613733181</v>
      </c>
      <c r="R12" t="n">
        <v>3925.25607634954</v>
      </c>
      <c r="S12" t="n">
        <v>3918.05817400904</v>
      </c>
      <c r="T12" t="n">
        <v>3865.97172856431</v>
      </c>
      <c r="U12" t="n">
        <v>3745.73815805872</v>
      </c>
      <c r="V12" t="n">
        <v>3673.7501216247</v>
      </c>
      <c r="W12" t="n">
        <v>3571.0282363515</v>
      </c>
      <c r="X12" t="n">
        <v>3459.36381370136</v>
      </c>
      <c r="Y12" t="n">
        <v>3369.22468668404</v>
      </c>
      <c r="Z12" t="n">
        <v>3367.03545686813</v>
      </c>
      <c r="AA12" t="n">
        <v>3370.28549109291</v>
      </c>
      <c r="AB12" t="n">
        <v>3373.49426813933</v>
      </c>
      <c r="AC12" t="n">
        <v>3444.37044122347</v>
      </c>
      <c r="AD12" t="n">
        <v>3495.23667136812</v>
      </c>
      <c r="AE12" t="n">
        <v>3578</v>
      </c>
      <c r="AF12" t="n">
        <v>3603</v>
      </c>
    </row>
    <row r="13">
      <c r="A13" t="s">
        <v>151</v>
      </c>
      <c r="B13" t="s">
        <v>296</v>
      </c>
      <c r="C13" t="s">
        <v>236</v>
      </c>
      <c r="D13" t="s">
        <v>297</v>
      </c>
      <c r="E13" t="s">
        <v>237</v>
      </c>
      <c r="F13" t="n">
        <v>5868.05136549851</v>
      </c>
      <c r="G13" t="n">
        <v>6137.39982041953</v>
      </c>
      <c r="H13" t="n">
        <v>6545.99034430272</v>
      </c>
      <c r="I13" t="n">
        <v>6834.01953953389</v>
      </c>
      <c r="J13" t="n">
        <v>6846.46262588951</v>
      </c>
      <c r="K13" t="n">
        <v>6997.87871504546</v>
      </c>
      <c r="L13" t="n">
        <v>7122.36278553116</v>
      </c>
      <c r="M13" t="n">
        <v>7580.60303827673</v>
      </c>
      <c r="N13" t="n">
        <v>7679.01834516106</v>
      </c>
      <c r="O13" t="n">
        <v>8030.15687884114</v>
      </c>
      <c r="P13" t="n">
        <v>7945.84736549521</v>
      </c>
      <c r="Q13" t="n">
        <v>7837.27684222978</v>
      </c>
      <c r="R13" t="n">
        <v>7889.45909133784</v>
      </c>
      <c r="S13" t="n">
        <v>8049.88208348341</v>
      </c>
      <c r="T13" t="n">
        <v>8172.18214093636</v>
      </c>
      <c r="U13" t="n">
        <v>8082.41588167808</v>
      </c>
      <c r="V13" t="n">
        <v>7969.88333278162</v>
      </c>
      <c r="W13" t="n">
        <v>8181.97027417469</v>
      </c>
      <c r="X13" t="n">
        <v>7845.86167966887</v>
      </c>
      <c r="Y13" t="n">
        <v>7659.10745538944</v>
      </c>
      <c r="Z13" t="n">
        <v>7528.66565938508</v>
      </c>
      <c r="AA13" t="n">
        <v>7326.35160221464</v>
      </c>
      <c r="AB13" t="n">
        <v>7217.14549294864</v>
      </c>
      <c r="AC13" t="n">
        <v>7213.99802435162</v>
      </c>
      <c r="AD13" t="n">
        <v>7261.39075630252</v>
      </c>
      <c r="AE13" t="n">
        <v>7171</v>
      </c>
      <c r="AF13" t="n">
        <v>7083</v>
      </c>
    </row>
    <row r="14">
      <c r="A14" t="s">
        <v>151</v>
      </c>
      <c r="B14" t="s">
        <v>298</v>
      </c>
      <c r="C14" t="s">
        <v>236</v>
      </c>
      <c r="D14" t="s">
        <v>299</v>
      </c>
      <c r="E14" t="s">
        <v>237</v>
      </c>
      <c r="F14" t="n">
        <v>5372.56605510338</v>
      </c>
      <c r="G14" t="n">
        <v>5990.85278481863</v>
      </c>
      <c r="H14" t="n">
        <v>6785.63425564564</v>
      </c>
      <c r="I14" t="n">
        <v>8017.21030475766</v>
      </c>
      <c r="J14" t="n">
        <v>9824.08213801665</v>
      </c>
      <c r="K14" t="n">
        <v>11722.6767139905</v>
      </c>
      <c r="L14" t="n">
        <v>13156.9687633027</v>
      </c>
      <c r="M14" t="n">
        <v>13809.5544139626</v>
      </c>
      <c r="N14" t="n">
        <v>14653.2704935116</v>
      </c>
      <c r="O14" t="n">
        <v>15573.4494849248</v>
      </c>
      <c r="P14" t="n">
        <v>16448.7651762892</v>
      </c>
      <c r="Q14" t="n">
        <v>17162.2436448366</v>
      </c>
      <c r="R14" t="n">
        <v>17682.5659460492</v>
      </c>
      <c r="S14" t="n">
        <v>18510.6937945782</v>
      </c>
      <c r="T14" t="n">
        <v>18594.9551774627</v>
      </c>
      <c r="U14" t="n">
        <v>18655.156882365</v>
      </c>
      <c r="V14" t="n">
        <v>18297.4264834805</v>
      </c>
      <c r="W14" t="n">
        <v>16767.1687571961</v>
      </c>
      <c r="X14" t="n">
        <v>15376.9089984366</v>
      </c>
      <c r="Y14" t="n">
        <v>14213.1850579301</v>
      </c>
      <c r="Z14" t="n">
        <v>12929.4559767368</v>
      </c>
      <c r="AA14" t="n">
        <v>11595.6622695917</v>
      </c>
      <c r="AB14" t="n">
        <v>10546.4398035038</v>
      </c>
      <c r="AC14" t="n">
        <v>9582.96139786879</v>
      </c>
      <c r="AD14" t="n">
        <v>8831.45991561181</v>
      </c>
      <c r="AE14" t="n">
        <v>8192</v>
      </c>
      <c r="AF14" t="n">
        <v>7737</v>
      </c>
    </row>
    <row r="15">
      <c r="A15" t="s">
        <v>151</v>
      </c>
      <c r="B15" t="s">
        <v>300</v>
      </c>
      <c r="C15" t="s">
        <v>236</v>
      </c>
      <c r="D15" t="s">
        <v>301</v>
      </c>
      <c r="E15" t="s">
        <v>237</v>
      </c>
      <c r="F15" t="n">
        <v>6828.40750961314</v>
      </c>
      <c r="G15" t="n">
        <v>7473.23912433983</v>
      </c>
      <c r="H15" t="n">
        <v>8293.74312315459</v>
      </c>
      <c r="I15" t="n">
        <v>9572.21808674137</v>
      </c>
      <c r="J15" t="n">
        <v>11375.5255798805</v>
      </c>
      <c r="K15" t="n">
        <v>13245.0457746458</v>
      </c>
      <c r="L15" t="n">
        <v>14668.0395827791</v>
      </c>
      <c r="M15" t="n">
        <v>15282.7522603373</v>
      </c>
      <c r="N15" t="n">
        <v>16142.2117432806</v>
      </c>
      <c r="O15" t="n">
        <v>17055.0519732415</v>
      </c>
      <c r="P15" t="n">
        <v>17928.7556289538</v>
      </c>
      <c r="Q15" t="n">
        <v>18636.0184625792</v>
      </c>
      <c r="R15" t="n">
        <v>19220.9618714637</v>
      </c>
      <c r="S15" t="n">
        <v>20194.1066958399</v>
      </c>
      <c r="T15" t="n">
        <v>20362.0728006824</v>
      </c>
      <c r="U15" t="n">
        <v>20526.4116403675</v>
      </c>
      <c r="V15" t="n">
        <v>20212.2195394317</v>
      </c>
      <c r="W15" t="n">
        <v>18740.256705219</v>
      </c>
      <c r="X15" t="n">
        <v>17302.3679180186</v>
      </c>
      <c r="Y15" t="n">
        <v>16172.8430661177</v>
      </c>
      <c r="Z15" t="n">
        <v>14952.3339728348</v>
      </c>
      <c r="AA15" t="n">
        <v>13634.5084954871</v>
      </c>
      <c r="AB15" t="n">
        <v>12281.6929879785</v>
      </c>
      <c r="AC15" t="n">
        <v>11350.6204664915</v>
      </c>
      <c r="AD15" t="n">
        <v>10659.3190993001</v>
      </c>
      <c r="AE15" t="n">
        <v>10021</v>
      </c>
      <c r="AF15" t="n">
        <v>9564</v>
      </c>
    </row>
    <row r="16">
      <c r="A16" t="s">
        <v>151</v>
      </c>
      <c r="B16" t="s">
        <v>302</v>
      </c>
      <c r="C16" t="s">
        <v>236</v>
      </c>
      <c r="D16" t="s">
        <v>303</v>
      </c>
      <c r="E16" t="s">
        <v>237</v>
      </c>
      <c r="F16" t="n">
        <v>1357.29439371657</v>
      </c>
      <c r="G16" t="n">
        <v>1389.0146809006</v>
      </c>
      <c r="H16" t="n">
        <v>1421.77446111052</v>
      </c>
      <c r="I16" t="n">
        <v>1478.25812301616</v>
      </c>
      <c r="J16" t="n">
        <v>1494.11926167513</v>
      </c>
      <c r="K16" t="n">
        <v>1487.87424908715</v>
      </c>
      <c r="L16" t="n">
        <v>1490.90454287348</v>
      </c>
      <c r="M16" t="n">
        <v>1461.49814163337</v>
      </c>
      <c r="N16" t="n">
        <v>1481.81688441675</v>
      </c>
      <c r="O16" t="n">
        <v>1480.37682913549</v>
      </c>
      <c r="P16" t="n">
        <v>1483.19123375362</v>
      </c>
      <c r="Q16" t="n">
        <v>1480.46978194857</v>
      </c>
      <c r="R16" t="n">
        <v>1544.43247279783</v>
      </c>
      <c r="S16" t="n">
        <v>1686.47893768726</v>
      </c>
      <c r="T16" t="n">
        <v>1767.66610755404</v>
      </c>
      <c r="U16" t="n">
        <v>1870.01734675166</v>
      </c>
      <c r="V16" t="n">
        <v>1913.45000770847</v>
      </c>
      <c r="W16" t="n">
        <v>1972.18082439688</v>
      </c>
      <c r="X16" t="n">
        <v>1924.52167904322</v>
      </c>
      <c r="Y16" t="n">
        <v>1958.94762944734</v>
      </c>
      <c r="Z16" t="n">
        <v>2022.74266735185</v>
      </c>
      <c r="AA16" t="n">
        <v>2039.02010297969</v>
      </c>
      <c r="AB16" t="n">
        <v>1735.08666712759</v>
      </c>
      <c r="AC16" t="n">
        <v>1767.96422622353</v>
      </c>
      <c r="AD16" t="n">
        <v>1827.98445308162</v>
      </c>
      <c r="AE16" t="n">
        <v>1829</v>
      </c>
      <c r="AF16" t="n">
        <v>1827</v>
      </c>
    </row>
    <row r="17">
      <c r="A17" t="s">
        <v>151</v>
      </c>
      <c r="B17" t="s">
        <v>304</v>
      </c>
      <c r="C17" t="s">
        <v>236</v>
      </c>
      <c r="D17" t="s">
        <v>305</v>
      </c>
      <c r="E17" t="s">
        <v>237</v>
      </c>
      <c r="F17" t="n">
        <v>3599.62475332404</v>
      </c>
      <c r="G17" t="n">
        <v>3693.92386610308</v>
      </c>
      <c r="H17" t="n">
        <v>3820.85730908792</v>
      </c>
      <c r="I17" t="n">
        <v>3901.88172603739</v>
      </c>
      <c r="J17" t="n">
        <v>3934.57905893714</v>
      </c>
      <c r="K17" t="n">
        <v>3965.1507687968</v>
      </c>
      <c r="L17" t="n">
        <v>4012.78020746102</v>
      </c>
      <c r="M17" t="n">
        <v>3985.44323222195</v>
      </c>
      <c r="N17" t="n">
        <v>4039.64754246692</v>
      </c>
      <c r="O17" t="n">
        <v>3934.50019173088</v>
      </c>
      <c r="P17" t="n">
        <v>3887.23057811998</v>
      </c>
      <c r="Q17" t="n">
        <v>3887.23057811998</v>
      </c>
      <c r="R17" t="n">
        <v>3942.38722821493</v>
      </c>
      <c r="S17" t="n">
        <v>4205.55206415188</v>
      </c>
      <c r="T17" t="n">
        <v>4399.30050361756</v>
      </c>
      <c r="U17" t="n">
        <v>4365.91827757385</v>
      </c>
      <c r="V17" t="n">
        <v>4410.30931254781</v>
      </c>
      <c r="W17" t="n">
        <v>4521.44442785073</v>
      </c>
      <c r="X17" t="n">
        <v>4566.64757134337</v>
      </c>
      <c r="Y17" t="n">
        <v>4669.70465072578</v>
      </c>
      <c r="Z17" t="n">
        <v>4764.15305146953</v>
      </c>
      <c r="AA17" t="n">
        <v>4815.14717431605</v>
      </c>
      <c r="AB17" t="n">
        <v>4883.50773757165</v>
      </c>
      <c r="AC17" t="n">
        <v>5117.01604060702</v>
      </c>
      <c r="AD17" t="n">
        <v>5275.77285633163</v>
      </c>
      <c r="AE17" t="n">
        <v>5389</v>
      </c>
      <c r="AF17" t="n">
        <v>5421</v>
      </c>
    </row>
    <row r="18">
      <c r="A18" t="s">
        <v>151</v>
      </c>
      <c r="B18" t="s">
        <v>306</v>
      </c>
      <c r="C18" t="s">
        <v>236</v>
      </c>
      <c r="D18" t="s">
        <v>307</v>
      </c>
      <c r="E18" t="s">
        <v>237</v>
      </c>
      <c r="F18" t="n">
        <v>2413.8052626288</v>
      </c>
      <c r="G18" t="n">
        <v>2359.95396411871</v>
      </c>
      <c r="H18" t="n">
        <v>2299.96851218793</v>
      </c>
      <c r="I18" t="n">
        <v>2281.14203050563</v>
      </c>
      <c r="J18" t="n">
        <v>2228.87866862073</v>
      </c>
      <c r="K18" t="n">
        <v>2155.53074735652</v>
      </c>
      <c r="L18" t="n">
        <v>2119.21789783906</v>
      </c>
      <c r="M18" t="n">
        <v>2053.68944968219</v>
      </c>
      <c r="N18" t="n">
        <v>1983.78851538395</v>
      </c>
      <c r="O18" t="n">
        <v>1932.13462722828</v>
      </c>
      <c r="P18" t="n">
        <v>1893.8745356</v>
      </c>
      <c r="Q18" t="n">
        <v>1888.5991190663</v>
      </c>
      <c r="R18" t="n">
        <v>1842.59805797943</v>
      </c>
      <c r="S18" t="n">
        <v>1814.45745018825</v>
      </c>
      <c r="T18" t="n">
        <v>1795.75170327909</v>
      </c>
      <c r="U18" t="n">
        <v>1733.74855000626</v>
      </c>
      <c r="V18" t="n">
        <v>1707.31579318011</v>
      </c>
      <c r="W18" t="n">
        <v>1696.76233017281</v>
      </c>
      <c r="X18" t="n">
        <v>1685.51804700401</v>
      </c>
      <c r="Y18" t="n">
        <v>1588.25536625886</v>
      </c>
      <c r="Z18" t="n">
        <v>1510.27049004559</v>
      </c>
      <c r="AA18" t="n">
        <v>1469.89476162675</v>
      </c>
      <c r="AB18" t="n">
        <v>1518.21124393003</v>
      </c>
      <c r="AC18" t="n">
        <v>1615.54604145029</v>
      </c>
      <c r="AD18" t="n">
        <v>1571.91071428571</v>
      </c>
      <c r="AE18" t="n">
        <v>1582</v>
      </c>
      <c r="AF18" t="n">
        <v>1628</v>
      </c>
    </row>
    <row r="19">
      <c r="A19" t="s">
        <v>151</v>
      </c>
      <c r="B19" t="s">
        <v>308</v>
      </c>
      <c r="C19" t="s">
        <v>236</v>
      </c>
      <c r="D19" t="s">
        <v>309</v>
      </c>
      <c r="E19" t="s">
        <v>237</v>
      </c>
      <c r="F19" t="n">
        <v>2283.55452508224</v>
      </c>
      <c r="G19" t="n">
        <v>2313.98056714154</v>
      </c>
      <c r="H19" t="n">
        <v>2418.01511580049</v>
      </c>
      <c r="I19" t="n">
        <v>2536.2706813094</v>
      </c>
      <c r="J19" t="n">
        <v>2655.15836949577</v>
      </c>
      <c r="K19" t="n">
        <v>2778.09624995803</v>
      </c>
      <c r="L19" t="n">
        <v>2859.7620714791</v>
      </c>
      <c r="M19" t="n">
        <v>2917.63484785158</v>
      </c>
      <c r="N19" t="n">
        <v>2909.24682241454</v>
      </c>
      <c r="O19" t="n">
        <v>2855.19221256501</v>
      </c>
      <c r="P19" t="n">
        <v>2800.93677859703</v>
      </c>
      <c r="Q19" t="n">
        <v>2760.22930549037</v>
      </c>
      <c r="R19" t="n">
        <v>2755.09876774782</v>
      </c>
      <c r="S19" t="n">
        <v>2546.51084842306</v>
      </c>
      <c r="T19" t="n">
        <v>2305.44903260947</v>
      </c>
      <c r="U19" t="n">
        <v>2114.78153823329</v>
      </c>
      <c r="V19" t="n">
        <v>1947.76319650408</v>
      </c>
      <c r="W19" t="n">
        <v>1796.34697628115</v>
      </c>
      <c r="X19" t="n">
        <v>1626.90117642232</v>
      </c>
      <c r="Y19" t="n">
        <v>1499.57847565883</v>
      </c>
      <c r="Z19" t="n">
        <v>1413.14743959781</v>
      </c>
      <c r="AA19" t="n">
        <v>1399.23007845025</v>
      </c>
      <c r="AB19" t="n">
        <v>1342.03217970967</v>
      </c>
      <c r="AC19" t="n">
        <v>1339.93361492513</v>
      </c>
      <c r="AD19" t="n">
        <v>1333.73977695167</v>
      </c>
      <c r="AE19" t="n">
        <v>1359</v>
      </c>
      <c r="AF19" t="n">
        <v>1452</v>
      </c>
    </row>
    <row r="20">
      <c r="A20" t="s">
        <v>151</v>
      </c>
      <c r="B20" t="s">
        <v>310</v>
      </c>
      <c r="C20" t="s">
        <v>236</v>
      </c>
      <c r="D20" t="s">
        <v>311</v>
      </c>
      <c r="E20" t="s">
        <v>237</v>
      </c>
      <c r="F20" t="n">
        <v>21696.7156463878</v>
      </c>
      <c r="G20" t="n">
        <v>21585.918360119</v>
      </c>
      <c r="H20" t="n">
        <v>21705.3469925414</v>
      </c>
      <c r="I20" t="n">
        <v>21584.0352615095</v>
      </c>
      <c r="J20" t="n">
        <v>21333.1124745139</v>
      </c>
      <c r="K20" t="n">
        <v>21273.4201666859</v>
      </c>
      <c r="L20" t="n">
        <v>21339.8626921926</v>
      </c>
      <c r="M20" t="n">
        <v>21372.9544425918</v>
      </c>
      <c r="N20" t="n">
        <v>21279.8104909479</v>
      </c>
      <c r="O20" t="n">
        <v>21632.7964886993</v>
      </c>
      <c r="P20" t="n">
        <v>21838.4419319057</v>
      </c>
      <c r="Q20" t="n">
        <v>21980.9244493882</v>
      </c>
      <c r="R20" t="n">
        <v>22187.4927914587</v>
      </c>
      <c r="S20" t="n">
        <v>22763.1405332664</v>
      </c>
      <c r="T20" t="n">
        <v>23519.7205702438</v>
      </c>
      <c r="U20" t="n">
        <v>23959.7429858881</v>
      </c>
      <c r="V20" t="n">
        <v>24439.1226666876</v>
      </c>
      <c r="W20" t="n">
        <v>24938.4917444704</v>
      </c>
      <c r="X20" t="n">
        <v>25644.5295298204</v>
      </c>
      <c r="Y20" t="n">
        <v>26718.4581596018</v>
      </c>
      <c r="Z20" t="n">
        <v>27836.5783809395</v>
      </c>
      <c r="AA20" t="n">
        <v>29466.337495251</v>
      </c>
      <c r="AB20" t="n">
        <v>30894.0781138884</v>
      </c>
      <c r="AC20" t="n">
        <v>31709.770159942</v>
      </c>
      <c r="AD20" t="n">
        <v>32249.4163217563</v>
      </c>
      <c r="AE20" t="n">
        <v>33027</v>
      </c>
      <c r="AF20" t="n">
        <v>34050</v>
      </c>
    </row>
    <row r="21">
      <c r="A21" t="s">
        <v>151</v>
      </c>
      <c r="B21" t="s">
        <v>312</v>
      </c>
      <c r="C21" t="s">
        <v>236</v>
      </c>
      <c r="D21" t="s">
        <v>313</v>
      </c>
      <c r="E21" t="s">
        <v>237</v>
      </c>
      <c r="F21" t="n">
        <v>29909.2956472231</v>
      </c>
      <c r="G21" t="n">
        <v>29862.4263681699</v>
      </c>
      <c r="H21" t="n">
        <v>30085.1934523615</v>
      </c>
      <c r="I21" t="n">
        <v>30051.11453427</v>
      </c>
      <c r="J21" t="n">
        <v>29894.0389982756</v>
      </c>
      <c r="K21" t="n">
        <v>29930.1732686645</v>
      </c>
      <c r="L21" t="n">
        <v>30001.1801912645</v>
      </c>
      <c r="M21" t="n">
        <v>30137.5891947742</v>
      </c>
      <c r="N21" t="n">
        <v>30165.3106410707</v>
      </c>
      <c r="O21" t="n">
        <v>30585.9338542502</v>
      </c>
      <c r="P21" t="n">
        <v>30892.6334657008</v>
      </c>
      <c r="Q21" t="n">
        <v>31226.7389604238</v>
      </c>
      <c r="R21" t="n">
        <v>31631.3911627345</v>
      </c>
      <c r="S21" t="n">
        <v>32399.4471290613</v>
      </c>
      <c r="T21" t="n">
        <v>33329.265693634</v>
      </c>
      <c r="U21" t="n">
        <v>34014.7273889987</v>
      </c>
      <c r="V21" t="n">
        <v>34597.4927378412</v>
      </c>
      <c r="W21" t="n">
        <v>35166.3221357981</v>
      </c>
      <c r="X21" t="n">
        <v>35891.4997452481</v>
      </c>
      <c r="Y21" t="n">
        <v>36978.6740257617</v>
      </c>
      <c r="Z21" t="n">
        <v>38066.6208560821</v>
      </c>
      <c r="AA21" t="n">
        <v>39804.5929717198</v>
      </c>
      <c r="AB21" t="n">
        <v>41272.1163310366</v>
      </c>
      <c r="AC21" t="n">
        <v>42246.2176936302</v>
      </c>
      <c r="AD21" t="n">
        <v>42806.8070736652</v>
      </c>
      <c r="AE21" t="n">
        <v>43927</v>
      </c>
      <c r="AF21" t="n">
        <v>45343</v>
      </c>
    </row>
    <row r="22">
      <c r="A22" t="s">
        <v>151</v>
      </c>
      <c r="B22" t="s">
        <v>314</v>
      </c>
      <c r="C22" t="s">
        <v>236</v>
      </c>
      <c r="D22" t="s">
        <v>315</v>
      </c>
      <c r="E22" t="s">
        <v>237</v>
      </c>
      <c r="F22" t="n">
        <v>8158.31880577175</v>
      </c>
      <c r="G22" t="n">
        <v>8230.00877770296</v>
      </c>
      <c r="H22" t="n">
        <v>8337.63748883246</v>
      </c>
      <c r="I22" t="n">
        <v>8435.68614472802</v>
      </c>
      <c r="J22" t="n">
        <v>8544.1449665888</v>
      </c>
      <c r="K22" t="n">
        <v>8648.21903101484</v>
      </c>
      <c r="L22" t="n">
        <v>8651.42029661951</v>
      </c>
      <c r="M22" t="n">
        <v>8759.13986630349</v>
      </c>
      <c r="N22" t="n">
        <v>8887.30007337012</v>
      </c>
      <c r="O22" t="n">
        <v>8951.74423916352</v>
      </c>
      <c r="P22" t="n">
        <v>9053.36961975734</v>
      </c>
      <c r="Q22" t="n">
        <v>9248.8259229859</v>
      </c>
      <c r="R22" t="n">
        <v>9449.02836392778</v>
      </c>
      <c r="S22" t="n">
        <v>9641.05660522958</v>
      </c>
      <c r="T22" t="n">
        <v>9814.29073206049</v>
      </c>
      <c r="U22" t="n">
        <v>10060.2042332814</v>
      </c>
      <c r="V22" t="n">
        <v>10162.9427701886</v>
      </c>
      <c r="W22" t="n">
        <v>10232.0481059806</v>
      </c>
      <c r="X22" t="n">
        <v>10252.2129139895</v>
      </c>
      <c r="Y22" t="n">
        <v>10266.9174504915</v>
      </c>
      <c r="Z22" t="n">
        <v>10238.7517553926</v>
      </c>
      <c r="AA22" t="n">
        <v>10343.3905934006</v>
      </c>
      <c r="AB22" t="n">
        <v>10378.5721940584</v>
      </c>
      <c r="AC22" t="n">
        <v>10536.4685981718</v>
      </c>
      <c r="AD22" t="n">
        <v>10557.6484431571</v>
      </c>
      <c r="AE22" t="n">
        <v>10900</v>
      </c>
      <c r="AF22" t="n">
        <v>11293</v>
      </c>
    </row>
    <row r="23">
      <c r="A23" t="s">
        <v>151</v>
      </c>
      <c r="B23" t="s">
        <v>316</v>
      </c>
      <c r="C23" t="s">
        <v>236</v>
      </c>
      <c r="D23" t="s">
        <v>317</v>
      </c>
      <c r="E23" t="s">
        <v>237</v>
      </c>
      <c r="F23" t="n">
        <v>3098.78720504738</v>
      </c>
      <c r="G23" t="n">
        <v>3091.37028976484</v>
      </c>
      <c r="H23" t="n">
        <v>3158.8290342284</v>
      </c>
      <c r="I23" t="n">
        <v>3200.77319264993</v>
      </c>
      <c r="J23" t="n">
        <v>3391.39701834552</v>
      </c>
      <c r="K23" t="n">
        <v>3612.93856555873</v>
      </c>
      <c r="L23" t="n">
        <v>3730.44348339185</v>
      </c>
      <c r="M23" t="n">
        <v>3836.50382812851</v>
      </c>
      <c r="N23" t="n">
        <v>4014.3376797391</v>
      </c>
      <c r="O23" t="n">
        <v>4154.61662543867</v>
      </c>
      <c r="P23" t="n">
        <v>4350.11276456028</v>
      </c>
      <c r="Q23" t="n">
        <v>4580.33100333608</v>
      </c>
      <c r="R23" t="n">
        <v>4879.07519056314</v>
      </c>
      <c r="S23" t="n">
        <v>5230.49333973595</v>
      </c>
      <c r="T23" t="n">
        <v>5263.03140094737</v>
      </c>
      <c r="U23" t="n">
        <v>5341.82623477926</v>
      </c>
      <c r="V23" t="n">
        <v>5451.34780440767</v>
      </c>
      <c r="W23" t="n">
        <v>5597.59224275997</v>
      </c>
      <c r="X23" t="n">
        <v>5632.06976303129</v>
      </c>
      <c r="Y23" t="n">
        <v>5655.11603447004</v>
      </c>
      <c r="Z23" t="n">
        <v>5680.24017369986</v>
      </c>
      <c r="AA23" t="n">
        <v>5797.54714204645</v>
      </c>
      <c r="AB23" t="n">
        <v>6018.64904992061</v>
      </c>
      <c r="AC23" t="n">
        <v>6282.70794024224</v>
      </c>
      <c r="AD23" t="n">
        <v>6588.42576866764</v>
      </c>
      <c r="AE23" t="n">
        <v>6889</v>
      </c>
      <c r="AF23" t="n">
        <v>7209</v>
      </c>
    </row>
    <row r="24">
      <c r="A24" t="s">
        <v>151</v>
      </c>
      <c r="B24" t="s">
        <v>318</v>
      </c>
      <c r="C24" t="s">
        <v>236</v>
      </c>
      <c r="D24" t="s">
        <v>319</v>
      </c>
      <c r="E24" t="s">
        <v>237</v>
      </c>
      <c r="F24" t="n">
        <v>19977.2679260534</v>
      </c>
      <c r="G24" t="n">
        <v>19521.1942523262</v>
      </c>
      <c r="H24" t="n">
        <v>19382.253367968</v>
      </c>
      <c r="I24" t="n">
        <v>19296.0826638868</v>
      </c>
      <c r="J24" t="n">
        <v>19260.1104731199</v>
      </c>
      <c r="K24" t="n">
        <v>19199.3210660506</v>
      </c>
      <c r="L24" t="n">
        <v>18998.9193936094</v>
      </c>
      <c r="M24" t="n">
        <v>18601.9070292953</v>
      </c>
      <c r="N24" t="n">
        <v>18462.9761015876</v>
      </c>
      <c r="O24" t="n">
        <v>18188.9883575</v>
      </c>
      <c r="P24" t="n">
        <v>17815.6894686852</v>
      </c>
      <c r="Q24" t="n">
        <v>17104.7650120481</v>
      </c>
      <c r="R24" t="n">
        <v>17055.7362133218</v>
      </c>
      <c r="S24" t="n">
        <v>17042.4679602562</v>
      </c>
      <c r="T24" t="n">
        <v>16823.1565662011</v>
      </c>
      <c r="U24" t="n">
        <v>16539.5612109748</v>
      </c>
      <c r="V24" t="n">
        <v>16379.5947631547</v>
      </c>
      <c r="W24" t="n">
        <v>16610.1091907246</v>
      </c>
      <c r="X24" t="n">
        <v>16452.0259878824</v>
      </c>
      <c r="Y24" t="n">
        <v>16331.0799115982</v>
      </c>
      <c r="Z24" t="n">
        <v>15831.0693503771</v>
      </c>
      <c r="AA24" t="n">
        <v>15895.982345837</v>
      </c>
      <c r="AB24" t="n">
        <v>16005.400611831</v>
      </c>
      <c r="AC24" t="n">
        <v>16282.9941118694</v>
      </c>
      <c r="AD24" t="n">
        <v>16279.8685771368</v>
      </c>
      <c r="AE24" t="n">
        <v>16205</v>
      </c>
      <c r="AF24" t="n">
        <v>16344</v>
      </c>
    </row>
    <row r="25">
      <c r="A25" t="s">
        <v>151</v>
      </c>
      <c r="B25" t="s">
        <v>320</v>
      </c>
      <c r="C25" t="s">
        <v>236</v>
      </c>
      <c r="D25" t="s">
        <v>321</v>
      </c>
      <c r="E25" t="s">
        <v>237</v>
      </c>
      <c r="F25" t="n">
        <v>2704.18172522493</v>
      </c>
      <c r="G25" t="n">
        <v>2603.16344238607</v>
      </c>
      <c r="H25" t="n">
        <v>2569.0743973072</v>
      </c>
      <c r="I25" t="n">
        <v>2552.06065957669</v>
      </c>
      <c r="J25" t="n">
        <v>2547.53037438218</v>
      </c>
      <c r="K25" t="n">
        <v>2510.96994995075</v>
      </c>
      <c r="L25" t="n">
        <v>2468.41113723972</v>
      </c>
      <c r="M25" t="n">
        <v>2412.65088565469</v>
      </c>
      <c r="N25" t="n">
        <v>2375.80610402987</v>
      </c>
      <c r="O25" t="n">
        <v>2360.73466969058</v>
      </c>
      <c r="P25" t="n">
        <v>2317.44326027505</v>
      </c>
      <c r="Q25" t="n">
        <v>2316.14132585917</v>
      </c>
      <c r="R25" t="n">
        <v>2266.99578085998</v>
      </c>
      <c r="S25" t="n">
        <v>2274.2385788819</v>
      </c>
      <c r="T25" t="n">
        <v>2242.92575806098</v>
      </c>
      <c r="U25" t="n">
        <v>2254.61375054697</v>
      </c>
      <c r="V25" t="n">
        <v>2250.96747493962</v>
      </c>
      <c r="W25" t="n">
        <v>2239.05128925968</v>
      </c>
      <c r="X25" t="n">
        <v>2170.6136543358</v>
      </c>
      <c r="Y25" t="n">
        <v>2130.18836123901</v>
      </c>
      <c r="Z25" t="n">
        <v>2065.46812815789</v>
      </c>
      <c r="AA25" t="n">
        <v>2088.62607300109</v>
      </c>
      <c r="AB25" t="n">
        <v>2041.9225258669</v>
      </c>
      <c r="AC25" t="n">
        <v>2066.53689593763</v>
      </c>
      <c r="AD25" t="n">
        <v>2101.01400289715</v>
      </c>
      <c r="AE25" t="n">
        <v>2100</v>
      </c>
      <c r="AF25" t="n">
        <v>2128</v>
      </c>
    </row>
    <row r="26">
      <c r="A26" t="s">
        <v>151</v>
      </c>
      <c r="B26" t="s">
        <v>322</v>
      </c>
      <c r="C26" t="s">
        <v>236</v>
      </c>
      <c r="D26" t="s">
        <v>323</v>
      </c>
      <c r="E26" t="s">
        <v>237</v>
      </c>
      <c r="F26" t="n">
        <v>10620.2733576077</v>
      </c>
      <c r="G26" t="n">
        <v>10439.0131266601</v>
      </c>
      <c r="H26" t="n">
        <v>10374.8260333498</v>
      </c>
      <c r="I26" t="n">
        <v>10307.7810199092</v>
      </c>
      <c r="J26" t="n">
        <v>10209.076575847</v>
      </c>
      <c r="K26" t="n">
        <v>10125.7550745836</v>
      </c>
      <c r="L26" t="n">
        <v>9976.39102811745</v>
      </c>
      <c r="M26" t="n">
        <v>9649.20831160392</v>
      </c>
      <c r="N26" t="n">
        <v>9378.44314747823</v>
      </c>
      <c r="O26" t="n">
        <v>9010.58121478658</v>
      </c>
      <c r="P26" t="n">
        <v>8720.47536560278</v>
      </c>
      <c r="Q26" t="n">
        <v>8158.36311554323</v>
      </c>
      <c r="R26" t="n">
        <v>8138.3056770293</v>
      </c>
      <c r="S26" t="n">
        <v>8111.81614826844</v>
      </c>
      <c r="T26" t="n">
        <v>7869.65508913573</v>
      </c>
      <c r="U26" t="n">
        <v>7559.89950261455</v>
      </c>
      <c r="V26" t="n">
        <v>7477.87091378771</v>
      </c>
      <c r="W26" t="n">
        <v>7581.92730853998</v>
      </c>
      <c r="X26" t="n">
        <v>7459.60162145866</v>
      </c>
      <c r="Y26" t="n">
        <v>7419.44225875902</v>
      </c>
      <c r="Z26" t="n">
        <v>7023.45767416088</v>
      </c>
      <c r="AA26" t="n">
        <v>7034.4112887494</v>
      </c>
      <c r="AB26" t="n">
        <v>7160.6422888696</v>
      </c>
      <c r="AC26" t="n">
        <v>7354.31696513268</v>
      </c>
      <c r="AD26" t="n">
        <v>7283.60237892948</v>
      </c>
      <c r="AE26" t="n">
        <v>7144</v>
      </c>
      <c r="AF26" t="n">
        <v>7011</v>
      </c>
    </row>
    <row r="27">
      <c r="A27" t="s">
        <v>151</v>
      </c>
      <c r="B27" t="s">
        <v>324</v>
      </c>
      <c r="C27" t="s">
        <v>236</v>
      </c>
      <c r="D27" t="s">
        <v>325</v>
      </c>
      <c r="E27" t="s">
        <v>237</v>
      </c>
      <c r="F27" t="n">
        <v>6657.62353980993</v>
      </c>
      <c r="G27" t="n">
        <v>6485.13056627849</v>
      </c>
      <c r="H27" t="n">
        <v>6444.38154945524</v>
      </c>
      <c r="I27" t="n">
        <v>6441.37085964003</v>
      </c>
      <c r="J27" t="n">
        <v>6505.84317943625</v>
      </c>
      <c r="K27" t="n">
        <v>6562.65036720692</v>
      </c>
      <c r="L27" t="n">
        <v>6552.96686118448</v>
      </c>
      <c r="M27" t="n">
        <v>6538.28608002908</v>
      </c>
      <c r="N27" t="n">
        <v>6706.45187426851</v>
      </c>
      <c r="O27" t="n">
        <v>6814.4245347518</v>
      </c>
      <c r="P27" t="n">
        <v>6774.55078089134</v>
      </c>
      <c r="Q27" t="n">
        <v>6627.83748510456</v>
      </c>
      <c r="R27" t="n">
        <v>6647.99820749271</v>
      </c>
      <c r="S27" t="n">
        <v>6654.03854749589</v>
      </c>
      <c r="T27" t="n">
        <v>6708.66558884651</v>
      </c>
      <c r="U27" t="n">
        <v>6723.8647266393</v>
      </c>
      <c r="V27" t="n">
        <v>6649.64182610998</v>
      </c>
      <c r="W27" t="n">
        <v>6788.07658056597</v>
      </c>
      <c r="X27" t="n">
        <v>6821.17244822508</v>
      </c>
      <c r="Y27" t="n">
        <v>6780.72405288064</v>
      </c>
      <c r="Z27" t="n">
        <v>6742.72428070362</v>
      </c>
      <c r="AA27" t="n">
        <v>6773.65420859676</v>
      </c>
      <c r="AB27" t="n">
        <v>6803.01033438041</v>
      </c>
      <c r="AC27" t="n">
        <v>6861.89695200567</v>
      </c>
      <c r="AD27" t="n">
        <v>6895.27295177223</v>
      </c>
      <c r="AE27" t="n">
        <v>6961</v>
      </c>
      <c r="AF27" t="n">
        <v>7205</v>
      </c>
    </row>
    <row r="28">
      <c r="A28" t="s">
        <v>151</v>
      </c>
      <c r="B28" t="s">
        <v>326</v>
      </c>
      <c r="C28" t="s">
        <v>236</v>
      </c>
      <c r="D28" t="s">
        <v>327</v>
      </c>
      <c r="E28" t="s">
        <v>237</v>
      </c>
      <c r="F28" t="n">
        <v>18782.0968305492</v>
      </c>
      <c r="G28" t="n">
        <v>18520.2278901723</v>
      </c>
      <c r="H28" t="n">
        <v>18654.9972146405</v>
      </c>
      <c r="I28" t="n">
        <v>19122.976421552</v>
      </c>
      <c r="J28" t="n">
        <v>19340.3699570464</v>
      </c>
      <c r="K28" t="n">
        <v>19078.7323619318</v>
      </c>
      <c r="L28" t="n">
        <v>19035.4699302721</v>
      </c>
      <c r="M28" t="n">
        <v>18591.3578664607</v>
      </c>
      <c r="N28" t="n">
        <v>18189.6968053134</v>
      </c>
      <c r="O28" t="n">
        <v>18396.6956597674</v>
      </c>
      <c r="P28" t="n">
        <v>18283.1039380399</v>
      </c>
      <c r="Q28" t="n">
        <v>18382.8873723132</v>
      </c>
      <c r="R28" t="n">
        <v>18543.5229412048</v>
      </c>
      <c r="S28" t="n">
        <v>18473.7788045995</v>
      </c>
      <c r="T28" t="n">
        <v>18631.474671727</v>
      </c>
      <c r="U28" t="n">
        <v>18281.6592289109</v>
      </c>
      <c r="V28" t="n">
        <v>18242.9964017798</v>
      </c>
      <c r="W28" t="n">
        <v>18066.2452802473</v>
      </c>
      <c r="X28" t="n">
        <v>17909.5571995174</v>
      </c>
      <c r="Y28" t="n">
        <v>17545.5019317529</v>
      </c>
      <c r="Z28" t="n">
        <v>17327.8849651649</v>
      </c>
      <c r="AA28" t="n">
        <v>17598.0560201062</v>
      </c>
      <c r="AB28" t="n">
        <v>17833.0761717701</v>
      </c>
      <c r="AC28" t="n">
        <v>16944.5364044223</v>
      </c>
      <c r="AD28" t="n">
        <v>18531.0422260719</v>
      </c>
      <c r="AE28" t="n">
        <v>18492</v>
      </c>
      <c r="AF28" t="n">
        <v>18221</v>
      </c>
    </row>
    <row r="29">
      <c r="A29" t="s">
        <v>151</v>
      </c>
      <c r="B29" t="s">
        <v>328</v>
      </c>
      <c r="C29" t="s">
        <v>236</v>
      </c>
      <c r="D29" t="s">
        <v>329</v>
      </c>
      <c r="E29" t="s">
        <v>237</v>
      </c>
      <c r="F29" t="n">
        <v>5242.01580425337</v>
      </c>
      <c r="G29" t="n">
        <v>5326.7134744161</v>
      </c>
      <c r="H29" t="n">
        <v>5417.48393975691</v>
      </c>
      <c r="I29" t="n">
        <v>5585.09509204963</v>
      </c>
      <c r="J29" t="n">
        <v>5680.62773722893</v>
      </c>
      <c r="K29" t="n">
        <v>5643.28248548674</v>
      </c>
      <c r="L29" t="n">
        <v>5625.11184270918</v>
      </c>
      <c r="M29" t="n">
        <v>5565.704720938</v>
      </c>
      <c r="N29" t="n">
        <v>5576.75509430849</v>
      </c>
      <c r="O29" t="n">
        <v>5642.44985327285</v>
      </c>
      <c r="P29" t="n">
        <v>5712.16908878411</v>
      </c>
      <c r="Q29" t="n">
        <v>5618.44918057768</v>
      </c>
      <c r="R29" t="n">
        <v>5472.00222220929</v>
      </c>
      <c r="S29" t="n">
        <v>5520.84924225393</v>
      </c>
      <c r="T29" t="n">
        <v>5462.99270041652</v>
      </c>
      <c r="U29" t="n">
        <v>5357.37928842231</v>
      </c>
      <c r="V29" t="n">
        <v>5405.22296638745</v>
      </c>
      <c r="W29" t="n">
        <v>5234.54315831769</v>
      </c>
      <c r="X29" t="n">
        <v>5127.78046466057</v>
      </c>
      <c r="Y29" t="n">
        <v>5101.97490140793</v>
      </c>
      <c r="Z29" t="n">
        <v>5137.16093521074</v>
      </c>
      <c r="AA29" t="n">
        <v>5260.46130112931</v>
      </c>
      <c r="AB29" t="n">
        <v>5383.77806575205</v>
      </c>
      <c r="AC29" t="n">
        <v>4397.02733130823</v>
      </c>
      <c r="AD29" t="n">
        <v>5652.88291814947</v>
      </c>
      <c r="AE29" t="n">
        <v>5667</v>
      </c>
      <c r="AF29" t="n">
        <v>5733</v>
      </c>
    </row>
    <row r="30">
      <c r="A30" t="s">
        <v>151</v>
      </c>
      <c r="B30" t="s">
        <v>330</v>
      </c>
      <c r="C30" t="s">
        <v>236</v>
      </c>
      <c r="D30" t="s">
        <v>331</v>
      </c>
      <c r="E30" t="s">
        <v>237</v>
      </c>
      <c r="F30" t="n">
        <v>5570.00563986733</v>
      </c>
      <c r="G30" t="n">
        <v>5171.69469525004</v>
      </c>
      <c r="H30" t="n">
        <v>5149.94530332048</v>
      </c>
      <c r="I30" t="n">
        <v>5064.72509573344</v>
      </c>
      <c r="J30" t="n">
        <v>4855.1207632242</v>
      </c>
      <c r="K30" t="n">
        <v>4544.6591443369</v>
      </c>
      <c r="L30" t="n">
        <v>4446.82890835313</v>
      </c>
      <c r="M30" t="n">
        <v>4215.51188033801</v>
      </c>
      <c r="N30" t="n">
        <v>3855.40471942952</v>
      </c>
      <c r="O30" t="n">
        <v>3955.92907561096</v>
      </c>
      <c r="P30" t="n">
        <v>3779.79688168349</v>
      </c>
      <c r="Q30" t="n">
        <v>3756.67178604762</v>
      </c>
      <c r="R30" t="n">
        <v>3862.18324670513</v>
      </c>
      <c r="S30" t="n">
        <v>3580.62581850195</v>
      </c>
      <c r="T30" t="n">
        <v>3420.92111166508</v>
      </c>
      <c r="U30" t="n">
        <v>3198.58989033743</v>
      </c>
      <c r="V30" t="n">
        <v>3221.31521815511</v>
      </c>
      <c r="W30" t="n">
        <v>3346.67564360103</v>
      </c>
      <c r="X30" t="n">
        <v>3317.41390707991</v>
      </c>
      <c r="Y30" t="n">
        <v>3064.53076855017</v>
      </c>
      <c r="Z30" t="n">
        <v>2887.37849156421</v>
      </c>
      <c r="AA30" t="n">
        <v>2745.04293212091</v>
      </c>
      <c r="AB30" t="n">
        <v>2509.34716592844</v>
      </c>
      <c r="AC30" t="n">
        <v>2481.96140461879</v>
      </c>
      <c r="AD30" t="n">
        <v>2399.22935779816</v>
      </c>
      <c r="AE30" t="n">
        <v>2294</v>
      </c>
      <c r="AF30" t="n">
        <v>2127</v>
      </c>
    </row>
    <row r="31">
      <c r="A31" t="s">
        <v>151</v>
      </c>
      <c r="B31" t="s">
        <v>332</v>
      </c>
      <c r="C31" t="s">
        <v>236</v>
      </c>
      <c r="D31" t="s">
        <v>333</v>
      </c>
      <c r="E31" t="s">
        <v>237</v>
      </c>
      <c r="F31" t="n">
        <v>1931.02200922536</v>
      </c>
      <c r="G31" t="n">
        <v>1888.02732750979</v>
      </c>
      <c r="H31" t="n">
        <v>1779.31174243245</v>
      </c>
      <c r="I31" t="n">
        <v>1768.8349313877</v>
      </c>
      <c r="J31" t="n">
        <v>1998.44331190438</v>
      </c>
      <c r="K31" t="n">
        <v>1995.1346309244</v>
      </c>
      <c r="L31" t="n">
        <v>2070.97760758483</v>
      </c>
      <c r="M31" t="n">
        <v>1911.67163777062</v>
      </c>
      <c r="N31" t="n">
        <v>1740.90914476764</v>
      </c>
      <c r="O31" t="n">
        <v>1680.33069896794</v>
      </c>
      <c r="P31" t="n">
        <v>1798.32346378548</v>
      </c>
      <c r="Q31" t="n">
        <v>1979.00944471963</v>
      </c>
      <c r="R31" t="n">
        <v>2111.32280083675</v>
      </c>
      <c r="S31" t="n">
        <v>2150.91894177676</v>
      </c>
      <c r="T31" t="n">
        <v>2410.04874187231</v>
      </c>
      <c r="U31" t="n">
        <v>2281.06416697281</v>
      </c>
      <c r="V31" t="n">
        <v>2121.2089694092</v>
      </c>
      <c r="W31" t="n">
        <v>2004.73431669617</v>
      </c>
      <c r="X31" t="n">
        <v>2105.16416685821</v>
      </c>
      <c r="Y31" t="n">
        <v>1967.05467056114</v>
      </c>
      <c r="Z31" t="n">
        <v>1915.93072491537</v>
      </c>
      <c r="AA31" t="n">
        <v>2020.07981168418</v>
      </c>
      <c r="AB31" t="n">
        <v>2145.17175498704</v>
      </c>
      <c r="AC31" t="n">
        <v>2143.08501203472</v>
      </c>
      <c r="AD31" t="n">
        <v>2274.65948477752</v>
      </c>
      <c r="AE31" t="n">
        <v>2146</v>
      </c>
      <c r="AF31" t="n">
        <v>1657</v>
      </c>
    </row>
    <row r="32">
      <c r="A32" t="s">
        <v>151</v>
      </c>
      <c r="B32" t="s">
        <v>334</v>
      </c>
      <c r="C32" t="s">
        <v>236</v>
      </c>
      <c r="D32" t="s">
        <v>335</v>
      </c>
      <c r="E32" t="s">
        <v>237</v>
      </c>
      <c r="F32" t="n">
        <v>5087.91734923505</v>
      </c>
      <c r="G32" t="n">
        <v>5175.13878950765</v>
      </c>
      <c r="H32" t="n">
        <v>5294.97329670763</v>
      </c>
      <c r="I32" t="n">
        <v>5626.64198153778</v>
      </c>
      <c r="J32" t="n">
        <v>5714.17119346073</v>
      </c>
      <c r="K32" t="n">
        <v>5784.59795326809</v>
      </c>
      <c r="L32" t="n">
        <v>5798.33809092431</v>
      </c>
      <c r="M32" t="n">
        <v>5838.09307529581</v>
      </c>
      <c r="N32" t="n">
        <v>6009.28527825561</v>
      </c>
      <c r="O32" t="n">
        <v>6127.595336555</v>
      </c>
      <c r="P32" t="n">
        <v>6065.6150618864</v>
      </c>
      <c r="Q32" t="n">
        <v>6142.72033809682</v>
      </c>
      <c r="R32" t="n">
        <v>6275.66847737481</v>
      </c>
      <c r="S32" t="n">
        <v>6411.80277500792</v>
      </c>
      <c r="T32" t="n">
        <v>6551.3402095</v>
      </c>
      <c r="U32" t="n">
        <v>6649.48762836891</v>
      </c>
      <c r="V32" t="n">
        <v>6697.65529493484</v>
      </c>
      <c r="W32" t="n">
        <v>6664.93978145107</v>
      </c>
      <c r="X32" t="n">
        <v>6597.14979013183</v>
      </c>
      <c r="Y32" t="n">
        <v>6647.1604417667</v>
      </c>
      <c r="Z32" t="n">
        <v>6737.10132644517</v>
      </c>
      <c r="AA32" t="n">
        <v>7000.73631181145</v>
      </c>
      <c r="AB32" t="n">
        <v>7257.76196805051</v>
      </c>
      <c r="AC32" t="n">
        <v>7418.90604865602</v>
      </c>
      <c r="AD32" t="n">
        <v>7738.28313931656</v>
      </c>
      <c r="AE32" t="n">
        <v>7938</v>
      </c>
      <c r="AF32" t="n">
        <v>8266</v>
      </c>
    </row>
    <row r="33">
      <c r="A33" t="s">
        <v>151</v>
      </c>
      <c r="B33" t="s">
        <v>336</v>
      </c>
      <c r="C33" t="s">
        <v>236</v>
      </c>
      <c r="D33" t="s">
        <v>337</v>
      </c>
      <c r="E33" t="s">
        <v>237</v>
      </c>
      <c r="F33" t="n">
        <v>709.357239971025</v>
      </c>
      <c r="G33" t="n">
        <v>722.602499638533</v>
      </c>
      <c r="H33" t="n">
        <v>762.33827864106</v>
      </c>
      <c r="I33" t="n">
        <v>836.065384892613</v>
      </c>
      <c r="J33" t="n">
        <v>885.502294608002</v>
      </c>
      <c r="K33" t="n">
        <v>932.482319884632</v>
      </c>
      <c r="L33" t="n">
        <v>935.27418311782</v>
      </c>
      <c r="M33" t="n">
        <v>919.125564128735</v>
      </c>
      <c r="N33" t="n">
        <v>906.960666956443</v>
      </c>
      <c r="O33" t="n">
        <v>878.448430420387</v>
      </c>
      <c r="P33" t="n">
        <v>831.651329865268</v>
      </c>
      <c r="Q33" t="n">
        <v>823.89097530976</v>
      </c>
      <c r="R33" t="n">
        <v>784.778233756004</v>
      </c>
      <c r="S33" t="n">
        <v>789.630031182625</v>
      </c>
      <c r="T33" t="n">
        <v>814.015664498559</v>
      </c>
      <c r="U33" t="n">
        <v>811.689905457135</v>
      </c>
      <c r="V33" t="n">
        <v>785.156208696277</v>
      </c>
      <c r="W33" t="n">
        <v>789.893199397311</v>
      </c>
      <c r="X33" t="n">
        <v>755.894926826408</v>
      </c>
      <c r="Y33" t="n">
        <v>745.86092337296</v>
      </c>
      <c r="Z33" t="n">
        <v>629.665972402395</v>
      </c>
      <c r="AA33" t="n">
        <v>555.330406216001</v>
      </c>
      <c r="AB33" t="n">
        <v>530.480991151861</v>
      </c>
      <c r="AC33" t="n">
        <v>503.850419306888</v>
      </c>
      <c r="AD33" t="n">
        <v>468.382687927107</v>
      </c>
      <c r="AE33" t="n">
        <v>447</v>
      </c>
      <c r="AF33" t="n">
        <v>438</v>
      </c>
    </row>
    <row r="34">
      <c r="A34" t="s">
        <v>151</v>
      </c>
      <c r="B34" t="s">
        <v>338</v>
      </c>
      <c r="C34" t="s">
        <v>236</v>
      </c>
      <c r="D34" t="s">
        <v>339</v>
      </c>
      <c r="E34" t="s">
        <v>237</v>
      </c>
      <c r="F34" t="n">
        <v>2444.42708540318</v>
      </c>
      <c r="G34" t="n">
        <v>2427.95116754814</v>
      </c>
      <c r="H34" t="n">
        <v>2448.92051754547</v>
      </c>
      <c r="I34" t="n">
        <v>2490.78240673428</v>
      </c>
      <c r="J34" t="n">
        <v>2509.79601289255</v>
      </c>
      <c r="K34" t="n">
        <v>2509.79601289255</v>
      </c>
      <c r="L34" t="n">
        <v>2472.4190176647</v>
      </c>
      <c r="M34" t="n">
        <v>2472.4190176647</v>
      </c>
      <c r="N34" t="n">
        <v>2455.00761613185</v>
      </c>
      <c r="O34" t="n">
        <v>2450.96977465795</v>
      </c>
      <c r="P34" t="n">
        <v>2457.60837101401</v>
      </c>
      <c r="Q34" t="n">
        <v>2510.33570916763</v>
      </c>
      <c r="R34" t="n">
        <v>2547.95312738693</v>
      </c>
      <c r="S34" t="n">
        <v>2590.13778181387</v>
      </c>
      <c r="T34" t="n">
        <v>2605.21695385309</v>
      </c>
      <c r="U34" t="n">
        <v>2625.09518016166</v>
      </c>
      <c r="V34" t="n">
        <v>2617.76592419099</v>
      </c>
      <c r="W34" t="n">
        <v>2633.32648981261</v>
      </c>
      <c r="X34" t="n">
        <v>2575.01140037256</v>
      </c>
      <c r="Y34" t="n">
        <v>2539.0601068246</v>
      </c>
      <c r="Z34" t="n">
        <v>2524.53203403027</v>
      </c>
      <c r="AA34" t="n">
        <v>2573.208374739</v>
      </c>
      <c r="AB34" t="n">
        <v>2608.09933575241</v>
      </c>
      <c r="AC34" t="n">
        <v>2690.70881697534</v>
      </c>
      <c r="AD34" t="n">
        <v>2750.22391304348</v>
      </c>
      <c r="AE34" t="n">
        <v>2802</v>
      </c>
      <c r="AF34" t="n">
        <v>2846</v>
      </c>
    </row>
    <row r="35">
      <c r="A35" t="s">
        <v>151</v>
      </c>
      <c r="B35" t="s">
        <v>340</v>
      </c>
      <c r="C35" t="s">
        <v>236</v>
      </c>
      <c r="D35" t="s">
        <v>341</v>
      </c>
      <c r="E35" t="s">
        <v>237</v>
      </c>
      <c r="F35" t="n">
        <v>9161.55048587809</v>
      </c>
      <c r="G35" t="n">
        <v>9531.92705441154</v>
      </c>
      <c r="H35" t="n">
        <v>10007.3198809889</v>
      </c>
      <c r="I35" t="n">
        <v>10534.5681086159</v>
      </c>
      <c r="J35" t="n">
        <v>11231.2518462118</v>
      </c>
      <c r="K35" t="n">
        <v>11987.5256231459</v>
      </c>
      <c r="L35" t="n">
        <v>12648.054052434</v>
      </c>
      <c r="M35" t="n">
        <v>13066.0114136152</v>
      </c>
      <c r="N35" t="n">
        <v>13108.683806559</v>
      </c>
      <c r="O35" t="n">
        <v>12794.3268807422</v>
      </c>
      <c r="P35" t="n">
        <v>12620.7630182256</v>
      </c>
      <c r="Q35" t="n">
        <v>12273.4741667502</v>
      </c>
      <c r="R35" t="n">
        <v>12147.6569020987</v>
      </c>
      <c r="S35" t="n">
        <v>11880.1677099796</v>
      </c>
      <c r="T35" t="n">
        <v>11427.8003216494</v>
      </c>
      <c r="U35" t="n">
        <v>11257.8961620811</v>
      </c>
      <c r="V35" t="n">
        <v>11074.3876927105</v>
      </c>
      <c r="W35" t="n">
        <v>10950.5257052984</v>
      </c>
      <c r="X35" t="n">
        <v>10919.9528944749</v>
      </c>
      <c r="Y35" t="n">
        <v>11083.757576204</v>
      </c>
      <c r="Z35" t="n">
        <v>11240.1534983191</v>
      </c>
      <c r="AA35" t="n">
        <v>11287.1744865228</v>
      </c>
      <c r="AB35" t="n">
        <v>11389.0806983827</v>
      </c>
      <c r="AC35" t="n">
        <v>11944.3650479228</v>
      </c>
      <c r="AD35" t="n">
        <v>11853.7994676869</v>
      </c>
      <c r="AE35" t="n">
        <v>12153</v>
      </c>
      <c r="AF35" t="n">
        <v>12593</v>
      </c>
    </row>
    <row r="36">
      <c r="A36" t="s">
        <v>151</v>
      </c>
      <c r="B36" t="s">
        <v>342</v>
      </c>
      <c r="C36" t="s">
        <v>236</v>
      </c>
      <c r="D36" t="s">
        <v>343</v>
      </c>
      <c r="E36" t="s">
        <v>237</v>
      </c>
      <c r="F36" t="n">
        <v>2593.97413258447</v>
      </c>
      <c r="G36" t="n">
        <v>2610.03589191936</v>
      </c>
      <c r="H36" t="n">
        <v>2725.609436949</v>
      </c>
      <c r="I36" t="n">
        <v>2810.28546283311</v>
      </c>
      <c r="J36" t="n">
        <v>2777.2972041861</v>
      </c>
      <c r="K36" t="n">
        <v>2800.59667737559</v>
      </c>
      <c r="L36" t="n">
        <v>2838.4017081177</v>
      </c>
      <c r="M36" t="n">
        <v>2780.05840476481</v>
      </c>
      <c r="N36" t="n">
        <v>2735.21875307506</v>
      </c>
      <c r="O36" t="n">
        <v>2687.46096532295</v>
      </c>
      <c r="P36" t="n">
        <v>2677.58578067347</v>
      </c>
      <c r="Q36" t="n">
        <v>2658.3324674072</v>
      </c>
      <c r="R36" t="n">
        <v>2678.54280040827</v>
      </c>
      <c r="S36" t="n">
        <v>2637.8593967764</v>
      </c>
      <c r="T36" t="n">
        <v>2632.75962027224</v>
      </c>
      <c r="U36" t="n">
        <v>2748.96590631178</v>
      </c>
      <c r="V36" t="n">
        <v>2824.94548052339</v>
      </c>
      <c r="W36" t="n">
        <v>2900.74256965157</v>
      </c>
      <c r="X36" t="n">
        <v>2935.76159463731</v>
      </c>
      <c r="Y36" t="n">
        <v>2807.62235122367</v>
      </c>
      <c r="Z36" t="n">
        <v>2827.91841641324</v>
      </c>
      <c r="AA36" t="n">
        <v>2877.00260194468</v>
      </c>
      <c r="AB36" t="n">
        <v>2990.77000521549</v>
      </c>
      <c r="AC36" t="n">
        <v>3094.30910384538</v>
      </c>
      <c r="AD36" t="n">
        <v>3151.57184942717</v>
      </c>
      <c r="AE36" t="n">
        <v>3164</v>
      </c>
      <c r="AF36" t="n">
        <v>3318</v>
      </c>
    </row>
    <row r="37">
      <c r="A37" t="s">
        <v>151</v>
      </c>
      <c r="B37" t="s">
        <v>344</v>
      </c>
      <c r="C37" t="s">
        <v>236</v>
      </c>
      <c r="D37" t="s">
        <v>345</v>
      </c>
      <c r="E37" t="s">
        <v>237</v>
      </c>
      <c r="F37" t="n">
        <v>5994.75485723065</v>
      </c>
      <c r="G37" t="n">
        <v>6320.22765882272</v>
      </c>
      <c r="H37" t="n">
        <v>6642.21007722244</v>
      </c>
      <c r="I37" t="n">
        <v>6986.71996721028</v>
      </c>
      <c r="J37" t="n">
        <v>7534.08720031019</v>
      </c>
      <c r="K37" t="n">
        <v>8083.64617718557</v>
      </c>
      <c r="L37" t="n">
        <v>8507.68776717607</v>
      </c>
      <c r="M37" t="n">
        <v>8786.96665086572</v>
      </c>
      <c r="N37" t="n">
        <v>8714.52782173274</v>
      </c>
      <c r="O37" t="n">
        <v>8480.93418783752</v>
      </c>
      <c r="P37" t="n">
        <v>8184.30583523944</v>
      </c>
      <c r="Q37" t="n">
        <v>7793.7843584328</v>
      </c>
      <c r="R37" t="n">
        <v>7431.48269033673</v>
      </c>
      <c r="S37" t="n">
        <v>7128.20484565042</v>
      </c>
      <c r="T37" t="n">
        <v>6789.82660188438</v>
      </c>
      <c r="U37" t="n">
        <v>6538.18511299918</v>
      </c>
      <c r="V37" t="n">
        <v>6272.76033194732</v>
      </c>
      <c r="W37" t="n">
        <v>5973.28521785745</v>
      </c>
      <c r="X37" t="n">
        <v>5721.92119873685</v>
      </c>
      <c r="Y37" t="n">
        <v>5448.26858771623</v>
      </c>
      <c r="Z37" t="n">
        <v>5238.08576020222</v>
      </c>
      <c r="AA37" t="n">
        <v>5149.11175756003</v>
      </c>
      <c r="AB37" t="n">
        <v>5043.15868124954</v>
      </c>
      <c r="AC37" t="n">
        <v>4983.93551795484</v>
      </c>
      <c r="AD37" t="n">
        <v>4820.21494370522</v>
      </c>
      <c r="AE37" t="n">
        <v>4855</v>
      </c>
      <c r="AF37" t="n">
        <v>5038</v>
      </c>
    </row>
    <row r="38">
      <c r="A38" t="s">
        <v>151</v>
      </c>
      <c r="B38" t="s">
        <v>346</v>
      </c>
      <c r="C38" t="s">
        <v>236</v>
      </c>
      <c r="D38" t="s">
        <v>347</v>
      </c>
      <c r="E38" t="s">
        <v>237</v>
      </c>
      <c r="F38" t="n">
        <v>605.713753563305</v>
      </c>
      <c r="G38" t="n">
        <v>630.654908121794</v>
      </c>
      <c r="H38" t="n">
        <v>667.612001036303</v>
      </c>
      <c r="I38" t="n">
        <v>751.21278828593</v>
      </c>
      <c r="J38" t="n">
        <v>899.526067514131</v>
      </c>
      <c r="K38" t="n">
        <v>1053.94062406288</v>
      </c>
      <c r="L38" t="n">
        <v>1223.93104729883</v>
      </c>
      <c r="M38" t="n">
        <v>1392.53998245694</v>
      </c>
      <c r="N38" t="n">
        <v>1532.89239085532</v>
      </c>
      <c r="O38" t="n">
        <v>1503.39005133605</v>
      </c>
      <c r="P38" t="n">
        <v>1626.55935674671</v>
      </c>
      <c r="Q38" t="n">
        <v>1688.56895099219</v>
      </c>
      <c r="R38" t="n">
        <v>1900.22801170152</v>
      </c>
      <c r="S38" t="n">
        <v>1980.76593111638</v>
      </c>
      <c r="T38" t="n">
        <v>1888.71656770822</v>
      </c>
      <c r="U38" t="n">
        <v>1871.74188315722</v>
      </c>
      <c r="V38" t="n">
        <v>1892.1856658616</v>
      </c>
      <c r="W38" t="n">
        <v>2008.97338648452</v>
      </c>
      <c r="X38" t="n">
        <v>2211.30807538197</v>
      </c>
      <c r="Y38" t="n">
        <v>2788.69305656512</v>
      </c>
      <c r="Z38" t="n">
        <v>3149.08468551787</v>
      </c>
      <c r="AA38" t="n">
        <v>3241.83170022833</v>
      </c>
      <c r="AB38" t="n">
        <v>3341.8750947856</v>
      </c>
      <c r="AC38" t="n">
        <v>3860.13379932454</v>
      </c>
      <c r="AD38" t="n">
        <v>3881.88978692138</v>
      </c>
      <c r="AE38" t="n">
        <v>4134</v>
      </c>
      <c r="AF38" t="n">
        <v>4237</v>
      </c>
    </row>
    <row r="39">
      <c r="A39" t="s">
        <v>151</v>
      </c>
      <c r="B39" t="s">
        <v>348</v>
      </c>
      <c r="C39" t="s">
        <v>236</v>
      </c>
      <c r="D39" t="s">
        <v>349</v>
      </c>
      <c r="E39" t="s">
        <v>237</v>
      </c>
      <c r="F39" t="n">
        <v>3396.74526430873</v>
      </c>
      <c r="G39" t="n">
        <v>3180.3130376462</v>
      </c>
      <c r="H39" t="n">
        <v>2933.12413893206</v>
      </c>
      <c r="I39" t="n">
        <v>2755.69507948815</v>
      </c>
      <c r="J39" t="n">
        <v>2597.44724324032</v>
      </c>
      <c r="K39" t="n">
        <v>2520.30851302632</v>
      </c>
      <c r="L39" t="n">
        <v>2412.83825922073</v>
      </c>
      <c r="M39" t="n">
        <v>2351.72151175762</v>
      </c>
      <c r="N39" t="n">
        <v>2194.1652105855</v>
      </c>
      <c r="O39" t="n">
        <v>1963.06223209175</v>
      </c>
      <c r="P39" t="n">
        <v>1870.68283293449</v>
      </c>
      <c r="Q39" t="n">
        <v>1809.20499335449</v>
      </c>
      <c r="R39" t="n">
        <v>1976.45268842167</v>
      </c>
      <c r="S39" t="n">
        <v>2115.25518814876</v>
      </c>
      <c r="T39" t="n">
        <v>2204.87490823328</v>
      </c>
      <c r="U39" t="n">
        <v>2104.6533214954</v>
      </c>
      <c r="V39" t="n">
        <v>2044.72181987828</v>
      </c>
      <c r="W39" t="n">
        <v>1961.73423756079</v>
      </c>
      <c r="X39" t="n">
        <v>1890.03178684469</v>
      </c>
      <c r="Y39" t="n">
        <v>1917.45534730384</v>
      </c>
      <c r="Z39" t="n">
        <v>1903.30036745435</v>
      </c>
      <c r="AA39" t="n">
        <v>1891.41149519881</v>
      </c>
      <c r="AB39" t="n">
        <v>2298.23536409856</v>
      </c>
      <c r="AC39" t="n">
        <v>2206.81036333195</v>
      </c>
      <c r="AD39" t="n">
        <v>2222.3585810163</v>
      </c>
      <c r="AE39" t="n">
        <v>2112</v>
      </c>
      <c r="AF39" t="n">
        <v>2002</v>
      </c>
    </row>
    <row r="40">
      <c r="A40" t="s">
        <v>151</v>
      </c>
      <c r="B40" t="s">
        <v>350</v>
      </c>
      <c r="C40" t="s">
        <v>236</v>
      </c>
      <c r="D40" t="s">
        <v>351</v>
      </c>
      <c r="E40" t="s">
        <v>237</v>
      </c>
      <c r="F40" t="n">
        <v>273429.816355265</v>
      </c>
      <c r="G40" t="n">
        <v>276574.092197731</v>
      </c>
      <c r="H40" t="n">
        <v>280424.249047124</v>
      </c>
      <c r="I40" t="n">
        <v>286228.576686067</v>
      </c>
      <c r="J40" t="n">
        <v>296350.175232494</v>
      </c>
      <c r="K40" t="n">
        <v>305534.32450066</v>
      </c>
      <c r="L40" t="n">
        <v>314123.174681523</v>
      </c>
      <c r="M40" t="n">
        <v>321374.663817546</v>
      </c>
      <c r="N40" t="n">
        <v>331649.749215508</v>
      </c>
      <c r="O40" t="n">
        <v>340856.561878882</v>
      </c>
      <c r="P40" t="n">
        <v>351281.865711318</v>
      </c>
      <c r="Q40" t="n">
        <v>362128.971270542</v>
      </c>
      <c r="R40" t="n">
        <v>374603.343216818</v>
      </c>
      <c r="S40" t="n">
        <v>385833.877435524</v>
      </c>
      <c r="T40" t="n">
        <v>392542.104097855</v>
      </c>
      <c r="U40" t="n">
        <v>401470.558186556</v>
      </c>
      <c r="V40" t="n">
        <v>411507.289328578</v>
      </c>
      <c r="W40" t="n">
        <v>421105.649795146</v>
      </c>
      <c r="X40" t="n">
        <v>428922.424248922</v>
      </c>
      <c r="Y40" t="n">
        <v>434758.321134958</v>
      </c>
      <c r="Z40" t="n">
        <v>441355.805377698</v>
      </c>
      <c r="AA40" t="n">
        <v>449425.633435779</v>
      </c>
      <c r="AB40" t="n">
        <v>457135.239636465</v>
      </c>
      <c r="AC40" t="n">
        <v>466908.449014207</v>
      </c>
      <c r="AD40" t="n">
        <v>475992.838632878</v>
      </c>
      <c r="AE40" t="n">
        <v>483514</v>
      </c>
      <c r="AF40" t="n">
        <v>490272</v>
      </c>
    </row>
    <row r="41">
      <c r="A41" t="s">
        <v>151</v>
      </c>
      <c r="B41" t="s">
        <v>352</v>
      </c>
      <c r="C41" t="s">
        <v>236</v>
      </c>
      <c r="D41" t="s">
        <v>353</v>
      </c>
      <c r="E41" t="s">
        <v>237</v>
      </c>
      <c r="F41" t="n">
        <v>154227.858603422</v>
      </c>
      <c r="G41" t="n">
        <v>156560.694249377</v>
      </c>
      <c r="H41" t="n">
        <v>159579.454447998</v>
      </c>
      <c r="I41" t="n">
        <v>163605.33612337</v>
      </c>
      <c r="J41" t="n">
        <v>168556.901417737</v>
      </c>
      <c r="K41" t="n">
        <v>173759.639869073</v>
      </c>
      <c r="L41" t="n">
        <v>177765.50323269</v>
      </c>
      <c r="M41" t="n">
        <v>181773.45469919</v>
      </c>
      <c r="N41" t="n">
        <v>186868.434913125</v>
      </c>
      <c r="O41" t="n">
        <v>193096.817181362</v>
      </c>
      <c r="P41" t="n">
        <v>199894.569511318</v>
      </c>
      <c r="Q41" t="n">
        <v>207145.32857034</v>
      </c>
      <c r="R41" t="n">
        <v>214313.258715467</v>
      </c>
      <c r="S41" t="n">
        <v>220012.212930552</v>
      </c>
      <c r="T41" t="n">
        <v>224217.990680961</v>
      </c>
      <c r="U41" t="n">
        <v>230891.28107036</v>
      </c>
      <c r="V41" t="n">
        <v>238160.041706694</v>
      </c>
      <c r="W41" t="n">
        <v>244922.745732145</v>
      </c>
      <c r="X41" t="n">
        <v>250783.022509621</v>
      </c>
      <c r="Y41" t="n">
        <v>255753.734151744</v>
      </c>
      <c r="Z41" t="n">
        <v>260549.94893409</v>
      </c>
      <c r="AA41" t="n">
        <v>266329.778928007</v>
      </c>
      <c r="AB41" t="n">
        <v>272339.077558531</v>
      </c>
      <c r="AC41" t="n">
        <v>278723.47946789</v>
      </c>
      <c r="AD41" t="n">
        <v>284409.543514142</v>
      </c>
      <c r="AE41" t="n">
        <v>289340</v>
      </c>
      <c r="AF41" t="n">
        <v>294281</v>
      </c>
    </row>
    <row r="42">
      <c r="A42" t="s">
        <v>151</v>
      </c>
      <c r="B42" t="s">
        <v>354</v>
      </c>
      <c r="C42" t="s">
        <v>236</v>
      </c>
      <c r="D42" t="s">
        <v>355</v>
      </c>
      <c r="E42" t="s">
        <v>237</v>
      </c>
      <c r="F42" t="n">
        <v>5340.61228493393</v>
      </c>
      <c r="G42" t="n">
        <v>5498.35928383253</v>
      </c>
      <c r="H42" t="n">
        <v>5725.59266688385</v>
      </c>
      <c r="I42" t="n">
        <v>5964.72435113462</v>
      </c>
      <c r="J42" t="n">
        <v>6253.01936143946</v>
      </c>
      <c r="K42" t="n">
        <v>6526.80285185433</v>
      </c>
      <c r="L42" t="n">
        <v>6694.67975213039</v>
      </c>
      <c r="M42" t="n">
        <v>6974.88011979381</v>
      </c>
      <c r="N42" t="n">
        <v>7078.03701993866</v>
      </c>
      <c r="O42" t="n">
        <v>7201.77892588164</v>
      </c>
      <c r="P42" t="n">
        <v>7282.49095867269</v>
      </c>
      <c r="Q42" t="n">
        <v>7346.73215143876</v>
      </c>
      <c r="R42" t="n">
        <v>7532.06713674728</v>
      </c>
      <c r="S42" t="n">
        <v>7618.76160473596</v>
      </c>
      <c r="T42" t="n">
        <v>7463.77872417465</v>
      </c>
      <c r="U42" t="n">
        <v>7523.76730096435</v>
      </c>
      <c r="V42" t="n">
        <v>7649.52272385535</v>
      </c>
      <c r="W42" t="n">
        <v>7615.65977789415</v>
      </c>
      <c r="X42" t="n">
        <v>7470.96563338318</v>
      </c>
      <c r="Y42" t="n">
        <v>7323.6944863193</v>
      </c>
      <c r="Z42" t="n">
        <v>7211.86561841443</v>
      </c>
      <c r="AA42" t="n">
        <v>7042.73587751355</v>
      </c>
      <c r="AB42" t="n">
        <v>6897.65679854629</v>
      </c>
      <c r="AC42" t="n">
        <v>6924.10081326238</v>
      </c>
      <c r="AD42" t="n">
        <v>7140.02039660057</v>
      </c>
      <c r="AE42" t="n">
        <v>7193</v>
      </c>
      <c r="AF42" t="n">
        <v>7451</v>
      </c>
    </row>
    <row r="43">
      <c r="A43" t="s">
        <v>151</v>
      </c>
      <c r="B43" t="s">
        <v>356</v>
      </c>
      <c r="C43" t="s">
        <v>236</v>
      </c>
      <c r="D43" t="s">
        <v>357</v>
      </c>
      <c r="E43" t="s">
        <v>237</v>
      </c>
      <c r="F43" t="n">
        <v>6532.88026279149</v>
      </c>
      <c r="G43" t="n">
        <v>6847.99184185204</v>
      </c>
      <c r="H43" t="n">
        <v>7122.80626014382</v>
      </c>
      <c r="I43" t="n">
        <v>7491.06447156089</v>
      </c>
      <c r="J43" t="n">
        <v>7878.10794261107</v>
      </c>
      <c r="K43" t="n">
        <v>8356.35114976514</v>
      </c>
      <c r="L43" t="n">
        <v>8630.73879945892</v>
      </c>
      <c r="M43" t="n">
        <v>9091.86965566067</v>
      </c>
      <c r="N43" t="n">
        <v>9414.56854843824</v>
      </c>
      <c r="O43" t="n">
        <v>9696.47447777814</v>
      </c>
      <c r="P43" t="n">
        <v>9921.44759512362</v>
      </c>
      <c r="Q43" t="n">
        <v>10269.1830222361</v>
      </c>
      <c r="R43" t="n">
        <v>10676.7103741168</v>
      </c>
      <c r="S43" t="n">
        <v>11066.0745377891</v>
      </c>
      <c r="T43" t="n">
        <v>10932.3061998805</v>
      </c>
      <c r="U43" t="n">
        <v>11049.066919734</v>
      </c>
      <c r="V43" t="n">
        <v>11274.7740001243</v>
      </c>
      <c r="W43" t="n">
        <v>11331.1191226135</v>
      </c>
      <c r="X43" t="n">
        <v>11224.2322762176</v>
      </c>
      <c r="Y43" t="n">
        <v>11159.649703144</v>
      </c>
      <c r="Z43" t="n">
        <v>10836.6701707103</v>
      </c>
      <c r="AA43" t="n">
        <v>10763.4712463428</v>
      </c>
      <c r="AB43" t="n">
        <v>10780.4801885592</v>
      </c>
      <c r="AC43" t="n">
        <v>10958.5567355113</v>
      </c>
      <c r="AD43" t="n">
        <v>11332.2740213523</v>
      </c>
      <c r="AE43" t="n">
        <v>11434</v>
      </c>
      <c r="AF43" t="n">
        <v>12182</v>
      </c>
    </row>
    <row r="44">
      <c r="A44" t="s">
        <v>151</v>
      </c>
      <c r="B44" t="s">
        <v>358</v>
      </c>
      <c r="C44" t="s">
        <v>236</v>
      </c>
      <c r="D44" t="s">
        <v>359</v>
      </c>
      <c r="E44" t="s">
        <v>237</v>
      </c>
      <c r="F44" t="n">
        <v>193044.482049318</v>
      </c>
      <c r="G44" t="n">
        <v>193816.392041815</v>
      </c>
      <c r="H44" t="n">
        <v>196279.367783647</v>
      </c>
      <c r="I44" t="n">
        <v>199769.955096814</v>
      </c>
      <c r="J44" t="n">
        <v>202861.890160322</v>
      </c>
      <c r="K44" t="n">
        <v>205848.19870302</v>
      </c>
      <c r="L44" t="n">
        <v>209147.373403606</v>
      </c>
      <c r="M44" t="n">
        <v>210365.345239517</v>
      </c>
      <c r="N44" t="n">
        <v>211280.6687639</v>
      </c>
      <c r="O44" t="n">
        <v>211967.577600101</v>
      </c>
      <c r="P44" t="n">
        <v>212293.689927494</v>
      </c>
      <c r="Q44" t="n">
        <v>212670.216226659</v>
      </c>
      <c r="R44" t="n">
        <v>215819.616368312</v>
      </c>
      <c r="S44" t="n">
        <v>218814.673123905</v>
      </c>
      <c r="T44" t="n">
        <v>218699.455528609</v>
      </c>
      <c r="U44" t="n">
        <v>217248.619735077</v>
      </c>
      <c r="V44" t="n">
        <v>216294.738061231</v>
      </c>
      <c r="W44" t="n">
        <v>215016.33649685</v>
      </c>
      <c r="X44" t="n">
        <v>212787.987184576</v>
      </c>
      <c r="Y44" t="n">
        <v>211298.166984507</v>
      </c>
      <c r="Z44" t="n">
        <v>209630.277551363</v>
      </c>
      <c r="AA44" t="n">
        <v>210137.896059222</v>
      </c>
      <c r="AB44" t="n">
        <v>212566.660474363</v>
      </c>
      <c r="AC44" t="n">
        <v>213414.54796926</v>
      </c>
      <c r="AD44" t="n">
        <v>215488.565495519</v>
      </c>
      <c r="AE44" t="n">
        <v>216360</v>
      </c>
      <c r="AF44" t="n">
        <v>219292</v>
      </c>
    </row>
    <row r="45">
      <c r="A45" t="s">
        <v>151</v>
      </c>
      <c r="B45" t="s">
        <v>360</v>
      </c>
      <c r="C45" t="s">
        <v>236</v>
      </c>
      <c r="D45" t="s">
        <v>361</v>
      </c>
      <c r="E45" t="s">
        <v>237</v>
      </c>
      <c r="F45" t="n">
        <v>172534.409342286</v>
      </c>
      <c r="G45" t="n">
        <v>173628.721411748</v>
      </c>
      <c r="H45" t="n">
        <v>176006.699223016</v>
      </c>
      <c r="I45" t="n">
        <v>179283.729774091</v>
      </c>
      <c r="J45" t="n">
        <v>182072.200929331</v>
      </c>
      <c r="K45" t="n">
        <v>184865.131677103</v>
      </c>
      <c r="L45" t="n">
        <v>187916.697563439</v>
      </c>
      <c r="M45" t="n">
        <v>188851.24565037</v>
      </c>
      <c r="N45" t="n">
        <v>189558.111579981</v>
      </c>
      <c r="O45" t="n">
        <v>190170.534773362</v>
      </c>
      <c r="P45" t="n">
        <v>190389.784290373</v>
      </c>
      <c r="Q45" t="n">
        <v>190671.641244717</v>
      </c>
      <c r="R45" t="n">
        <v>193557.531954685</v>
      </c>
      <c r="S45" t="n">
        <v>196394.758459825</v>
      </c>
      <c r="T45" t="n">
        <v>196196.578912782</v>
      </c>
      <c r="U45" t="n">
        <v>194772.58562782</v>
      </c>
      <c r="V45" t="n">
        <v>193793.141045616</v>
      </c>
      <c r="W45" t="n">
        <v>192556.941877324</v>
      </c>
      <c r="X45" t="n">
        <v>190289.318023562</v>
      </c>
      <c r="Y45" t="n">
        <v>188774.35193557</v>
      </c>
      <c r="Z45" t="n">
        <v>187424.844649032</v>
      </c>
      <c r="AA45" t="n">
        <v>188204.055289001</v>
      </c>
      <c r="AB45" t="n">
        <v>190799.767359975</v>
      </c>
      <c r="AC45" t="n">
        <v>191765.163969587</v>
      </c>
      <c r="AD45" t="n">
        <v>193919.608877804</v>
      </c>
      <c r="AE45" t="n">
        <v>194916</v>
      </c>
      <c r="AF45" t="n">
        <v>198035</v>
      </c>
    </row>
    <row r="46">
      <c r="A46" t="s">
        <v>151</v>
      </c>
      <c r="B46" t="s">
        <v>362</v>
      </c>
      <c r="C46" t="s">
        <v>236</v>
      </c>
      <c r="D46" t="s">
        <v>363</v>
      </c>
      <c r="E46" t="s">
        <v>237</v>
      </c>
      <c r="F46" t="n">
        <v>1351.83846708576</v>
      </c>
      <c r="G46" t="n">
        <v>1496.03457024158</v>
      </c>
      <c r="H46" t="n">
        <v>1550.83437134933</v>
      </c>
      <c r="I46" t="n">
        <v>1676.24967268453</v>
      </c>
      <c r="J46" t="n">
        <v>1778.85001036077</v>
      </c>
      <c r="K46" t="n">
        <v>1972.26047746361</v>
      </c>
      <c r="L46" t="n">
        <v>2075.04929713598</v>
      </c>
      <c r="M46" t="n">
        <v>2248.88823530312</v>
      </c>
      <c r="N46" t="n">
        <v>2445.4277262062</v>
      </c>
      <c r="O46" t="n">
        <v>2590.88954122188</v>
      </c>
      <c r="P46" t="n">
        <v>2722.90939045612</v>
      </c>
      <c r="Q46" t="n">
        <v>2980.46622244643</v>
      </c>
      <c r="R46" t="n">
        <v>3189.92295006075</v>
      </c>
      <c r="S46" t="n">
        <v>3469.2094530724</v>
      </c>
      <c r="T46" t="n">
        <v>3483.50866768557</v>
      </c>
      <c r="U46" t="n">
        <v>3538.94324228273</v>
      </c>
      <c r="V46" t="n">
        <v>3637.7202913936</v>
      </c>
      <c r="W46" t="n">
        <v>3724.918257813</v>
      </c>
      <c r="X46" t="n">
        <v>3759.56866021126</v>
      </c>
      <c r="Y46" t="n">
        <v>3838.89802458412</v>
      </c>
      <c r="Z46" t="n">
        <v>3629.91278873992</v>
      </c>
      <c r="AA46" t="n">
        <v>3723.45080496514</v>
      </c>
      <c r="AB46" t="n">
        <v>3884.09926433349</v>
      </c>
      <c r="AC46" t="n">
        <v>4034.85675599495</v>
      </c>
      <c r="AD46" t="n">
        <v>4192.2995215311</v>
      </c>
      <c r="AE46" t="n">
        <v>4241</v>
      </c>
      <c r="AF46" t="n">
        <v>4731</v>
      </c>
    </row>
    <row r="47">
      <c r="A47" t="s">
        <v>151</v>
      </c>
      <c r="B47" t="s">
        <v>364</v>
      </c>
      <c r="C47" t="s">
        <v>236</v>
      </c>
      <c r="D47" t="s">
        <v>365</v>
      </c>
      <c r="E47" t="s">
        <v>237</v>
      </c>
      <c r="F47" t="n">
        <v>62129.7021492081</v>
      </c>
      <c r="G47" t="n">
        <v>62664.7696920061</v>
      </c>
      <c r="H47" t="n">
        <v>63543.0297214643</v>
      </c>
      <c r="I47" t="n">
        <v>64719.0897892663</v>
      </c>
      <c r="J47" t="n">
        <v>65711.7779203568</v>
      </c>
      <c r="K47" t="n">
        <v>65994.1123841384</v>
      </c>
      <c r="L47" t="n">
        <v>65739.3262213672</v>
      </c>
      <c r="M47" t="n">
        <v>66265.9312688671</v>
      </c>
      <c r="N47" t="n">
        <v>64572.6516558117</v>
      </c>
      <c r="O47" t="n">
        <v>65510.9365760812</v>
      </c>
      <c r="P47" t="n">
        <v>66462.5804239254</v>
      </c>
      <c r="Q47" t="n">
        <v>66766.5334254559</v>
      </c>
      <c r="R47" t="n">
        <v>66845.4750935236</v>
      </c>
      <c r="S47" t="n">
        <v>67373.4496053986</v>
      </c>
      <c r="T47" t="n">
        <v>67807.0246890324</v>
      </c>
      <c r="U47" t="n">
        <v>68122.1690864662</v>
      </c>
      <c r="V47" t="n">
        <v>68260.1007891351</v>
      </c>
      <c r="W47" t="n">
        <v>68773.4088500223</v>
      </c>
      <c r="X47" t="n">
        <v>69256.4807666733</v>
      </c>
      <c r="Y47" t="n">
        <v>69942.7650334741</v>
      </c>
      <c r="Z47" t="n">
        <v>70240.1653218111</v>
      </c>
      <c r="AA47" t="n">
        <v>70600.0770556003</v>
      </c>
      <c r="AB47" t="n">
        <v>71090.699742236</v>
      </c>
      <c r="AC47" t="n">
        <v>71631.2665375293</v>
      </c>
      <c r="AD47" t="n">
        <v>71813.5751728227</v>
      </c>
      <c r="AE47" t="n">
        <v>72928</v>
      </c>
      <c r="AF47" t="n">
        <v>73111</v>
      </c>
    </row>
    <row r="48">
      <c r="A48" t="s">
        <v>151</v>
      </c>
      <c r="B48" t="s">
        <v>366</v>
      </c>
      <c r="C48" t="s">
        <v>236</v>
      </c>
      <c r="D48" t="s">
        <v>367</v>
      </c>
      <c r="E48" t="s">
        <v>237</v>
      </c>
      <c r="F48" t="n">
        <v>97447.5845571937</v>
      </c>
      <c r="G48" t="n">
        <v>98582.41718748</v>
      </c>
      <c r="H48" t="n">
        <v>100353.979233079</v>
      </c>
      <c r="I48" t="n">
        <v>102083.296627863</v>
      </c>
      <c r="J48" t="n">
        <v>100681.567597407</v>
      </c>
      <c r="K48" t="n">
        <v>101477.670703311</v>
      </c>
      <c r="L48" t="n">
        <v>101940.550770499</v>
      </c>
      <c r="M48" t="n">
        <v>103487.853482922</v>
      </c>
      <c r="N48" t="n">
        <v>102835.672049036</v>
      </c>
      <c r="O48" t="n">
        <v>104702.35776783</v>
      </c>
      <c r="P48" t="n">
        <v>106259.759712616</v>
      </c>
      <c r="Q48" t="n">
        <v>107274.700418673</v>
      </c>
      <c r="R48" t="n">
        <v>108172.011303525</v>
      </c>
      <c r="S48" t="n">
        <v>109450.205665586</v>
      </c>
      <c r="T48" t="n">
        <v>110630.523496339</v>
      </c>
      <c r="U48" t="n">
        <v>111815.032293141</v>
      </c>
      <c r="V48" t="n">
        <v>112801.20308073</v>
      </c>
      <c r="W48" t="n">
        <v>114049.64041209</v>
      </c>
      <c r="X48" t="n">
        <v>115229.586075336</v>
      </c>
      <c r="Y48" t="n">
        <v>116602.981192701</v>
      </c>
      <c r="Z48" t="n">
        <v>117439.929732546</v>
      </c>
      <c r="AA48" t="n">
        <v>118755.58932271</v>
      </c>
      <c r="AB48" t="n">
        <v>120310.140331759</v>
      </c>
      <c r="AC48" t="n">
        <v>121705.896089036</v>
      </c>
      <c r="AD48" t="n">
        <v>123150.184249758</v>
      </c>
      <c r="AE48" t="n">
        <v>125703</v>
      </c>
      <c r="AF48" t="n">
        <v>127133</v>
      </c>
    </row>
    <row r="49">
      <c r="A49" t="s">
        <v>151</v>
      </c>
      <c r="B49" t="s">
        <v>368</v>
      </c>
      <c r="C49" t="s">
        <v>236</v>
      </c>
      <c r="D49" t="s">
        <v>369</v>
      </c>
      <c r="E49" t="s">
        <v>237</v>
      </c>
      <c r="F49" t="n">
        <v>20172.3661337194</v>
      </c>
      <c r="G49" t="n">
        <v>20634.0418600123</v>
      </c>
      <c r="H49" t="n">
        <v>21382.1307705726</v>
      </c>
      <c r="I49" t="n">
        <v>21832.0929379366</v>
      </c>
      <c r="J49" t="n">
        <v>19166.355864008</v>
      </c>
      <c r="K49" t="n">
        <v>19505.2599635362</v>
      </c>
      <c r="L49" t="n">
        <v>20007.1628218548</v>
      </c>
      <c r="M49" t="n">
        <v>20693.8692988446</v>
      </c>
      <c r="N49" t="n">
        <v>21420.6606402835</v>
      </c>
      <c r="O49" t="n">
        <v>22075.6251828989</v>
      </c>
      <c r="P49" t="n">
        <v>22428.5058305541</v>
      </c>
      <c r="Q49" t="n">
        <v>22757.6541757626</v>
      </c>
      <c r="R49" t="n">
        <v>23138.2851517625</v>
      </c>
      <c r="S49" t="n">
        <v>23452.064006156</v>
      </c>
      <c r="T49" t="n">
        <v>23706.0751139086</v>
      </c>
      <c r="U49" t="n">
        <v>24172.4999967108</v>
      </c>
      <c r="V49" t="n">
        <v>24648.4260724764</v>
      </c>
      <c r="W49" t="n">
        <v>24834.4193929973</v>
      </c>
      <c r="X49" t="n">
        <v>24968.7996764035</v>
      </c>
      <c r="Y49" t="n">
        <v>25168.0617090641</v>
      </c>
      <c r="Z49" t="n">
        <v>25455.9708992536</v>
      </c>
      <c r="AA49" t="n">
        <v>25891.9113543807</v>
      </c>
      <c r="AB49" t="n">
        <v>26295.6556656329</v>
      </c>
      <c r="AC49" t="n">
        <v>26623.5479708384</v>
      </c>
      <c r="AD49" t="n">
        <v>27260.5257514629</v>
      </c>
      <c r="AE49" t="n">
        <v>27991</v>
      </c>
      <c r="AF49" t="n">
        <v>28576</v>
      </c>
    </row>
    <row r="50">
      <c r="A50" t="s">
        <v>151</v>
      </c>
      <c r="B50" t="s">
        <v>370</v>
      </c>
      <c r="C50" t="s">
        <v>236</v>
      </c>
      <c r="D50" t="s">
        <v>371</v>
      </c>
      <c r="E50" t="s">
        <v>237</v>
      </c>
      <c r="F50" t="n">
        <v>14888.6190566762</v>
      </c>
      <c r="G50" t="n">
        <v>15038.4310517066</v>
      </c>
      <c r="H50" t="n">
        <v>15202.683704788</v>
      </c>
      <c r="I50" t="n">
        <v>15301.6795120045</v>
      </c>
      <c r="J50" t="n">
        <v>15418.9274340153</v>
      </c>
      <c r="K50" t="n">
        <v>15601.3813340812</v>
      </c>
      <c r="L50" t="n">
        <v>15845.391208319</v>
      </c>
      <c r="M50" t="n">
        <v>16186.7563311598</v>
      </c>
      <c r="N50" t="n">
        <v>16523.3732480214</v>
      </c>
      <c r="O50" t="n">
        <v>16800.1049754362</v>
      </c>
      <c r="P50" t="n">
        <v>17049.2499737934</v>
      </c>
      <c r="Q50" t="n">
        <v>17434.210941462</v>
      </c>
      <c r="R50" t="n">
        <v>17884.5606067176</v>
      </c>
      <c r="S50" t="n">
        <v>18324.7230479204</v>
      </c>
      <c r="T50" t="n">
        <v>18824.6928627663</v>
      </c>
      <c r="U50" t="n">
        <v>19242.2727401403</v>
      </c>
      <c r="V50" t="n">
        <v>19659.5045414734</v>
      </c>
      <c r="W50" t="n">
        <v>20239.7762108632</v>
      </c>
      <c r="X50" t="n">
        <v>20829.6184048822</v>
      </c>
      <c r="Y50" t="n">
        <v>21332.4463454137</v>
      </c>
      <c r="Z50" t="n">
        <v>21605.8800816962</v>
      </c>
      <c r="AA50" t="n">
        <v>22165.8323779969</v>
      </c>
      <c r="AB50" t="n">
        <v>22853.5820092572</v>
      </c>
      <c r="AC50" t="n">
        <v>23399.362137968</v>
      </c>
      <c r="AD50" t="n">
        <v>24063.3694225722</v>
      </c>
      <c r="AE50" t="n">
        <v>24784</v>
      </c>
      <c r="AF50" t="n">
        <v>25446</v>
      </c>
    </row>
    <row r="51">
      <c r="A51" t="s">
        <v>151</v>
      </c>
      <c r="B51" t="s">
        <v>372</v>
      </c>
      <c r="C51" t="s">
        <v>236</v>
      </c>
      <c r="D51" t="s">
        <v>373</v>
      </c>
      <c r="E51" t="s">
        <v>237</v>
      </c>
      <c r="F51" t="n">
        <v>8613.48515568471</v>
      </c>
      <c r="G51" t="n">
        <v>8644.74111786156</v>
      </c>
      <c r="H51" t="n">
        <v>8724.12653466993</v>
      </c>
      <c r="I51" t="n">
        <v>8759.10298698533</v>
      </c>
      <c r="J51" t="n">
        <v>8794.623773292</v>
      </c>
      <c r="K51" t="n">
        <v>8865.63530454905</v>
      </c>
      <c r="L51" t="n">
        <v>8975.08759225954</v>
      </c>
      <c r="M51" t="n">
        <v>9196.69469330298</v>
      </c>
      <c r="N51" t="n">
        <v>9384.58723928282</v>
      </c>
      <c r="O51" t="n">
        <v>9528.67732433245</v>
      </c>
      <c r="P51" t="n">
        <v>9689.53460479653</v>
      </c>
      <c r="Q51" t="n">
        <v>9961.35546391224</v>
      </c>
      <c r="R51" t="n">
        <v>10195.2944075019</v>
      </c>
      <c r="S51" t="n">
        <v>10393.3814876719</v>
      </c>
      <c r="T51" t="n">
        <v>10685.6548303347</v>
      </c>
      <c r="U51" t="n">
        <v>10911.03020841</v>
      </c>
      <c r="V51" t="n">
        <v>11156.9445508326</v>
      </c>
      <c r="W51" t="n">
        <v>11531.0652014415</v>
      </c>
      <c r="X51" t="n">
        <v>11925.0678385035</v>
      </c>
      <c r="Y51" t="n">
        <v>12236.7890425306</v>
      </c>
      <c r="Z51" t="n">
        <v>12384.7314780027</v>
      </c>
      <c r="AA51" t="n">
        <v>12744.852443162</v>
      </c>
      <c r="AB51" t="n">
        <v>13275.7476616222</v>
      </c>
      <c r="AC51" t="n">
        <v>13740.8146543843</v>
      </c>
      <c r="AD51" t="n">
        <v>14260.3541581038</v>
      </c>
      <c r="AE51" t="n">
        <v>14825</v>
      </c>
      <c r="AF51" t="n">
        <v>15373</v>
      </c>
    </row>
    <row r="52">
      <c r="A52" t="s">
        <v>151</v>
      </c>
      <c r="B52" t="s">
        <v>374</v>
      </c>
      <c r="C52" t="s">
        <v>236</v>
      </c>
      <c r="D52" t="s">
        <v>375</v>
      </c>
      <c r="E52" t="s">
        <v>237</v>
      </c>
      <c r="F52" t="n">
        <v>6271.1194792552</v>
      </c>
      <c r="G52" t="n">
        <v>6392.75382770293</v>
      </c>
      <c r="H52" t="n">
        <v>6478.48041159933</v>
      </c>
      <c r="I52" t="n">
        <v>6543.8125934552</v>
      </c>
      <c r="J52" t="n">
        <v>6627.29262914364</v>
      </c>
      <c r="K52" t="n">
        <v>6740.27618589962</v>
      </c>
      <c r="L52" t="n">
        <v>6876.11218964603</v>
      </c>
      <c r="M52" t="n">
        <v>6995.04558434202</v>
      </c>
      <c r="N52" t="n">
        <v>7144.0031138212</v>
      </c>
      <c r="O52" t="n">
        <v>7277.24206544108</v>
      </c>
      <c r="P52" t="n">
        <v>7364.91968068736</v>
      </c>
      <c r="Q52" t="n">
        <v>7476.50937281898</v>
      </c>
      <c r="R52" t="n">
        <v>7693.60822895748</v>
      </c>
      <c r="S52" t="n">
        <v>7936.71012617241</v>
      </c>
      <c r="T52" t="n">
        <v>8144.43990384299</v>
      </c>
      <c r="U52" t="n">
        <v>8336.94264573552</v>
      </c>
      <c r="V52" t="n">
        <v>8508.18795413441</v>
      </c>
      <c r="W52" t="n">
        <v>8713.584079212</v>
      </c>
      <c r="X52" t="n">
        <v>8908.70898715424</v>
      </c>
      <c r="Y52" t="n">
        <v>9099.57643785168</v>
      </c>
      <c r="Z52" t="n">
        <v>9225.24833750488</v>
      </c>
      <c r="AA52" t="n">
        <v>9424.63797234414</v>
      </c>
      <c r="AB52" t="n">
        <v>9580.10761740267</v>
      </c>
      <c r="AC52" t="n">
        <v>9659.58310403166</v>
      </c>
      <c r="AD52" t="n">
        <v>9803.29521765788</v>
      </c>
      <c r="AE52" t="n">
        <v>9959</v>
      </c>
      <c r="AF52" t="n">
        <v>10073</v>
      </c>
    </row>
    <row r="53">
      <c r="A53" t="s">
        <v>151</v>
      </c>
      <c r="B53" t="s">
        <v>376</v>
      </c>
      <c r="C53" t="s">
        <v>236</v>
      </c>
      <c r="D53" t="s">
        <v>377</v>
      </c>
      <c r="E53" t="s">
        <v>237</v>
      </c>
      <c r="F53" t="n">
        <v>10466.4213495462</v>
      </c>
      <c r="G53" t="n">
        <v>10651.2665116675</v>
      </c>
      <c r="H53" t="n">
        <v>10930.4079943368</v>
      </c>
      <c r="I53" t="n">
        <v>11126.5547472922</v>
      </c>
      <c r="J53" t="n">
        <v>11140.1444324798</v>
      </c>
      <c r="K53" t="n">
        <v>11301.9748505011</v>
      </c>
      <c r="L53" t="n">
        <v>11413.3166313233</v>
      </c>
      <c r="M53" t="n">
        <v>11526.7928301695</v>
      </c>
      <c r="N53" t="n">
        <v>11733.2696487785</v>
      </c>
      <c r="O53" t="n">
        <v>11874.5268552965</v>
      </c>
      <c r="P53" t="n">
        <v>11951.0156646464</v>
      </c>
      <c r="Q53" t="n">
        <v>12082.0877597909</v>
      </c>
      <c r="R53" t="n">
        <v>12241.3049912148</v>
      </c>
      <c r="S53" t="n">
        <v>12333.270125159</v>
      </c>
      <c r="T53" t="n">
        <v>12394.0078888211</v>
      </c>
      <c r="U53" t="n">
        <v>12441.3358425732</v>
      </c>
      <c r="V53" t="n">
        <v>12492.0822838073</v>
      </c>
      <c r="W53" t="n">
        <v>12603.8578359786</v>
      </c>
      <c r="X53" t="n">
        <v>12683.9953990473</v>
      </c>
      <c r="Y53" t="n">
        <v>12706.955825164</v>
      </c>
      <c r="Z53" t="n">
        <v>12788.4524633449</v>
      </c>
      <c r="AA53" t="n">
        <v>12785.1688826029</v>
      </c>
      <c r="AB53" t="n">
        <v>13193.68260854</v>
      </c>
      <c r="AC53" t="n">
        <v>13536.0166778349</v>
      </c>
      <c r="AD53" t="n">
        <v>13840</v>
      </c>
      <c r="AE53" t="n">
        <v>14055</v>
      </c>
      <c r="AF53" t="n">
        <v>14171</v>
      </c>
    </row>
    <row r="54">
      <c r="A54" t="s">
        <v>151</v>
      </c>
      <c r="B54" t="s">
        <v>378</v>
      </c>
      <c r="C54" t="s">
        <v>236</v>
      </c>
      <c r="D54" t="s">
        <v>379</v>
      </c>
      <c r="E54" t="s">
        <v>237</v>
      </c>
      <c r="F54" t="n">
        <v>14291.2691778549</v>
      </c>
      <c r="G54" t="n">
        <v>14482.9604530548</v>
      </c>
      <c r="H54" t="n">
        <v>14804.8422696369</v>
      </c>
      <c r="I54" t="n">
        <v>15083.4372003631</v>
      </c>
      <c r="J54" t="n">
        <v>15208.5763364281</v>
      </c>
      <c r="K54" t="n">
        <v>15416.9569143935</v>
      </c>
      <c r="L54" t="n">
        <v>15569.7069879048</v>
      </c>
      <c r="M54" t="n">
        <v>15700.384460738</v>
      </c>
      <c r="N54" t="n">
        <v>15971.8183365978</v>
      </c>
      <c r="O54" t="n">
        <v>16196.9807990966</v>
      </c>
      <c r="P54" t="n">
        <v>16330.0949042853</v>
      </c>
      <c r="Q54" t="n">
        <v>16479.3219620123</v>
      </c>
      <c r="R54" t="n">
        <v>16682.5599397424</v>
      </c>
      <c r="S54" t="n">
        <v>16849.6702455868</v>
      </c>
      <c r="T54" t="n">
        <v>16968.9558067369</v>
      </c>
      <c r="U54" t="n">
        <v>17098.8232762103</v>
      </c>
      <c r="V54" t="n">
        <v>17182.5934271659</v>
      </c>
      <c r="W54" t="n">
        <v>17303.6803950776</v>
      </c>
      <c r="X54" t="n">
        <v>17367.7847615484</v>
      </c>
      <c r="Y54" t="n">
        <v>17371.0960646488</v>
      </c>
      <c r="Z54" t="n">
        <v>17450.1504175124</v>
      </c>
      <c r="AA54" t="n">
        <v>17433.5932503125</v>
      </c>
      <c r="AB54" t="n">
        <v>17807.9308423002</v>
      </c>
      <c r="AC54" t="n">
        <v>18089.1199520219</v>
      </c>
      <c r="AD54" t="n">
        <v>18353.3535309739</v>
      </c>
      <c r="AE54" t="n">
        <v>18522</v>
      </c>
      <c r="AF54" t="n">
        <v>18667</v>
      </c>
    </row>
    <row r="55">
      <c r="A55" t="s">
        <v>151</v>
      </c>
      <c r="B55" t="s">
        <v>380</v>
      </c>
      <c r="C55" t="s">
        <v>236</v>
      </c>
      <c r="D55" t="s">
        <v>381</v>
      </c>
      <c r="E55" t="s">
        <v>237</v>
      </c>
      <c r="F55" t="n">
        <v>3834.85683990227</v>
      </c>
      <c r="G55" t="n">
        <v>3844.65630371803</v>
      </c>
      <c r="H55" t="n">
        <v>3890.52352847479</v>
      </c>
      <c r="I55" t="n">
        <v>3972.77561152922</v>
      </c>
      <c r="J55" t="n">
        <v>4079.67358983142</v>
      </c>
      <c r="K55" t="n">
        <v>4126.98742495479</v>
      </c>
      <c r="L55" t="n">
        <v>4168.47957859886</v>
      </c>
      <c r="M55" t="n">
        <v>4186.78709026162</v>
      </c>
      <c r="N55" t="n">
        <v>4252.31693243652</v>
      </c>
      <c r="O55" t="n">
        <v>4335.58309789274</v>
      </c>
      <c r="P55" t="n">
        <v>4391.74350071519</v>
      </c>
      <c r="Q55" t="n">
        <v>4410.56910053454</v>
      </c>
      <c r="R55" t="n">
        <v>4454.85715411345</v>
      </c>
      <c r="S55" t="n">
        <v>4529.78031000011</v>
      </c>
      <c r="T55" t="n">
        <v>4588.62390976628</v>
      </c>
      <c r="U55" t="n">
        <v>4671.02608362047</v>
      </c>
      <c r="V55" t="n">
        <v>4704.32888379416</v>
      </c>
      <c r="W55" t="n">
        <v>4712.80079071121</v>
      </c>
      <c r="X55" t="n">
        <v>4695.39753816058</v>
      </c>
      <c r="Y55" t="n">
        <v>4674.95313668818</v>
      </c>
      <c r="Z55" t="n">
        <v>4671.55481844004</v>
      </c>
      <c r="AA55" t="n">
        <v>4657.9648407864</v>
      </c>
      <c r="AB55" t="n">
        <v>4621.15621057903</v>
      </c>
      <c r="AC55" t="n">
        <v>4556.94325334301</v>
      </c>
      <c r="AD55" t="n">
        <v>4514.75909918107</v>
      </c>
      <c r="AE55" t="n">
        <v>4467</v>
      </c>
      <c r="AF55" t="n">
        <v>4496</v>
      </c>
    </row>
    <row r="56">
      <c r="A56" t="s">
        <v>151</v>
      </c>
      <c r="B56" t="s">
        <v>382</v>
      </c>
      <c r="C56" t="s">
        <v>236</v>
      </c>
      <c r="D56" t="s">
        <v>383</v>
      </c>
      <c r="E56" t="s">
        <v>237</v>
      </c>
      <c r="F56" t="e">
        <v>#NUM!</v>
      </c>
      <c r="G56" t="e">
        <v>#NUM!</v>
      </c>
      <c r="H56" t="e">
        <v>#NUM!</v>
      </c>
      <c r="I56" t="e">
        <v>#NUM!</v>
      </c>
      <c r="J56" t="e">
        <v>#NUM!</v>
      </c>
      <c r="K56" t="e">
        <v>#NUM!</v>
      </c>
      <c r="L56" t="e">
        <v>#NUM!</v>
      </c>
      <c r="M56" t="e">
        <v>#NUM!</v>
      </c>
      <c r="N56" t="e">
        <v>#NUM!</v>
      </c>
      <c r="O56" t="e">
        <v>#NUM!</v>
      </c>
      <c r="P56" t="e">
        <v>#NUM!</v>
      </c>
      <c r="Q56" t="e">
        <v>#NUM!</v>
      </c>
      <c r="R56" t="e">
        <v>#NUM!</v>
      </c>
      <c r="S56" t="e">
        <v>#NUM!</v>
      </c>
      <c r="T56" t="e">
        <v>#NUM!</v>
      </c>
      <c r="U56" t="e">
        <v>#NUM!</v>
      </c>
      <c r="V56" t="e">
        <v>#NUM!</v>
      </c>
      <c r="W56" t="e">
        <v>#NUM!</v>
      </c>
      <c r="X56" t="e">
        <v>#NUM!</v>
      </c>
      <c r="Y56" t="e">
        <v>#NUM!</v>
      </c>
      <c r="Z56" t="e">
        <v>#NUM!</v>
      </c>
      <c r="AA56" t="e">
        <v>#NUM!</v>
      </c>
      <c r="AB56" t="e">
        <v>#NUM!</v>
      </c>
      <c r="AC56" t="e">
        <v>#NUM!</v>
      </c>
      <c r="AD56" t="e">
        <v>#NUM!</v>
      </c>
      <c r="AE56" t="n">
        <v>0</v>
      </c>
      <c r="AF56" t="e">
        <v>#NUM!</v>
      </c>
    </row>
    <row r="57">
      <c r="A57" t="s">
        <v>151</v>
      </c>
      <c r="B57" t="s">
        <v>384</v>
      </c>
      <c r="C57" t="s">
        <v>236</v>
      </c>
      <c r="D57" t="s">
        <v>385</v>
      </c>
      <c r="E57" t="s">
        <v>237</v>
      </c>
      <c r="F57" t="n">
        <v>568334.382449826</v>
      </c>
      <c r="G57" t="n">
        <v>573279.924873816</v>
      </c>
      <c r="H57" t="n">
        <v>581413.662726381</v>
      </c>
      <c r="I57" t="n">
        <v>592455.543120242</v>
      </c>
      <c r="J57" t="n">
        <v>604009.302479353</v>
      </c>
      <c r="K57" t="n">
        <v>616830.110194645</v>
      </c>
      <c r="L57" t="n">
        <v>629141.598801604</v>
      </c>
      <c r="M57" t="n">
        <v>639064.693360576</v>
      </c>
      <c r="N57" t="n">
        <v>649328.021078806</v>
      </c>
      <c r="O57" t="n">
        <v>660823.755347585</v>
      </c>
      <c r="P57" t="n">
        <v>672808.476316786</v>
      </c>
      <c r="Q57" t="n">
        <v>684781.357410045</v>
      </c>
      <c r="R57" t="n">
        <v>701151.662371983</v>
      </c>
      <c r="S57" t="n">
        <v>716582.357000174</v>
      </c>
      <c r="T57" t="n">
        <v>724279.588362171</v>
      </c>
      <c r="U57" t="n">
        <v>732658.269768585</v>
      </c>
      <c r="V57" t="n">
        <v>742287.303230817</v>
      </c>
      <c r="W57" t="n">
        <v>751442.1008401</v>
      </c>
      <c r="X57" t="n">
        <v>757874.566086233</v>
      </c>
      <c r="Y57" t="n">
        <v>763387.556940039</v>
      </c>
      <c r="Z57" t="n">
        <v>768886.62650033</v>
      </c>
      <c r="AA57" t="n">
        <v>778583.671730734</v>
      </c>
      <c r="AB57" t="n">
        <v>790218.35805084</v>
      </c>
      <c r="AC57" t="n">
        <v>802094.588849882</v>
      </c>
      <c r="AD57" t="n">
        <v>814639.076273565</v>
      </c>
      <c r="AE57" t="n">
        <v>825577</v>
      </c>
      <c r="AF57" t="n">
        <v>836697</v>
      </c>
    </row>
    <row r="58">
      <c r="A58" t="s">
        <v>151</v>
      </c>
      <c r="B58" t="s">
        <v>386</v>
      </c>
      <c r="C58" t="s">
        <v>236</v>
      </c>
      <c r="D58" t="s">
        <v>387</v>
      </c>
      <c r="E58" t="s">
        <v>237</v>
      </c>
      <c r="F58" t="n">
        <v>568334.382449826</v>
      </c>
      <c r="G58" t="n">
        <v>573279.924873816</v>
      </c>
      <c r="H58" t="n">
        <v>581413.662726381</v>
      </c>
      <c r="I58" t="n">
        <v>592455.543120242</v>
      </c>
      <c r="J58" t="n">
        <v>604009.302479353</v>
      </c>
      <c r="K58" t="n">
        <v>616830.110194645</v>
      </c>
      <c r="L58" t="n">
        <v>629141.598801604</v>
      </c>
      <c r="M58" t="n">
        <v>639064.693360576</v>
      </c>
      <c r="N58" t="n">
        <v>649328.021078806</v>
      </c>
      <c r="O58" t="n">
        <v>660823.755347585</v>
      </c>
      <c r="P58" t="n">
        <v>672808.476316786</v>
      </c>
      <c r="Q58" t="n">
        <v>684781.357410045</v>
      </c>
      <c r="R58" t="n">
        <v>701151.662371983</v>
      </c>
      <c r="S58" t="n">
        <v>716582.357000174</v>
      </c>
      <c r="T58" t="n">
        <v>724279.588362171</v>
      </c>
      <c r="U58" t="n">
        <v>732658.269768585</v>
      </c>
      <c r="V58" t="n">
        <v>742287.303230817</v>
      </c>
      <c r="W58" t="n">
        <v>751442.1008401</v>
      </c>
      <c r="X58" t="n">
        <v>757874.566086233</v>
      </c>
      <c r="Y58" t="n">
        <v>763387.556940039</v>
      </c>
      <c r="Z58" t="n">
        <v>768886.62650033</v>
      </c>
      <c r="AA58" t="n">
        <v>778583.671730734</v>
      </c>
      <c r="AB58" t="n">
        <v>790218.35805084</v>
      </c>
      <c r="AC58" t="n">
        <v>802094.588849882</v>
      </c>
      <c r="AD58" t="n">
        <v>814639.076273565</v>
      </c>
      <c r="AE58" t="n">
        <v>825577</v>
      </c>
      <c r="AF58" t="n">
        <v>836697</v>
      </c>
    </row>
    <row r="59">
      <c r="A59" t="s">
        <v>151</v>
      </c>
      <c r="B59" t="s">
        <v>388</v>
      </c>
      <c r="C59" t="s">
        <v>236</v>
      </c>
      <c r="D59" t="s">
        <v>389</v>
      </c>
      <c r="E59" t="s">
        <v>237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legend</dc:creator>
  <cp:lastModifiedBy>legend</cp:lastModifiedBy>
  <dcterms:created xsi:type="dcterms:W3CDTF">2025-01-07T18:47:01Z</dcterms:created>
</coreProperties>
</file>